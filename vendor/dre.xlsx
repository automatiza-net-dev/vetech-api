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FEB5969E-B862-44FC-9AC8-74A579BCF17D}" xr6:coauthVersionLast="47" xr6:coauthVersionMax="47" xr10:uidLastSave="{00000000-0000-0000-0000-000000000000}"/>
  <bookViews>
    <workbookView xWindow="-96" yWindow="-96" windowWidth="23232" windowHeight="12432" tabRatio="779" xr2:uid="{00000000-000D-0000-FFFF-FFFF00000000}"/>
  </bookViews>
  <sheets>
    <sheet name="DRE" sheetId="101" r:id="rId1"/>
    <sheet name="Dados Mov Financeira" sheetId="92" r:id="rId2"/>
    <sheet name="Grupos de Contas" sheetId="91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04_Conta_a_Receber" localSheetId="0">#REF!</definedName>
    <definedName name="_04_Conta_a_Receber">#REF!</definedName>
    <definedName name="_1" localSheetId="0">#REF!</definedName>
    <definedName name="_1">#REF!</definedName>
    <definedName name="_as2">#N/A</definedName>
    <definedName name="_bdm.37D454F85632448B8D50FA5EB7F05C94.edm" localSheetId="0" hidden="1">#REF!</definedName>
    <definedName name="_bdm.37D454F85632448B8D50FA5EB7F05C94.edm" hidden="1">#REF!</definedName>
    <definedName name="_bdm.9FCC6661EC454A839FF6E48F17F39194.edm" localSheetId="0" hidden="1">#REF!</definedName>
    <definedName name="_bdm.9FCC6661EC454A839FF6E48F17F39194.edm" hidden="1">#REF!</definedName>
    <definedName name="_bdm.9FEB4F5A2798413FB6BE0568818DA3F0.edm" localSheetId="0" hidden="1">#REF!</definedName>
    <definedName name="_bdm.9FEB4F5A2798413FB6BE0568818DA3F0.edm" hidden="1">#REF!</definedName>
    <definedName name="_Fill" localSheetId="0" hidden="1">#REF!</definedName>
    <definedName name="_Fill" hidden="1">#REF!</definedName>
    <definedName name="_xlnm._FilterDatabase" localSheetId="1" hidden="1">'Dados Mov Financeira'!$A$1:$O$25750</definedName>
    <definedName name="_xlnm._FilterDatabase" localSheetId="0" hidden="1">DRE!$A$3:$C$133</definedName>
    <definedName name="_l" localSheetId="0" hidden="1">{"IND","COMPANIES",TRUE}</definedName>
    <definedName name="_l" hidden="1">{"IND","COMPANIES",TRUE}</definedName>
    <definedName name="_l_1" localSheetId="0" hidden="1">{"IND","COMPANIES",TRUE}</definedName>
    <definedName name="_l_1" hidden="1">{"IND","COMPANIES",TRUE}</definedName>
    <definedName name="_Order1" hidden="1">255</definedName>
    <definedName name="_Order2" hidden="1">255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hidden="1">'[1]DCF Assumptions'!$G$41</definedName>
    <definedName name="_Table2_In2" hidden="1">'[1]DCF Assumptions'!$K$35</definedName>
    <definedName name="_Table2_Out" localSheetId="0" hidden="1">#REF!</definedName>
    <definedName name="_Table2_Out" hidden="1">#REF!</definedName>
    <definedName name="_W3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_W3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_W3_1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_W3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_w4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_w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_w4_1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_w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_w5" localSheetId="0" hidden="1">{"Pulp Production",#N/A,FALSE,"Pulp";"Pulp Earnings",#N/A,FALSE,"Pulp"}</definedName>
    <definedName name="_w5" hidden="1">{"Pulp Production",#N/A,FALSE,"Pulp";"Pulp Earnings",#N/A,FALSE,"Pulp"}</definedName>
    <definedName name="_w5_1" localSheetId="0" hidden="1">{"Pulp Production",#N/A,FALSE,"Pulp";"Pulp Earnings",#N/A,FALSE,"Pulp"}</definedName>
    <definedName name="_w5_1" hidden="1">{"Pulp Production",#N/A,FALSE,"Pulp";"Pulp Earnings",#N/A,FALSE,"Pulp"}</definedName>
    <definedName name="_w6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_w6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_w6_1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_w6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A">#REF!</definedName>
    <definedName name="AAA">#N/A</definedName>
    <definedName name="AAA_DOCTOPS" hidden="1">"AAA_SET"</definedName>
    <definedName name="AAA_duser" hidden="1">"OFF"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AAA_1" localSheetId="0" hidden="1">{#N/A,#N/A,FALSE,"Aging Summary";#N/A,#N/A,FALSE,"Ratio Analysis";#N/A,#N/A,FALSE,"Test 120 Day Accts";#N/A,#N/A,FALSE,"Tickmarks"}</definedName>
    <definedName name="AAAA_1" hidden="1">{#N/A,#N/A,FALSE,"Aging Summary";#N/A,#N/A,FALSE,"Ratio Analysis";#N/A,#N/A,FALSE,"Test 120 Day Accts";#N/A,#N/A,FALSE,"Tickmarks"}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" localSheetId="0" hidden="1">{#N/A,#N/A,FALSE,"Aging Summary";#N/A,#N/A,FALSE,"Ratio Analysis";#N/A,#N/A,FALSE,"Test 120 Day Accts";#N/A,#N/A,FALSE,"Tickmarks"}</definedName>
    <definedName name="ad" hidden="1">{#N/A,#N/A,FALSE,"Aging Summary";#N/A,#N/A,FALSE,"Ratio Analysis";#N/A,#N/A,FALSE,"Test 120 Day Accts";#N/A,#N/A,FALSE,"Tickmarks"}</definedName>
    <definedName name="ad_1" localSheetId="0" hidden="1">{#N/A,#N/A,FALSE,"Aging Summary";#N/A,#N/A,FALSE,"Ratio Analysis";#N/A,#N/A,FALSE,"Test 120 Day Accts";#N/A,#N/A,FALSE,"Tickmarks"}</definedName>
    <definedName name="ad_1" hidden="1">{#N/A,#N/A,FALSE,"Aging Summary";#N/A,#N/A,FALSE,"Ratio Analysis";#N/A,#N/A,FALSE,"Test 120 Day Accts";#N/A,#N/A,FALSE,"Tickmarks"}</definedName>
    <definedName name="adfvad" localSheetId="0" hidden="1">{#N/A,#N/A,FALSE,"Aging Summary";#N/A,#N/A,FALSE,"Ratio Analysis";#N/A,#N/A,FALSE,"Test 120 Day Accts";#N/A,#N/A,FALSE,"Tickmarks"}</definedName>
    <definedName name="adfvad" hidden="1">{#N/A,#N/A,FALSE,"Aging Summary";#N/A,#N/A,FALSE,"Ratio Analysis";#N/A,#N/A,FALSE,"Test 120 Day Accts";#N/A,#N/A,FALSE,"Tickmarks"}</definedName>
    <definedName name="adfvad_1" localSheetId="0" hidden="1">{#N/A,#N/A,FALSE,"Aging Summary";#N/A,#N/A,FALSE,"Ratio Analysis";#N/A,#N/A,FALSE,"Test 120 Day Accts";#N/A,#N/A,FALSE,"Tickmarks"}</definedName>
    <definedName name="adfvad_1" hidden="1">{#N/A,#N/A,FALSE,"Aging Summary";#N/A,#N/A,FALSE,"Ratio Analysis";#N/A,#N/A,FALSE,"Test 120 Day Accts";#N/A,#N/A,FALSE,"Tickmarks"}</definedName>
    <definedName name="adicional">'[2]Percentual de Impostos'!$D$11</definedName>
    <definedName name="ADICIONALEFETIVO">'[2]Percentual de Impostos'!$G$11</definedName>
    <definedName name="ano_base">[3]Parâmetros!$F$1</definedName>
    <definedName name="anscount" hidden="1">1</definedName>
    <definedName name="_xlnm.Print_Area" localSheetId="0">DRE!$A$1:$E$133</definedName>
    <definedName name="AS" localSheetId="0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sumptios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tendimento" localSheetId="0">'[4]00- Premissas'!#REF!</definedName>
    <definedName name="Atendimento">'[4]00- Premissas'!#REF!</definedName>
    <definedName name="atendimentoano1">'[4]00- Premissas'!$C$4</definedName>
    <definedName name="atendimentoano2">'[4]00- Premissas'!$C$5</definedName>
    <definedName name="atendimentoano3">'[4]00- Premissas'!$C$6</definedName>
    <definedName name="atendimentoano4">'[4]00- Premissas'!$C$7</definedName>
    <definedName name="atendimentoano5">'[4]00- Premissas'!$C$8</definedName>
    <definedName name="aumentofolha">'[4]00- Premissas'!$C$11</definedName>
    <definedName name="aumentopreços" localSheetId="0">'[4]00- Premissas'!#REF!</definedName>
    <definedName name="aumentopreços">'[4]00- Premissas'!#REF!</definedName>
    <definedName name="Banco" localSheetId="0">#REF!</definedName>
    <definedName name="Banco">#REF!</definedName>
    <definedName name="Bancos" localSheetId="0">#REF!</definedName>
    <definedName name="Bancos">#REF!</definedName>
    <definedName name="BG_Del" hidden="1">15</definedName>
    <definedName name="BG_Ins" hidden="1">4</definedName>
    <definedName name="BG_Mod" hidden="1">6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AIXA">[5]BASE!$B$3:$B$7</definedName>
    <definedName name="CATEGORIAS" localSheetId="0">#REF!</definedName>
    <definedName name="CATEGORIAS">#REF!</definedName>
    <definedName name="CFATAC">'[6]Custo Financeiro'!$D$36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oices_Wrapper">#N/A</definedName>
    <definedName name="CMV">'[2]Volume de Vendas'!$I$5</definedName>
    <definedName name="COFINS">'[2]Percentual de Impostos'!$D$8</definedName>
    <definedName name="comatac">'[7]Despesas Variáveis'!$E$5</definedName>
    <definedName name="comissão">[2]Comissões!$D$20</definedName>
    <definedName name="comissãogerente">'[4]00- Premissas'!$C$19</definedName>
    <definedName name="comissoes" localSheetId="0">[8]Premissas!#REF!</definedName>
    <definedName name="comissoes">#REF!</definedName>
    <definedName name="Comissões">'[4]00- Premissas'!$C$18</definedName>
    <definedName name="contaempresa" localSheetId="0">[8]Premissas!#REF!</definedName>
    <definedName name="contaempresa">#REF!</definedName>
    <definedName name="contaroberta" localSheetId="0">[8]Premissas!#REF!</definedName>
    <definedName name="contaroberta">#REF!</definedName>
    <definedName name="CONTAS" localSheetId="0">#REF!</definedName>
    <definedName name="CONTAS">[5]Realizado!$B$14:$B$102</definedName>
    <definedName name="CSEFETIVO">'[2]Percentual de Impostos'!$G$12</definedName>
    <definedName name="CSLL">'[2]Percentual de Impostos'!$D$12</definedName>
    <definedName name="CUSTOAPOLICE">[9]Parâmetros!$C$13</definedName>
    <definedName name="CustoMP" localSheetId="0">#REF!</definedName>
    <definedName name="CustoMP">#REF!</definedName>
    <definedName name="D" localSheetId="0">'[10]Base de Dados'!$B$18:$B$21</definedName>
    <definedName name="D">'[11]Base de Dados'!$B$18:$B$21</definedName>
    <definedName name="dagbladen_inc_services" localSheetId="0" hidden="1">{#N/A,#N/A,FALSE,"Aging Summary";#N/A,#N/A,FALSE,"Ratio Analysis";#N/A,#N/A,FALSE,"Test 120 Day Accts";#N/A,#N/A,FALSE,"Tickmarks"}</definedName>
    <definedName name="dagbladen_inc_services" hidden="1">{#N/A,#N/A,FALSE,"Aging Summary";#N/A,#N/A,FALSE,"Ratio Analysis";#N/A,#N/A,FALSE,"Test 120 Day Accts";#N/A,#N/A,FALSE,"Tickmarks"}</definedName>
    <definedName name="dagbladen_inc_services_1" localSheetId="0" hidden="1">{#N/A,#N/A,FALSE,"Aging Summary";#N/A,#N/A,FALSE,"Ratio Analysis";#N/A,#N/A,FALSE,"Test 120 Day Accts";#N/A,#N/A,FALSE,"Tickmarks"}</definedName>
    <definedName name="dagbladen_inc_services_1" hidden="1">{#N/A,#N/A,FALSE,"Aging Summary";#N/A,#N/A,FALSE,"Ratio Analysis";#N/A,#N/A,FALSE,"Test 120 Day Accts";#N/A,#N/A,FALSE,"Tickmarks"}</definedName>
    <definedName name="Dashboard">'[12]Custo Financeiro'!$D$36</definedName>
    <definedName name="DD" localSheetId="0" hidden="1">#REF!</definedName>
    <definedName name="DD" hidden="1">#REF!</definedName>
    <definedName name="ddad" localSheetId="0" hidden="1">#REF!</definedName>
    <definedName name="ddad" hidden="1">#REF!</definedName>
    <definedName name="ddd">[13]BASE!$B$3:$B$8</definedName>
    <definedName name="dddd" localSheetId="0" hidden="1">#REF!</definedName>
    <definedName name="dddd" hidden="1">#REF!</definedName>
    <definedName name="dddddd">[14]Realizado!$B$14:$B$102</definedName>
    <definedName name="DESPCASA" localSheetId="0">[8]Premissas!#REF!</definedName>
    <definedName name="DESPCASA">#REF!</definedName>
    <definedName name="Despesas" localSheetId="0">[8]Premissas!#REF!</definedName>
    <definedName name="Despesas">#REF!</definedName>
    <definedName name="devoluções" localSheetId="0">'[4]00- Premissas'!#REF!</definedName>
    <definedName name="devoluções">'[4]00- Premissas'!#REF!</definedName>
    <definedName name="DPVAT">[9]Parâmetros!$C$7</definedName>
    <definedName name="DRE" localSheetId="0">#REF!</definedName>
    <definedName name="DRE">#REF!</definedName>
    <definedName name="empresas" localSheetId="0">[8]Premissas!#REF!</definedName>
    <definedName name="empresas">#REF!</definedName>
    <definedName name="Entrada" localSheetId="0">#REF!</definedName>
    <definedName name="Entrada">#REF!</definedName>
    <definedName name="Entradas" localSheetId="0">#REF!</definedName>
    <definedName name="Entradas">#REF!</definedName>
    <definedName name="erefafg" localSheetId="0" hidden="1">{#N/A,#N/A,FALSE,"Aging Summary";#N/A,#N/A,FALSE,"Ratio Analysis";#N/A,#N/A,FALSE,"Test 120 Day Accts";#N/A,#N/A,FALSE,"Tickmarks"}</definedName>
    <definedName name="erefafg" hidden="1">{#N/A,#N/A,FALSE,"Aging Summary";#N/A,#N/A,FALSE,"Ratio Analysis";#N/A,#N/A,FALSE,"Test 120 Day Accts";#N/A,#N/A,FALSE,"Tickmarks"}</definedName>
    <definedName name="erefafg_1" localSheetId="0" hidden="1">{#N/A,#N/A,FALSE,"Aging Summary";#N/A,#N/A,FALSE,"Ratio Analysis";#N/A,#N/A,FALSE,"Test 120 Day Accts";#N/A,#N/A,FALSE,"Tickmarks"}</definedName>
    <definedName name="erefafg_1" hidden="1">{#N/A,#N/A,FALSE,"Aging Summary";#N/A,#N/A,FALSE,"Ratio Analysis";#N/A,#N/A,FALSE,"Test 120 Day Accts";#N/A,#N/A,FALSE,"Tickmarks"}</definedName>
    <definedName name="erer" localSheetId="0" hidden="1">{#N/A,#N/A,FALSE,"Aging Summary";#N/A,#N/A,FALSE,"Ratio Analysis";#N/A,#N/A,FALSE,"Test 120 Day Accts";#N/A,#N/A,FALSE,"Tickmarks"}</definedName>
    <definedName name="erer" hidden="1">{#N/A,#N/A,FALSE,"Aging Summary";#N/A,#N/A,FALSE,"Ratio Analysis";#N/A,#N/A,FALSE,"Test 120 Day Accts";#N/A,#N/A,FALSE,"Tickmarks"}</definedName>
    <definedName name="erer_1" localSheetId="0" hidden="1">{#N/A,#N/A,FALSE,"Aging Summary";#N/A,#N/A,FALSE,"Ratio Analysis";#N/A,#N/A,FALSE,"Test 120 Day Accts";#N/A,#N/A,FALSE,"Tickmarks"}</definedName>
    <definedName name="erer_1" hidden="1">{#N/A,#N/A,FALSE,"Aging Summary";#N/A,#N/A,FALSE,"Ratio Analysis";#N/A,#N/A,FALSE,"Test 120 Day Accts";#N/A,#N/A,FALSE,"Tickmarks"}</definedName>
    <definedName name="esnrc14c1" localSheetId="0" hidden="1">#REF!</definedName>
    <definedName name="esnrc14c1" hidden="1">#REF!</definedName>
    <definedName name="esnrc14c1_values" localSheetId="0" hidden="1">{"FTSE44","COMPANIES",TRUE}</definedName>
    <definedName name="esnrc14c1_values" hidden="1">{"FTSE44","COMPANIES",TRUE}</definedName>
    <definedName name="esnrc14c1_values_1" localSheetId="0" hidden="1">{"FTSE44","COMPANIES",TRUE}</definedName>
    <definedName name="esnrc14c1_values_1" hidden="1">{"FTSE44","COMPANIES",TRUE}</definedName>
    <definedName name="esnrc67c1_values" localSheetId="0" hidden="1">{"IND","COMPANIES",TRUE}</definedName>
    <definedName name="esnrc67c1_values" hidden="1">{"IND","COMPANIES",TRUE}</definedName>
    <definedName name="esnrc67c1_values_1" localSheetId="0" hidden="1">{"IND","COMPANIES",TRUE}</definedName>
    <definedName name="esnrc67c1_values_1" hidden="1">{"IND","COMPANIES",TRUE}</definedName>
    <definedName name="esnrc6c1_values" localSheetId="0" hidden="1">{"350FTSE44","COMPANIES",TRUE}</definedName>
    <definedName name="esnrc6c1_values" hidden="1">{"350FTSE44","COMPANIES",TRUE}</definedName>
    <definedName name="esnrc6c1_values_1" localSheetId="0" hidden="1">{"350FTSE44","COMPANIES",TRUE}</definedName>
    <definedName name="esnrc6c1_values_1" hidden="1">{"350FTSE44","COMPANIES",TRUE}</definedName>
    <definedName name="ewcw" localSheetId="0" hidden="1">{#N/A,#N/A,FALSE,"Aging Summary";#N/A,#N/A,FALSE,"Ratio Analysis";#N/A,#N/A,FALSE,"Test 120 Day Accts";#N/A,#N/A,FALSE,"Tickmarks"}</definedName>
    <definedName name="ewcw" hidden="1">{#N/A,#N/A,FALSE,"Aging Summary";#N/A,#N/A,FALSE,"Ratio Analysis";#N/A,#N/A,FALSE,"Test 120 Day Accts";#N/A,#N/A,FALSE,"Tickmarks"}</definedName>
    <definedName name="ewcw_1" localSheetId="0" hidden="1">{#N/A,#N/A,FALSE,"Aging Summary";#N/A,#N/A,FALSE,"Ratio Analysis";#N/A,#N/A,FALSE,"Test 120 Day Accts";#N/A,#N/A,FALSE,"Tickmarks"}</definedName>
    <definedName name="ewcw_1" hidden="1">{#N/A,#N/A,FALSE,"Aging Summary";#N/A,#N/A,FALSE,"Ratio Analysis";#N/A,#N/A,FALSE,"Test 120 Day Accts";#N/A,#N/A,FALSE,"Tickmarks"}</definedName>
    <definedName name="f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ATCL" localSheetId="0">#REF!</definedName>
    <definedName name="FATCL">#REF!</definedName>
    <definedName name="fdd" localSheetId="0" hidden="1">#REF!</definedName>
    <definedName name="fdd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GTS">'[15]Provisões Trabalhistas'!$F$5</definedName>
    <definedName name="FGTS_REAL" localSheetId="0">#REF!</definedName>
    <definedName name="FGTS_REAL">#REF!</definedName>
    <definedName name="FGTS_SIMPLES" localSheetId="0">#REF!</definedName>
    <definedName name="FGTS_SIMPLES">#REF!</definedName>
    <definedName name="fomento">'[4]00- Premissas'!$C$28</definedName>
    <definedName name="fresfg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tesvendas">'[4]00- Premissas'!$C$20</definedName>
    <definedName name="Header_Row">ROW('[16]Calculadora de empréstimo'!$15:$15)</definedName>
    <definedName name="hhhhh" localSheetId="0">#REF!</definedName>
    <definedName name="hhhhh">#REF!</definedName>
    <definedName name="HTML_CodePage" hidden="1">1252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CMS" localSheetId="0">#REF!</definedName>
    <definedName name="ICMS">#REF!</definedName>
    <definedName name="Impostos">'[4]00- Premissas'!$C$15</definedName>
    <definedName name="inflação">'[4]00- Premissas'!$C$12</definedName>
    <definedName name="INSS">'[15]Provisões Trabalhistas'!$G$5</definedName>
    <definedName name="INSS_REAL" localSheetId="0">#REF!</definedName>
    <definedName name="INSS_REAL">#REF!</definedName>
    <definedName name="INSS_SIMPLES" localSheetId="0">#REF!</definedName>
    <definedName name="INSS_SIMPLES">#REF!</definedName>
    <definedName name="INSSFAT">'[17]Percentual de Impostos Doctor'!$D$9</definedName>
    <definedName name="Interest_Rate">'[16]Calculadora de empréstimo'!$E$5</definedName>
    <definedName name="IPVACAM">[9]Parâmetros!$C$6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CIQ" hidden="1">"c3682"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EST" hidden="1">"c399"</definedName>
    <definedName name="IQ_EPS_EST_BOTTOM_UP" hidden="1">"c5489"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REUT" hidden="1">"c5389"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SHARE" hidden="1">"c4407"</definedName>
    <definedName name="IQ_EST_ACT_FFO_SHARE_CIQ" hidden="1">"c4932"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_CIQ" hidden="1">"c4663"</definedName>
    <definedName name="IQ_EST_EPS_GROWTH_5YR_LOW_CIQ" hidden="1">"c4664"</definedName>
    <definedName name="IQ_EST_EPS_GROWTH_5YR_MEDIAN_CIQ" hidden="1">"c5480"</definedName>
    <definedName name="IQ_EST_EPS_GROWTH_5YR_NUM_CIQ" hidden="1">"c4665"</definedName>
    <definedName name="IQ_EST_EPS_GROWTH_5YR_REUT" hidden="1">"c3633"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GROWTH_1YR" hidden="1">"c1770"</definedName>
    <definedName name="IQ_EST_FFO_GROWTH_1YR_CIQ" hidden="1">"c3705"</definedName>
    <definedName name="IQ_EST_FFO_GROWTH_2YR" hidden="1">"c1771"</definedName>
    <definedName name="IQ_EST_FFO_GROWTH_2YR_CIQ" hidden="1">"c3706"</definedName>
    <definedName name="IQ_EST_FFO_GROWTH_Q_1YR" hidden="1">"c1772"</definedName>
    <definedName name="IQ_EST_FFO_GROWTH_Q_1YR_CIQ" hidden="1">"c3707"</definedName>
    <definedName name="IQ_EST_FFO_SEQ_GROWTH_Q" hidden="1">"c1773"</definedName>
    <definedName name="IQ_EST_FFO_SEQ_GROWTH_Q_CIQ" hidden="1">"c3708"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OOTNOTE" hidden="1">"c4540"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GW_DIFF_CIQ" hidden="1">"c4757"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NUM_EST" hidden="1">"c421"</definedName>
    <definedName name="IQ_FFO_NUM_EST_CIQ" hidden="1">"c3672"</definedName>
    <definedName name="IQ_FFO_PAYOUT_RATIO" hidden="1">"c3492"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TDDEV_EST" hidden="1">"c4452"</definedName>
    <definedName name="IQ_FFO_SHARE_STDDEV_EST_CIQ" hidden="1">"c4981"</definedName>
    <definedName name="IQ_FFO_STDDEV_EST" hidden="1">"c422"</definedName>
    <definedName name="IQ_FFO_STDDEV_EST_CIQ" hidden="1">"c3673"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CIQ" hidden="1">"c4702"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_CIQ" hidden="1">"c4709"</definedName>
    <definedName name="IQ_NI_GW_GUIDANCE" hidden="1">"c4471"</definedName>
    <definedName name="IQ_NI_GW_GUIDANCE_CIQ" hidden="1">"c5009"</definedName>
    <definedName name="IQ_NI_GW_HIGH_EST_CIQ" hidden="1">"c4711"</definedName>
    <definedName name="IQ_NI_GW_HIGH_GUIDANCE" hidden="1">"c4178"</definedName>
    <definedName name="IQ_NI_GW_HIGH_GUIDANCE_CIQ" hidden="1">"c4590"</definedName>
    <definedName name="IQ_NI_GW_LOW_EST_CIQ" hidden="1">"c4712"</definedName>
    <definedName name="IQ_NI_GW_LOW_GUIDANCE" hidden="1">"c4218"</definedName>
    <definedName name="IQ_NI_GW_LOW_GUIDANCE_CIQ" hidden="1">"c4630"</definedName>
    <definedName name="IQ_NI_GW_MEDIAN_EST_CIQ" hidden="1">"c4710"</definedName>
    <definedName name="IQ_NI_GW_NUM_EST_CIQ" hidden="1">"c4713"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ICE_CFPS_FWD" hidden="1">"c2237"</definedName>
    <definedName name="IQ_PRICE_CFPS_FWD_CIQ" hidden="1">"c4046"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39764.6724421296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>'[2]Percentual de Impostos'!$D$10</definedName>
    <definedName name="IREFETIVO">'[2]Percentual de Impostos'!$G$10</definedName>
    <definedName name="Last_Row" localSheetId="0">IF(DRE!Values_Entered,[0]!Header_Row+[0]!Number_of_Payments,[0]!Header_Row)</definedName>
    <definedName name="Last_Row">IF(Values_Entered,Header_Row+Number_of_Payments,Header_Row)</definedName>
    <definedName name="LICENCIAMENTO">[9]Parâmetros!$C$9</definedName>
    <definedName name="limcount" hidden="1">1</definedName>
    <definedName name="Loan_Amount">'[16]Calculadora de empréstimo'!$E$4</definedName>
    <definedName name="Loan_Not_Paid" localSheetId="0">IF(DRE!Payment_Number&lt;=[0]!Number_of_Payments,1,0)</definedName>
    <definedName name="Loan_Not_Paid">IF(Payment_Number&lt;=Number_of_Payments,1,0)</definedName>
    <definedName name="Loan_Start">'[16]Calculadora de empréstimo'!$E$7</definedName>
    <definedName name="Loan_Years">'[16]Calculadora de empréstimo'!$E$6</definedName>
    <definedName name="LOJA" localSheetId="0">[8]Premissas!#REF!</definedName>
    <definedName name="LOJA">[8]Premissas!#REF!</definedName>
    <definedName name="Macro1" localSheetId="0">[18]!Macro1</definedName>
    <definedName name="Macro1">[18]!Macro1</definedName>
    <definedName name="Macro2" localSheetId="0">[18]!Macro2</definedName>
    <definedName name="Macro2">[18]!Macro2</definedName>
    <definedName name="Macro3" localSheetId="0">[18]!Macro3</definedName>
    <definedName name="Macro3">[18]!Macro3</definedName>
    <definedName name="Macro4" localSheetId="0">[18]!Macro4</definedName>
    <definedName name="Macro4">[18]!Macro4</definedName>
    <definedName name="MESES">[19]LISTAS!$B$3:$B$14</definedName>
    <definedName name="mesesano1">'[4]00- Premissas'!$C$36</definedName>
    <definedName name="mesesano2">'[4]00- Premissas'!$C$37</definedName>
    <definedName name="MINAS_FERTIL___INSUMOS_AGROPECUﾁRIOS_LTD" localSheetId="0">#REF!</definedName>
    <definedName name="MINAS_FERTIL___INSUMOS_AGROPECUﾁRIOS_LTD">#REF!</definedName>
    <definedName name="Modalidade">'[20]Contas a Receber Resumido'!$C$25:$C$27</definedName>
    <definedName name="mofev">'[21]Folha Pagto Orçado'!$B$26</definedName>
    <definedName name="mojan">'[21]Folha Pagto Orçado'!$B$11</definedName>
    <definedName name="novo" localSheetId="0">#REF!</definedName>
    <definedName name="novo">#REF!</definedName>
    <definedName name="Number_of_Payments">'[16]Calculadora de empréstimo'!$E$10</definedName>
    <definedName name="ok">'[22]Base de Dados'!$C$6:$C$27</definedName>
    <definedName name="other" localSheetId="0" hidden="1">{"FTSE44","COMPANIES",TRUE}</definedName>
    <definedName name="other" hidden="1">{"FTSE44","COMPANIES",TRUE}</definedName>
    <definedName name="other_1" localSheetId="0" hidden="1">{"FTSE44","COMPANIES",TRUE}</definedName>
    <definedName name="other_1" hidden="1">{"FTSE44","COMPANIES",TRUE}</definedName>
    <definedName name="other2" localSheetId="0" hidden="1">{"350FTSE44","COMPANIES",TRUE}</definedName>
    <definedName name="other2" hidden="1">{"350FTSE44","COMPANIES",TRUE}</definedName>
    <definedName name="other2_1" localSheetId="0" hidden="1">{"350FTSE44","COMPANIES",TRUE}</definedName>
    <definedName name="other2_1" hidden="1">{"350FTSE44","COMPANIES",TRUE}</definedName>
    <definedName name="Payment_Number" localSheetId="0">ROW()-[0]!Header_Row</definedName>
    <definedName name="Payment_Number">ROW()-Header_Row</definedName>
    <definedName name="pgto" localSheetId="0">#REF!</definedName>
    <definedName name="pgto">#REF!</definedName>
    <definedName name="PIS">'[2]Percentual de Impostos'!$D$7</definedName>
    <definedName name="portadores" localSheetId="0">[8]Premissas!#REF!</definedName>
    <definedName name="portadores">#REF!</definedName>
    <definedName name="ppp" localSheetId="0" hidden="1">#REF!</definedName>
    <definedName name="ppp" hidden="1">#REF!</definedName>
    <definedName name="precosdevenda" localSheetId="0">#REF!</definedName>
    <definedName name="precosdevenda">#REF!</definedName>
    <definedName name="PROV13" localSheetId="0">'[23]Impostos e Provisões'!$I$5</definedName>
    <definedName name="PROV13">'[15]Provisões Trabalhistas'!$J$6</definedName>
    <definedName name="PROV13_REAL" localSheetId="0">#REF!</definedName>
    <definedName name="PROV13_REAL">#REF!</definedName>
    <definedName name="PROV13_SIMPLES" localSheetId="0">#REF!</definedName>
    <definedName name="PROV13_SIMPLES">#REF!</definedName>
    <definedName name="PROVFERIAS" localSheetId="0">'[23]Impostos e Provisões'!$I$6</definedName>
    <definedName name="PROVFERIAS">'[15]Provisões Trabalhistas'!$J$7</definedName>
    <definedName name="PROVFERIAS_REAL" localSheetId="0">#REF!</definedName>
    <definedName name="PROVFERIAS_REAL">#REF!</definedName>
    <definedName name="PROVFERIAS_SIMPLES" localSheetId="0">#REF!</definedName>
    <definedName name="PROVFERIAS_SIMPLES">#REF!</definedName>
    <definedName name="Publicidade">'[4]00- Premissas'!$C$21</definedName>
    <definedName name="qqq" localSheetId="0" hidden="1">{#N/A,#N/A,FALSE,"cpt"}</definedName>
    <definedName name="qqq" hidden="1">{#N/A,#N/A,FALSE,"cpt"}</definedName>
    <definedName name="qqq_1" localSheetId="0" hidden="1">{#N/A,#N/A,FALSE,"cpt"}</definedName>
    <definedName name="qqq_1" hidden="1">{#N/A,#N/A,FALSE,"cpt"}</definedName>
    <definedName name="RangeChange" hidden="1">#N/A</definedName>
    <definedName name="rcbto" localSheetId="0">#REF!</definedName>
    <definedName name="rcbto">#REF!</definedName>
    <definedName name="Recebimento" localSheetId="0">#REF!</definedName>
    <definedName name="Recebimento">#REF!</definedName>
    <definedName name="RECEBIMENTOS">[5]Realizado!$B$4:$B$10</definedName>
    <definedName name="receitas" localSheetId="0">[8]Premissas!#REF!</definedName>
    <definedName name="receitas">#REF!</definedName>
    <definedName name="SAIDAS" localSheetId="0">#REF!</definedName>
    <definedName name="SAIDAS">#REF!</definedName>
    <definedName name="sencount" hidden="1">1</definedName>
    <definedName name="serasa">'[4]00- Premissas'!$C$23</definedName>
    <definedName name="simples">'[24]Simples Nacional'!$Y$9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hs2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106.196</definedName>
    <definedName name="Sompther" localSheetId="0" hidden="1">{#N/A,#N/A,FALSE,"Aging Summary";#N/A,#N/A,FALSE,"Ratio Analysis";#N/A,#N/A,FALSE,"Test 120 Day Accts";#N/A,#N/A,FALSE,"Tickmarks"}</definedName>
    <definedName name="Sompther" hidden="1">{#N/A,#N/A,FALSE,"Aging Summary";#N/A,#N/A,FALSE,"Ratio Analysis";#N/A,#N/A,FALSE,"Test 120 Day Accts";#N/A,#N/A,FALSE,"Tickmarks"}</definedName>
    <definedName name="Sompther_1" localSheetId="0" hidden="1">{#N/A,#N/A,FALSE,"Aging Summary";#N/A,#N/A,FALSE,"Ratio Analysis";#N/A,#N/A,FALSE,"Test 120 Day Accts";#N/A,#N/A,FALSE,"Tickmarks"}</definedName>
    <definedName name="Sompther_1" hidden="1">{#N/A,#N/A,FALSE,"Aging Summary";#N/A,#N/A,FALSE,"Ratio Analysis";#N/A,#N/A,FALSE,"Test 120 Day Accts";#N/A,#N/A,FALSE,"Tickmarks"}</definedName>
    <definedName name="ss" localSheetId="0" hidden="1">#REF!</definedName>
    <definedName name="ss" hidden="1">#REF!</definedName>
    <definedName name="sss" localSheetId="0">#REF!</definedName>
    <definedName name="sss">#REF!</definedName>
    <definedName name="sumtijdschriften" localSheetId="0" hidden="1">{#N/A,#N/A,FALSE,"Aging Summary";#N/A,#N/A,FALSE,"Ratio Analysis";#N/A,#N/A,FALSE,"Test 120 Day Accts";#N/A,#N/A,FALSE,"Tickmarks"}</definedName>
    <definedName name="sumtijdschriften" hidden="1">{#N/A,#N/A,FALSE,"Aging Summary";#N/A,#N/A,FALSE,"Ratio Analysis";#N/A,#N/A,FALSE,"Test 120 Day Accts";#N/A,#N/A,FALSE,"Tickmarks"}</definedName>
    <definedName name="sumtijdschriften_1" localSheetId="0" hidden="1">{#N/A,#N/A,FALSE,"Aging Summary";#N/A,#N/A,FALSE,"Ratio Analysis";#N/A,#N/A,FALSE,"Test 120 Day Accts";#N/A,#N/A,FALSE,"Tickmarks"}</definedName>
    <definedName name="sumtijdschriften_1" hidden="1">{#N/A,#N/A,FALSE,"Aging Summary";#N/A,#N/A,FALSE,"Ratio Analysis";#N/A,#N/A,FALSE,"Test 120 Day Accts";#N/A,#N/A,FALSE,"Tickmarks"}</definedName>
    <definedName name="taxaefetiva">'[25]Percentual Descontos'!$G$5</definedName>
    <definedName name="TAXAREMCAPITAL">[9]Parâmetros!$C$11</definedName>
    <definedName name="TAXAVISTTAC">[9]Parâmetros!$C$8</definedName>
    <definedName name="telecheque">'[4]00- Premissas'!$C$24</definedName>
    <definedName name="terceirizações">'[4]00- Premissas'!$C$17</definedName>
    <definedName name="TIPODESPESAS" localSheetId="0">#REF!</definedName>
    <definedName name="TIPODESPESAS">#REF!</definedName>
    <definedName name="tipos" localSheetId="0">[8]Premissas!#REF!</definedName>
    <definedName name="tipos">#REF!</definedName>
    <definedName name="treinador">'[4]00- Premissas'!$C$22</definedName>
    <definedName name="tttt" localSheetId="0">#REF!</definedName>
    <definedName name="tttt">#REF!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Wallace" localSheetId="0" hidden="1">{"Cover",#N/A,FALSE,"Cover";"Summary",#N/A,FALSE,"Summarpage"}</definedName>
    <definedName name="Wallace" hidden="1">{"Cover",#N/A,FALSE,"Cover";"Summary",#N/A,FALSE,"Summarpage"}</definedName>
    <definedName name="Wallace_1" localSheetId="0" hidden="1">{"Cover",#N/A,FALSE,"Cover";"Summary",#N/A,FALSE,"Summarpage"}</definedName>
    <definedName name="Wallace_1" hidden="1">{"Cover",#N/A,FALSE,"Cover";"Summary",#N/A,FALSE,"Summarpage"}</definedName>
    <definedName name="Wallace1" localSheetId="0" hidden="1">{"Data Entry",#N/A,FALSE,"COMPTEMP";"Ratios",#N/A,FALSE,"COMPTEMP";"Aggregate Values",#N/A,FALSE,"COMPTEMP";"Equity Multiples",#N/A,FALSE,"COMPTEMP";"Summary Overview",#N/A,FALSE,"COMPTEMP"}</definedName>
    <definedName name="Wallace1" hidden="1">{"Data Entry",#N/A,FALSE,"COMPTEMP";"Ratios",#N/A,FALSE,"COMPTEMP";"Aggregate Values",#N/A,FALSE,"COMPTEMP";"Equity Multiples",#N/A,FALSE,"COMPTEMP";"Summary Overview",#N/A,FALSE,"COMPTEMP"}</definedName>
    <definedName name="Wallace1_1" localSheetId="0" hidden="1">{"Data Entry",#N/A,FALSE,"COMPTEMP";"Ratios",#N/A,FALSE,"COMPTEMP";"Aggregate Values",#N/A,FALSE,"COMPTEMP";"Equity Multiples",#N/A,FALSE,"COMPTEMP";"Summary Overview",#N/A,FALSE,"COMPTEMP"}</definedName>
    <definedName name="Wallace1_1" hidden="1">{"Data Entry",#N/A,FALSE,"COMPTEMP";"Ratios",#N/A,FALSE,"COMPTEMP";"Aggregate Values",#N/A,FALSE,"COMPTEMP";"Equity Multiples",#N/A,FALSE,"COMPTEMP";"Summary Overview",#N/A,FALSE,"COMPTEMP"}</definedName>
    <definedName name="wer" localSheetId="0" hidden="1">{#N/A,#N/A,FALSE,"Aging Summary";#N/A,#N/A,FALSE,"Ratio Analysis";#N/A,#N/A,FALSE,"Test 120 Day Accts";#N/A,#N/A,FALSE,"Tickmarks"}</definedName>
    <definedName name="wer" hidden="1">{#N/A,#N/A,FALSE,"Aging Summary";#N/A,#N/A,FALSE,"Ratio Analysis";#N/A,#N/A,FALSE,"Test 120 Day Accts";#N/A,#N/A,FALSE,"Tickmarks"}</definedName>
    <definedName name="wer_1" localSheetId="0" hidden="1">{#N/A,#N/A,FALSE,"Aging Summary";#N/A,#N/A,FALSE,"Ratio Analysis";#N/A,#N/A,FALSE,"Test 120 Day Accts";#N/A,#N/A,FALSE,"Tickmarks"}</definedName>
    <definedName name="wer_1" hidden="1">{#N/A,#N/A,FALSE,"Aging Summary";#N/A,#N/A,FALSE,"Ratio Analysis";#N/A,#N/A,FALSE,"Test 120 Day Accts";#N/A,#N/A,FALSE,"Tickmarks"}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_.pagers._1" localSheetId="0" hidden="1">{"Cover",#N/A,FALSE,"Cover";"Summary",#N/A,FALSE,"Summarpage"}</definedName>
    <definedName name="wrn.2._.pagers._1" hidden="1">{"Cover",#N/A,FALSE,"Cover";"Summary",#N/A,FALSE,"Summarpage"}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quisition_matrix._1" localSheetId="0" hidden="1">{"Acq_matrix",#N/A,FALSE,"Acquisition Matrix"}</definedName>
    <definedName name="wrn.Acquisition_matrix._1" hidden="1">{"Acq_matrix",#N/A,FALSE,"Acquisition Matrix"}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0" hidden="1">{#N/A,#N/A,FALSE,"cpt"}</definedName>
    <definedName name="wrn.all." hidden="1">{#N/A,#N/A,FALSE,"cpt"}</definedName>
    <definedName name="wrn.All._.Sections." localSheetId="0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localSheetId="0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1" localSheetId="0" hidden="1">{#N/A,#N/A,FALSE,"cpt"}</definedName>
    <definedName name="wrn.all._1" hidden="1">{#N/A,#N/A,FALSE,"cpt"}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1" localSheetId="0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breakup.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CO._1" localSheetId="0" hidden="1">{"Page1",#N/A,FALSE,"CompCo";"Page2",#N/A,FALSE,"CompCo"}</definedName>
    <definedName name="wrn.COMPCO._1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1" localSheetId="0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Entire._.Model." localSheetId="0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localSheetId="0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localSheetId="0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JOGO_CONSOLIDADO.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JOGO_CONSOLIDADO._1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1" hidden="1">{#N/A,#N/A,TRUE,"Consolidado";#N/A,#N/A,TRUE,"Laticínios";#N/A,#N/A,TRUE,"Frangos";#N/A,#N/A,TRUE,"Suínos";#N/A,#N/A,TRUE,"Peru";#N/A,#N/A,TRUE,"Carnes";#N/A,#N/A,TRUE,"Suco";#N/A,#N/A,TRUE,"Batata"}</definedName>
    <definedName name="wrn.Print." localSheetId="0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Report." localSheetId="0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1" localSheetId="0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1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1" localSheetId="0" hidden="1">{"vi1",#N/A,FALSE,"Financial Statements";"vi2",#N/A,FALSE,"Financial Statements";#N/A,#N/A,FALSE,"DCF"}</definedName>
    <definedName name="wrn.Print._1" hidden="1">{"vi1",#N/A,FALSE,"Financial Statements";"vi2",#N/A,FALSE,"Financial Statements";#N/A,#N/A,FALSE,"DCF"}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All._1" localSheetId="0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0" hidden="1">{"Pulp Production",#N/A,FALSE,"Pulp";"Pulp Earnings",#N/A,FALSE,"Pulp"}</definedName>
    <definedName name="wrn.Pulp._1" hidden="1">{"Pulp Production",#N/A,FALSE,"Pulp";"Pulp Earnings",#N/A,FALSE,"Pulp"}</definedName>
    <definedName name="wrn.Report.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1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1" localSheetId="0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HORT." localSheetId="0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1" localSheetId="0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1" localSheetId="0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odo." localSheetId="0" hidden="1">{"Caja",#N/A,TRUE,"P&amp;G BG";"PyG",#N/A,TRUE,"P&amp;G BG";"Balance",#N/A,TRUE,"P&amp;G BG"}</definedName>
    <definedName name="wrn.todo." hidden="1">{"Caja",#N/A,TRUE,"P&amp;G BG";"PyG",#N/A,TRUE,"P&amp;G BG";"Balance",#N/A,TRUE,"P&amp;G BG"}</definedName>
    <definedName name="wrn.todo._1" localSheetId="0" hidden="1">{"Caja",#N/A,TRUE,"P&amp;G BG";"PyG",#N/A,TRUE,"P&amp;G BG";"Balance",#N/A,TRUE,"P&amp;G BG"}</definedName>
    <definedName name="wrn.todo._1" hidden="1">{"Caja",#N/A,TRUE,"P&amp;G BG";"PyG",#N/A,TRUE,"P&amp;G BG";"Balance",#N/A,TRUE,"P&amp;G BG"}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acc._1" localSheetId="0" hidden="1">{"Area1",#N/A,FALSE,"OREWACC";"Area2",#N/A,FALSE,"OREWACC"}</definedName>
    <definedName name="wrn.Wacc._1" hidden="1">{"Area1",#N/A,FALSE,"OREWACC";"Area2",#N/A,FALSE,"OREWACC"}</definedName>
    <definedName name="wwq" localSheetId="0" hidden="1">{#N/A,#N/A,FALSE,"Aging Summary";#N/A,#N/A,FALSE,"Ratio Analysis";#N/A,#N/A,FALSE,"Test 120 Day Accts";#N/A,#N/A,FALSE,"Tickmarks"}</definedName>
    <definedName name="wwq" hidden="1">{#N/A,#N/A,FALSE,"Aging Summary";#N/A,#N/A,FALSE,"Ratio Analysis";#N/A,#N/A,FALSE,"Test 120 Day Accts";#N/A,#N/A,FALSE,"Tickmarks"}</definedName>
    <definedName name="wwq_1" localSheetId="0" hidden="1">{#N/A,#N/A,FALSE,"Aging Summary";#N/A,#N/A,FALSE,"Ratio Analysis";#N/A,#N/A,FALSE,"Test 120 Day Accts";#N/A,#N/A,FALSE,"Tickmarks"}</definedName>
    <definedName name="wwq_1" hidden="1">{#N/A,#N/A,FALSE,"Aging Summary";#N/A,#N/A,FALSE,"Ratio Analysis";#N/A,#N/A,FALSE,"Test 120 Day Accts";#N/A,#N/A,FALSE,"Tickmarks"}</definedName>
    <definedName name="www" localSheetId="0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_1" localSheetId="0" hidden="1">{#N/A,#N/A,FALSE,"Aging Summary";#N/A,#N/A,FALSE,"Ratio Analysis";#N/A,#N/A,FALSE,"Test 120 Day Accts";#N/A,#N/A,FALSE,"Tickmarks"}</definedName>
    <definedName name="www_1" hidden="1">{#N/A,#N/A,FALSE,"Aging Summary";#N/A,#N/A,FALSE,"Ratio Analysis";#N/A,#N/A,FALSE,"Test 120 Day Accts";#N/A,#N/A,FALSE,"Tickmarks"}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localSheetId="0" hidden="1">[26]Investimentos!#REF!</definedName>
    <definedName name="XREF_COLUMN_15" hidden="1">[26]Investimentos!#REF!</definedName>
    <definedName name="XREF_COLUMN_19" localSheetId="0" hidden="1">[26]Investimentos!#REF!</definedName>
    <definedName name="XREF_COLUMN_19" hidden="1">[26]Investimentos!#REF!</definedName>
    <definedName name="XREF_COLUMN_2" localSheetId="0" hidden="1">[27]Lead!#REF!</definedName>
    <definedName name="XREF_COLUMN_2" hidden="1">[27]Lead!#REF!</definedName>
    <definedName name="XREF_COLUMN_20" localSheetId="0" hidden="1">#REF!</definedName>
    <definedName name="XREF_COLUMN_20" hidden="1">#REF!</definedName>
    <definedName name="XREF_COLUMN_21" localSheetId="0" hidden="1">[26]Investimentos!#REF!</definedName>
    <definedName name="XREF_COLUMN_21" hidden="1">[26]Investimentos!#REF!</definedName>
    <definedName name="XREF_COLUMN_22" localSheetId="0" hidden="1">#REF!</definedName>
    <definedName name="XREF_COLUMN_22" hidden="1">#REF!</definedName>
    <definedName name="XREF_COLUMN_3" localSheetId="0" hidden="1">#REF!</definedName>
    <definedName name="XREF_COLUMN_3" hidden="1">#REF!</definedName>
    <definedName name="XREF_COLUMN_5" localSheetId="0" hidden="1">#REF!</definedName>
    <definedName name="XREF_COLUMN_5" hidden="1">#REF!</definedName>
    <definedName name="XREF_COLUMN_6" localSheetId="0" hidden="1">[26]Investimentos!#REF!</definedName>
    <definedName name="XREF_COLUMN_6" hidden="1">[26]Investimentos!#REF!</definedName>
    <definedName name="XREF_COLUMN_7" localSheetId="0" hidden="1">#REF!</definedName>
    <definedName name="XREF_COLUMN_7" hidden="1">#REF!</definedName>
    <definedName name="XREF_COLUMN_8" localSheetId="0" hidden="1">[26]Investimentos!#REF!</definedName>
    <definedName name="XREF_COLUMN_8" hidden="1">[26]Investimentos!#REF!</definedName>
    <definedName name="XRefColumnsCount" hidden="1">2</definedName>
    <definedName name="XRefCopy10Row" localSheetId="0" hidden="1">#REF!</definedName>
    <definedName name="XRefCopy10Row" hidden="1">#REF!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Row" localSheetId="0" hidden="1">#REF!</definedName>
    <definedName name="XRefCopy14Row" hidden="1">#REF!</definedName>
    <definedName name="XRefCopy15Row" localSheetId="0" hidden="1">#REF!</definedName>
    <definedName name="XRefCopy15Row" hidden="1">#REF!</definedName>
    <definedName name="XRefCopy16Row" localSheetId="0" hidden="1">#REF!</definedName>
    <definedName name="XRefCopy16Row" hidden="1">#REF!</definedName>
    <definedName name="XRefCopy17Row" localSheetId="0" hidden="1">#REF!</definedName>
    <definedName name="XRefCopy17Row" hidden="1">#REF!</definedName>
    <definedName name="XRefCopy1Row" localSheetId="0" hidden="1">#REF!</definedName>
    <definedName name="XRefCopy1Row" hidden="1">#REF!</definedName>
    <definedName name="XRefCopy2" localSheetId="0" hidden="1">[28]DeprecOut!#REF!</definedName>
    <definedName name="XRefCopy2" hidden="1">[28]DeprecOut!#REF!</definedName>
    <definedName name="XRefCopy27" localSheetId="0" hidden="1">[29]AFinanc!#REF!</definedName>
    <definedName name="XRefCopy27" hidden="1">[29]AFinanc!#REF!</definedName>
    <definedName name="XRefCopy2Row" localSheetId="0" hidden="1">[28]XREF!#REF!</definedName>
    <definedName name="XRefCopy2Row" hidden="1">[28]XREF!#REF!</definedName>
    <definedName name="XRefCopy3Row" localSheetId="0" hidden="1">#REF!</definedName>
    <definedName name="XRefCopy3Row" hidden="1">#REF!</definedName>
    <definedName name="XRefCopy7" localSheetId="0" hidden="1">#REF!</definedName>
    <definedName name="XRefCopy7" hidden="1">#REF!</definedName>
    <definedName name="XRefCopy8" localSheetId="0" hidden="1">#REF!</definedName>
    <definedName name="XRefCopy8" hidden="1">#REF!</definedName>
    <definedName name="XRefCopy9" localSheetId="0" hidden="1">[30]Draft!#REF!</definedName>
    <definedName name="XRefCopy9" hidden="1">[30]Draft!#REF!</definedName>
    <definedName name="XRefCopy9Row" localSheetId="0" hidden="1">#REF!</definedName>
    <definedName name="XRefCopy9Row" hidden="1">#REF!</definedName>
    <definedName name="XRefCopyRangeCount" hidden="1">3</definedName>
    <definedName name="XRefPaste10Row" localSheetId="0" hidden="1">#REF!</definedName>
    <definedName name="XRefPaste10Row" hidden="1">#REF!</definedName>
    <definedName name="XRefPaste11Row" localSheetId="0" hidden="1">#REF!</definedName>
    <definedName name="XRefPaste11Row" hidden="1">#REF!</definedName>
    <definedName name="XRefPaste12Row" localSheetId="0" hidden="1">#REF!</definedName>
    <definedName name="XRefPaste12Row" hidden="1">#REF!</definedName>
    <definedName name="XRefPaste13Row" localSheetId="0" hidden="1">#REF!</definedName>
    <definedName name="XRefPaste13Row" hidden="1">#REF!</definedName>
    <definedName name="XRefPaste14Row" localSheetId="0" hidden="1">#REF!</definedName>
    <definedName name="XRefPaste14Row" hidden="1">#REF!</definedName>
    <definedName name="XRefPaste15Row" localSheetId="0" hidden="1">#REF!</definedName>
    <definedName name="XRefPaste15Row" hidden="1">#REF!</definedName>
    <definedName name="XRefPaste16Row" localSheetId="0" hidden="1">#REF!</definedName>
    <definedName name="XRefPaste16Row" hidden="1">#REF!</definedName>
    <definedName name="XRefPaste17Row" localSheetId="0" hidden="1">#REF!</definedName>
    <definedName name="XRefPaste17Row" hidden="1">#REF!</definedName>
    <definedName name="XRefPaste18Row" localSheetId="0" hidden="1">#REF!</definedName>
    <definedName name="XRefPaste18Row" hidden="1">#REF!</definedName>
    <definedName name="XRefPaste19Row" localSheetId="0" hidden="1">#REF!</definedName>
    <definedName name="XRefPaste19Row" hidden="1">#REF!</definedName>
    <definedName name="XRefPaste2" localSheetId="0" hidden="1">[27]Lead!#REF!</definedName>
    <definedName name="XRefPaste2" hidden="1">[27]Lead!#REF!</definedName>
    <definedName name="XRefPaste21Row" localSheetId="0" hidden="1">#REF!</definedName>
    <definedName name="XRefPaste21Row" hidden="1">#REF!</definedName>
    <definedName name="XRefPaste22" localSheetId="0" hidden="1">#REF!</definedName>
    <definedName name="XRefPaste22" hidden="1">#REF!</definedName>
    <definedName name="XRefPaste23Row" localSheetId="0" hidden="1">#REF!</definedName>
    <definedName name="XRefPaste23Row" hidden="1">#REF!</definedName>
    <definedName name="XRefPaste25Row" localSheetId="0" hidden="1">#REF!</definedName>
    <definedName name="XRefPaste25Row" hidden="1">#REF!</definedName>
    <definedName name="XRefPaste26Row" localSheetId="0" hidden="1">#REF!</definedName>
    <definedName name="XRefPaste26Row" hidden="1">#REF!</definedName>
    <definedName name="XRefPaste27Row" localSheetId="0" hidden="1">#REF!</definedName>
    <definedName name="XRefPaste27Row" hidden="1">#REF!</definedName>
    <definedName name="XRefPaste28Row" localSheetId="0" hidden="1">#REF!</definedName>
    <definedName name="XRefPaste28Row" hidden="1">#REF!</definedName>
    <definedName name="XRefPaste29Row" localSheetId="0" hidden="1">#REF!</definedName>
    <definedName name="XRefPaste29Row" hidden="1">#REF!</definedName>
    <definedName name="XRefPaste30Row" localSheetId="0" hidden="1">#REF!</definedName>
    <definedName name="XRefPaste30Row" hidden="1">#REF!</definedName>
    <definedName name="XRefPaste31Row" localSheetId="0" hidden="1">#REF!</definedName>
    <definedName name="XRefPaste31Row" hidden="1">#REF!</definedName>
    <definedName name="XRefPaste32Row" localSheetId="0" hidden="1">#REF!</definedName>
    <definedName name="XRefPaste32Row" hidden="1">#REF!</definedName>
    <definedName name="XRefPaste33Row" localSheetId="0" hidden="1">#REF!</definedName>
    <definedName name="XRefPaste33Row" hidden="1">#REF!</definedName>
    <definedName name="XRefPaste34Row" localSheetId="0" hidden="1">#REF!</definedName>
    <definedName name="XRefPaste34Row" hidden="1">#REF!</definedName>
    <definedName name="XRefPaste35Row" localSheetId="0" hidden="1">#REF!</definedName>
    <definedName name="XRefPaste35Row" hidden="1">#REF!</definedName>
    <definedName name="XRefPaste5" localSheetId="0" hidden="1">#REF!</definedName>
    <definedName name="XRefPaste5" hidden="1">#REF!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Row" localSheetId="0" hidden="1">#REF!</definedName>
    <definedName name="XRefPaste6Row" hidden="1">#REF!</definedName>
    <definedName name="XRefPaste7Row" localSheetId="0" hidden="1">#REF!</definedName>
    <definedName name="XRefPaste7Row" hidden="1">#REF!</definedName>
    <definedName name="XRefPaste8Row" localSheetId="0" hidden="1">#REF!</definedName>
    <definedName name="XRefPaste8Row" hidden="1">#REF!</definedName>
    <definedName name="XRefPaste9Row" localSheetId="0" hidden="1">#REF!</definedName>
    <definedName name="XRefPaste9Row" hidden="1">#REF!</definedName>
    <definedName name="XRefPasteRangeCount" hidden="1">7</definedName>
  </definedNames>
  <calcPr calcId="191029"/>
  <customWorkbookViews>
    <customWorkbookView name="Usuário do Windows - Modo de exibição pessoal" guid="{A7713350-F813-4ADE-AD3B-2BE7FE1A0C57}" mergeInterval="0" personalView="1" maximized="1" xWindow="-8" yWindow="-8" windowWidth="1382" windowHeight="744" tabRatio="795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1" l="1"/>
  <c r="D6" i="101"/>
  <c r="D128" i="101"/>
  <c r="D127" i="101"/>
  <c r="D126" i="101"/>
  <c r="D125" i="101"/>
  <c r="D124" i="101"/>
  <c r="D123" i="101"/>
  <c r="D122" i="101"/>
  <c r="D121" i="101"/>
  <c r="D120" i="101"/>
  <c r="D119" i="101"/>
  <c r="D118" i="101"/>
  <c r="D113" i="101"/>
  <c r="D112" i="101"/>
  <c r="D111" i="101"/>
  <c r="D110" i="101"/>
  <c r="D109" i="101"/>
  <c r="D108" i="101"/>
  <c r="D102" i="101"/>
  <c r="D101" i="101"/>
  <c r="D100" i="101"/>
  <c r="D99" i="101"/>
  <c r="D98" i="101"/>
  <c r="D96" i="101"/>
  <c r="D95" i="101"/>
  <c r="D94" i="101"/>
  <c r="D93" i="101"/>
  <c r="D92" i="101"/>
  <c r="D91" i="101"/>
  <c r="D90" i="101"/>
  <c r="D88" i="101"/>
  <c r="D87" i="101"/>
  <c r="D86" i="101"/>
  <c r="D84" i="101"/>
  <c r="D83" i="101"/>
  <c r="D82" i="101"/>
  <c r="D81" i="101"/>
  <c r="D80" i="101"/>
  <c r="D79" i="101"/>
  <c r="D78" i="101"/>
  <c r="D77" i="101"/>
  <c r="D76" i="101"/>
  <c r="D75" i="101"/>
  <c r="D74" i="101"/>
  <c r="D73" i="101"/>
  <c r="D72" i="101"/>
  <c r="D71" i="101"/>
  <c r="D69" i="101"/>
  <c r="D68" i="101"/>
  <c r="D67" i="101"/>
  <c r="D66" i="101"/>
  <c r="D65" i="101"/>
  <c r="D64" i="101"/>
  <c r="D63" i="101"/>
  <c r="D62" i="101"/>
  <c r="D61" i="101"/>
  <c r="D60" i="101"/>
  <c r="D59" i="101"/>
  <c r="D58" i="101"/>
  <c r="D57" i="101"/>
  <c r="D56" i="101"/>
  <c r="D55" i="101"/>
  <c r="D54" i="101"/>
  <c r="D53" i="101"/>
  <c r="D52" i="101"/>
  <c r="D51" i="101"/>
  <c r="D50" i="101"/>
  <c r="D49" i="101"/>
  <c r="D48" i="101"/>
  <c r="D47" i="101"/>
  <c r="D46" i="101"/>
  <c r="D39" i="101"/>
  <c r="D38" i="101"/>
  <c r="D37" i="101"/>
  <c r="D36" i="101"/>
  <c r="D30" i="101"/>
  <c r="D29" i="101"/>
  <c r="D28" i="101"/>
  <c r="D27" i="101"/>
  <c r="D26" i="101"/>
  <c r="D25" i="101"/>
  <c r="D12" i="101"/>
  <c r="D13" i="101"/>
  <c r="D14" i="101"/>
  <c r="D15" i="101"/>
  <c r="D16" i="101"/>
  <c r="D17" i="101"/>
  <c r="D18" i="101"/>
  <c r="D19" i="101"/>
  <c r="D11" i="101"/>
  <c r="D7" i="101"/>
  <c r="D97" i="101" l="1"/>
  <c r="D10" i="101" l="1"/>
  <c r="D35" i="101" l="1"/>
  <c r="D24" i="101"/>
  <c r="D70" i="101"/>
  <c r="D45" i="101"/>
  <c r="D85" i="101"/>
  <c r="D117" i="101"/>
  <c r="D5" i="101"/>
  <c r="E126" i="101" s="1"/>
  <c r="D107" i="101"/>
  <c r="D89" i="101"/>
  <c r="E67" i="101" l="1"/>
  <c r="E37" i="101"/>
  <c r="E81" i="101"/>
  <c r="E99" i="101"/>
  <c r="E101" i="101"/>
  <c r="E97" i="101"/>
  <c r="E100" i="101"/>
  <c r="E102" i="101"/>
  <c r="E98" i="101"/>
  <c r="E6" i="101"/>
  <c r="E96" i="101"/>
  <c r="E55" i="101"/>
  <c r="E60" i="101"/>
  <c r="E66" i="101"/>
  <c r="E62" i="101"/>
  <c r="E59" i="101"/>
  <c r="E46" i="101"/>
  <c r="E52" i="101"/>
  <c r="E54" i="101"/>
  <c r="E57" i="101"/>
  <c r="E56" i="101"/>
  <c r="E69" i="101"/>
  <c r="E63" i="101"/>
  <c r="E50" i="101"/>
  <c r="E48" i="101"/>
  <c r="E49" i="101"/>
  <c r="E53" i="101"/>
  <c r="E58" i="101"/>
  <c r="E51" i="101"/>
  <c r="E61" i="101"/>
  <c r="E64" i="101"/>
  <c r="E65" i="101"/>
  <c r="E68" i="101"/>
  <c r="E47" i="101"/>
  <c r="E79" i="101"/>
  <c r="E78" i="101"/>
  <c r="E92" i="101"/>
  <c r="E88" i="101"/>
  <c r="E84" i="101"/>
  <c r="E18" i="101"/>
  <c r="E27" i="101"/>
  <c r="E7" i="101"/>
  <c r="E82" i="101"/>
  <c r="E30" i="101"/>
  <c r="E122" i="101"/>
  <c r="E86" i="101"/>
  <c r="E39" i="101"/>
  <c r="E19" i="101"/>
  <c r="E75" i="101"/>
  <c r="E70" i="101"/>
  <c r="E85" i="101"/>
  <c r="E89" i="101"/>
  <c r="E107" i="101"/>
  <c r="D106" i="101"/>
  <c r="E26" i="101"/>
  <c r="E77" i="101"/>
  <c r="E119" i="101"/>
  <c r="E124" i="101"/>
  <c r="E14" i="101"/>
  <c r="E38" i="101"/>
  <c r="E91" i="101"/>
  <c r="E127" i="101"/>
  <c r="E120" i="101"/>
  <c r="E111" i="101"/>
  <c r="E128" i="101"/>
  <c r="E72" i="101"/>
  <c r="E109" i="101"/>
  <c r="E112" i="101"/>
  <c r="E17" i="101"/>
  <c r="E95" i="101"/>
  <c r="E16" i="101"/>
  <c r="E36" i="101"/>
  <c r="E90" i="101"/>
  <c r="E108" i="101"/>
  <c r="E83" i="101"/>
  <c r="E113" i="101"/>
  <c r="E25" i="101"/>
  <c r="E76" i="101"/>
  <c r="E110" i="101"/>
  <c r="E118" i="101"/>
  <c r="E5" i="101"/>
  <c r="E11" i="101"/>
  <c r="E123" i="101"/>
  <c r="E12" i="101"/>
  <c r="E28" i="101"/>
  <c r="E71" i="101"/>
  <c r="E93" i="101"/>
  <c r="E74" i="101"/>
  <c r="E80" i="101"/>
  <c r="E94" i="101"/>
  <c r="E87" i="101"/>
  <c r="E73" i="101"/>
  <c r="E125" i="101"/>
  <c r="E13" i="101"/>
  <c r="E10" i="101"/>
  <c r="E15" i="101"/>
  <c r="D9" i="101"/>
  <c r="D21" i="101" s="1"/>
  <c r="D34" i="101"/>
  <c r="E34" i="101" s="1"/>
  <c r="E35" i="101"/>
  <c r="E121" i="101"/>
  <c r="D44" i="101"/>
  <c r="E45" i="101"/>
  <c r="E117" i="101"/>
  <c r="E24" i="101"/>
  <c r="D23" i="101"/>
  <c r="E29" i="101"/>
  <c r="E21" i="101" l="1"/>
  <c r="D32" i="101"/>
  <c r="E44" i="101"/>
  <c r="E106" i="101"/>
  <c r="E9" i="101"/>
  <c r="E23" i="101"/>
  <c r="E32" i="101" l="1"/>
  <c r="D42" i="101"/>
  <c r="D104" i="101" l="1"/>
  <c r="E42" i="101"/>
  <c r="D115" i="101" l="1"/>
  <c r="E104" i="101"/>
  <c r="D130" i="101" l="1"/>
  <c r="E130" i="101" s="1"/>
  <c r="E115" i="10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G1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CONFERIDO ATE OP21004/2698</t>
        </r>
      </text>
    </comment>
  </commentList>
</comments>
</file>

<file path=xl/sharedStrings.xml><?xml version="1.0" encoding="utf-8"?>
<sst xmlns="http://schemas.openxmlformats.org/spreadsheetml/2006/main" count="260" uniqueCount="153">
  <si>
    <t>(-) Taxa Administração Cartão Débito Ou Crédito</t>
  </si>
  <si>
    <t>(-) 13 Salario</t>
  </si>
  <si>
    <t>(-) Férias</t>
  </si>
  <si>
    <t>(-) Internet</t>
  </si>
  <si>
    <t>(-) Marketing E Propaganda</t>
  </si>
  <si>
    <t>(-) Salários Dos Funcionários</t>
  </si>
  <si>
    <t>(-) Maquinas E Equipamentos</t>
  </si>
  <si>
    <t>(-) Equipamentos De Informática</t>
  </si>
  <si>
    <t>(-) Despesas Bancárias</t>
  </si>
  <si>
    <t>(-) Comissões Dos Vendedores</t>
  </si>
  <si>
    <t>(-) Custos Da Mão-de-obra Direta</t>
  </si>
  <si>
    <t>(-) Lanches E Refeições</t>
  </si>
  <si>
    <t>(-) Plano De Saúde</t>
  </si>
  <si>
    <t>(-) Contador</t>
  </si>
  <si>
    <t>(-) Aluguel</t>
  </si>
  <si>
    <t>(-) Correio</t>
  </si>
  <si>
    <t>(-) Material De Limpeza</t>
  </si>
  <si>
    <t>(-) Brindes / Prêmios</t>
  </si>
  <si>
    <t>(-) Consultorias</t>
  </si>
  <si>
    <t>(-) Material De Escritório</t>
  </si>
  <si>
    <t>(-) Mensalidade De Software</t>
  </si>
  <si>
    <t>(-) Água E Esgoto</t>
  </si>
  <si>
    <t>(-) Energia Elétrica</t>
  </si>
  <si>
    <t>(-) Anestesista</t>
  </si>
  <si>
    <t>(-) Monitoramento E Segurança</t>
  </si>
  <si>
    <t>(-) Impressos E Materiais Gráficos</t>
  </si>
  <si>
    <t>(-) Impostos E Taxas</t>
  </si>
  <si>
    <t>(-) Cartórios E Protestos</t>
  </si>
  <si>
    <t>(-) Jornais E Revistas</t>
  </si>
  <si>
    <t>(-) Gps Inss</t>
  </si>
  <si>
    <t>(-) Darf Cofins</t>
  </si>
  <si>
    <t>(-) Confraternizações</t>
  </si>
  <si>
    <t xml:space="preserve">(-) Fgts </t>
  </si>
  <si>
    <t>(-) Manutenção De Instalações</t>
  </si>
  <si>
    <t>(-) Uniformes</t>
  </si>
  <si>
    <t>(-) Material De Consumo</t>
  </si>
  <si>
    <t>(-) Vale Alimentação</t>
  </si>
  <si>
    <t>(-) Seguros</t>
  </si>
  <si>
    <t>(-) Juros Sobre Descontos Cheques/duplicatas/cartões</t>
  </si>
  <si>
    <t>(-) Rescisões</t>
  </si>
  <si>
    <t>(-) Manutenção De Equipamentos</t>
  </si>
  <si>
    <t>(-) Benfeitoria Em Imóveis De Terceiros</t>
  </si>
  <si>
    <t>(-) Gastos Gerais Nos Serviços</t>
  </si>
  <si>
    <t>(-) Farmácia / Medicamentos</t>
  </si>
  <si>
    <t>(-) Custos Dos Materiais</t>
  </si>
  <si>
    <t>(-) Cursos E Treinamentos</t>
  </si>
  <si>
    <t>(-) Despesas Administrativas</t>
  </si>
  <si>
    <t>(-) Móveis E Utensílios</t>
  </si>
  <si>
    <t>(-) Honorários De Advogados</t>
  </si>
  <si>
    <t>Mês</t>
  </si>
  <si>
    <t>%</t>
  </si>
  <si>
    <t>Ano</t>
  </si>
  <si>
    <t>RECEITA OPERACIONAL BRUTA</t>
  </si>
  <si>
    <t>(-) DEDUÇÕES</t>
  </si>
  <si>
    <t>Devoluções e Cancelamentos</t>
  </si>
  <si>
    <t>(-) Cheques Devolvidos</t>
  </si>
  <si>
    <t>(-) Créditos Perdidos</t>
  </si>
  <si>
    <t>(-) Cancelamento de Vendas</t>
  </si>
  <si>
    <t>Impostos</t>
  </si>
  <si>
    <t>(-) Darf Pis</t>
  </si>
  <si>
    <t>(-) Das Simples Nacional</t>
  </si>
  <si>
    <t>(-) Issqn Prefeitura</t>
  </si>
  <si>
    <t>RECEITA OPERACIONAL LÍQUIDA</t>
  </si>
  <si>
    <t>(-) CUSTOS</t>
  </si>
  <si>
    <t>(-) Fretes Sobre Compras</t>
  </si>
  <si>
    <t>LUCRO BRUTO</t>
  </si>
  <si>
    <t>(-) Despesas Variáveis</t>
  </si>
  <si>
    <t>(-) Despesas Comerciais</t>
  </si>
  <si>
    <t>MARGEM DE CONTRIBUIÇÃO</t>
  </si>
  <si>
    <t>(-) DESPESAS FIXAS</t>
  </si>
  <si>
    <t>(-) Combustível</t>
  </si>
  <si>
    <t>(-) Condomínio</t>
  </si>
  <si>
    <t>(-) Cópias E Fotocópias</t>
  </si>
  <si>
    <t>(-) Doações</t>
  </si>
  <si>
    <t>(-) Pró-labore Dos Sócios</t>
  </si>
  <si>
    <t>(-) Serviços De Terceiros</t>
  </si>
  <si>
    <t>(-) Despesas Com Pessoal</t>
  </si>
  <si>
    <t>(-) Exame Ocupacional</t>
  </si>
  <si>
    <t>(-) Horas Extras</t>
  </si>
  <si>
    <t>(-) Prêmios Por Produtividade (funcionários)</t>
  </si>
  <si>
    <t>(-) Vale Refeição</t>
  </si>
  <si>
    <t>(-) Vale Transporte</t>
  </si>
  <si>
    <t>(-) Ação Trabalhista</t>
  </si>
  <si>
    <t>(-) Compra De Epis/ Jalecos/ Instrumentais De Baixo Valor</t>
  </si>
  <si>
    <t>(-) Despesas Tributárias</t>
  </si>
  <si>
    <t>(-) Contribuições Sindicais</t>
  </si>
  <si>
    <t>(-) Darf Contribuição Social - Csll</t>
  </si>
  <si>
    <t>(-) Darf Imposto De Renda - Irpj</t>
  </si>
  <si>
    <t>(-) Darf Irrf Sobre Aluguel/salários/outros</t>
  </si>
  <si>
    <t>(-) Iof</t>
  </si>
  <si>
    <t>(-) Iptu</t>
  </si>
  <si>
    <t>(-) Ipva</t>
  </si>
  <si>
    <t>EBTIDA</t>
  </si>
  <si>
    <t>RESULTADO FINANCEIRO</t>
  </si>
  <si>
    <t>(-) Despesas Financeiras</t>
  </si>
  <si>
    <t>(-) Juros De Financiamentos</t>
  </si>
  <si>
    <t>(-) Juros Pagos A Fornecedores</t>
  </si>
  <si>
    <t>(-) Taxas De Boletos Bancários</t>
  </si>
  <si>
    <t>Receitas Financeiras</t>
  </si>
  <si>
    <t>Descontos Obtidos</t>
  </si>
  <si>
    <t>Juros De Aplicações Financeiras</t>
  </si>
  <si>
    <t>Juros/multas Recebidos</t>
  </si>
  <si>
    <t>LUCRO OPERACIONAL</t>
  </si>
  <si>
    <t>Extra Operacional</t>
  </si>
  <si>
    <t>(-) Imóveis</t>
  </si>
  <si>
    <t>(-) Terrenos</t>
  </si>
  <si>
    <t>(-) Consórcios Em Andamento</t>
  </si>
  <si>
    <t>(-) Veículos</t>
  </si>
  <si>
    <t>(-) Empréstimos De Capital De Giro</t>
  </si>
  <si>
    <t>(-) Financiamentos</t>
  </si>
  <si>
    <t>(-) Cotas De Empresas</t>
  </si>
  <si>
    <t>(-) Participação Em Cooperativas De Crédito</t>
  </si>
  <si>
    <t>(-) Retiradas De Lucro</t>
  </si>
  <si>
    <t>LUCRO LÍQUIDO</t>
  </si>
  <si>
    <t>Ponto de Equilíbrio Operacional (Sem Result. Financ.)</t>
  </si>
  <si>
    <t>Ponto de Equilíbrio Geral</t>
  </si>
  <si>
    <t>(-) Telefone Fixo</t>
  </si>
  <si>
    <t>Faturamento dos serviços prestados</t>
  </si>
  <si>
    <t>Outras receitas</t>
  </si>
  <si>
    <t>Aporte de capital</t>
  </si>
  <si>
    <t>Outras receitas da empresa</t>
  </si>
  <si>
    <t>(-) Telefone Celular</t>
  </si>
  <si>
    <t>(-) Devoluções a Clientes</t>
  </si>
  <si>
    <t>(-) Salários Dos Veterinários</t>
  </si>
  <si>
    <t>(-) Manutenção Equipamentos</t>
  </si>
  <si>
    <t>ITEM</t>
  </si>
  <si>
    <t>CENTRO CUSTO</t>
  </si>
  <si>
    <t xml:space="preserve"> </t>
  </si>
  <si>
    <t>l</t>
  </si>
  <si>
    <t>DEBITO</t>
  </si>
  <si>
    <t>CREDITO</t>
  </si>
  <si>
    <t>Grupo de conta</t>
  </si>
  <si>
    <t>D-C</t>
  </si>
  <si>
    <t>(-) Exames - Laboratório</t>
  </si>
  <si>
    <t>(-) Aplicações Financeiras</t>
  </si>
  <si>
    <t>(-) Serasa /scpc /associação Comercial / CRMV</t>
  </si>
  <si>
    <t>Recebimento dos serviços prestados</t>
  </si>
  <si>
    <t>Recebimento de Outras receitas</t>
  </si>
  <si>
    <t>data</t>
  </si>
  <si>
    <t>cob - CATEGORIA</t>
  </si>
  <si>
    <t>DESCRIÇÃO</t>
  </si>
  <si>
    <t>FORNECEDOR</t>
  </si>
  <si>
    <t>(-) Bonificação</t>
  </si>
  <si>
    <t>REALIZADO</t>
  </si>
  <si>
    <t>(-) Fundo Nacional de Propaganda</t>
  </si>
  <si>
    <t>(-) Compras De Materiais (consumo)</t>
  </si>
  <si>
    <t>(-) Compras De Materiais (revenda)</t>
  </si>
  <si>
    <t>(-) Estacionamento</t>
  </si>
  <si>
    <t>(-) Royalties</t>
  </si>
  <si>
    <t>(-) Taxa Antecipação de recebimento</t>
  </si>
  <si>
    <t xml:space="preserve">DRE </t>
  </si>
  <si>
    <t>Mês/Ano</t>
  </si>
  <si>
    <t>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</si>
</sst>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dd/mm/yy;@"/>
  </numFmts>
  <fonts count="3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8"/>
      <name val="Tahoma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name val="Tahoma"/>
      <family val="2"/>
    </font>
    <font>
      <b/>
      <sz val="9"/>
      <color rgb="FFFF0000"/>
      <name val="Tahoma"/>
      <family val="2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67955565050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6795556505021"/>
      </right>
      <top/>
      <bottom style="medium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14999847407452621"/>
      </bottom>
      <diagonal/>
    </border>
  </borders>
  <cellStyleXfs count="18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2" fillId="0" borderId="0"/>
  </cellStyleXfs>
  <cellXfs count="138">
    <xf numFmtId="0" fontId="0" fillId="0" borderId="0" xfId="0"/>
    <xf numFmtId="0" fontId="3" fillId="0" borderId="0" xfId="0" applyFont="1"/>
    <xf numFmtId="43" fontId="0" fillId="0" borderId="0" xfId="1" applyFont="1"/>
    <xf numFmtId="0" fontId="2" fillId="0" borderId="0" xfId="6"/>
    <xf numFmtId="0" fontId="9" fillId="0" borderId="0" xfId="6" applyFont="1" applyAlignment="1">
      <alignment vertical="center" wrapText="1"/>
    </xf>
    <xf numFmtId="167" fontId="12" fillId="2" borderId="0" xfId="8" applyNumberFormat="1" applyFont="1" applyFill="1" applyBorder="1" applyAlignment="1">
      <alignment horizontal="center" vertical="center"/>
    </xf>
    <xf numFmtId="0" fontId="13" fillId="2" borderId="3" xfId="6" applyFont="1" applyFill="1" applyBorder="1" applyAlignment="1">
      <alignment horizontal="left" vertical="center" indent="2"/>
    </xf>
    <xf numFmtId="167" fontId="14" fillId="2" borderId="5" xfId="8" applyNumberFormat="1" applyFont="1" applyFill="1" applyBorder="1" applyAlignment="1">
      <alignment horizontal="center" vertical="center"/>
    </xf>
    <xf numFmtId="0" fontId="10" fillId="5" borderId="7" xfId="6" applyFont="1" applyFill="1" applyBorder="1" applyAlignment="1">
      <alignment vertical="center"/>
    </xf>
    <xf numFmtId="167" fontId="11" fillId="5" borderId="5" xfId="8" applyNumberFormat="1" applyFont="1" applyFill="1" applyBorder="1" applyAlignment="1">
      <alignment horizontal="center" vertical="center"/>
    </xf>
    <xf numFmtId="0" fontId="13" fillId="0" borderId="7" xfId="6" applyFont="1" applyBorder="1" applyAlignment="1">
      <alignment horizontal="left" vertical="center" indent="3"/>
    </xf>
    <xf numFmtId="167" fontId="14" fillId="0" borderId="5" xfId="8" applyNumberFormat="1" applyFont="1" applyFill="1" applyBorder="1" applyAlignment="1">
      <alignment horizontal="center" vertical="center"/>
    </xf>
    <xf numFmtId="0" fontId="15" fillId="0" borderId="3" xfId="6" applyFont="1" applyBorder="1" applyAlignment="1">
      <alignment horizontal="left" vertical="center" indent="4"/>
    </xf>
    <xf numFmtId="167" fontId="16" fillId="0" borderId="5" xfId="8" applyNumberFormat="1" applyFont="1" applyFill="1" applyBorder="1" applyAlignment="1">
      <alignment horizontal="center" vertical="center"/>
    </xf>
    <xf numFmtId="167" fontId="14" fillId="0" borderId="4" xfId="8" applyNumberFormat="1" applyFont="1" applyFill="1" applyBorder="1" applyAlignment="1">
      <alignment horizontal="center" vertical="center"/>
    </xf>
    <xf numFmtId="167" fontId="11" fillId="6" borderId="5" xfId="8" applyNumberFormat="1" applyFont="1" applyFill="1" applyBorder="1" applyAlignment="1">
      <alignment horizontal="center" vertical="center"/>
    </xf>
    <xf numFmtId="0" fontId="13" fillId="0" borderId="7" xfId="6" applyFont="1" applyBorder="1" applyAlignment="1">
      <alignment horizontal="left" vertical="center" indent="2"/>
    </xf>
    <xf numFmtId="167" fontId="16" fillId="0" borderId="4" xfId="8" applyNumberFormat="1" applyFont="1" applyFill="1" applyBorder="1" applyAlignment="1">
      <alignment horizontal="center" vertical="center"/>
    </xf>
    <xf numFmtId="167" fontId="14" fillId="2" borderId="4" xfId="8" applyNumberFormat="1" applyFont="1" applyFill="1" applyBorder="1" applyAlignment="1">
      <alignment horizontal="center" vertical="center"/>
    </xf>
    <xf numFmtId="0" fontId="15" fillId="0" borderId="7" xfId="6" applyFont="1" applyBorder="1" applyAlignment="1">
      <alignment horizontal="left" vertical="center" indent="4"/>
    </xf>
    <xf numFmtId="0" fontId="10" fillId="7" borderId="7" xfId="6" applyFont="1" applyFill="1" applyBorder="1" applyAlignment="1">
      <alignment vertical="center"/>
    </xf>
    <xf numFmtId="167" fontId="11" fillId="7" borderId="5" xfId="8" applyNumberFormat="1" applyFont="1" applyFill="1" applyBorder="1" applyAlignment="1">
      <alignment horizontal="center" vertical="center"/>
    </xf>
    <xf numFmtId="167" fontId="11" fillId="8" borderId="2" xfId="8" applyNumberFormat="1" applyFont="1" applyFill="1" applyBorder="1" applyAlignment="1">
      <alignment horizontal="center" vertical="center"/>
    </xf>
    <xf numFmtId="0" fontId="10" fillId="8" borderId="3" xfId="6" applyFont="1" applyFill="1" applyBorder="1" applyAlignment="1">
      <alignment vertical="center"/>
    </xf>
    <xf numFmtId="167" fontId="11" fillId="8" borderId="4" xfId="8" applyNumberFormat="1" applyFont="1" applyFill="1" applyBorder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0" fontId="25" fillId="10" borderId="9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left" vertical="center"/>
    </xf>
    <xf numFmtId="165" fontId="25" fillId="10" borderId="9" xfId="0" applyNumberFormat="1" applyFont="1" applyFill="1" applyBorder="1" applyAlignment="1">
      <alignment horizontal="center" vertical="center"/>
    </xf>
    <xf numFmtId="2" fontId="25" fillId="9" borderId="9" xfId="0" applyNumberFormat="1" applyFont="1" applyFill="1" applyBorder="1" applyAlignment="1">
      <alignment horizontal="right" vertical="center"/>
    </xf>
    <xf numFmtId="2" fontId="23" fillId="9" borderId="9" xfId="0" applyNumberFormat="1" applyFont="1" applyFill="1" applyBorder="1" applyAlignment="1">
      <alignment horizontal="right" vertical="center"/>
    </xf>
    <xf numFmtId="0" fontId="18" fillId="0" borderId="0" xfId="0" applyFont="1"/>
    <xf numFmtId="1" fontId="18" fillId="0" borderId="0" xfId="0" applyNumberFormat="1" applyFont="1" applyAlignment="1">
      <alignment horizontal="left"/>
    </xf>
    <xf numFmtId="43" fontId="20" fillId="0" borderId="0" xfId="0" applyNumberFormat="1" applyFont="1" applyAlignment="1">
      <alignment vertical="center"/>
    </xf>
    <xf numFmtId="165" fontId="18" fillId="0" borderId="0" xfId="0" applyNumberFormat="1" applyFont="1" applyAlignment="1">
      <alignment horizontal="center" vertical="center"/>
    </xf>
    <xf numFmtId="41" fontId="18" fillId="0" borderId="0" xfId="0" applyNumberFormat="1" applyFont="1" applyAlignment="1">
      <alignment horizontal="left" vertical="center"/>
    </xf>
    <xf numFmtId="0" fontId="23" fillId="0" borderId="0" xfId="0" applyFont="1"/>
    <xf numFmtId="17" fontId="26" fillId="9" borderId="9" xfId="0" applyNumberFormat="1" applyFont="1" applyFill="1" applyBorder="1" applyAlignment="1">
      <alignment horizontal="left" vertical="center"/>
    </xf>
    <xf numFmtId="1" fontId="25" fillId="9" borderId="9" xfId="0" applyNumberFormat="1" applyFont="1" applyFill="1" applyBorder="1" applyAlignment="1">
      <alignment horizontal="left" vertical="center"/>
    </xf>
    <xf numFmtId="43" fontId="25" fillId="9" borderId="10" xfId="0" applyNumberFormat="1" applyFont="1" applyFill="1" applyBorder="1" applyAlignment="1">
      <alignment horizontal="center" vertical="center"/>
    </xf>
    <xf numFmtId="0" fontId="23" fillId="11" borderId="0" xfId="0" applyFont="1" applyFill="1"/>
    <xf numFmtId="0" fontId="25" fillId="11" borderId="0" xfId="0" applyFont="1" applyFill="1" applyAlignment="1">
      <alignment horizontal="left" vertical="center"/>
    </xf>
    <xf numFmtId="0" fontId="0" fillId="11" borderId="0" xfId="0" applyFill="1"/>
    <xf numFmtId="0" fontId="25" fillId="0" borderId="0" xfId="0" applyFont="1" applyAlignment="1">
      <alignment horizontal="center" vertical="center"/>
    </xf>
    <xf numFmtId="2" fontId="22" fillId="12" borderId="0" xfId="0" applyNumberFormat="1" applyFont="1" applyFill="1"/>
    <xf numFmtId="4" fontId="0" fillId="0" borderId="0" xfId="0" applyNumberFormat="1"/>
    <xf numFmtId="0" fontId="1" fillId="0" borderId="0" xfId="11"/>
    <xf numFmtId="168" fontId="19" fillId="9" borderId="9" xfId="0" applyNumberFormat="1" applyFont="1" applyFill="1" applyBorder="1" applyAlignment="1">
      <alignment horizontal="center" vertical="center"/>
    </xf>
    <xf numFmtId="164" fontId="0" fillId="0" borderId="0" xfId="1" applyNumberFormat="1" applyFont="1" applyFill="1"/>
    <xf numFmtId="164" fontId="1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4" fontId="0" fillId="0" borderId="0" xfId="0" applyNumberFormat="1"/>
    <xf numFmtId="43" fontId="0" fillId="0" borderId="0" xfId="1" applyFont="1" applyFill="1"/>
    <xf numFmtId="4" fontId="3" fillId="0" borderId="0" xfId="0" applyNumberFormat="1" applyFont="1"/>
    <xf numFmtId="0" fontId="0" fillId="4" borderId="0" xfId="0" applyFill="1"/>
    <xf numFmtId="2" fontId="4" fillId="12" borderId="0" xfId="0" applyNumberFormat="1" applyFont="1" applyFill="1"/>
    <xf numFmtId="0" fontId="28" fillId="0" borderId="0" xfId="5" quotePrefix="1" applyFont="1"/>
    <xf numFmtId="43" fontId="27" fillId="0" borderId="0" xfId="6" applyNumberFormat="1" applyFont="1" applyAlignment="1">
      <alignment horizontal="center" vertical="center" wrapText="1"/>
    </xf>
    <xf numFmtId="0" fontId="8" fillId="0" borderId="0" xfId="6" applyFont="1"/>
    <xf numFmtId="0" fontId="27" fillId="0" borderId="0" xfId="6" applyFont="1" applyAlignment="1">
      <alignment horizontal="center" vertical="center" wrapText="1"/>
    </xf>
    <xf numFmtId="0" fontId="12" fillId="0" borderId="0" xfId="6" applyFont="1"/>
    <xf numFmtId="0" fontId="29" fillId="0" borderId="0" xfId="6" applyFont="1" applyAlignment="1">
      <alignment vertical="center" wrapText="1"/>
    </xf>
    <xf numFmtId="0" fontId="12" fillId="0" borderId="0" xfId="6" applyFont="1" applyAlignment="1">
      <alignment horizontal="center"/>
    </xf>
    <xf numFmtId="0" fontId="12" fillId="2" borderId="0" xfId="6" applyFont="1" applyFill="1"/>
    <xf numFmtId="0" fontId="12" fillId="2" borderId="0" xfId="6" applyFont="1" applyFill="1" applyAlignment="1">
      <alignment horizontal="center"/>
    </xf>
    <xf numFmtId="0" fontId="29" fillId="0" borderId="0" xfId="6" applyFont="1"/>
    <xf numFmtId="0" fontId="11" fillId="8" borderId="3" xfId="6" applyFont="1" applyFill="1" applyBorder="1" applyAlignment="1">
      <alignment vertical="center"/>
    </xf>
    <xf numFmtId="0" fontId="14" fillId="2" borderId="6" xfId="6" applyFont="1" applyFill="1" applyBorder="1" applyAlignment="1">
      <alignment horizontal="left" vertical="center" indent="2"/>
    </xf>
    <xf numFmtId="0" fontId="29" fillId="2" borderId="0" xfId="6" applyFont="1" applyFill="1"/>
    <xf numFmtId="0" fontId="14" fillId="2" borderId="8" xfId="6" applyFont="1" applyFill="1" applyBorder="1" applyAlignment="1">
      <alignment horizontal="left" vertical="center" indent="2"/>
    </xf>
    <xf numFmtId="0" fontId="11" fillId="5" borderId="7" xfId="6" applyFont="1" applyFill="1" applyBorder="1" applyAlignment="1">
      <alignment vertical="center"/>
    </xf>
    <xf numFmtId="0" fontId="14" fillId="0" borderId="6" xfId="6" applyFont="1" applyBorder="1" applyAlignment="1">
      <alignment horizontal="left" vertical="center" indent="3"/>
    </xf>
    <xf numFmtId="0" fontId="14" fillId="0" borderId="0" xfId="6" applyFont="1"/>
    <xf numFmtId="0" fontId="16" fillId="0" borderId="8" xfId="6" applyFont="1" applyBorder="1" applyAlignment="1">
      <alignment horizontal="left" vertical="center" indent="4"/>
    </xf>
    <xf numFmtId="0" fontId="16" fillId="0" borderId="0" xfId="6" applyFont="1"/>
    <xf numFmtId="166" fontId="16" fillId="2" borderId="3" xfId="7" applyNumberFormat="1" applyFont="1" applyFill="1" applyBorder="1" applyAlignment="1">
      <alignment vertical="center"/>
    </xf>
    <xf numFmtId="0" fontId="16" fillId="0" borderId="3" xfId="6" applyFont="1" applyBorder="1" applyAlignment="1">
      <alignment horizontal="left" vertical="center" indent="4"/>
    </xf>
    <xf numFmtId="43" fontId="12" fillId="0" borderId="0" xfId="6" applyNumberFormat="1" applyFont="1"/>
    <xf numFmtId="0" fontId="11" fillId="5" borderId="3" xfId="6" applyFont="1" applyFill="1" applyBorder="1" applyAlignment="1">
      <alignment vertical="center"/>
    </xf>
    <xf numFmtId="43" fontId="29" fillId="0" borderId="0" xfId="6" applyNumberFormat="1" applyFont="1"/>
    <xf numFmtId="0" fontId="11" fillId="6" borderId="7" xfId="6" applyFont="1" applyFill="1" applyBorder="1" applyAlignment="1">
      <alignment vertical="center"/>
    </xf>
    <xf numFmtId="0" fontId="14" fillId="0" borderId="6" xfId="6" applyFont="1" applyBorder="1" applyAlignment="1">
      <alignment horizontal="left" vertical="center" indent="2"/>
    </xf>
    <xf numFmtId="43" fontId="8" fillId="0" borderId="0" xfId="6" applyNumberFormat="1" applyFont="1"/>
    <xf numFmtId="0" fontId="16" fillId="0" borderId="6" xfId="6" applyFont="1" applyBorder="1" applyAlignment="1">
      <alignment horizontal="left" vertical="center" indent="4"/>
    </xf>
    <xf numFmtId="0" fontId="11" fillId="7" borderId="7" xfId="6" applyFont="1" applyFill="1" applyBorder="1" applyAlignment="1">
      <alignment vertical="center"/>
    </xf>
    <xf numFmtId="0" fontId="14" fillId="0" borderId="7" xfId="6" applyFont="1" applyBorder="1" applyAlignment="1">
      <alignment horizontal="left" vertical="center" indent="2"/>
    </xf>
    <xf numFmtId="2" fontId="4" fillId="13" borderId="0" xfId="0" applyNumberFormat="1" applyFont="1" applyFill="1"/>
    <xf numFmtId="0" fontId="18" fillId="14" borderId="0" xfId="0" applyFont="1" applyFill="1"/>
    <xf numFmtId="14" fontId="0" fillId="14" borderId="0" xfId="0" applyNumberFormat="1" applyFill="1"/>
    <xf numFmtId="0" fontId="0" fillId="14" borderId="0" xfId="0" applyFill="1"/>
    <xf numFmtId="41" fontId="18" fillId="14" borderId="0" xfId="0" applyNumberFormat="1" applyFont="1" applyFill="1" applyAlignment="1">
      <alignment horizontal="left" vertical="center"/>
    </xf>
    <xf numFmtId="165" fontId="18" fillId="14" borderId="0" xfId="0" applyNumberFormat="1" applyFont="1" applyFill="1" applyAlignment="1">
      <alignment vertical="center"/>
    </xf>
    <xf numFmtId="43" fontId="20" fillId="14" borderId="0" xfId="0" applyNumberFormat="1" applyFont="1" applyFill="1" applyAlignment="1">
      <alignment vertical="center"/>
    </xf>
    <xf numFmtId="165" fontId="18" fillId="14" borderId="0" xfId="0" applyNumberFormat="1" applyFont="1" applyFill="1" applyAlignment="1">
      <alignment horizontal="center" vertical="center"/>
    </xf>
    <xf numFmtId="4" fontId="0" fillId="14" borderId="0" xfId="0" applyNumberFormat="1" applyFill="1"/>
    <xf numFmtId="2" fontId="4" fillId="15" borderId="0" xfId="0" applyNumberFormat="1" applyFont="1" applyFill="1"/>
    <xf numFmtId="0" fontId="0" fillId="3" borderId="0" xfId="0" applyFill="1"/>
    <xf numFmtId="14" fontId="0" fillId="3" borderId="0" xfId="0" applyNumberFormat="1" applyFill="1"/>
    <xf numFmtId="0" fontId="18" fillId="3" borderId="0" xfId="0" applyFont="1" applyFill="1"/>
    <xf numFmtId="41" fontId="18" fillId="3" borderId="0" xfId="0" applyNumberFormat="1" applyFont="1" applyFill="1" applyAlignment="1">
      <alignment horizontal="left" vertical="center"/>
    </xf>
    <xf numFmtId="165" fontId="18" fillId="3" borderId="0" xfId="0" applyNumberFormat="1" applyFont="1" applyFill="1" applyAlignment="1">
      <alignment vertical="center"/>
    </xf>
    <xf numFmtId="43" fontId="20" fillId="3" borderId="0" xfId="0" applyNumberFormat="1" applyFont="1" applyFill="1" applyAlignment="1">
      <alignment vertical="center"/>
    </xf>
    <xf numFmtId="165" fontId="18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2" fontId="25" fillId="12" borderId="9" xfId="0" applyNumberFormat="1" applyFont="1" applyFill="1" applyBorder="1" applyAlignment="1">
      <alignment horizontal="center" vertical="center"/>
    </xf>
    <xf numFmtId="0" fontId="16" fillId="4" borderId="8" xfId="6" applyFont="1" applyFill="1" applyBorder="1" applyAlignment="1">
      <alignment horizontal="left" vertical="center" indent="4"/>
    </xf>
    <xf numFmtId="43" fontId="12" fillId="4" borderId="0" xfId="6" applyNumberFormat="1" applyFont="1" applyFill="1"/>
    <xf numFmtId="167" fontId="16" fillId="4" borderId="5" xfId="8" applyNumberFormat="1" applyFont="1" applyFill="1" applyBorder="1" applyAlignment="1">
      <alignment horizontal="center" vertical="center"/>
    </xf>
    <xf numFmtId="0" fontId="12" fillId="4" borderId="0" xfId="6" applyFont="1" applyFill="1"/>
    <xf numFmtId="0" fontId="32" fillId="0" borderId="0" xfId="17"/>
    <xf numFmtId="0" fontId="33" fillId="0" borderId="0" xfId="0" applyFont="1"/>
    <xf numFmtId="0" fontId="18" fillId="4" borderId="0" xfId="0" applyFont="1" applyFill="1"/>
    <xf numFmtId="0" fontId="32" fillId="4" borderId="0" xfId="17" applyFill="1"/>
    <xf numFmtId="41" fontId="18" fillId="4" borderId="0" xfId="0" applyNumberFormat="1" applyFont="1" applyFill="1" applyAlignment="1">
      <alignment horizontal="left" vertical="center"/>
    </xf>
    <xf numFmtId="165" fontId="18" fillId="4" borderId="0" xfId="0" applyNumberFormat="1" applyFont="1" applyFill="1" applyAlignment="1">
      <alignment vertical="center"/>
    </xf>
    <xf numFmtId="43" fontId="20" fillId="4" borderId="0" xfId="0" applyNumberFormat="1" applyFont="1" applyFill="1" applyAlignment="1">
      <alignment vertical="center"/>
    </xf>
    <xf numFmtId="165" fontId="18" fillId="4" borderId="0" xfId="0" applyNumberFormat="1" applyFont="1" applyFill="1" applyAlignment="1">
      <alignment horizontal="center" vertical="center"/>
    </xf>
    <xf numFmtId="2" fontId="22" fillId="13" borderId="0" xfId="0" applyNumberFormat="1" applyFont="1" applyFill="1"/>
    <xf numFmtId="0" fontId="3" fillId="4" borderId="0" xfId="0" applyFont="1" applyFill="1"/>
    <xf numFmtId="14" fontId="0" fillId="0" borderId="0" xfId="0" applyNumberFormat="1" applyAlignment="1">
      <alignment horizontal="left"/>
    </xf>
    <xf numFmtId="165" fontId="14" fillId="2" borderId="3" xfId="7" applyNumberFormat="1" applyFont="1" applyFill="1" applyBorder="1" applyAlignment="1">
      <alignment vertical="center"/>
    </xf>
    <xf numFmtId="165" fontId="11" fillId="8" borderId="1" xfId="7" quotePrefix="1" applyNumberFormat="1" applyFont="1" applyFill="1" applyBorder="1" applyAlignment="1">
      <alignment horizontal="center" vertical="center"/>
    </xf>
    <xf numFmtId="165" fontId="11" fillId="8" borderId="3" xfId="7" applyNumberFormat="1" applyFont="1" applyFill="1" applyBorder="1" applyAlignment="1">
      <alignment vertical="center"/>
    </xf>
    <xf numFmtId="165" fontId="31" fillId="2" borderId="0" xfId="7" quotePrefix="1" applyNumberFormat="1" applyFont="1" applyFill="1" applyBorder="1" applyAlignment="1">
      <alignment horizontal="center" vertical="center"/>
    </xf>
    <xf numFmtId="165" fontId="11" fillId="5" borderId="7" xfId="7" applyNumberFormat="1" applyFont="1" applyFill="1" applyBorder="1" applyAlignment="1">
      <alignment vertical="center"/>
    </xf>
    <xf numFmtId="165" fontId="14" fillId="0" borderId="7" xfId="7" applyNumberFormat="1" applyFont="1" applyFill="1" applyBorder="1" applyAlignment="1">
      <alignment vertical="center"/>
    </xf>
    <xf numFmtId="165" fontId="14" fillId="0" borderId="3" xfId="7" applyNumberFormat="1" applyFont="1" applyFill="1" applyBorder="1" applyAlignment="1">
      <alignment vertical="center"/>
    </xf>
    <xf numFmtId="165" fontId="14" fillId="4" borderId="3" xfId="7" applyNumberFormat="1" applyFont="1" applyFill="1" applyBorder="1" applyAlignment="1">
      <alignment vertical="center"/>
    </xf>
    <xf numFmtId="165" fontId="11" fillId="6" borderId="7" xfId="7" applyNumberFormat="1" applyFont="1" applyFill="1" applyBorder="1" applyAlignment="1">
      <alignment vertical="center"/>
    </xf>
    <xf numFmtId="165" fontId="16" fillId="2" borderId="3" xfId="7" applyNumberFormat="1" applyFont="1" applyFill="1" applyBorder="1" applyAlignment="1">
      <alignment vertical="center"/>
    </xf>
    <xf numFmtId="165" fontId="11" fillId="7" borderId="7" xfId="7" applyNumberFormat="1" applyFont="1" applyFill="1" applyBorder="1" applyAlignment="1">
      <alignment vertical="center"/>
    </xf>
    <xf numFmtId="165" fontId="12" fillId="0" borderId="0" xfId="6" applyNumberFormat="1" applyFont="1"/>
    <xf numFmtId="168" fontId="30" fillId="2" borderId="0" xfId="7" quotePrefix="1" applyNumberFormat="1" applyFont="1" applyFill="1" applyBorder="1" applyAlignment="1">
      <alignment horizontal="center" vertical="center"/>
    </xf>
    <xf numFmtId="166" fontId="8" fillId="0" borderId="11" xfId="7" applyNumberFormat="1" applyFont="1" applyBorder="1" applyAlignment="1">
      <alignment horizontal="center"/>
    </xf>
    <xf numFmtId="0" fontId="8" fillId="0" borderId="0" xfId="6" applyFont="1" applyAlignment="1">
      <alignment horizontal="center"/>
    </xf>
  </cellXfs>
  <cellStyles count="18">
    <cellStyle name="Hiperlink" xfId="5" builtinId="8"/>
    <cellStyle name="Hiperlink 3" xfId="1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6" xr:uid="{00000000-0005-0000-0000-000006000000}"/>
    <cellStyle name="Normal 5 2" xfId="16" xr:uid="{00000000-0005-0000-0000-000007000000}"/>
    <cellStyle name="Normal 6" xfId="9" xr:uid="{00000000-0005-0000-0000-000008000000}"/>
    <cellStyle name="Normal 7" xfId="11" xr:uid="{00000000-0005-0000-0000-000009000000}"/>
    <cellStyle name="Normal 8" xfId="17" xr:uid="{00000000-0005-0000-0000-00000A000000}"/>
    <cellStyle name="Porcentagem 2" xfId="8" xr:uid="{00000000-0005-0000-0000-00000B000000}"/>
    <cellStyle name="Porcentagem 3" xfId="13" xr:uid="{00000000-0005-0000-0000-00000C000000}"/>
    <cellStyle name="Vírgula" xfId="1" builtinId="3"/>
    <cellStyle name="Vírgula 11" xfId="15" xr:uid="{00000000-0005-0000-0000-00000E000000}"/>
    <cellStyle name="Vírgula 2" xfId="7" xr:uid="{00000000-0005-0000-0000-00000F000000}"/>
    <cellStyle name="Vírgula 3" xfId="12" xr:uid="{00000000-0005-0000-0000-000010000000}"/>
    <cellStyle name="Vírgula 4" xfId="10" xr:uid="{00000000-0005-0000-0000-000011000000}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epcao\D&amp;R%20Documentos\TEMP\Client\DSMneste\Excel\00_05_30valuatio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DBL%20Baterias/Diagn&#243;stico/Diagn&#243;stico%20DBL%20Bateri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oacir\Documents\CGI-IGUA&#199;U%20_%202014%20-%20Realizado%20_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oacir%20Vieira%20Santos/AppData/Local/Microsoft/Windows/Temporary%20Internet%20Files/Content.Outlook/71CI5ZZO/Plano%20de%20Neg&#243;cios%20-%20Maxlif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Bachega%20Alimentos/Consultoria%20-%20Controladoria/Diagnostico%202014/Financeiro%20Bachega%20F&#225;bric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ZS/AppData/Roaming/Microsoft/Excel/KZS/Danithais/Consultoria/Demonstrativo%20Grupo%20Danithais%20REVISADO%20(1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Fernando\AppData\Local\Microsoft\Windows\Temporary%20Internet%20Files\Content.Outlook\4FJE5AH1\Or&#231;amento%20FABRICA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Moress/Moress%20Fazenda/DRE%20Moress%20Fazenda_Previs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8.253\Users\User\AppData\Local\Microsoft\Windows\INetCache\Content.Outlook\X7GYM8V0\Pre&#231;o%20de%20Fret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AppData/Local/Microsoft/Windows/INetCache/Content.Outlook/ZMNCFBTN/Downloads/Users/RP/Downloads/Financeiro%20JGN%20do%20Brasil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Bachega%20Alimentos/Consultoria%20-%20Controladoria/Diagnostico%202014/Users/RP/Downloads/Financeiro%20JGN%20do%20Brasil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ZS/Desktop/Clientes%20-%20KZS%20-%2026.10.11/Donaflor/11.11/KZS/Danithais/Consultoria/Demonstrativo%20Grupo%20Danithais%20REVISADO%20(1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Bachega%20Alimentos/Consultoria%20-%20Controladoria/Consultoria/Controles%20Financeiros/Fluxo%20de%20Caixa%20Bacheg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tephani/AppData/Local/Microsoft/Windows/Temporary%20Internet%20Files/Content.Outlook/A8Z9RF5A/Fluxo%20de%20Caixa%20Bacheg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der.garcia/Desktop/Mitalcopy/Diagn&#243;stico%20Mitalcopy/Diagn&#243;stico%20Mitalcop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Users\angelica.bastarrica.EMPRESA\AppData\Local\Microsoft\Windows\Temporary%20Internet%20Files\Content.Outlook\D3Z2LC9T\Nova%20pasta%20(2)\Minorgan\Fluxo%20Caixa%20Previsto%20Minorgan\Endividamento\Planilha%20de%20c&#225;lculo%20de%20empr&#233;stimo1.xlsx?5393DC61" TargetMode="External"/><Relationship Id="rId1" Type="http://schemas.openxmlformats.org/officeDocument/2006/relationships/externalLinkPath" Target="file:///\\5393DC61\Planilha%20de%20c&#225;lculo%20de%20empr&#233;stimo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8.253\VIEIRA%20SANTOS\CLIENTES%20ATIVOS\Petropuro\Consultoria%20-%20Controladoria\Consultoria\Diagn&#243;stico%20Petro%20Puro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8.253\Documentos\VIEIRA%20SANTOS\CLIENTES%20ATIVOS\Pixel\Informa&#231;oes%20diagnostico\Comissoes%20Digitec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IEIRA%20SANTOS/CLIENTES%20ATIVOS/Solomar/Dashboard/DFC%20Solomar%20Consolidado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01\VIEIRA%20SANTOS\CLIENTES%20ATIVOS\Londricenter\Diagn&#243;stico%20Londricent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ZS/AppData/Roaming/Microsoft/Excel/KZS/Danithais/Consultoria/Gerencial%20Danithais%202011%201.%20trim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tephani/AppData/Local/Microsoft/Windows/INetCache/Content.Outlook/Z303HJGQ/Financeiro_Ateli&#234;_Roberta_Peixot%20o%20(1)%20(2)%20(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esktop/VALUE/DBL%20Baterias/DBL%20ATACADO/2016/Gerencial%20DBL%20-%20Jan.2016%20-%20Fev.2016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der/KZS/Clientes%20e%20Parceiros/Mensal/Bioprime/Diagn&#243;stico%20Bioprim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esktop/Diagn&#243;stico%20Concentrate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0%20Aplica&#231;&#245;es%20Financeiras%20Leadshee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%20Imobilizado%20Leadshee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%20Imobilizado%20Leadshee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202%20Rev%20anal&#237;tica%20outras%20contas%20Set.0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Draft%20das%20Demonstra&#231;&#245;es%20Financeir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 summary"/>
      <sheetName val="DCF Title"/>
      <sheetName val="Detailed P&amp;L"/>
      <sheetName val="DCF Assumptions"/>
      <sheetName val="DCF P&amp;L"/>
      <sheetName val="DCF BS"/>
      <sheetName val="DCF Cashflow"/>
      <sheetName val="PV Calcs"/>
      <sheetName val="WACC (2)"/>
      <sheetName val="Synergies (3)"/>
      <sheetName val="Synergies (2)"/>
      <sheetName val="Cocos Title"/>
      <sheetName val="CoCo Multiples"/>
      <sheetName val="CoCo Base Data"/>
      <sheetName val="CoCo Activities"/>
      <sheetName val="CoTrans Title"/>
      <sheetName val="CoTrans Multiples"/>
      <sheetName val="CoTrans Base Data"/>
      <sheetName val="&lt;&lt;Base data, don't print&gt;&gt;"/>
      <sheetName val="US business old"/>
      <sheetName val="NP North"/>
      <sheetName val="NP south"/>
      <sheetName val="Krems"/>
      <sheetName val="USA"/>
      <sheetName val="China"/>
      <sheetName val="Aggregation"/>
      <sheetName val="Polyester total"/>
      <sheetName val="WACC"/>
      <sheetName val="Synergies"/>
      <sheetName val="fixed costs"/>
      <sheetName val="Macros"/>
      <sheetName val="NAO EXCLUIR"/>
      <sheetName val="Percentual de Impostos D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5">
          <cell r="K35">
            <v>1.1641168888899482</v>
          </cell>
        </row>
        <row r="41">
          <cell r="G41">
            <v>8.615669270091536E-2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Gráficos"/>
      <sheetName val="Term. Kanitz"/>
      <sheetName val="Dashboard"/>
      <sheetName val="Balanço Patrimonial"/>
      <sheetName val="DRE Competência"/>
      <sheetName val="Simulação de Resultados"/>
      <sheetName val="Folha de Pagamento Mensal"/>
      <sheetName val="Disponível"/>
      <sheetName val="Contas a Receber"/>
      <sheetName val="Contas a Receber Resumido"/>
      <sheetName val="Estoque"/>
      <sheetName val="Imobilizado"/>
      <sheetName val="Empréstimos Bancários"/>
      <sheetName val="Empréstimos de Terceiros"/>
      <sheetName val="Fornecedores em Aberto"/>
      <sheetName val="Conta Corrente dos Sócios"/>
      <sheetName val="Impostos Sobre Vendas"/>
      <sheetName val="Encargos Sociais"/>
      <sheetName val="Impostos e Provisões"/>
      <sheetName val="Comissões"/>
      <sheetName val="Percentual de Impostos"/>
      <sheetName val="Simulacao nota a nota"/>
      <sheetName val="M.C. Unitária"/>
      <sheetName val="Volume de Vendas"/>
      <sheetName val="Faturamento Acumulado"/>
      <sheetName val="Bancos Lançados no Sistema"/>
      <sheetName val="DRG - Pedro"/>
    </sheetNames>
    <sheetDataSet>
      <sheetData sheetId="0"/>
      <sheetData sheetId="1"/>
      <sheetData sheetId="2"/>
      <sheetData sheetId="3"/>
      <sheetData sheetId="4">
        <row r="36">
          <cell r="G36">
            <v>-567105.91684417473</v>
          </cell>
        </row>
      </sheetData>
      <sheetData sheetId="5">
        <row r="4">
          <cell r="O4">
            <v>510657.79666666669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K2">
            <v>3798.87</v>
          </cell>
        </row>
      </sheetData>
      <sheetData sheetId="14"/>
      <sheetData sheetId="15"/>
      <sheetData sheetId="16"/>
      <sheetData sheetId="17"/>
      <sheetData sheetId="18"/>
      <sheetData sheetId="19">
        <row r="4">
          <cell r="E4">
            <v>0.08</v>
          </cell>
        </row>
      </sheetData>
      <sheetData sheetId="20">
        <row r="20">
          <cell r="D20">
            <v>3.7432051282051293E-2</v>
          </cell>
        </row>
      </sheetData>
      <sheetData sheetId="21">
        <row r="7">
          <cell r="D7">
            <v>6.4999999999999997E-3</v>
          </cell>
        </row>
        <row r="8">
          <cell r="D8">
            <v>0.03</v>
          </cell>
        </row>
        <row r="10">
          <cell r="D10">
            <v>0.15</v>
          </cell>
          <cell r="G10">
            <v>1.2E-2</v>
          </cell>
        </row>
        <row r="11">
          <cell r="D11">
            <v>0.1</v>
          </cell>
          <cell r="G11">
            <v>4.0145279225262493E-3</v>
          </cell>
        </row>
        <row r="12">
          <cell r="D12">
            <v>0.09</v>
          </cell>
          <cell r="G12">
            <v>1.0799999999999999E-2</v>
          </cell>
        </row>
      </sheetData>
      <sheetData sheetId="22"/>
      <sheetData sheetId="23"/>
      <sheetData sheetId="24">
        <row r="5">
          <cell r="I5">
            <v>0.72554080897599271</v>
          </cell>
        </row>
      </sheetData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âmetros"/>
      <sheetName val="INVERSÃO 1"/>
      <sheetName val="INVERSÃO 2"/>
      <sheetName val="MENU"/>
      <sheetName val="DRE Vendas RN"/>
      <sheetName val="DRE Vendas PL"/>
      <sheetName val="DRE Vendas CV"/>
      <sheetName val="DRE Vendas SN"/>
      <sheetName val="DRE Vendas CONS"/>
      <sheetName val="DRE Peças RN"/>
      <sheetName val="DRE Peças PL"/>
      <sheetName val="DRE Peças CV"/>
      <sheetName val="DRE Peças SN"/>
      <sheetName val="DRE Peças AG"/>
      <sheetName val="DRE Peças CONS"/>
      <sheetName val="DRE Serviços RN"/>
      <sheetName val="DRE Serviços PL"/>
      <sheetName val="DRE Serviços CV"/>
      <sheetName val="DRE Serviços SN"/>
      <sheetName val="DRE Serviços CONS"/>
      <sheetName val="DRE Administração RN"/>
      <sheetName val="DRE Administração PL"/>
      <sheetName val="DRE Administração CV"/>
      <sheetName val="DRE Administração SN"/>
      <sheetName val="DRE Administração CONS"/>
      <sheetName val="DRE Central ADM"/>
      <sheetName val="DRE ROO+Central ADM"/>
      <sheetName val="DRE ROO+Central ADM (2)"/>
      <sheetName val="DRE Consolidado RN"/>
      <sheetName val="DRE Consolidado RN (2)"/>
      <sheetName val="DRE Consolidado PL"/>
      <sheetName val="DRE Consolidado PL (2)"/>
      <sheetName val="DRE Consolidado CV"/>
      <sheetName val="DRE Consolidado CV (2)"/>
      <sheetName val="DRE Consolidado SN"/>
      <sheetName val="DRE Consolidado SN (2)"/>
      <sheetName val="DRE Consolidado AG"/>
      <sheetName val="DRE Consolidado AG (2)"/>
      <sheetName val="DRE Consolidado Global"/>
      <sheetName val="DRE Consolidado Global (2)"/>
      <sheetName val="DRE Consolidado Global (3)"/>
      <sheetName val="db_graf"/>
      <sheetName val="Rateios"/>
      <sheetName val="Plano de Contas"/>
      <sheetName val="Centro de Custos"/>
    </sheetNames>
    <sheetDataSet>
      <sheetData sheetId="0">
        <row r="1">
          <cell r="F1">
            <v>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 Premissas"/>
      <sheetName val="Demonstração dos Resultados"/>
      <sheetName val="Análise dos Investimentos"/>
      <sheetName val="1- Folha de Pagamento"/>
      <sheetName val="2- Relação de Máquinas"/>
      <sheetName val="3- Invest. Instalações"/>
      <sheetName val="4- Perspectiva de Vendas"/>
      <sheetName val="4.1 Faturamento Previsto"/>
      <sheetName val="4.2 Representantes"/>
      <sheetName val="4.3 Comissões"/>
      <sheetName val="4.4- Impostos"/>
      <sheetName val="5- Terceirizações"/>
      <sheetName val="6- Despesas"/>
      <sheetName val="6.1 - Registro ANVISA"/>
      <sheetName val="7- Despesas Filiais"/>
      <sheetName val="8- Custo de Matéria Prima"/>
    </sheetNames>
    <sheetDataSet>
      <sheetData sheetId="0" refreshError="1">
        <row r="4">
          <cell r="C4">
            <v>0.5</v>
          </cell>
        </row>
        <row r="5">
          <cell r="C5">
            <v>0.8</v>
          </cell>
        </row>
        <row r="6">
          <cell r="C6">
            <v>0.9</v>
          </cell>
        </row>
        <row r="7">
          <cell r="C7">
            <v>1</v>
          </cell>
        </row>
        <row r="8">
          <cell r="C8">
            <v>1</v>
          </cell>
        </row>
        <row r="11">
          <cell r="C11">
            <v>0</v>
          </cell>
        </row>
        <row r="12">
          <cell r="C12">
            <v>0</v>
          </cell>
        </row>
        <row r="15">
          <cell r="C15">
            <v>0.17930000000000001</v>
          </cell>
        </row>
        <row r="17">
          <cell r="C17">
            <v>0.03</v>
          </cell>
        </row>
        <row r="18">
          <cell r="C18">
            <v>0.16407914764079148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0.05</v>
          </cell>
        </row>
        <row r="22">
          <cell r="C22">
            <v>0</v>
          </cell>
        </row>
        <row r="23">
          <cell r="C23">
            <v>2E-3</v>
          </cell>
        </row>
        <row r="24">
          <cell r="C24">
            <v>0</v>
          </cell>
        </row>
        <row r="28">
          <cell r="C28">
            <v>0.05</v>
          </cell>
        </row>
        <row r="36">
          <cell r="C36">
            <v>5</v>
          </cell>
        </row>
        <row r="37">
          <cell r="C37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s - Fábrica"/>
      <sheetName val="Saídas - Fábrica"/>
      <sheetName val="SALDO"/>
      <sheetName val="BASE"/>
      <sheetName val="SALDO 2"/>
      <sheetName val="PREVISÃO FAKTOR VENCIMENTOS"/>
      <sheetName val="Realizado"/>
      <sheetName val="Realizado 2014"/>
      <sheetName val="Realizado 2014 (2)"/>
      <sheetName val="Parcela Empréstimos Empréstimos"/>
      <sheetName val="Moinho Arapongas"/>
    </sheetNames>
    <sheetDataSet>
      <sheetData sheetId="0"/>
      <sheetData sheetId="1"/>
      <sheetData sheetId="2"/>
      <sheetData sheetId="3">
        <row r="3">
          <cell r="B3" t="str">
            <v>Caixa</v>
          </cell>
        </row>
        <row r="4">
          <cell r="B4" t="str">
            <v>Faktor</v>
          </cell>
        </row>
        <row r="5">
          <cell r="B5" t="str">
            <v>HSBC</v>
          </cell>
        </row>
        <row r="6">
          <cell r="B6" t="str">
            <v>SICREDI</v>
          </cell>
        </row>
        <row r="7">
          <cell r="B7" t="str">
            <v>Itaú</v>
          </cell>
        </row>
      </sheetData>
      <sheetData sheetId="4"/>
      <sheetData sheetId="5"/>
      <sheetData sheetId="6">
        <row r="4">
          <cell r="B4" t="str">
            <v>Depósito</v>
          </cell>
        </row>
        <row r="5">
          <cell r="B5" t="str">
            <v>Empréstimos Bancos</v>
          </cell>
        </row>
        <row r="6">
          <cell r="B6" t="str">
            <v>Empréstimos Confeitaria</v>
          </cell>
        </row>
        <row r="7">
          <cell r="B7" t="str">
            <v>Empréstimos Faktor</v>
          </cell>
        </row>
        <row r="8">
          <cell r="B8" t="str">
            <v>Pagamento Fomento</v>
          </cell>
        </row>
        <row r="9">
          <cell r="B9" t="str">
            <v>Recebimento Cheque Devolvido</v>
          </cell>
        </row>
        <row r="10">
          <cell r="B10" t="str">
            <v>Recebimento de Clientes</v>
          </cell>
        </row>
        <row r="14">
          <cell r="B14" t="str">
            <v>13º Salário</v>
          </cell>
        </row>
        <row r="15">
          <cell r="B15" t="str">
            <v>Ação Trabalhista</v>
          </cell>
        </row>
        <row r="16">
          <cell r="B16" t="str">
            <v>Acerto Funcionário</v>
          </cell>
        </row>
        <row r="17">
          <cell r="B17" t="str">
            <v>Açúcar</v>
          </cell>
        </row>
        <row r="18">
          <cell r="B18" t="str">
            <v>Água</v>
          </cell>
        </row>
        <row r="19">
          <cell r="B19" t="str">
            <v>Alcool Cereais</v>
          </cell>
        </row>
        <row r="20">
          <cell r="B20" t="str">
            <v>Aluguel</v>
          </cell>
        </row>
        <row r="21">
          <cell r="B21" t="str">
            <v>Associação Mercados</v>
          </cell>
        </row>
        <row r="22">
          <cell r="B22" t="str">
            <v>Cesta Básica</v>
          </cell>
        </row>
        <row r="23">
          <cell r="B23" t="str">
            <v>Cheque Devolvido</v>
          </cell>
        </row>
        <row r="24">
          <cell r="B24" t="str">
            <v>CIPA</v>
          </cell>
        </row>
        <row r="25">
          <cell r="B25" t="str">
            <v>Coleta de Lixo</v>
          </cell>
        </row>
        <row r="26">
          <cell r="B26" t="str">
            <v>Combustível</v>
          </cell>
        </row>
        <row r="27">
          <cell r="B27" t="str">
            <v>Comissões</v>
          </cell>
        </row>
        <row r="28">
          <cell r="B28" t="str">
            <v>Compra Máquina</v>
          </cell>
        </row>
        <row r="29">
          <cell r="B29" t="str">
            <v>Conservação e Reparos</v>
          </cell>
        </row>
        <row r="30">
          <cell r="B30" t="str">
            <v>Consultoria</v>
          </cell>
        </row>
        <row r="31">
          <cell r="B31" t="str">
            <v>Correio</v>
          </cell>
        </row>
        <row r="32">
          <cell r="B32" t="str">
            <v>DARF</v>
          </cell>
        </row>
        <row r="33">
          <cell r="B33" t="str">
            <v>Depósito</v>
          </cell>
        </row>
        <row r="34">
          <cell r="B34" t="str">
            <v>Despesa de Viagens</v>
          </cell>
        </row>
        <row r="35">
          <cell r="B35" t="str">
            <v>Despesas Confeitaria</v>
          </cell>
        </row>
        <row r="36">
          <cell r="B36" t="str">
            <v>Detetização</v>
          </cell>
        </row>
        <row r="37">
          <cell r="B37" t="str">
            <v>Devolução Pães</v>
          </cell>
        </row>
        <row r="38">
          <cell r="B38" t="str">
            <v>Display</v>
          </cell>
        </row>
        <row r="39">
          <cell r="B39" t="str">
            <v>Embalagem</v>
          </cell>
        </row>
        <row r="40">
          <cell r="B40" t="str">
            <v>Empréstimo Faktor</v>
          </cell>
        </row>
        <row r="41">
          <cell r="B41" t="str">
            <v>Empréstimos</v>
          </cell>
        </row>
        <row r="42">
          <cell r="B42" t="str">
            <v>Energia Elétrica</v>
          </cell>
        </row>
        <row r="43">
          <cell r="B43" t="str">
            <v>Equipamentos de Informática</v>
          </cell>
        </row>
        <row r="44">
          <cell r="B44" t="str">
            <v>Estopa</v>
          </cell>
        </row>
        <row r="45">
          <cell r="B45" t="str">
            <v>Farinha</v>
          </cell>
        </row>
        <row r="46">
          <cell r="B46" t="str">
            <v>Farinha Integral</v>
          </cell>
        </row>
        <row r="47">
          <cell r="B47" t="str">
            <v>Farmácia</v>
          </cell>
        </row>
        <row r="48">
          <cell r="B48" t="str">
            <v>Férias</v>
          </cell>
        </row>
        <row r="49">
          <cell r="B49" t="str">
            <v>Fermento</v>
          </cell>
        </row>
        <row r="50">
          <cell r="B50" t="str">
            <v>FGTS</v>
          </cell>
        </row>
        <row r="51">
          <cell r="B51" t="str">
            <v>Financiamentos</v>
          </cell>
        </row>
        <row r="52">
          <cell r="B52" t="str">
            <v>Frete</v>
          </cell>
        </row>
        <row r="53">
          <cell r="B53" t="str">
            <v>Gás</v>
          </cell>
        </row>
        <row r="54">
          <cell r="B54" t="str">
            <v>Gordura Vegetal</v>
          </cell>
        </row>
        <row r="55">
          <cell r="B55" t="str">
            <v>Grãos</v>
          </cell>
        </row>
        <row r="56">
          <cell r="B56" t="str">
            <v>Honorários Contabeis</v>
          </cell>
        </row>
        <row r="57">
          <cell r="B57" t="str">
            <v>Horas Extras</v>
          </cell>
        </row>
        <row r="58">
          <cell r="B58" t="str">
            <v>ICMS</v>
          </cell>
        </row>
        <row r="59">
          <cell r="B59" t="str">
            <v>INSS</v>
          </cell>
        </row>
        <row r="60">
          <cell r="B60" t="str">
            <v>INSS Desoneração</v>
          </cell>
        </row>
        <row r="61">
          <cell r="B61" t="str">
            <v>Insumos</v>
          </cell>
        </row>
        <row r="62">
          <cell r="B62" t="str">
            <v>IPTU</v>
          </cell>
        </row>
        <row r="63">
          <cell r="B63" t="str">
            <v>IPVA</v>
          </cell>
        </row>
        <row r="64">
          <cell r="B64" t="str">
            <v>IRRF</v>
          </cell>
        </row>
        <row r="65">
          <cell r="B65" t="str">
            <v>ISS</v>
          </cell>
        </row>
        <row r="66">
          <cell r="B66" t="str">
            <v>Jurídico</v>
          </cell>
        </row>
        <row r="67">
          <cell r="B67" t="str">
            <v>Juros</v>
          </cell>
        </row>
        <row r="68">
          <cell r="B68" t="str">
            <v>Juros Desconto</v>
          </cell>
        </row>
        <row r="69">
          <cell r="B69" t="str">
            <v>Limpeza</v>
          </cell>
        </row>
        <row r="70">
          <cell r="B70" t="str">
            <v>Manutenção de Máquina</v>
          </cell>
        </row>
        <row r="71">
          <cell r="B71" t="str">
            <v>Manutenção de Veículos</v>
          </cell>
        </row>
        <row r="72">
          <cell r="B72" t="str">
            <v>Marcas e Patentes</v>
          </cell>
        </row>
        <row r="73">
          <cell r="B73" t="str">
            <v>Material Aplicado</v>
          </cell>
        </row>
        <row r="74">
          <cell r="B74" t="str">
            <v>Material de Consumo</v>
          </cell>
        </row>
        <row r="75">
          <cell r="B75" t="str">
            <v>Material de Escritório</v>
          </cell>
        </row>
        <row r="76">
          <cell r="B76" t="str">
            <v>Multa</v>
          </cell>
        </row>
        <row r="77">
          <cell r="B77" t="str">
            <v>Oleo de Soja</v>
          </cell>
        </row>
        <row r="78">
          <cell r="B78" t="str">
            <v>Outras Despesas</v>
          </cell>
        </row>
        <row r="79">
          <cell r="B79" t="str">
            <v>Outros Gastos Funcionários</v>
          </cell>
        </row>
        <row r="80">
          <cell r="B80" t="str">
            <v>Pão de Alho</v>
          </cell>
        </row>
        <row r="81">
          <cell r="B81" t="str">
            <v>Pedágio</v>
          </cell>
        </row>
        <row r="82">
          <cell r="B82" t="str">
            <v>Plano de Saúde</v>
          </cell>
        </row>
        <row r="83">
          <cell r="B83" t="str">
            <v>Pró Labore</v>
          </cell>
        </row>
        <row r="84">
          <cell r="B84" t="str">
            <v>Promotor</v>
          </cell>
        </row>
        <row r="85">
          <cell r="B85" t="str">
            <v>Rastreador</v>
          </cell>
        </row>
        <row r="86">
          <cell r="B86" t="str">
            <v>Rescisão</v>
          </cell>
        </row>
        <row r="87">
          <cell r="B87" t="str">
            <v>Sal</v>
          </cell>
        </row>
        <row r="88">
          <cell r="B88" t="str">
            <v>Salários e Ordenados</v>
          </cell>
        </row>
        <row r="89">
          <cell r="B89" t="str">
            <v>Segurança</v>
          </cell>
        </row>
        <row r="90">
          <cell r="B90" t="str">
            <v>Seguro Empresa</v>
          </cell>
        </row>
        <row r="91">
          <cell r="B91" t="str">
            <v>Seguro Funcionário</v>
          </cell>
        </row>
        <row r="92">
          <cell r="B92" t="str">
            <v>Seguro Veículo</v>
          </cell>
        </row>
        <row r="93">
          <cell r="B93" t="str">
            <v>Sindicato</v>
          </cell>
        </row>
        <row r="94">
          <cell r="B94" t="str">
            <v>Sistema</v>
          </cell>
        </row>
        <row r="95">
          <cell r="B95" t="str">
            <v>Tarifas Bancárias</v>
          </cell>
        </row>
        <row r="96">
          <cell r="B96" t="str">
            <v>Taxas</v>
          </cell>
        </row>
        <row r="97">
          <cell r="B97" t="str">
            <v>Telefone</v>
          </cell>
        </row>
        <row r="98">
          <cell r="B98" t="str">
            <v>Título de Capitalização</v>
          </cell>
        </row>
        <row r="99">
          <cell r="B99" t="str">
            <v>Uniforme</v>
          </cell>
        </row>
        <row r="100">
          <cell r="B100" t="str">
            <v>Vale Transporte</v>
          </cell>
        </row>
        <row r="101">
          <cell r="B101" t="str">
            <v>Vaselina</v>
          </cell>
        </row>
        <row r="102">
          <cell r="B102" t="str">
            <v>Verbas Mercado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"/>
      <sheetName val="INSTRUÇÕES"/>
      <sheetName val="Plan2"/>
      <sheetName val="Dezembro"/>
      <sheetName val="Novembro"/>
      <sheetName val="outubro"/>
      <sheetName val="Setembro"/>
      <sheetName val="Agosto"/>
      <sheetName val="Julho"/>
      <sheetName val="Junho"/>
      <sheetName val="Maio"/>
      <sheetName val="Folha de Pagamentos - Fabrica"/>
      <sheetName val="1. DRE Fabrica"/>
      <sheetName val="2. DRE Atacado"/>
      <sheetName val="1.1Despesas Fabrica"/>
      <sheetName val="7.PAINEL FABRICA"/>
      <sheetName val="Balanço Fabrica"/>
      <sheetName val="Custo Financeiro"/>
      <sheetName val="Faturamento Loja"/>
      <sheetName val="3. DRE Loja Londrina"/>
      <sheetName val="4. DRE Loja Maringa"/>
      <sheetName val="7.Custos e Despesas Lojas"/>
      <sheetName val="BALANÇO LOJA"/>
      <sheetName val="5. DRE Consolidado Lojas (4+5)"/>
      <sheetName val="6.PAINEL lojas"/>
      <sheetName val="7.Custos e Despesas Lojas (2)"/>
      <sheetName val="Endividamento Fabrica"/>
      <sheetName val="Endividamento Loja"/>
      <sheetName val="Balanço Consolidado"/>
      <sheetName val="Impostos Loja"/>
      <sheetName val="Impostos fABRICA"/>
      <sheetName val="Orçamento Fabrica"/>
      <sheetName val="Previsoes"/>
      <sheetName val="3. DRE Consolidado (1+2)"/>
      <sheetName val="7. DRE Consolidado Grupo (3+6)"/>
      <sheetName val="Faturamento Lojas - março"/>
      <sheetName val="Plan1"/>
      <sheetName val="Plan3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4">
          <cell r="K34">
            <v>-1494569.9475945523</v>
          </cell>
        </row>
      </sheetData>
      <sheetData sheetId="17">
        <row r="36">
          <cell r="D36">
            <v>9.3438789389228422E-2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Fabrica"/>
      <sheetName val="PremissasAtacado"/>
      <sheetName val="Custo Mercadoria Vendida"/>
      <sheetName val="Despesas Variáveis"/>
      <sheetName val="Despesas Fixas"/>
      <sheetName val="DREFabrica"/>
      <sheetName val="DREAtacado"/>
      <sheetName val="DREConsolidado"/>
      <sheetName val="INSTRUÇÕES "/>
    </sheetNames>
    <sheetDataSet>
      <sheetData sheetId="0" refreshError="1"/>
      <sheetData sheetId="1" refreshError="1"/>
      <sheetData sheetId="2" refreshError="1"/>
      <sheetData sheetId="3" refreshError="1">
        <row r="5">
          <cell r="E5">
            <v>0.13100000000000001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 Projetada_Cenários"/>
      <sheetName val="DRE Projetada_Investimentos"/>
      <sheetName val="Premissas"/>
      <sheetName val="Conferência Bancos 2014"/>
      <sheetName val="DRE Competência 2014"/>
      <sheetName val="DRE Atual Moress"/>
      <sheetName val="DRE Atual Moress Reestruturada"/>
      <sheetName val="Folha Atual_Total"/>
      <sheetName val="Folha para Sítio (Prevista)"/>
      <sheetName val="Faturamento Projetado"/>
      <sheetName val="Investi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âmetros"/>
      <sheetName val="Insumos"/>
      <sheetName val="3-4 VW 10.160"/>
      <sheetName val="Custo 3-4 VW 10.160"/>
      <sheetName val="Toco - 15.190"/>
      <sheetName val="Custo Toco - 15.190"/>
      <sheetName val="Truck - VW 24.280"/>
      <sheetName val="Custo Turck - VW 24.280"/>
      <sheetName val="Atego 1419 TRUCK"/>
      <sheetName val="Custo MB ATEGO TRUCK"/>
      <sheetName val="Resumo"/>
      <sheetName val="Pesquisa de Preços"/>
      <sheetName val="Custo Financeiro"/>
    </sheetNames>
    <sheetDataSet>
      <sheetData sheetId="0">
        <row r="6">
          <cell r="C6">
            <v>0.01</v>
          </cell>
        </row>
        <row r="7">
          <cell r="C7">
            <v>110.37999999951677</v>
          </cell>
        </row>
        <row r="8">
          <cell r="C8">
            <v>170</v>
          </cell>
        </row>
        <row r="9">
          <cell r="C9">
            <v>65.85999997006644</v>
          </cell>
        </row>
        <row r="11">
          <cell r="C11">
            <v>0.1</v>
          </cell>
        </row>
        <row r="13">
          <cell r="C13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Entradas"/>
      <sheetName val="Saídas Escritório"/>
      <sheetName val="Saídas Casa"/>
      <sheetName val="Saldo Inicial"/>
      <sheetName val="Particular"/>
      <sheetName val="DRE 2012 Competência"/>
      <sheetName val="DRE 2013 Competência"/>
      <sheetName val="DRE 2012 Caixa"/>
      <sheetName val="Evolução de Caixa 2012"/>
      <sheetName val="Previsão Financeira 2012"/>
      <sheetName val="Fluxo de Caixa Previsto"/>
      <sheetName val="Gráficos"/>
    </sheetNames>
    <sheetDataSet>
      <sheetData sheetId="0">
        <row r="18">
          <cell r="B18" t="str">
            <v>JGN do Brasil</v>
          </cell>
        </row>
        <row r="19">
          <cell r="B19" t="str">
            <v>Icatubos</v>
          </cell>
        </row>
        <row r="20">
          <cell r="B20" t="str">
            <v>Prefeitura</v>
          </cell>
        </row>
        <row r="21">
          <cell r="B21" t="str">
            <v>Estado do Paraná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Entradas"/>
      <sheetName val="Saídas Escritório"/>
      <sheetName val="Saídas Casa"/>
      <sheetName val="Saldo Inicial"/>
      <sheetName val="Particular"/>
      <sheetName val="DRE 2012 Competência"/>
      <sheetName val="DRE 2013 Competência"/>
      <sheetName val="DRE 2012 Caixa"/>
      <sheetName val="Evolução de Caixa 2012"/>
      <sheetName val="Previsão Financeira 2012"/>
      <sheetName val="Fluxo de Caixa Previsto"/>
      <sheetName val="Gráficos"/>
    </sheetNames>
    <sheetDataSet>
      <sheetData sheetId="0">
        <row r="18">
          <cell r="B18" t="str">
            <v>JGN do Brasil</v>
          </cell>
        </row>
        <row r="19">
          <cell r="B19" t="str">
            <v>Icatubos</v>
          </cell>
        </row>
        <row r="20">
          <cell r="B20" t="str">
            <v>Prefeitura</v>
          </cell>
        </row>
        <row r="21">
          <cell r="B21" t="str">
            <v>Estado do Paraná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"/>
      <sheetName val="INSTRUÇÕES"/>
      <sheetName val="Plan2"/>
      <sheetName val="Dezembro"/>
      <sheetName val="Novembro"/>
      <sheetName val="outubro"/>
      <sheetName val="Setembro"/>
      <sheetName val="Agosto"/>
      <sheetName val="Julho"/>
      <sheetName val="Junho"/>
      <sheetName val="Maio"/>
      <sheetName val="Folha de Pagamentos - Fabrica"/>
      <sheetName val="1. DRE Fabrica"/>
      <sheetName val="2. DRE Atacado"/>
      <sheetName val="1.1Despesas Fabrica"/>
      <sheetName val="7.PAINEL FABRICA"/>
      <sheetName val="Balanço Fabrica"/>
      <sheetName val="Custo Financeiro"/>
      <sheetName val="Faturamento Loja"/>
      <sheetName val="3. DRE Loja Londrina"/>
      <sheetName val="4. DRE Loja Maringa"/>
      <sheetName val="7.Custos e Despesas Lojas"/>
      <sheetName val="BALANÇO LOJA"/>
      <sheetName val="5. DRE Consolidado Lojas (4+5)"/>
      <sheetName val="6.PAINEL lojas"/>
      <sheetName val="7.Custos e Despesas Lojas (2)"/>
      <sheetName val="Endividamento Fabrica"/>
      <sheetName val="Endividamento Loja"/>
      <sheetName val="Balanço Consolidado"/>
      <sheetName val="Impostos Loja"/>
      <sheetName val="Impostos fABRICA"/>
      <sheetName val="Orçamento Fabrica"/>
      <sheetName val="Previsoes"/>
      <sheetName val="3. DRE Consolidado (1+2)"/>
      <sheetName val="7. DRE Consolidado Grupo (3+6)"/>
      <sheetName val="Faturamento Lojas - março"/>
      <sheetName val="Plan1"/>
      <sheetName val="Pla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4">
          <cell r="K34">
            <v>-1494569.9475945523</v>
          </cell>
        </row>
      </sheetData>
      <sheetData sheetId="17">
        <row r="36">
          <cell r="D36">
            <v>9.3438789389228422E-2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s - Fábrica"/>
      <sheetName val="Saídas - Fábrica"/>
      <sheetName val="SALDO"/>
      <sheetName val="BASE"/>
      <sheetName val="PREVISÃO  VENCIMENTOS"/>
      <sheetName val="SALDO (2)"/>
      <sheetName val="Realizado"/>
      <sheetName val="Realizado 2014"/>
      <sheetName val="Realizado 2014 (2)"/>
      <sheetName val="Parcela Empréstimos Empréstimos"/>
      <sheetName val="Moinho Arapongas"/>
      <sheetName val="FLUXO DE CAIXA REALIZADO"/>
      <sheetName val="Bradesco"/>
      <sheetName val="Itaú"/>
    </sheetNames>
    <sheetDataSet>
      <sheetData sheetId="0"/>
      <sheetData sheetId="1"/>
      <sheetData sheetId="2"/>
      <sheetData sheetId="3">
        <row r="3">
          <cell r="B3" t="str">
            <v>Caixa</v>
          </cell>
        </row>
        <row r="4">
          <cell r="B4" t="str">
            <v>Faktor</v>
          </cell>
        </row>
        <row r="5">
          <cell r="B5" t="str">
            <v>HSBC</v>
          </cell>
        </row>
        <row r="6">
          <cell r="B6" t="str">
            <v>SICREDI</v>
          </cell>
        </row>
        <row r="7">
          <cell r="B7" t="str">
            <v>BRADESCO</v>
          </cell>
        </row>
        <row r="8">
          <cell r="B8" t="str">
            <v>Itaú</v>
          </cell>
        </row>
      </sheetData>
      <sheetData sheetId="4"/>
      <sheetData sheetId="5"/>
      <sheetData sheetId="6">
        <row r="4">
          <cell r="B4" t="str">
            <v>Depósito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s - Fábrica"/>
      <sheetName val="Saídas - Fábrica"/>
      <sheetName val="SALDO"/>
      <sheetName val="BASE"/>
      <sheetName val="SALDO (2)"/>
      <sheetName val="PREVISÃO  VENCIMENTOS"/>
      <sheetName val="Realizado"/>
      <sheetName val="Realizado 2014"/>
      <sheetName val="Realizado 2014 (2)"/>
      <sheetName val="Parcela Empréstimos Empréstimos"/>
      <sheetName val="Moinho Arapongas"/>
      <sheetName val="Bradesco"/>
      <sheetName val="Sicredi"/>
      <sheetName val="Plan2"/>
    </sheetNames>
    <sheetDataSet>
      <sheetData sheetId="0"/>
      <sheetData sheetId="1"/>
      <sheetData sheetId="2"/>
      <sheetData sheetId="3">
        <row r="3">
          <cell r="B3" t="str">
            <v>Caixa</v>
          </cell>
        </row>
      </sheetData>
      <sheetData sheetId="4"/>
      <sheetData sheetId="5"/>
      <sheetData sheetId="6">
        <row r="4">
          <cell r="B4" t="str">
            <v>Depósito</v>
          </cell>
        </row>
        <row r="14">
          <cell r="B14" t="str">
            <v>13º Salário</v>
          </cell>
        </row>
        <row r="15">
          <cell r="B15" t="str">
            <v>Ação Trabalhista</v>
          </cell>
        </row>
        <row r="16">
          <cell r="B16" t="str">
            <v>Acerto Funcionário</v>
          </cell>
        </row>
        <row r="17">
          <cell r="B17" t="str">
            <v>Açúcar</v>
          </cell>
        </row>
        <row r="18">
          <cell r="B18" t="str">
            <v>Água</v>
          </cell>
        </row>
        <row r="19">
          <cell r="B19" t="str">
            <v>Alcool Cereais</v>
          </cell>
        </row>
        <row r="20">
          <cell r="B20" t="str">
            <v>Aluguel</v>
          </cell>
        </row>
        <row r="21">
          <cell r="B21" t="str">
            <v>Associação Mercados</v>
          </cell>
        </row>
        <row r="22">
          <cell r="B22" t="str">
            <v>Cesta Básica</v>
          </cell>
        </row>
        <row r="23">
          <cell r="B23" t="str">
            <v>Cheque Devolvido</v>
          </cell>
        </row>
        <row r="24">
          <cell r="B24" t="str">
            <v>CIPA</v>
          </cell>
        </row>
        <row r="25">
          <cell r="B25" t="str">
            <v>Coleta de Lixo</v>
          </cell>
        </row>
        <row r="26">
          <cell r="B26" t="str">
            <v>Combustível</v>
          </cell>
        </row>
        <row r="27">
          <cell r="B27" t="str">
            <v>Comissões</v>
          </cell>
        </row>
        <row r="28">
          <cell r="B28" t="str">
            <v>Compra Máquina</v>
          </cell>
        </row>
        <row r="29">
          <cell r="B29" t="str">
            <v>Conservação e Reparos</v>
          </cell>
        </row>
        <row r="30">
          <cell r="B30" t="str">
            <v>Consultoria</v>
          </cell>
        </row>
        <row r="31">
          <cell r="B31" t="str">
            <v>Correio</v>
          </cell>
        </row>
        <row r="32">
          <cell r="B32" t="str">
            <v>DARF</v>
          </cell>
        </row>
        <row r="33">
          <cell r="B33" t="str">
            <v>Depósito</v>
          </cell>
        </row>
        <row r="34">
          <cell r="B34" t="str">
            <v>Despesa de Viagens</v>
          </cell>
        </row>
        <row r="35">
          <cell r="B35" t="str">
            <v>Despesas Confeitaria</v>
          </cell>
        </row>
        <row r="36">
          <cell r="B36" t="str">
            <v>Detetização</v>
          </cell>
        </row>
        <row r="37">
          <cell r="B37" t="str">
            <v>Devolução Pães</v>
          </cell>
        </row>
        <row r="38">
          <cell r="B38" t="str">
            <v>Display</v>
          </cell>
        </row>
        <row r="39">
          <cell r="B39" t="str">
            <v>Embalagem</v>
          </cell>
        </row>
        <row r="40">
          <cell r="B40" t="str">
            <v>Empréstimo Faktor</v>
          </cell>
        </row>
        <row r="41">
          <cell r="B41" t="str">
            <v>Empréstimos</v>
          </cell>
        </row>
        <row r="42">
          <cell r="B42" t="str">
            <v>Energia Elétrica</v>
          </cell>
        </row>
        <row r="43">
          <cell r="B43" t="str">
            <v>Equipamentos de Informática</v>
          </cell>
        </row>
        <row r="44">
          <cell r="B44" t="str">
            <v>Estopa</v>
          </cell>
        </row>
        <row r="45">
          <cell r="B45" t="str">
            <v>Farinha</v>
          </cell>
        </row>
        <row r="46">
          <cell r="B46" t="str">
            <v>Farinha Integral</v>
          </cell>
        </row>
        <row r="47">
          <cell r="B47" t="str">
            <v>Farmácia</v>
          </cell>
        </row>
        <row r="48">
          <cell r="B48" t="str">
            <v>Férias</v>
          </cell>
        </row>
        <row r="49">
          <cell r="B49" t="str">
            <v>Fermento</v>
          </cell>
        </row>
        <row r="50">
          <cell r="B50" t="str">
            <v>FGTS</v>
          </cell>
        </row>
        <row r="51">
          <cell r="B51" t="str">
            <v>Financiamentos</v>
          </cell>
        </row>
        <row r="52">
          <cell r="B52" t="str">
            <v>Frete</v>
          </cell>
        </row>
        <row r="53">
          <cell r="B53" t="str">
            <v>Gás</v>
          </cell>
        </row>
        <row r="54">
          <cell r="B54" t="str">
            <v>Gordura Vegetal</v>
          </cell>
        </row>
        <row r="55">
          <cell r="B55" t="str">
            <v>Grãos</v>
          </cell>
        </row>
        <row r="56">
          <cell r="B56" t="str">
            <v>Honorários Contabeis</v>
          </cell>
        </row>
        <row r="57">
          <cell r="B57" t="str">
            <v>Horas Extras</v>
          </cell>
        </row>
        <row r="58">
          <cell r="B58" t="str">
            <v>ICMS</v>
          </cell>
        </row>
        <row r="59">
          <cell r="B59" t="str">
            <v>INSS</v>
          </cell>
        </row>
        <row r="60">
          <cell r="B60" t="str">
            <v>INSS Desoneração</v>
          </cell>
        </row>
        <row r="61">
          <cell r="B61" t="str">
            <v>Insumos</v>
          </cell>
        </row>
        <row r="62">
          <cell r="B62" t="str">
            <v>IPTU</v>
          </cell>
        </row>
        <row r="63">
          <cell r="B63" t="str">
            <v>IPVA</v>
          </cell>
        </row>
        <row r="64">
          <cell r="B64" t="str">
            <v>IRRF</v>
          </cell>
        </row>
        <row r="65">
          <cell r="B65" t="str">
            <v>ISS</v>
          </cell>
        </row>
        <row r="66">
          <cell r="B66" t="str">
            <v>Jurídico</v>
          </cell>
        </row>
        <row r="67">
          <cell r="B67" t="str">
            <v>Juros</v>
          </cell>
        </row>
        <row r="68">
          <cell r="B68" t="str">
            <v>Juros Desconto</v>
          </cell>
        </row>
        <row r="69">
          <cell r="B69" t="str">
            <v>Limpeza</v>
          </cell>
        </row>
        <row r="70">
          <cell r="B70" t="str">
            <v>Manutenção de Máquina</v>
          </cell>
        </row>
        <row r="71">
          <cell r="B71" t="str">
            <v>Manutenção de Veículos</v>
          </cell>
        </row>
        <row r="72">
          <cell r="B72" t="str">
            <v>Marcas e Patentes</v>
          </cell>
        </row>
        <row r="73">
          <cell r="B73" t="str">
            <v>Material Aplicado</v>
          </cell>
        </row>
        <row r="74">
          <cell r="B74" t="str">
            <v>Material de Consumo</v>
          </cell>
        </row>
        <row r="75">
          <cell r="B75" t="str">
            <v>Material de Escritório</v>
          </cell>
        </row>
        <row r="76">
          <cell r="B76" t="str">
            <v>Multa</v>
          </cell>
        </row>
        <row r="77">
          <cell r="B77" t="str">
            <v>Oleo de Soja</v>
          </cell>
        </row>
        <row r="78">
          <cell r="B78" t="str">
            <v>Outras Despesas</v>
          </cell>
        </row>
        <row r="79">
          <cell r="B79" t="str">
            <v>Outros Gastos Funcionários</v>
          </cell>
        </row>
        <row r="80">
          <cell r="B80" t="str">
            <v>Pão de Alho</v>
          </cell>
        </row>
        <row r="81">
          <cell r="B81" t="str">
            <v>Pedágio</v>
          </cell>
        </row>
        <row r="82">
          <cell r="B82" t="str">
            <v>Plano de Saúde</v>
          </cell>
        </row>
        <row r="83">
          <cell r="B83" t="str">
            <v>Pró Labore</v>
          </cell>
        </row>
        <row r="84">
          <cell r="B84" t="str">
            <v>Promotor</v>
          </cell>
        </row>
        <row r="85">
          <cell r="B85" t="str">
            <v>Rastreador</v>
          </cell>
        </row>
        <row r="86">
          <cell r="B86" t="str">
            <v>Rescisão</v>
          </cell>
        </row>
        <row r="87">
          <cell r="B87" t="str">
            <v>Sal</v>
          </cell>
        </row>
        <row r="88">
          <cell r="B88" t="str">
            <v>Salários e Ordenados</v>
          </cell>
        </row>
        <row r="89">
          <cell r="B89" t="str">
            <v>Segurança</v>
          </cell>
        </row>
        <row r="90">
          <cell r="B90" t="str">
            <v>Seguro Empresa</v>
          </cell>
        </row>
        <row r="91">
          <cell r="B91" t="str">
            <v>Seguro Funcionário</v>
          </cell>
        </row>
        <row r="92">
          <cell r="B92" t="str">
            <v>Seguro Veículo</v>
          </cell>
        </row>
        <row r="93">
          <cell r="B93" t="str">
            <v>Sindicato</v>
          </cell>
        </row>
        <row r="94">
          <cell r="B94" t="str">
            <v>Sistema</v>
          </cell>
        </row>
        <row r="95">
          <cell r="B95" t="str">
            <v>Tarifas Bancárias</v>
          </cell>
        </row>
        <row r="96">
          <cell r="B96" t="str">
            <v>Taxas</v>
          </cell>
        </row>
        <row r="97">
          <cell r="B97" t="str">
            <v>Telefone</v>
          </cell>
        </row>
        <row r="98">
          <cell r="B98" t="str">
            <v>Título de Capitalização</v>
          </cell>
        </row>
        <row r="99">
          <cell r="B99" t="str">
            <v>Uniforme</v>
          </cell>
        </row>
        <row r="100">
          <cell r="B100" t="str">
            <v>Vale Transporte</v>
          </cell>
        </row>
        <row r="101">
          <cell r="B101" t="str">
            <v>Vaselina</v>
          </cell>
        </row>
        <row r="102">
          <cell r="B102" t="str">
            <v>Verbas Mercado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Dashboard"/>
      <sheetName val="Balanço Patrimonial"/>
      <sheetName val="DRE Competência"/>
      <sheetName val="CICLO FINANCEIRO"/>
      <sheetName val="Resumo Contas Pagas"/>
      <sheetName val="Contas Pagas"/>
      <sheetName val="Disponível"/>
      <sheetName val="Dados Fluxo de Caixa"/>
      <sheetName val="Contas a Receber Bancos"/>
      <sheetName val="Contas a Receber Carteira"/>
      <sheetName val="Máquina Canon 1023"/>
      <sheetName val="Venda Máquina Santa Fé"/>
      <sheetName val="Contas a Pagar"/>
      <sheetName val="Consórcios"/>
      <sheetName val="Títulos de Capitalização"/>
      <sheetName val="Imobilizado"/>
      <sheetName val="Folha de Pagamento"/>
      <sheetName val="Encargos a Recolher"/>
      <sheetName val="Provisões Trabalhistas"/>
      <sheetName val="Empréstimos Bancários"/>
      <sheetName val="Empréstimos Terceiros"/>
      <sheetName val="Faturamento"/>
      <sheetName val="Fluxo Realizado Consolidado"/>
      <sheetName val="Saldo Seq. 1"/>
      <sheetName val="Saldo Seq. 2"/>
      <sheetName val="Saldo Seq. 3"/>
      <sheetName val="Saldo Seq. 4"/>
      <sheetName val="Saldo Seq. 5"/>
      <sheetName val="Saldo Seq. 6"/>
      <sheetName val="Saldo Seq. 7"/>
      <sheetName val="Saldo Seq. 8"/>
      <sheetName val="Saldo Seq. 9"/>
      <sheetName val="Custo Estimado"/>
    </sheetNames>
    <sheetDataSet>
      <sheetData sheetId="0"/>
      <sheetData sheetId="1"/>
      <sheetData sheetId="2"/>
      <sheetData sheetId="3">
        <row r="8">
          <cell r="Y8">
            <v>27333.697656271004</v>
          </cell>
        </row>
      </sheetData>
      <sheetData sheetId="4"/>
      <sheetData sheetId="5"/>
      <sheetData sheetId="6"/>
      <sheetData sheetId="7">
        <row r="10">
          <cell r="C10">
            <v>6330.5000000000018</v>
          </cell>
        </row>
      </sheetData>
      <sheetData sheetId="8"/>
      <sheetData sheetId="9">
        <row r="2">
          <cell r="J2">
            <v>47350.530000000006</v>
          </cell>
        </row>
      </sheetData>
      <sheetData sheetId="10">
        <row r="1">
          <cell r="F1">
            <v>76227.63</v>
          </cell>
        </row>
      </sheetData>
      <sheetData sheetId="11"/>
      <sheetData sheetId="12">
        <row r="20">
          <cell r="C20">
            <v>180000</v>
          </cell>
        </row>
      </sheetData>
      <sheetData sheetId="13">
        <row r="3">
          <cell r="F3">
            <v>485998.11999999965</v>
          </cell>
        </row>
      </sheetData>
      <sheetData sheetId="14">
        <row r="3">
          <cell r="G3">
            <v>18036.41</v>
          </cell>
        </row>
      </sheetData>
      <sheetData sheetId="15">
        <row r="3">
          <cell r="C3">
            <v>10500</v>
          </cell>
        </row>
      </sheetData>
      <sheetData sheetId="16">
        <row r="1">
          <cell r="E1">
            <v>282346.8</v>
          </cell>
        </row>
      </sheetData>
      <sheetData sheetId="17">
        <row r="3">
          <cell r="Y3">
            <v>27435.87</v>
          </cell>
        </row>
      </sheetData>
      <sheetData sheetId="18">
        <row r="5">
          <cell r="C5">
            <v>1744.3</v>
          </cell>
        </row>
      </sheetData>
      <sheetData sheetId="19">
        <row r="5">
          <cell r="F5">
            <v>0.08</v>
          </cell>
          <cell r="G5">
            <v>0</v>
          </cell>
        </row>
        <row r="6">
          <cell r="J6">
            <v>0.09</v>
          </cell>
        </row>
        <row r="7">
          <cell r="J7">
            <v>0.12</v>
          </cell>
        </row>
      </sheetData>
      <sheetData sheetId="20">
        <row r="6">
          <cell r="K6">
            <v>430141.40785359463</v>
          </cell>
        </row>
      </sheetData>
      <sheetData sheetId="21">
        <row r="3">
          <cell r="F3">
            <v>46802.57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dora de empréstimo"/>
    </sheetNames>
    <sheetDataSet>
      <sheetData sheetId="0">
        <row r="4">
          <cell r="E4">
            <v>535040</v>
          </cell>
        </row>
        <row r="5">
          <cell r="E5">
            <v>0.03</v>
          </cell>
        </row>
        <row r="6">
          <cell r="E6">
            <v>4.5</v>
          </cell>
        </row>
        <row r="7">
          <cell r="E7">
            <v>41532</v>
          </cell>
        </row>
        <row r="10">
          <cell r="E10">
            <v>45</v>
          </cell>
        </row>
        <row r="15">
          <cell r="A15">
            <v>0</v>
          </cell>
          <cell r="B15" t="str">
            <v>Núm.</v>
          </cell>
          <cell r="C15" t="str">
            <v>Data de pagamento</v>
          </cell>
          <cell r="D15" t="str">
            <v>Saldo inicial</v>
          </cell>
          <cell r="E15" t="str">
            <v>Pagamento</v>
          </cell>
          <cell r="F15" t="str">
            <v>Principal</v>
          </cell>
          <cell r="G15" t="str">
            <v>Juros</v>
          </cell>
          <cell r="H15" t="str">
            <v>Saldo final</v>
          </cell>
          <cell r="I15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Term. Kanitz"/>
      <sheetName val="Dashboard"/>
      <sheetName val="Balanço Patrimonial"/>
      <sheetName val="DRE Comp. Trimestre"/>
      <sheetName val="Simulação de Resultados"/>
      <sheetName val="Disponível"/>
      <sheetName val="Contas a Receber"/>
      <sheetName val="Antecipações Pedidos"/>
      <sheetName val="Estoque"/>
      <sheetName val="Investimentos"/>
      <sheetName val="Imobilizado"/>
      <sheetName val="Encargos Sociais"/>
      <sheetName val="Empréstimos Bancários"/>
      <sheetName val="Empréstimos de Terceiros"/>
      <sheetName val="Fornecedores em Aberto"/>
      <sheetName val="Fornecedores em Aberto (2)"/>
      <sheetName val="Impostos Sobre Vendas"/>
      <sheetName val="Provisões"/>
      <sheetName val="Tendência Vendas"/>
      <sheetName val="Tendência Vendas (2)"/>
      <sheetName val="Comissões"/>
      <sheetName val="Percentual de Impostos Doctor"/>
      <sheetName val="Percentual de Impostos Petrofil"/>
      <sheetName val="Percentual Descontos"/>
      <sheetName val="Provisões Trabalhistas"/>
      <sheetName val="Simples Nacional"/>
      <sheetName val="Custo dos Produtos"/>
      <sheetName val="Custo dos Produtos (2)"/>
      <sheetName val="Impostos 2013"/>
      <sheetName val="DRE Competência"/>
      <sheetName val="Folha 11-2012"/>
      <sheetName val="Folha 12-2012"/>
      <sheetName val="Folha 01-2013"/>
      <sheetName val="Folha 02-2013"/>
      <sheetName val="Folha 03-2013"/>
      <sheetName val="Base de 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7">
          <cell r="G7">
            <v>8.9600000000000013E-2</v>
          </cell>
        </row>
      </sheetData>
      <sheetData sheetId="22">
        <row r="7">
          <cell r="D7">
            <v>6.4999999999999997E-3</v>
          </cell>
        </row>
        <row r="9">
          <cell r="D9">
            <v>0.01</v>
          </cell>
        </row>
      </sheetData>
      <sheetData sheetId="23" refreshError="1"/>
      <sheetData sheetId="24"/>
      <sheetData sheetId="25">
        <row r="5">
          <cell r="G5">
            <v>7.8E-2</v>
          </cell>
        </row>
      </sheetData>
      <sheetData sheetId="26" refreshError="1"/>
      <sheetData sheetId="27">
        <row r="4">
          <cell r="J4">
            <v>0.30455452894154572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Comissoes Digitec"/>
    </sheetNames>
    <definedNames>
      <definedName name="Macro1"/>
      <definedName name="Macro2"/>
      <definedName name="Macro3"/>
      <definedName name="Macro4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 Patrimonial 2013"/>
      <sheetName val="DRE 2013"/>
      <sheetName val="Informações Complementares"/>
      <sheetName val="Dashboard"/>
      <sheetName val="LISTAS"/>
    </sheetNames>
    <sheetDataSet>
      <sheetData sheetId="0"/>
      <sheetData sheetId="1"/>
      <sheetData sheetId="2"/>
      <sheetData sheetId="3"/>
      <sheetData sheetId="4">
        <row r="3">
          <cell r="B3" t="str">
            <v>Janeiro/13</v>
          </cell>
        </row>
        <row r="4">
          <cell r="B4" t="str">
            <v>Fevereiro/13</v>
          </cell>
        </row>
        <row r="5">
          <cell r="B5" t="str">
            <v>Março/13</v>
          </cell>
        </row>
        <row r="6">
          <cell r="B6" t="str">
            <v>Abril/13</v>
          </cell>
        </row>
        <row r="7">
          <cell r="B7" t="str">
            <v>Maio/13</v>
          </cell>
        </row>
        <row r="8">
          <cell r="B8" t="str">
            <v>Junho/13</v>
          </cell>
        </row>
        <row r="9">
          <cell r="B9" t="str">
            <v>Julho/13</v>
          </cell>
        </row>
        <row r="10">
          <cell r="B10" t="str">
            <v>Agosto/13</v>
          </cell>
        </row>
        <row r="11">
          <cell r="B11" t="str">
            <v>Setembro/13</v>
          </cell>
        </row>
        <row r="12">
          <cell r="B12" t="str">
            <v>Outubro/13</v>
          </cell>
        </row>
        <row r="13">
          <cell r="B13" t="str">
            <v>Novembro/13</v>
          </cell>
        </row>
        <row r="14">
          <cell r="B14" t="str">
            <v>Dezembro/13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Gráficos"/>
      <sheetName val="Balanço Patrimonial"/>
      <sheetName val="Dashboard"/>
      <sheetName val="DRE Competência"/>
      <sheetName val="Nov e Dez -13"/>
      <sheetName val="Disponível"/>
      <sheetName val="Contas a Receber Resumido"/>
      <sheetName val="Estoque"/>
      <sheetName val="Imobilizado"/>
      <sheetName val="Contas a pagar"/>
      <sheetName val="Financiamento e Empréstimo"/>
      <sheetName val="Impostos em Aberto"/>
      <sheetName val="Faturamento e Impostos"/>
      <sheetName val="Custo das Vendas"/>
      <sheetName val="Sebrae 2013"/>
      <sheetName val="Contas Pagas - Resumo"/>
      <sheetName val="Contas Pagas"/>
      <sheetName val="Provisões Trabalhistas"/>
      <sheetName val="Folha de Pagamento"/>
      <sheetName val="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7">
          <cell r="B17" t="str">
            <v>Sicoob</v>
          </cell>
        </row>
        <row r="25">
          <cell r="C25" t="str">
            <v>Descontado</v>
          </cell>
        </row>
        <row r="26">
          <cell r="C26" t="str">
            <v>A receber</v>
          </cell>
        </row>
        <row r="27">
          <cell r="C27" t="str">
            <v>Caucionado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F5">
            <v>0.08</v>
          </cell>
        </row>
      </sheetData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ÇÃO"/>
      <sheetName val="FATURAMENTO EM UNIDADES"/>
      <sheetName val="TIQUET MÉDIO"/>
      <sheetName val="PREMISSAS"/>
      <sheetName val="Folha Pagto Orçado"/>
      <sheetName val="FATURAMENTO em Reais"/>
      <sheetName val="txt jan"/>
      <sheetName val="txt fev"/>
      <sheetName val="txt mar"/>
      <sheetName val="Despesas Custos"/>
      <sheetName val="Folha Pagto Realizada"/>
      <sheetName val="DRE fabrica Médio"/>
      <sheetName val="DRE fabrica Conservador"/>
      <sheetName val="PAINEL"/>
      <sheetName val="FAT. Atacado"/>
      <sheetName val="DRE Atacado"/>
      <sheetName val="Despesa - Atacado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B11">
            <v>53043.62358064</v>
          </cell>
        </row>
        <row r="26">
          <cell r="B26">
            <v>75902.295550400013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Entradas"/>
      <sheetName val="Conferência Bancos (2)"/>
      <sheetName val="Saídas Ateliê"/>
      <sheetName val="Saídas Particulares"/>
      <sheetName val="Conferência Bancos até ago-13"/>
      <sheetName val="Adriane"/>
      <sheetName val="ALANE"/>
      <sheetName val="JOSI"/>
      <sheetName val="VIRGINIA"/>
      <sheetName val="LOJA"/>
      <sheetName val="Nicaele"/>
      <sheetName val="Conferência Bancos"/>
      <sheetName val="Juros GETNET"/>
      <sheetName val="CONTROLE DO MÊS"/>
      <sheetName val="DRE Competência"/>
      <sheetName val="Fluxo de Caixa Realizado"/>
      <sheetName val="Gráfico"/>
    </sheetNames>
    <sheetDataSet>
      <sheetData sheetId="0">
        <row r="6">
          <cell r="C6" t="str">
            <v>Cílios</v>
          </cell>
        </row>
        <row r="7">
          <cell r="C7" t="str">
            <v>Curso</v>
          </cell>
        </row>
        <row r="8">
          <cell r="C8" t="str">
            <v>Definitiva</v>
          </cell>
        </row>
        <row r="9">
          <cell r="C9" t="str">
            <v>Depilação</v>
          </cell>
        </row>
        <row r="10">
          <cell r="C10" t="str">
            <v>Depósito</v>
          </cell>
        </row>
        <row r="11">
          <cell r="C11" t="str">
            <v>Design</v>
          </cell>
        </row>
        <row r="12">
          <cell r="C12" t="str">
            <v>Design + Henna</v>
          </cell>
        </row>
        <row r="13">
          <cell r="C13" t="str">
            <v>Empréstimos</v>
          </cell>
        </row>
        <row r="14">
          <cell r="C14" t="str">
            <v>Henna</v>
          </cell>
        </row>
        <row r="15">
          <cell r="C15" t="str">
            <v>Limpeza</v>
          </cell>
        </row>
        <row r="16">
          <cell r="C16" t="str">
            <v>Make Air Brush</v>
          </cell>
        </row>
        <row r="17">
          <cell r="C17" t="str">
            <v>Make Artística</v>
          </cell>
        </row>
        <row r="18">
          <cell r="C18" t="str">
            <v>Make Artística + Cílios</v>
          </cell>
        </row>
        <row r="19">
          <cell r="C19" t="str">
            <v>Make Social</v>
          </cell>
        </row>
        <row r="20">
          <cell r="C20" t="str">
            <v>Make Social + Cílios</v>
          </cell>
        </row>
        <row r="21">
          <cell r="C21" t="str">
            <v>Massagem</v>
          </cell>
        </row>
        <row r="22">
          <cell r="C22" t="str">
            <v>Noiva</v>
          </cell>
        </row>
        <row r="23">
          <cell r="C23" t="str">
            <v>Produto</v>
          </cell>
        </row>
        <row r="24">
          <cell r="C24" t="str">
            <v>Quebra de Tom</v>
          </cell>
        </row>
        <row r="25">
          <cell r="C25" t="str">
            <v>Sala</v>
          </cell>
        </row>
        <row r="26">
          <cell r="C26" t="str">
            <v>Outras Entradas</v>
          </cell>
        </row>
        <row r="27">
          <cell r="C27" t="str">
            <v>Salário Unopar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ão Linear"/>
      <sheetName val="Orçamento 2016"/>
      <sheetName val="DRE Competência 2016"/>
      <sheetName val="Balanço Patrimonial"/>
      <sheetName val="Previsão"/>
      <sheetName val="Previsto x Realizado"/>
      <sheetName val="Vendas por produto"/>
      <sheetName val="Comparativo Vendas X Custo"/>
      <sheetName val="Comparativo 2013 x 2014 x 2015"/>
      <sheetName val="Impostos e Provisõe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E9">
            <v>489246.44000000053</v>
          </cell>
        </row>
      </sheetData>
      <sheetData sheetId="7"/>
      <sheetData sheetId="8"/>
      <sheetData sheetId="9">
        <row r="5">
          <cell r="I5">
            <v>0.11316666666666668</v>
          </cell>
        </row>
        <row r="6">
          <cell r="I6">
            <v>0.15088888888888888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Pendências"/>
      <sheetName val="Gráficos"/>
      <sheetName val="Balanço Patrimonial"/>
      <sheetName val="Projeção 2013"/>
      <sheetName val="Gráficos Projeção"/>
      <sheetName val="Term. Kanitz"/>
      <sheetName val="Dashboard"/>
      <sheetName val="DRE Sintética"/>
      <sheetName val="DRE Analítica"/>
      <sheetName val="Disponível"/>
      <sheetName val="Contas a Receber"/>
      <sheetName val="Contas a Receber (2)"/>
      <sheetName val="Cheques Devolvidos"/>
      <sheetName val="Estoque Prod. Acab."/>
      <sheetName val="Estoque M.P."/>
      <sheetName val="Investimentos"/>
      <sheetName val="Imobilizado"/>
      <sheetName val="Empréstimos Bancários"/>
      <sheetName val="Empréstimos Sócios"/>
      <sheetName val="Empréstimos Terceiros"/>
      <sheetName val="Folha de Pagamento Líquida"/>
      <sheetName val="Fornecedores em Aberto"/>
      <sheetName val="Fornecedores em Aberto (2)"/>
      <sheetName val="Impostos e Encargos"/>
      <sheetName val="Adto de Clientes"/>
      <sheetName val="Faturamento"/>
      <sheetName val="Simples Nacional"/>
      <sheetName val="Demonstrativo Fat."/>
      <sheetName val="Despesas Fixas e Variáveis"/>
      <sheetName val="Comissões"/>
      <sheetName val="Despesas Filiais"/>
      <sheetName val="Impostos e Provisões"/>
      <sheetName val="Vendas e Custo"/>
      <sheetName val="Rel. Desp. Filiais"/>
      <sheetName val="Percentual Desco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9">
          <cell r="Y9">
            <v>3.083787421011119E-2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0.08</v>
          </cell>
        </row>
      </sheetData>
      <sheetData sheetId="33">
        <row r="3">
          <cell r="I3">
            <v>0.25924999920425629</v>
          </cell>
        </row>
      </sheetData>
      <sheetData sheetId="34" refreshError="1"/>
      <sheetData sheetId="3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Navegação"/>
      <sheetName val="Gráficos"/>
      <sheetName val="Term. Kanitz"/>
      <sheetName val="Projeção 2013"/>
      <sheetName val="Gráficos Projeção"/>
      <sheetName val="Balanço Patrimonial"/>
      <sheetName val="Dashboard"/>
      <sheetName val="DRE Analítica"/>
      <sheetName val="DRE Sintética"/>
      <sheetName val="Contas a Receber Clientes"/>
      <sheetName val="Contas a Receber"/>
      <sheetName val="Estoques"/>
      <sheetName val="Imobilizado"/>
      <sheetName val="Empréstimos Bancários"/>
      <sheetName val="Empréstimos Terceiros"/>
      <sheetName val="BNDES"/>
      <sheetName val="Fornecedores em Aberto"/>
      <sheetName val="Salários e Provisões"/>
      <sheetName val="Encargos Sociais"/>
      <sheetName val="Simples Nacional em Aberto"/>
      <sheetName val="Faturamento"/>
      <sheetName val="Despesas Fixas e Variáveis"/>
      <sheetName val="Impostos e Provisões"/>
      <sheetName val="Percentual Descontos"/>
      <sheetName val="Relatório Geral"/>
      <sheetName val="Arnodo"/>
    </sheetNames>
    <sheetDataSet>
      <sheetData sheetId="0" refreshError="1"/>
      <sheetData sheetId="1">
        <row r="5">
          <cell r="A5" t="str">
            <v>Disponível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>
        <row r="23">
          <cell r="C23">
            <v>52109.289999999928</v>
          </cell>
        </row>
      </sheetData>
      <sheetData sheetId="8">
        <row r="4">
          <cell r="C4">
            <v>173466.00999999995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E4">
            <v>0.08</v>
          </cell>
        </row>
      </sheetData>
      <sheetData sheetId="23">
        <row r="5">
          <cell r="G5">
            <v>3.6290043155615306E-2</v>
          </cell>
        </row>
      </sheetData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plicações"/>
      <sheetName val="TesteRend"/>
      <sheetName val="Investimentos"/>
      <sheetName val="Equity"/>
      <sheetName val="ProvaEquity"/>
      <sheetName val="XREF"/>
      <sheetName val="Tickmarks"/>
      <sheetName val="Mapa"/>
      <sheetName val="Mapa 311202"/>
      <sheetName val="comp. extratos"/>
      <sheetName val="Rendimentos"/>
      <sheetName val="Relação"/>
      <sheetName val="Circulariz"/>
      <sheetName val="AFinanc"/>
      <sheetName val="Comentários"/>
      <sheetName val="PL"/>
      <sheetName val="#REF"/>
      <sheetName val="Menu Inicial"/>
      <sheetName val="Dados de Maio-Junho"/>
      <sheetName val="Dados de Junho-Julho"/>
      <sheetName val="Menu Base de Dados"/>
      <sheetName val="Métricas - Financeiro"/>
      <sheetName val="Estrutura Organizacional"/>
      <sheetName val="Dados Unidades"/>
      <sheetName val="Dados Faturamento"/>
      <sheetName val="Dados Funil"/>
      <sheetName val="Técnico"/>
      <sheetName val="Indicações e Inv Mídia"/>
      <sheetName val="Dados Mov. Financeira"/>
      <sheetName val="Capac. Prod."/>
      <sheetName val="Menu Demonstrativos"/>
      <sheetName val="Extração"/>
      <sheetName val="Cancelamentos"/>
      <sheetName val="Contas a Receber"/>
      <sheetName val="Movimento Financeiro"/>
      <sheetName val="Fluxo de Caixa Realizado"/>
      <sheetName val="Fluxo de Caixa Previsto"/>
      <sheetName val="DRE"/>
      <sheetName val="KPIs Unidade"/>
      <sheetName val="Funil"/>
      <sheetName val="Painel de KPIs"/>
      <sheetName val="1. KPI"/>
      <sheetName val="2. KPI"/>
      <sheetName val="3. KPI"/>
      <sheetName val="4. KPI"/>
      <sheetName val="5. KPI"/>
      <sheetName val="6. KPI"/>
      <sheetName val="7. KPI"/>
      <sheetName val="8. KPI"/>
      <sheetName val="9. KPI"/>
      <sheetName val="10. KPI"/>
      <sheetName val="11. KPI"/>
      <sheetName val="12. KPI"/>
      <sheetName val="13. KPI"/>
      <sheetName val="14. KPI"/>
      <sheetName val="15. KPI"/>
      <sheetName val="16. KPI"/>
      <sheetName val="17. KPI"/>
      <sheetName val="18. KPI"/>
      <sheetName val="19. KPI"/>
      <sheetName val="20. KPI"/>
      <sheetName val="21. KPI"/>
      <sheetName val="22. KPI"/>
      <sheetName val="23. KPI"/>
      <sheetName val="24. KPI"/>
      <sheetName val="25. KPI"/>
      <sheetName val="Sum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Out"/>
      <sheetName val="MapaDez"/>
      <sheetName val="DeprecOut"/>
      <sheetName val="DeprecDez"/>
      <sheetName val="Teste de Adições"/>
      <sheetName val="Conciliação"/>
      <sheetName val="XREF"/>
      <sheetName val="Tickmarks"/>
      <sheetName val="NotaExplicativa"/>
      <sheetName val="Investimento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Out"/>
      <sheetName val="MapaDez"/>
      <sheetName val="DeprecOut"/>
      <sheetName val="DeprecDez"/>
      <sheetName val="Teste de Adições"/>
      <sheetName val="Conciliação"/>
      <sheetName val="XREF"/>
      <sheetName val="Tickmarks"/>
      <sheetName val="MapaGeral"/>
      <sheetName val="DeprecGeral"/>
      <sheetName val="AdiçõesDez"/>
      <sheetName val="AdiçõesOut"/>
      <sheetName val="Baixas"/>
      <sheetName val="Transf"/>
      <sheetName val="Report"/>
      <sheetName val="Comentários"/>
      <sheetName val="Teste de Baixas"/>
      <sheetName val="MapaOut-Dez"/>
      <sheetName val="MapaMovto"/>
      <sheetName val="Deprec"/>
      <sheetName val="Seguros"/>
      <sheetName val="Movimentação"/>
      <sheetName val="Depreciação 30 09"/>
      <sheetName val="Depreciação 31 12"/>
      <sheetName val="Depreciação Detalhe"/>
      <sheetName val="Adições-Baixas 30 09"/>
      <sheetName val="Adições-Baixas 31 12"/>
      <sheetName val="log ACL"/>
      <sheetName val="P1-Mapa"/>
      <sheetName val="P2-Depreciação"/>
      <sheetName val="P3-Adição&amp;Baixa"/>
      <sheetName val="P3-Adição"/>
      <sheetName val="Mapa Imob"/>
      <sheetName val="Imob em and"/>
      <sheetName val="CG Deprec "/>
      <sheetName val="Teste de adição"/>
      <sheetName val="P2-Teste Deprec."/>
      <sheetName val="Rollforward"/>
      <sheetName val="Mapa Imobilizado"/>
      <sheetName val="Cálculo Depreciação"/>
      <sheetName val="Adição"/>
      <sheetName val="Adiantamentos"/>
      <sheetName val="Imobilizado"/>
      <sheetName val="Imob. em Formação"/>
      <sheetName val="Global depreciação"/>
      <sheetName val="Adições"/>
      <sheetName val="Imobilizado em Formação"/>
      <sheetName val="Logs ACL"/>
      <sheetName val="Imobilizado "/>
      <sheetName val="CG Depreciação"/>
      <sheetName val="Mapa"/>
      <sheetName val="Depreciação"/>
      <sheetName val="Bens Segurados"/>
      <sheetName val="Movto"/>
      <sheetName val="Circularização"/>
      <sheetName val="Adições Custo"/>
      <sheetName val="Adições Andamento"/>
      <sheetName val="Capitalização Juros"/>
      <sheetName val="Selic mes"/>
      <sheetName val="RG"/>
      <sheetName val="Teste detalhe depreciação"/>
      <sheetName val="Sumário"/>
      <sheetName val="Mapa Mov"/>
      <sheetName val="Equip Locacao"/>
      <sheetName val="Teste Detalhe"/>
      <sheetName val="Cálc Amostra"/>
      <sheetName val="Amostra Imobilizado"/>
      <sheetName val="Amostra Adições Imobilizado"/>
      <sheetName val="Log Amostra"/>
      <sheetName val="Depreciação 31.12.07"/>
      <sheetName val="P1 - Sumário"/>
      <sheetName val="P2 - Lead"/>
      <sheetName val="P3 - Movimento Set."/>
      <sheetName val="P4 - Adições"/>
      <sheetName val="P5 - Baixas"/>
      <sheetName val="P6 - PAS Depreciação"/>
      <sheetName val="P7 - Parâmetro"/>
      <sheetName val="P8 -Adiantamento Fornecedores "/>
      <sheetName val="Mapa Movimentação"/>
      <sheetName val="PAS Depreciação"/>
      <sheetName val="Recálculo Depreciação"/>
      <sheetName val="#REF"/>
      <sheetName val="Composição"/>
      <sheetName val="Mapa de Movimentação"/>
      <sheetName val="Rollfoward"/>
      <sheetName val="Saldos Iniciais"/>
      <sheetName val="Check list 2009."/>
      <sheetName val="Checklist"/>
      <sheetName val="Ajustes CPC"/>
      <sheetName val="Adições "/>
      <sheetName val="Equip Locacao  "/>
      <sheetName val="Equip Loc. das Escolas"/>
      <sheetName val="Arrendamento Mercantil"/>
      <sheetName val="Baixas 30.09"/>
      <sheetName val="Notas Explicativas"/>
      <sheetName val="Controntação"/>
      <sheetName val="AjustesReclassificações"/>
      <sheetName val="Projeto Oracle "/>
      <sheetName val="Sheet2"/>
      <sheetName val="Composição "/>
      <sheetName val="Nota explicativa"/>
      <sheetName val="Teste Adições"/>
      <sheetName val="Teste Saldo Inicial"/>
      <sheetName val="Threshold Calc"/>
      <sheetName val="Total Deprec."/>
      <sheetName val="Vendas do ativo"/>
      <sheetName val="Obras em andamento"/>
      <sheetName val="Adto. p- investimento"/>
      <sheetName val="Investimentos 2003"/>
      <sheetName val="Log"/>
      <sheetName val="100% Deprec."/>
      <sheetName val="Mapa Imob. consolidado dez-03"/>
      <sheetName val="Mapa Imobilizado dez-03"/>
      <sheetName val="Mov. imob."/>
      <sheetName val="confronto laudo x contábil"/>
      <sheetName val="Mapa Imobilizado {ppc}"/>
      <sheetName val="Tx Depreciação"/>
      <sheetName val="Teste Saldo Inicial "/>
      <sheetName val="Partes Relacionadas"/>
      <sheetName val="Log File"/>
      <sheetName val="Deprec.RODONORTE"/>
      <sheetName val="Log Adição Jan_Out"/>
      <sheetName val="Log Saldo Inicial"/>
      <sheetName val="Saldo Investir"/>
      <sheetName val="Adiant. Fornec."/>
      <sheetName val="Projeção"/>
      <sheetName val="Deprec."/>
      <sheetName val="Teste Adição"/>
      <sheetName val="DATASUL (2)"/>
      <sheetName val="Soft. Proprio"/>
      <sheetName val="Teste Deprec. AUTOBAN"/>
      <sheetName val="LogSaldo Inicial Out"/>
      <sheetName val="Log Adições"/>
      <sheetName val="Adições Selec."/>
      <sheetName val="Log Adições (30_06_2003)"/>
      <sheetName val="Log Saldo_Inicial(JUNHO)"/>
      <sheetName val="Saldo a Investir"/>
      <sheetName val="seleçãosaldoinicial"/>
      <sheetName val="Calc. Deprec DUTRA"/>
      <sheetName val="TesteAdições"/>
      <sheetName val="Log Adição"/>
      <sheetName val="PAS Variação dez-nov"/>
      <sheetName val="Relatório"/>
      <sheetName val="Partes Relac."/>
      <sheetName val="Teste Deprec."/>
      <sheetName val="Movimentação{PPC}"/>
      <sheetName val="Taxas de Deprec.{PPC}"/>
      <sheetName val="Abertura Doar"/>
      <sheetName val="Abertura por divisão"/>
      <sheetName val="Mapas"/>
      <sheetName val="Teste Sado Inicial"/>
      <sheetName val="Parâmetros"/>
      <sheetName val="Mapa Imobil. 30.06.05 {ppc}"/>
      <sheetName val="Seleção saldo inicial"/>
      <sheetName val="Nota Outorga do report"/>
      <sheetName val="Investimentos Futuros nota 15"/>
      <sheetName val="Txs de Depreciação"/>
      <sheetName val="Parâmetro"/>
      <sheetName val="Mapa Imobilizado 30.09.07"/>
      <sheetName val="Reavaliação"/>
      <sheetName val="Adições até 30.09.07"/>
      <sheetName val="Teste Adições - 30.09.07"/>
      <sheetName val="Teste Saldo Inicial-30.09.2007"/>
      <sheetName val="Para Referência"/>
      <sheetName val="Sheet1"/>
      <sheetName val="Mapas de Movimentação"/>
      <sheetName val="Cálculo Global Depreciação"/>
      <sheetName val="Rel. Anal. Estoques X Balancete"/>
      <sheetName val="Obsolecência"/>
      <sheetName val="Mapa Movimentação Licenças"/>
      <sheetName val="Licenças"/>
      <sheetName val="Reavaliação{ppc}"/>
      <sheetName val="Mapa Mov. Imobilizado"/>
      <sheetName val="Depreciação Reavaliação"/>
      <sheetName val="Agrupamento de contas"/>
      <sheetName val="Mov Imob DIB"/>
      <sheetName val="Mov Imob DZ"/>
      <sheetName val="P4 - Parâmetro"/>
      <sheetName val="P3 - Mapa do Imobilizado"/>
      <sheetName val="P3- Nota explicativa"/>
      <sheetName val="P4 - Movimentação consolidado"/>
      <sheetName val="P5 - Movimentação Vivax"/>
      <sheetName val="P6 - Movimentação TVH"/>
      <sheetName val="P7 - Movimentação Jacareí"/>
      <sheetName val="P8 - Cálculo depreciação"/>
      <sheetName val="P9 - Teste de Adição"/>
      <sheetName val="P10 - Obsolescência"/>
      <sheetName val="P11 - Parâmetro"/>
      <sheetName val="Seleção Teste sd incial"/>
      <sheetName val="Teste de saldo inicial"/>
      <sheetName val="Teste Depreciação"/>
      <sheetName val="NE"/>
      <sheetName val="Base NE taxa depreciação"/>
      <sheetName val="Roolforward Teste 31.12.2007"/>
      <sheetName val="PAS Depreciação 30.09.07"/>
      <sheetName val="Laudo Reavaliação"/>
      <sheetName val="Teste Saldo Inicial 31.12.06"/>
      <sheetName val="Teste Adições 30.09.07"/>
      <sheetName val="Teste Adições 31.12.07"/>
      <sheetName val="Mapa imobilizado 31.10.2009"/>
      <sheetName val="Imobilizado em andamento 31.10"/>
      <sheetName val="Cobertura Seguros"/>
      <sheetName val="TCalc (1)"/>
      <sheetName val="TCalc (2)"/>
      <sheetName val="P1-Sumário"/>
      <sheetName val="P2-Lead"/>
      <sheetName val="P3-Movimentação Set"/>
      <sheetName val="P3-Movimentação Dez"/>
      <sheetName val="P4-Adições Set"/>
      <sheetName val="P5-Baixas set"/>
      <sheetName val="P6-Imobilizações Andamento DEZ"/>
      <sheetName val="P7-PAS Depreciação"/>
      <sheetName val="P8-Itens Imob. Selec. Dez 2006"/>
      <sheetName val="P9 - Parâmetro"/>
      <sheetName val="P10 - Financ. -Bens em Garantia"/>
      <sheetName val="P11 - Finames - Bens Garantia"/>
      <sheetName val="P12- Exaustão"/>
      <sheetName val="P13 - Reflorestamento"/>
      <sheetName val="Mapa do Imobilizado"/>
      <sheetName val="Teste de adições-Imob"/>
      <sheetName val="Teste Cobertura Seguros"/>
      <sheetName val="Global de Depreciação"/>
      <sheetName val="Saldo Inicial"/>
      <sheetName val="Instruções"/>
      <sheetName val="Others than Risks"/>
      <sheetName val="Parametro"/>
      <sheetName val="Mapa Imobilizado 31.12.07"/>
      <sheetName val="Mapa Imobilizado dez06"/>
      <sheetName val="PAS Depreciaçao dez06"/>
      <sheetName val="Mapa Depreciação dez06"/>
      <sheetName val="Depreciação dez06"/>
      <sheetName val="Teste de Adição dez06"/>
      <sheetName val="Log Baixa"/>
      <sheetName val="Mapa Imobilizado jun06"/>
      <sheetName val="PAS Depreciação jun06"/>
      <sheetName val="Mapa Depreciação jun06"/>
      <sheetName val="Depreciação jun06"/>
      <sheetName val="Map. Imobil. 06.05"/>
      <sheetName val="Map. Deprec. 06.05"/>
      <sheetName val="PAS - Depreciação"/>
      <sheetName val="Para Ref"/>
      <sheetName val="Mapa Imob. 12.04"/>
      <sheetName val="Mapa Deprec. 12.04"/>
      <sheetName val="PAS - Depreciação 12.04"/>
      <sheetName val="Pararef 12.04"/>
      <sheetName val="Mapa Imob. 06.04"/>
      <sheetName val="Mapa Depreciação 06.04"/>
      <sheetName val="Impairment"/>
      <sheetName val="Business Plan"/>
      <sheetName val="Pararef"/>
      <sheetName val="PAS Depreciação 30.09.2007"/>
      <sheetName val="Relação Analítica Obras em Anda"/>
      <sheetName val="{ppc} mapa de movimentação"/>
      <sheetName val="Teste de saldo inicial e adição"/>
      <sheetName val="{ppc} Teste de Det. Equi. Info"/>
      <sheetName val="{ppc} obras em andamento"/>
      <sheetName val="Threshold"/>
      <sheetName val="Abertura Relatório"/>
      <sheetName val="Mapa de Imobilizado"/>
      <sheetName val="Saldo Inicial 12.05"/>
      <sheetName val="Analise de Variação"/>
      <sheetName val="Mapa OHL"/>
      <sheetName val="Mapa Paulista"/>
      <sheetName val="Mapa Latina"/>
      <sheetName val="Summary Page"/>
      <sheetName val="Programa"/>
      <sheetName val="Saldo Inicial FIC"/>
      <sheetName val="Saldo Inicial Petro"/>
      <sheetName val="Detalhe Depreciação"/>
      <sheetName val="Teste de Adiçoes FIC"/>
      <sheetName val="Teste de Adiçoes Petro"/>
      <sheetName val="Mapas FIC"/>
      <sheetName val="Mapas Petro"/>
      <sheetName val="Ajuste Deprec. Petro"/>
      <sheetName val="Ajuste Deprec. Telefonia FIC"/>
      <sheetName val="Ajuste Deprec. Veículos FIC"/>
      <sheetName val="Ajuste Deprec. Reclassif. FIC"/>
      <sheetName val="Mapa, PAS Deprec e Baixa 2710"/>
      <sheetName val="Mapa 3112"/>
      <sheetName val="Imobilizado_sd inicial"/>
      <sheetName val="Imobilizado_adicoes"/>
      <sheetName val="Agrup. contas"/>
      <sheetName val="Imob DIB (2)"/>
      <sheetName val="Imob DZ (2)"/>
      <sheetName val="PAS deprec."/>
      <sheetName val="Mov Imob DIB (2)"/>
      <sheetName val="Mov Imob DZ (2)"/>
      <sheetName val="Teste detalhe depr."/>
      <sheetName val="Reforma Moldes"/>
      <sheetName val="Mapa de Movimentaçao 2006"/>
      <sheetName val="Mapa de Movimentação - 4 trimes"/>
      <sheetName val="Mapa consolidado"/>
      <sheetName val="Mapa de movimentação AM"/>
      <sheetName val="Adto imobilizado exterior"/>
      <sheetName val="Construções em andamento AM"/>
      <sheetName val="Mapa de movimentação SP"/>
      <sheetName val="Teste de depreciação"/>
      <sheetName val="Base Adições"/>
      <sheetName val="Ponto para carta comentário"/>
      <sheetName val="Abertura das Contas"/>
      <sheetName val="Teste de Adição 31.10.08"/>
      <sheetName val="Teste Saldo Inicial 31.10.08"/>
      <sheetName val="DIB - Mapa Imobilizado 31.10.08"/>
      <sheetName val="DZ - Mapa Imobilizado 31.10.08"/>
      <sheetName val="Abertura"/>
      <sheetName val="Teste Depreci. Detalhe 31.10.08"/>
      <sheetName val="Mapa e PAS Depreciaçao 31.03.08"/>
      <sheetName val="Mapa Adições 31.03.08"/>
      <sheetName val="Adiçoes 31.03.08"/>
      <sheetName val="Mapa 31.12.2007"/>
      <sheetName val="Mapa de Movimentação {ppc}"/>
      <sheetName val="Imob Andamento"/>
      <sheetName val="Teste de Baixa"/>
      <sheetName val="Direitos de Uso"/>
      <sheetName val=" Leasing"/>
      <sheetName val="Mapa Mov. Imobil.Filial e PAS D"/>
      <sheetName val="Mapa {ppc}"/>
      <sheetName val="Mapa Dez.04 {ppc}"/>
      <sheetName val="Sdo Inicial"/>
      <sheetName val="Mapa imobilizado 31.12.2008 "/>
      <sheetName val="Imobilizado em andamento 31.12"/>
      <sheetName val="Mapa imobilizado 31.10.2008"/>
      <sheetName val="Leasing"/>
      <sheetName val="Parâmetro "/>
      <sheetName val="Teste Imobilizado em Andamento"/>
      <sheetName val="N. E."/>
      <sheetName val="Ajustes"/>
      <sheetName val="Outras Empresas"/>
      <sheetName val="Mapa Imobilizado (Custo)"/>
      <sheetName val="Mapa Imobilizado (Depreciação)"/>
      <sheetName val="Teste Adição 31.12.08"/>
      <sheetName val="DIB - Teste Depreciação "/>
      <sheetName val="DZ - Teste de Depreciação"/>
      <sheetName val="DIB -Teste Depreciação 31.10.08"/>
      <sheetName val="DZ - Teste Depreciação 31.10.08"/>
      <sheetName val="Teste Depre"/>
      <sheetName val="DIB-Teste Depreciação 31.10.08"/>
      <sheetName val="Sheet3"/>
      <sheetName val="Teste de Adição 31.12.08"/>
      <sheetName val="DIB - Mapa Imobilizado 31.12.08"/>
      <sheetName val="DZ- Mapa Imobilizado 31.12.08"/>
      <sheetName val="DIB-Teste Depreciação 31.10 (2)"/>
      <sheetName val="DZ - Teste Depreciação 31.1 (2)"/>
      <sheetName val="Teste Adição Imobilizado"/>
      <sheetName val="LOG Adição Imobilizado"/>
      <sheetName val="Cartas de Fiança"/>
      <sheetName val="Report 31.12.04"/>
      <sheetName val="Analise de Impairment"/>
      <sheetName val="Teste Imobilizado em Adto"/>
      <sheetName val="Mapa Empréstimos {ppc}"/>
      <sheetName val="Ferramentas"/>
      <sheetName val="Aplicações"/>
      <sheetName val="Parâmetro de receita"/>
      <sheetName val="Taxa ponderada"/>
      <sheetName val="Imobilizado em Andamento"/>
      <sheetName val="Análise impairment"/>
      <sheetName val="Summary Evaluation"/>
      <sheetName val="Cliente vencidos"/>
      <sheetName val="Mapa e PAS Depreciação"/>
      <sheetName val="{ppc} Taxa Depreciação Média"/>
      <sheetName val="Taxas de Depreciação - {ppc}"/>
      <sheetName val="Mutuo CCR - LP"/>
      <sheetName val="13. salário"/>
      <sheetName val="Anexo &quot;H&quot;passivo"/>
      <sheetName val="Mapa movimentação 30.11"/>
      <sheetName val="Mapa movimentação 31.12"/>
      <sheetName val="Teste Baixa"/>
      <sheetName val="Sample Size"/>
      <sheetName val="Mapa De Mov. &amp; PAS Depreciação"/>
      <sheetName val="Base Seleção"/>
      <sheetName val="Teste SI Rio"/>
      <sheetName val="Teste SI MA"/>
      <sheetName val="Teste Adição RI"/>
      <sheetName val="Teste Adição MA"/>
      <sheetName val="Tabela Amostra DAAM"/>
      <sheetName val="Taxas de depreciação"/>
      <sheetName val="Ônus fixo"/>
      <sheetName val="Adição 31.05.06"/>
      <sheetName val="Cálculo Parâmetro"/>
      <sheetName val="Níveis Parâmetro"/>
      <sheetName val="Rollfoward Procedures"/>
      <sheetName val="Mapa Mov. &amp; PAS Depreciação"/>
      <sheetName val="Quantidade amostra"/>
      <sheetName val="Mapa Movimentação ano"/>
      <sheetName val="Teste Adição RC"/>
      <sheetName val="Cálculo das amostras"/>
      <sheetName val="Teste SI RC"/>
      <sheetName val="Open Notes Summary 2"/>
      <sheetName val="Open Notes Summary"/>
      <sheetName val="Resumo Mapa Imobilizado"/>
      <sheetName val="Mapa - Cópi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/>
      <sheetData sheetId="104" refreshError="1"/>
      <sheetData sheetId="105" refreshError="1"/>
      <sheetData sheetId="106"/>
      <sheetData sheetId="107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 circulante"/>
      <sheetName val="RLP Permanente"/>
      <sheetName val="passivo"/>
      <sheetName val="FOPAG"/>
      <sheetName val="Cutoff"/>
      <sheetName val="AFinanc"/>
      <sheetName val="TesteRend"/>
      <sheetName val="XREF"/>
      <sheetName val="Tickmarks"/>
      <sheetName val="DeprecOut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"/>
      <sheetName val="Ajustes pós auditoria 2002"/>
      <sheetName val="DOAR"/>
      <sheetName val="PlanDOAR"/>
      <sheetName val="XREF"/>
      <sheetName val="Tickmarks"/>
      <sheetName val="AFinan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8" tint="-0.499984740745262"/>
    <pageSetUpPr fitToPage="1"/>
  </sheetPr>
  <dimension ref="A1:E132"/>
  <sheetViews>
    <sheetView showGridLines="0"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4" sqref="D4:E4"/>
    </sheetView>
  </sheetViews>
  <sheetFormatPr defaultColWidth="9.109375" defaultRowHeight="13.8" outlineLevelRow="1" outlineLevelCol="2" x14ac:dyDescent="0.3"/>
  <cols>
    <col min="1" max="1" width="2.88671875" style="61" customWidth="1"/>
    <col min="2" max="2" width="50.5546875" style="61" bestFit="1" customWidth="1"/>
    <col min="3" max="3" width="1.109375" style="61" customWidth="1"/>
    <col min="4" max="4" width="13" style="134" customWidth="1" outlineLevel="2"/>
    <col min="5" max="5" width="13.44140625" style="61" customWidth="1" outlineLevel="2"/>
    <col min="6" max="16384" width="9.109375" style="61"/>
  </cols>
  <sheetData>
    <row r="1" spans="1:5" s="59" customFormat="1" ht="15" customHeight="1" x14ac:dyDescent="0.3">
      <c r="A1" s="57"/>
      <c r="B1" s="58"/>
      <c r="D1" s="137" t="s">
        <v>151</v>
      </c>
      <c r="E1" s="137"/>
    </row>
    <row r="2" spans="1:5" s="59" customFormat="1" ht="12.75" customHeight="1" thickBot="1" x14ac:dyDescent="0.35">
      <c r="A2" s="57"/>
      <c r="B2" s="60" t="s">
        <v>150</v>
      </c>
      <c r="D2" s="136" t="str">
        <f>'Dados Mov Financeira'!A2&amp;"/"&amp;'Dados Mov Financeira'!B2</f>
        <v>/</v>
      </c>
      <c r="E2" s="136"/>
    </row>
    <row r="3" spans="1:5" ht="15" customHeight="1" x14ac:dyDescent="0.3">
      <c r="B3" s="62"/>
      <c r="C3" s="63"/>
      <c r="D3" s="124" t="s">
        <v>152</v>
      </c>
      <c r="E3" s="22" t="s">
        <v>50</v>
      </c>
    </row>
    <row r="4" spans="1:5" s="64" customFormat="1" ht="15" customHeight="1" x14ac:dyDescent="0.3">
      <c r="B4" s="62"/>
      <c r="C4" s="65"/>
      <c r="D4" s="135" t="s">
        <v>143</v>
      </c>
      <c r="E4" s="135"/>
    </row>
    <row r="5" spans="1:5" s="66" customFormat="1" ht="14.4" thickBot="1" x14ac:dyDescent="0.35">
      <c r="B5" s="67" t="s">
        <v>52</v>
      </c>
      <c r="D5" s="125">
        <f>SUM(D6:D7)</f>
        <v>0</v>
      </c>
      <c r="E5" s="24">
        <f>IFERROR(D5/D$5,0)</f>
        <v>0</v>
      </c>
    </row>
    <row r="6" spans="1:5" s="66" customFormat="1" ht="14.4" thickBot="1" x14ac:dyDescent="0.35">
      <c r="B6" s="68" t="s">
        <v>136</v>
      </c>
      <c r="C6" s="69"/>
      <c r="D6" s="123">
        <f>SUMIFS('Dados Mov Financeira'!$N:$N,'Dados Mov Financeira'!$O:$O,DRE!$B6)</f>
        <v>0</v>
      </c>
      <c r="E6" s="7">
        <f>IFERROR(D6/D$5,0)</f>
        <v>0</v>
      </c>
    </row>
    <row r="7" spans="1:5" s="66" customFormat="1" ht="14.4" thickBot="1" x14ac:dyDescent="0.35">
      <c r="B7" s="70" t="s">
        <v>137</v>
      </c>
      <c r="C7" s="69"/>
      <c r="D7" s="123">
        <f>SUMIFS('Dados Mov Financeira'!$N:$N,'Dados Mov Financeira'!$O:$O,DRE!$B7)</f>
        <v>0</v>
      </c>
      <c r="E7" s="7">
        <f>IFERROR(D7/D$5,0)</f>
        <v>0</v>
      </c>
    </row>
    <row r="8" spans="1:5" s="64" customFormat="1" ht="5.25" customHeight="1" thickBot="1" x14ac:dyDescent="0.35">
      <c r="B8" s="62"/>
      <c r="C8" s="65"/>
      <c r="D8" s="126"/>
      <c r="E8" s="5"/>
    </row>
    <row r="9" spans="1:5" s="66" customFormat="1" ht="14.4" thickBot="1" x14ac:dyDescent="0.35">
      <c r="A9" s="61"/>
      <c r="B9" s="71" t="s">
        <v>53</v>
      </c>
      <c r="D9" s="127">
        <f>D10+D15</f>
        <v>0</v>
      </c>
      <c r="E9" s="9">
        <f t="shared" ref="E9:E19" si="0">IFERROR(D9/D$5,0)</f>
        <v>0</v>
      </c>
    </row>
    <row r="10" spans="1:5" s="66" customFormat="1" ht="14.4" thickBot="1" x14ac:dyDescent="0.35">
      <c r="B10" s="72" t="s">
        <v>54</v>
      </c>
      <c r="C10" s="73"/>
      <c r="D10" s="128">
        <f>SUM(D11:D14)</f>
        <v>0</v>
      </c>
      <c r="E10" s="11">
        <f t="shared" si="0"/>
        <v>0</v>
      </c>
    </row>
    <row r="11" spans="1:5" ht="14.4" outlineLevel="1" thickBot="1" x14ac:dyDescent="0.35">
      <c r="B11" s="74" t="s">
        <v>55</v>
      </c>
      <c r="C11" s="75"/>
      <c r="D11" s="123">
        <f>SUMIFS('Dados Mov Financeira'!$N:$N,'Dados Mov Financeira'!$O:$O,DRE!$B11)</f>
        <v>0</v>
      </c>
      <c r="E11" s="13">
        <f t="shared" si="0"/>
        <v>0</v>
      </c>
    </row>
    <row r="12" spans="1:5" ht="14.4" outlineLevel="1" thickBot="1" x14ac:dyDescent="0.35">
      <c r="B12" s="74" t="s">
        <v>56</v>
      </c>
      <c r="C12" s="75"/>
      <c r="D12" s="123">
        <f>SUMIFS('Dados Mov Financeira'!$N:$N,'Dados Mov Financeira'!$O:$O,DRE!$B12)</f>
        <v>0</v>
      </c>
      <c r="E12" s="13">
        <f t="shared" si="0"/>
        <v>0</v>
      </c>
    </row>
    <row r="13" spans="1:5" ht="14.4" outlineLevel="1" thickBot="1" x14ac:dyDescent="0.35">
      <c r="B13" s="74" t="s">
        <v>122</v>
      </c>
      <c r="C13" s="75"/>
      <c r="D13" s="123">
        <f>SUMIFS('Dados Mov Financeira'!$N:$N,'Dados Mov Financeira'!$O:$O,DRE!$B13)</f>
        <v>0</v>
      </c>
      <c r="E13" s="13">
        <f t="shared" si="0"/>
        <v>0</v>
      </c>
    </row>
    <row r="14" spans="1:5" ht="14.4" outlineLevel="1" thickBot="1" x14ac:dyDescent="0.35">
      <c r="B14" s="74" t="s">
        <v>57</v>
      </c>
      <c r="C14" s="75"/>
      <c r="D14" s="123">
        <f>SUMIFS('Dados Mov Financeira'!$N:$N,'Dados Mov Financeira'!$O:$O,DRE!$B14)</f>
        <v>0</v>
      </c>
      <c r="E14" s="13">
        <f t="shared" si="0"/>
        <v>0</v>
      </c>
    </row>
    <row r="15" spans="1:5" s="66" customFormat="1" ht="14.4" thickBot="1" x14ac:dyDescent="0.35">
      <c r="B15" s="72" t="s">
        <v>58</v>
      </c>
      <c r="C15" s="73"/>
      <c r="D15" s="123">
        <f>SUMIFS('Dados Mov Financeira'!$N:$N,'Dados Mov Financeira'!$O:$O,DRE!$B15)</f>
        <v>0</v>
      </c>
      <c r="E15" s="14">
        <f t="shared" si="0"/>
        <v>0</v>
      </c>
    </row>
    <row r="16" spans="1:5" ht="14.4" outlineLevel="1" thickBot="1" x14ac:dyDescent="0.35">
      <c r="B16" s="74" t="s">
        <v>30</v>
      </c>
      <c r="D16" s="123">
        <f>SUMIFS('Dados Mov Financeira'!$N:$N,'Dados Mov Financeira'!$O:$O,DRE!$B16)</f>
        <v>0</v>
      </c>
      <c r="E16" s="13">
        <f t="shared" si="0"/>
        <v>0</v>
      </c>
    </row>
    <row r="17" spans="1:5" ht="14.4" outlineLevel="1" thickBot="1" x14ac:dyDescent="0.35">
      <c r="B17" s="77" t="s">
        <v>59</v>
      </c>
      <c r="C17" s="76"/>
      <c r="D17" s="123">
        <f>SUMIFS('Dados Mov Financeira'!$N:$N,'Dados Mov Financeira'!$O:$O,DRE!$B17)</f>
        <v>0</v>
      </c>
      <c r="E17" s="13">
        <f t="shared" si="0"/>
        <v>0</v>
      </c>
    </row>
    <row r="18" spans="1:5" ht="14.4" outlineLevel="1" thickBot="1" x14ac:dyDescent="0.35">
      <c r="B18" s="77" t="s">
        <v>60</v>
      </c>
      <c r="C18" s="76"/>
      <c r="D18" s="123">
        <f>SUMIFS('Dados Mov Financeira'!$N:$N,'Dados Mov Financeira'!$O:$O,DRE!$B18)</f>
        <v>0</v>
      </c>
      <c r="E18" s="13">
        <f t="shared" si="0"/>
        <v>0</v>
      </c>
    </row>
    <row r="19" spans="1:5" ht="14.4" outlineLevel="1" thickBot="1" x14ac:dyDescent="0.35">
      <c r="B19" s="77" t="s">
        <v>61</v>
      </c>
      <c r="C19" s="76"/>
      <c r="D19" s="123">
        <f>SUMIFS('Dados Mov Financeira'!$N:$N,'Dados Mov Financeira'!$O:$O,DRE!$B19)</f>
        <v>0</v>
      </c>
      <c r="E19" s="13">
        <f t="shared" si="0"/>
        <v>0</v>
      </c>
    </row>
    <row r="20" spans="1:5" s="64" customFormat="1" ht="7.5" customHeight="1" thickBot="1" x14ac:dyDescent="0.35">
      <c r="B20" s="62"/>
      <c r="C20" s="65"/>
      <c r="D20" s="126"/>
      <c r="E20" s="5"/>
    </row>
    <row r="21" spans="1:5" s="66" customFormat="1" ht="14.4" thickBot="1" x14ac:dyDescent="0.35">
      <c r="A21" s="61"/>
      <c r="B21" s="79" t="s">
        <v>62</v>
      </c>
      <c r="D21" s="127">
        <f>D5+D9</f>
        <v>0</v>
      </c>
      <c r="E21" s="9">
        <f>IFERROR(D21/D$5,0)</f>
        <v>0</v>
      </c>
    </row>
    <row r="22" spans="1:5" s="64" customFormat="1" ht="5.25" customHeight="1" thickBot="1" x14ac:dyDescent="0.35">
      <c r="B22" s="62"/>
      <c r="C22" s="65"/>
      <c r="D22" s="126"/>
      <c r="E22" s="5"/>
    </row>
    <row r="23" spans="1:5" s="66" customFormat="1" ht="14.4" thickBot="1" x14ac:dyDescent="0.35">
      <c r="A23" s="61"/>
      <c r="B23" s="71" t="s">
        <v>63</v>
      </c>
      <c r="D23" s="127">
        <f>SUM(D24,D29)</f>
        <v>0</v>
      </c>
      <c r="E23" s="9">
        <f t="shared" ref="E23:E30" si="1">IFERROR(D23/D$5,0)</f>
        <v>0</v>
      </c>
    </row>
    <row r="24" spans="1:5" s="66" customFormat="1" ht="14.4" thickBot="1" x14ac:dyDescent="0.35">
      <c r="B24" s="72" t="s">
        <v>44</v>
      </c>
      <c r="D24" s="129">
        <f>SUM(D25:D28)</f>
        <v>0</v>
      </c>
      <c r="E24" s="14">
        <f t="shared" si="1"/>
        <v>0</v>
      </c>
    </row>
    <row r="25" spans="1:5" ht="14.4" outlineLevel="1" thickBot="1" x14ac:dyDescent="0.35">
      <c r="B25" s="108" t="s">
        <v>145</v>
      </c>
      <c r="C25" s="109"/>
      <c r="D25" s="130">
        <f>SUMIFS('Dados Mov Financeira'!$N:$N,'Dados Mov Financeira'!$O:$O,DRE!$B25)</f>
        <v>0</v>
      </c>
      <c r="E25" s="110">
        <f t="shared" si="1"/>
        <v>0</v>
      </c>
    </row>
    <row r="26" spans="1:5" ht="14.4" outlineLevel="1" thickBot="1" x14ac:dyDescent="0.35">
      <c r="B26" s="74" t="s">
        <v>146</v>
      </c>
      <c r="C26" s="78"/>
      <c r="D26" s="123">
        <f>SUMIFS('Dados Mov Financeira'!$N:$N,'Dados Mov Financeira'!$O:$O,DRE!$B26)</f>
        <v>0</v>
      </c>
      <c r="E26" s="13">
        <f t="shared" ref="E26" si="2">IFERROR(D26/D$5,0)</f>
        <v>0</v>
      </c>
    </row>
    <row r="27" spans="1:5" ht="14.4" outlineLevel="1" thickBot="1" x14ac:dyDescent="0.35">
      <c r="B27" s="74" t="s">
        <v>133</v>
      </c>
      <c r="D27" s="123">
        <f>SUMIFS('Dados Mov Financeira'!$N:$N,'Dados Mov Financeira'!$O:$O,DRE!$B27)</f>
        <v>0</v>
      </c>
      <c r="E27" s="13">
        <f t="shared" si="1"/>
        <v>0</v>
      </c>
    </row>
    <row r="28" spans="1:5" ht="14.4" outlineLevel="1" thickBot="1" x14ac:dyDescent="0.35">
      <c r="B28" s="74" t="s">
        <v>64</v>
      </c>
      <c r="D28" s="123">
        <f>SUMIFS('Dados Mov Financeira'!$N:$N,'Dados Mov Financeira'!$O:$O,DRE!$B28)</f>
        <v>0</v>
      </c>
      <c r="E28" s="13">
        <f t="shared" si="1"/>
        <v>0</v>
      </c>
    </row>
    <row r="29" spans="1:5" s="66" customFormat="1" ht="14.4" thickBot="1" x14ac:dyDescent="0.35">
      <c r="B29" s="72" t="s">
        <v>10</v>
      </c>
      <c r="C29" s="80"/>
      <c r="D29" s="123">
        <f>SUMIFS('Dados Mov Financeira'!$N:$N,'Dados Mov Financeira'!$O:$O,DRE!$B29)</f>
        <v>0</v>
      </c>
      <c r="E29" s="11">
        <f t="shared" si="1"/>
        <v>0</v>
      </c>
    </row>
    <row r="30" spans="1:5" ht="14.4" outlineLevel="1" thickBot="1" x14ac:dyDescent="0.35">
      <c r="B30" s="108" t="s">
        <v>123</v>
      </c>
      <c r="C30" s="109"/>
      <c r="D30" s="130">
        <f>SUMIFS('Dados Mov Financeira'!$N:$N,'Dados Mov Financeira'!$O:$O,DRE!$B30)</f>
        <v>0</v>
      </c>
      <c r="E30" s="110">
        <f t="shared" si="1"/>
        <v>0</v>
      </c>
    </row>
    <row r="31" spans="1:5" s="64" customFormat="1" ht="7.5" customHeight="1" thickBot="1" x14ac:dyDescent="0.35">
      <c r="B31" s="62"/>
      <c r="C31" s="65"/>
      <c r="D31" s="126"/>
      <c r="E31" s="5"/>
    </row>
    <row r="32" spans="1:5" s="66" customFormat="1" ht="14.4" thickBot="1" x14ac:dyDescent="0.35">
      <c r="A32" s="61"/>
      <c r="B32" s="81" t="s">
        <v>65</v>
      </c>
      <c r="D32" s="131">
        <f>SUM(D21,D23)</f>
        <v>0</v>
      </c>
      <c r="E32" s="15">
        <f>IFERROR(D32/D$5,0)</f>
        <v>0</v>
      </c>
    </row>
    <row r="33" spans="1:5" s="64" customFormat="1" ht="6" customHeight="1" thickBot="1" x14ac:dyDescent="0.35">
      <c r="B33" s="62"/>
      <c r="C33" s="65"/>
      <c r="D33" s="126"/>
      <c r="E33" s="5"/>
    </row>
    <row r="34" spans="1:5" s="66" customFormat="1" ht="14.4" thickBot="1" x14ac:dyDescent="0.35">
      <c r="A34" s="61"/>
      <c r="B34" s="71" t="s">
        <v>66</v>
      </c>
      <c r="D34" s="127">
        <f>SUM(D35)</f>
        <v>0</v>
      </c>
      <c r="E34" s="9">
        <f t="shared" ref="E34:E35" si="3">IFERROR(D34/D$5,0)</f>
        <v>0</v>
      </c>
    </row>
    <row r="35" spans="1:5" s="66" customFormat="1" ht="14.4" thickBot="1" x14ac:dyDescent="0.35">
      <c r="B35" s="82" t="s">
        <v>67</v>
      </c>
      <c r="D35" s="123">
        <f>SUM(D36:D39)</f>
        <v>0</v>
      </c>
      <c r="E35" s="11">
        <f t="shared" si="3"/>
        <v>0</v>
      </c>
    </row>
    <row r="36" spans="1:5" ht="14.4" outlineLevel="1" thickBot="1" x14ac:dyDescent="0.35">
      <c r="B36" s="74" t="s">
        <v>142</v>
      </c>
      <c r="D36" s="123">
        <f>SUMIFS('Dados Mov Financeira'!$N:$N,'Dados Mov Financeira'!$O:$O,DRE!$B36)</f>
        <v>0</v>
      </c>
      <c r="E36" s="13">
        <f>IFERROR(D36/D$5,0)</f>
        <v>0</v>
      </c>
    </row>
    <row r="37" spans="1:5" ht="14.4" outlineLevel="1" thickBot="1" x14ac:dyDescent="0.35">
      <c r="B37" s="74" t="s">
        <v>148</v>
      </c>
      <c r="D37" s="123">
        <f>SUMIFS('Dados Mov Financeira'!$N:$N,'Dados Mov Financeira'!$O:$O,DRE!$B37)</f>
        <v>0</v>
      </c>
      <c r="E37" s="13">
        <f>IFERROR(D37/D$5,0)</f>
        <v>0</v>
      </c>
    </row>
    <row r="38" spans="1:5" ht="14.4" outlineLevel="1" thickBot="1" x14ac:dyDescent="0.35">
      <c r="B38" s="74" t="s">
        <v>144</v>
      </c>
      <c r="D38" s="123">
        <f>SUMIFS('Dados Mov Financeira'!$N:$N,'Dados Mov Financeira'!$O:$O,DRE!$B38)</f>
        <v>0</v>
      </c>
      <c r="E38" s="13">
        <f>IFERROR(D38/D$5,0)</f>
        <v>0</v>
      </c>
    </row>
    <row r="39" spans="1:5" ht="14.4" outlineLevel="1" thickBot="1" x14ac:dyDescent="0.35">
      <c r="B39" s="74" t="s">
        <v>4</v>
      </c>
      <c r="D39" s="123">
        <f>SUMIFS('Dados Mov Financeira'!$N:$N,'Dados Mov Financeira'!$O:$O,DRE!$B39)</f>
        <v>0</v>
      </c>
      <c r="E39" s="13">
        <f>IFERROR(D39/D$5,0)</f>
        <v>0</v>
      </c>
    </row>
    <row r="40" spans="1:5" ht="14.4" thickBot="1" x14ac:dyDescent="0.35">
      <c r="B40" s="74"/>
      <c r="C40" s="83"/>
      <c r="D40" s="132"/>
      <c r="E40" s="17"/>
    </row>
    <row r="41" spans="1:5" s="64" customFormat="1" ht="7.5" customHeight="1" thickBot="1" x14ac:dyDescent="0.35">
      <c r="B41" s="62"/>
      <c r="C41" s="65"/>
      <c r="D41" s="126"/>
      <c r="E41" s="5"/>
    </row>
    <row r="42" spans="1:5" s="66" customFormat="1" ht="14.4" thickBot="1" x14ac:dyDescent="0.35">
      <c r="A42" s="61"/>
      <c r="B42" s="81" t="s">
        <v>68</v>
      </c>
      <c r="D42" s="131">
        <f>SUM(D32,D34)</f>
        <v>0</v>
      </c>
      <c r="E42" s="15">
        <f>IFERROR(D42/D$5,0)</f>
        <v>0</v>
      </c>
    </row>
    <row r="43" spans="1:5" s="64" customFormat="1" ht="6" customHeight="1" thickBot="1" x14ac:dyDescent="0.35">
      <c r="B43" s="62"/>
      <c r="C43" s="65"/>
      <c r="D43" s="126"/>
      <c r="E43" s="5"/>
    </row>
    <row r="44" spans="1:5" s="66" customFormat="1" ht="14.4" thickBot="1" x14ac:dyDescent="0.35">
      <c r="A44" s="61"/>
      <c r="B44" s="71" t="s">
        <v>69</v>
      </c>
      <c r="D44" s="127">
        <f>SUM(D45,D70,D85,D89)</f>
        <v>0</v>
      </c>
      <c r="E44" s="9">
        <f t="shared" ref="E44:E82" si="4">IFERROR(D44/D$5,0)</f>
        <v>0</v>
      </c>
    </row>
    <row r="45" spans="1:5" s="66" customFormat="1" ht="14.4" thickBot="1" x14ac:dyDescent="0.35">
      <c r="B45" s="82" t="s">
        <v>46</v>
      </c>
      <c r="D45" s="123">
        <f>SUM(D46:D69)</f>
        <v>0</v>
      </c>
      <c r="E45" s="18">
        <f t="shared" si="4"/>
        <v>0</v>
      </c>
    </row>
    <row r="46" spans="1:5" ht="15.75" customHeight="1" outlineLevel="1" thickBot="1" x14ac:dyDescent="0.35">
      <c r="B46" s="74" t="s">
        <v>14</v>
      </c>
      <c r="D46" s="123">
        <f>SUMIFS('Dados Mov Financeira'!$N:$N,'Dados Mov Financeira'!$O:$O,DRE!$B46)</f>
        <v>0</v>
      </c>
      <c r="E46" s="13">
        <f>IFERROR(D46/D$45,0)</f>
        <v>0</v>
      </c>
    </row>
    <row r="47" spans="1:5" ht="15.75" customHeight="1" outlineLevel="1" thickBot="1" x14ac:dyDescent="0.35">
      <c r="B47" s="74" t="s">
        <v>17</v>
      </c>
      <c r="D47" s="123">
        <f>SUMIFS('Dados Mov Financeira'!$N:$N,'Dados Mov Financeira'!$O:$O,DRE!$B47)</f>
        <v>0</v>
      </c>
      <c r="E47" s="13">
        <f>IFERROR(D47/D$45,0)</f>
        <v>0</v>
      </c>
    </row>
    <row r="48" spans="1:5" ht="15.75" customHeight="1" outlineLevel="1" thickBot="1" x14ac:dyDescent="0.35">
      <c r="B48" s="74" t="s">
        <v>27</v>
      </c>
      <c r="D48" s="123">
        <f>SUMIFS('Dados Mov Financeira'!$N:$N,'Dados Mov Financeira'!$O:$O,DRE!$B48)</f>
        <v>0</v>
      </c>
      <c r="E48" s="13">
        <f t="shared" ref="E48:E69" si="5">IFERROR(D48/D$45,0)</f>
        <v>0</v>
      </c>
    </row>
    <row r="49" spans="2:5" ht="15.75" customHeight="1" outlineLevel="1" thickBot="1" x14ac:dyDescent="0.35">
      <c r="B49" s="74" t="s">
        <v>31</v>
      </c>
      <c r="D49" s="123">
        <f>SUMIFS('Dados Mov Financeira'!$N:$N,'Dados Mov Financeira'!$O:$O,DRE!$B49)</f>
        <v>0</v>
      </c>
      <c r="E49" s="13">
        <f t="shared" si="5"/>
        <v>0</v>
      </c>
    </row>
    <row r="50" spans="2:5" ht="15.75" customHeight="1" outlineLevel="1" thickBot="1" x14ac:dyDescent="0.35">
      <c r="B50" s="74" t="s">
        <v>18</v>
      </c>
      <c r="D50" s="123">
        <f>SUMIFS('Dados Mov Financeira'!$N:$N,'Dados Mov Financeira'!$O:$O,DRE!$B50)</f>
        <v>0</v>
      </c>
      <c r="E50" s="13">
        <f t="shared" si="5"/>
        <v>0</v>
      </c>
    </row>
    <row r="51" spans="2:5" ht="15.75" customHeight="1" outlineLevel="1" thickBot="1" x14ac:dyDescent="0.35">
      <c r="B51" s="108" t="s">
        <v>13</v>
      </c>
      <c r="C51" s="111"/>
      <c r="D51" s="130">
        <f>SUMIFS('Dados Mov Financeira'!$N:$N,'Dados Mov Financeira'!$O:$O,DRE!$B51)</f>
        <v>0</v>
      </c>
      <c r="E51" s="110">
        <f t="shared" si="5"/>
        <v>0</v>
      </c>
    </row>
    <row r="52" spans="2:5" ht="14.4" outlineLevel="1" thickBot="1" x14ac:dyDescent="0.35">
      <c r="B52" s="74" t="s">
        <v>147</v>
      </c>
      <c r="D52" s="123">
        <f>SUMIFS('Dados Mov Financeira'!$N:$N,'Dados Mov Financeira'!$O:$O,DRE!$B52)</f>
        <v>0</v>
      </c>
      <c r="E52" s="13">
        <f t="shared" si="5"/>
        <v>0</v>
      </c>
    </row>
    <row r="53" spans="2:5" ht="15.75" customHeight="1" outlineLevel="1" thickBot="1" x14ac:dyDescent="0.35">
      <c r="B53" s="74" t="s">
        <v>15</v>
      </c>
      <c r="D53" s="123">
        <f>SUMIFS('Dados Mov Financeira'!$N:$N,'Dados Mov Financeira'!$O:$O,DRE!$B53)</f>
        <v>0</v>
      </c>
      <c r="E53" s="13">
        <f t="shared" si="5"/>
        <v>0</v>
      </c>
    </row>
    <row r="54" spans="2:5" ht="15.75" customHeight="1" outlineLevel="1" thickBot="1" x14ac:dyDescent="0.35">
      <c r="B54" s="74" t="s">
        <v>48</v>
      </c>
      <c r="D54" s="123">
        <f>SUMIFS('Dados Mov Financeira'!$N:$N,'Dados Mov Financeira'!$O:$O,DRE!$B54)</f>
        <v>0</v>
      </c>
      <c r="E54" s="13">
        <f t="shared" si="5"/>
        <v>0</v>
      </c>
    </row>
    <row r="55" spans="2:5" ht="14.4" outlineLevel="1" thickBot="1" x14ac:dyDescent="0.35">
      <c r="B55" s="74" t="s">
        <v>25</v>
      </c>
      <c r="D55" s="123">
        <f>SUMIFS('Dados Mov Financeira'!$N:$N,'Dados Mov Financeira'!$O:$O,DRE!$B55)</f>
        <v>0</v>
      </c>
      <c r="E55" s="13">
        <f t="shared" si="5"/>
        <v>0</v>
      </c>
    </row>
    <row r="56" spans="2:5" ht="15.75" customHeight="1" outlineLevel="1" thickBot="1" x14ac:dyDescent="0.35">
      <c r="B56" s="74" t="s">
        <v>3</v>
      </c>
      <c r="D56" s="123">
        <f>SUMIFS('Dados Mov Financeira'!$N:$N,'Dados Mov Financeira'!$O:$O,DRE!$B56)</f>
        <v>0</v>
      </c>
      <c r="E56" s="13">
        <f t="shared" si="5"/>
        <v>0</v>
      </c>
    </row>
    <row r="57" spans="2:5" ht="15.75" customHeight="1" outlineLevel="1" thickBot="1" x14ac:dyDescent="0.35">
      <c r="B57" s="74" t="s">
        <v>11</v>
      </c>
      <c r="D57" s="123">
        <f>SUMIFS('Dados Mov Financeira'!$N:$N,'Dados Mov Financeira'!$O:$O,DRE!$B57)</f>
        <v>0</v>
      </c>
      <c r="E57" s="13">
        <f t="shared" si="5"/>
        <v>0</v>
      </c>
    </row>
    <row r="58" spans="2:5" ht="15.75" customHeight="1" outlineLevel="1" thickBot="1" x14ac:dyDescent="0.35">
      <c r="B58" s="74" t="s">
        <v>33</v>
      </c>
      <c r="D58" s="123">
        <f>SUMIFS('Dados Mov Financeira'!$N:$N,'Dados Mov Financeira'!$O:$O,DRE!$B58)</f>
        <v>0</v>
      </c>
      <c r="E58" s="13">
        <f t="shared" si="5"/>
        <v>0</v>
      </c>
    </row>
    <row r="59" spans="2:5" ht="15.75" customHeight="1" outlineLevel="1" thickBot="1" x14ac:dyDescent="0.35">
      <c r="B59" s="74" t="s">
        <v>35</v>
      </c>
      <c r="D59" s="123">
        <f>SUMIFS('Dados Mov Financeira'!$N:$N,'Dados Mov Financeira'!$O:$O,DRE!$B59)</f>
        <v>0</v>
      </c>
      <c r="E59" s="13">
        <f t="shared" si="5"/>
        <v>0</v>
      </c>
    </row>
    <row r="60" spans="2:5" ht="15.75" customHeight="1" outlineLevel="1" thickBot="1" x14ac:dyDescent="0.35">
      <c r="B60" s="74" t="s">
        <v>19</v>
      </c>
      <c r="D60" s="123">
        <f>SUMIFS('Dados Mov Financeira'!$N:$N,'Dados Mov Financeira'!$O:$O,DRE!$B60)</f>
        <v>0</v>
      </c>
      <c r="E60" s="13">
        <f t="shared" si="5"/>
        <v>0</v>
      </c>
    </row>
    <row r="61" spans="2:5" ht="15.75" customHeight="1" outlineLevel="1" thickBot="1" x14ac:dyDescent="0.35">
      <c r="B61" s="108" t="s">
        <v>16</v>
      </c>
      <c r="C61" s="111"/>
      <c r="D61" s="130">
        <f>SUMIFS('Dados Mov Financeira'!$N:$N,'Dados Mov Financeira'!$O:$O,DRE!$B61)</f>
        <v>0</v>
      </c>
      <c r="E61" s="110">
        <f t="shared" si="5"/>
        <v>0</v>
      </c>
    </row>
    <row r="62" spans="2:5" ht="15.75" customHeight="1" outlineLevel="1" thickBot="1" x14ac:dyDescent="0.35">
      <c r="B62" s="74" t="s">
        <v>20</v>
      </c>
      <c r="D62" s="123">
        <f>SUMIFS('Dados Mov Financeira'!$N:$N,'Dados Mov Financeira'!$O:$O,DRE!$B62)</f>
        <v>0</v>
      </c>
      <c r="E62" s="13">
        <f t="shared" si="5"/>
        <v>0</v>
      </c>
    </row>
    <row r="63" spans="2:5" ht="15.75" customHeight="1" outlineLevel="1" thickBot="1" x14ac:dyDescent="0.35">
      <c r="B63" s="74" t="s">
        <v>24</v>
      </c>
      <c r="D63" s="123">
        <f>SUMIFS('Dados Mov Financeira'!$N:$N,'Dados Mov Financeira'!$O:$O,DRE!$B63)</f>
        <v>0</v>
      </c>
      <c r="E63" s="13">
        <f t="shared" si="5"/>
        <v>0</v>
      </c>
    </row>
    <row r="64" spans="2:5" ht="15.75" customHeight="1" outlineLevel="1" thickBot="1" x14ac:dyDescent="0.35">
      <c r="B64" s="74" t="s">
        <v>74</v>
      </c>
      <c r="D64" s="123">
        <f>SUMIFS('Dados Mov Financeira'!$N:$N,'Dados Mov Financeira'!$O:$O,DRE!$B64)</f>
        <v>0</v>
      </c>
      <c r="E64" s="13">
        <f>IFERROR(D64/D$45,0)</f>
        <v>0</v>
      </c>
    </row>
    <row r="65" spans="2:5" ht="15.75" customHeight="1" outlineLevel="1" thickBot="1" x14ac:dyDescent="0.35">
      <c r="B65" s="74" t="s">
        <v>37</v>
      </c>
      <c r="D65" s="123">
        <f>SUMIFS('Dados Mov Financeira'!$N:$N,'Dados Mov Financeira'!$O:$O,DRE!$B65)</f>
        <v>0</v>
      </c>
      <c r="E65" s="13">
        <f t="shared" si="5"/>
        <v>0</v>
      </c>
    </row>
    <row r="66" spans="2:5" ht="15.75" customHeight="1" outlineLevel="1" thickBot="1" x14ac:dyDescent="0.35">
      <c r="B66" s="74" t="s">
        <v>135</v>
      </c>
      <c r="D66" s="123">
        <f>SUMIFS('Dados Mov Financeira'!$N:$N,'Dados Mov Financeira'!$O:$O,DRE!$B66)</f>
        <v>0</v>
      </c>
      <c r="E66" s="13">
        <f t="shared" si="5"/>
        <v>0</v>
      </c>
    </row>
    <row r="67" spans="2:5" ht="15.75" customHeight="1" outlineLevel="1" thickBot="1" x14ac:dyDescent="0.35">
      <c r="B67" s="74" t="s">
        <v>75</v>
      </c>
      <c r="D67" s="123">
        <f>SUMIFS('Dados Mov Financeira'!$N:$N,'Dados Mov Financeira'!$O:$O,DRE!$B67)</f>
        <v>0</v>
      </c>
      <c r="E67" s="13">
        <f t="shared" si="5"/>
        <v>0</v>
      </c>
    </row>
    <row r="68" spans="2:5" ht="15.75" customHeight="1" outlineLevel="1" thickBot="1" x14ac:dyDescent="0.35">
      <c r="B68" s="74" t="s">
        <v>116</v>
      </c>
      <c r="D68" s="123">
        <f>SUMIFS('Dados Mov Financeira'!$N:$N,'Dados Mov Financeira'!$O:$O,DRE!$B68)</f>
        <v>0</v>
      </c>
      <c r="E68" s="13">
        <f t="shared" si="5"/>
        <v>0</v>
      </c>
    </row>
    <row r="69" spans="2:5" ht="15.75" customHeight="1" outlineLevel="1" thickBot="1" x14ac:dyDescent="0.35">
      <c r="B69" s="74" t="s">
        <v>121</v>
      </c>
      <c r="D69" s="123">
        <f>SUMIFS('Dados Mov Financeira'!$N:$N,'Dados Mov Financeira'!$O:$O,DRE!$B69)</f>
        <v>0</v>
      </c>
      <c r="E69" s="13">
        <f t="shared" si="5"/>
        <v>0</v>
      </c>
    </row>
    <row r="70" spans="2:5" s="66" customFormat="1" ht="14.4" thickBot="1" x14ac:dyDescent="0.35">
      <c r="B70" s="82" t="s">
        <v>76</v>
      </c>
      <c r="D70" s="123">
        <f>SUM(D71:D84)</f>
        <v>0</v>
      </c>
      <c r="E70" s="11">
        <f t="shared" si="4"/>
        <v>0</v>
      </c>
    </row>
    <row r="71" spans="2:5" ht="14.4" outlineLevel="1" thickBot="1" x14ac:dyDescent="0.35">
      <c r="B71" s="74" t="s">
        <v>1</v>
      </c>
      <c r="D71" s="123">
        <f>SUMIFS('Dados Mov Financeira'!$N:$N,'Dados Mov Financeira'!$O:$O,DRE!$B71)</f>
        <v>0</v>
      </c>
      <c r="E71" s="13">
        <f t="shared" si="4"/>
        <v>0</v>
      </c>
    </row>
    <row r="72" spans="2:5" ht="14.4" outlineLevel="1" thickBot="1" x14ac:dyDescent="0.35">
      <c r="B72" s="74" t="s">
        <v>45</v>
      </c>
      <c r="D72" s="123">
        <f>SUMIFS('Dados Mov Financeira'!$N:$N,'Dados Mov Financeira'!$O:$O,DRE!$B72)</f>
        <v>0</v>
      </c>
      <c r="E72" s="13">
        <f t="shared" si="4"/>
        <v>0</v>
      </c>
    </row>
    <row r="73" spans="2:5" ht="14.4" outlineLevel="1" thickBot="1" x14ac:dyDescent="0.35">
      <c r="B73" s="74" t="s">
        <v>77</v>
      </c>
      <c r="D73" s="123">
        <f>SUMIFS('Dados Mov Financeira'!$N:$N,'Dados Mov Financeira'!$O:$O,DRE!$B73)</f>
        <v>0</v>
      </c>
      <c r="E73" s="13">
        <f t="shared" si="4"/>
        <v>0</v>
      </c>
    </row>
    <row r="74" spans="2:5" ht="14.4" outlineLevel="1" thickBot="1" x14ac:dyDescent="0.35">
      <c r="B74" s="74" t="s">
        <v>2</v>
      </c>
      <c r="D74" s="123">
        <f>SUMIFS('Dados Mov Financeira'!$N:$N,'Dados Mov Financeira'!$O:$O,DRE!$B74)</f>
        <v>0</v>
      </c>
      <c r="E74" s="13">
        <f t="shared" si="4"/>
        <v>0</v>
      </c>
    </row>
    <row r="75" spans="2:5" ht="14.4" outlineLevel="1" thickBot="1" x14ac:dyDescent="0.35">
      <c r="B75" s="74" t="s">
        <v>29</v>
      </c>
      <c r="D75" s="123">
        <f>SUMIFS('Dados Mov Financeira'!$N:$N,'Dados Mov Financeira'!$O:$O,DRE!$B75)</f>
        <v>0</v>
      </c>
      <c r="E75" s="13">
        <f t="shared" si="4"/>
        <v>0</v>
      </c>
    </row>
    <row r="76" spans="2:5" ht="14.4" outlineLevel="1" thickBot="1" x14ac:dyDescent="0.35">
      <c r="B76" s="74" t="s">
        <v>12</v>
      </c>
      <c r="D76" s="123">
        <f>SUMIFS('Dados Mov Financeira'!$N:$N,'Dados Mov Financeira'!$O:$O,DRE!$B76)</f>
        <v>0</v>
      </c>
      <c r="E76" s="13">
        <f t="shared" si="4"/>
        <v>0</v>
      </c>
    </row>
    <row r="77" spans="2:5" ht="14.4" outlineLevel="1" thickBot="1" x14ac:dyDescent="0.35">
      <c r="B77" s="74" t="s">
        <v>79</v>
      </c>
      <c r="D77" s="123">
        <f>SUMIFS('Dados Mov Financeira'!$N:$N,'Dados Mov Financeira'!$O:$O,DRE!$B77)</f>
        <v>0</v>
      </c>
      <c r="E77" s="13">
        <f t="shared" si="4"/>
        <v>0</v>
      </c>
    </row>
    <row r="78" spans="2:5" ht="14.4" outlineLevel="1" thickBot="1" x14ac:dyDescent="0.35">
      <c r="B78" s="74" t="s">
        <v>39</v>
      </c>
      <c r="D78" s="123">
        <f>SUMIFS('Dados Mov Financeira'!$N:$N,'Dados Mov Financeira'!$O:$O,DRE!$B78)</f>
        <v>0</v>
      </c>
      <c r="E78" s="13">
        <f t="shared" si="4"/>
        <v>0</v>
      </c>
    </row>
    <row r="79" spans="2:5" ht="14.4" outlineLevel="1" thickBot="1" x14ac:dyDescent="0.35">
      <c r="B79" s="74" t="s">
        <v>5</v>
      </c>
      <c r="D79" s="123">
        <f>SUMIFS('Dados Mov Financeira'!$N:$N,'Dados Mov Financeira'!$O:$O,DRE!$B79)</f>
        <v>0</v>
      </c>
      <c r="E79" s="13">
        <f t="shared" si="4"/>
        <v>0</v>
      </c>
    </row>
    <row r="80" spans="2:5" ht="14.4" outlineLevel="1" thickBot="1" x14ac:dyDescent="0.35">
      <c r="B80" s="74" t="s">
        <v>34</v>
      </c>
      <c r="D80" s="123">
        <f>SUMIFS('Dados Mov Financeira'!$N:$N,'Dados Mov Financeira'!$O:$O,DRE!$B80)</f>
        <v>0</v>
      </c>
      <c r="E80" s="13">
        <f t="shared" si="4"/>
        <v>0</v>
      </c>
    </row>
    <row r="81" spans="2:5" ht="14.4" outlineLevel="1" thickBot="1" x14ac:dyDescent="0.35">
      <c r="B81" s="74" t="s">
        <v>36</v>
      </c>
      <c r="D81" s="123">
        <f>SUMIFS('Dados Mov Financeira'!$N:$N,'Dados Mov Financeira'!$O:$O,DRE!$B81)</f>
        <v>0</v>
      </c>
      <c r="E81" s="13">
        <f t="shared" si="4"/>
        <v>0</v>
      </c>
    </row>
    <row r="82" spans="2:5" ht="14.4" outlineLevel="1" thickBot="1" x14ac:dyDescent="0.35">
      <c r="B82" s="74" t="s">
        <v>81</v>
      </c>
      <c r="D82" s="123">
        <f>SUMIFS('Dados Mov Financeira'!$N:$N,'Dados Mov Financeira'!$O:$O,DRE!$B82)</f>
        <v>0</v>
      </c>
      <c r="E82" s="13">
        <f t="shared" si="4"/>
        <v>0</v>
      </c>
    </row>
    <row r="83" spans="2:5" ht="14.4" outlineLevel="1" thickBot="1" x14ac:dyDescent="0.35">
      <c r="B83" s="74" t="s">
        <v>82</v>
      </c>
      <c r="D83" s="123">
        <f>SUMIFS('Dados Mov Financeira'!$N:$N,'Dados Mov Financeira'!$O:$O,DRE!$B83)</f>
        <v>0</v>
      </c>
      <c r="E83" s="13">
        <f>IFERROR(D83/D$5,0)</f>
        <v>0</v>
      </c>
    </row>
    <row r="84" spans="2:5" ht="14.4" outlineLevel="1" thickBot="1" x14ac:dyDescent="0.35">
      <c r="B84" s="74" t="s">
        <v>32</v>
      </c>
      <c r="D84" s="123">
        <f>SUMIFS('Dados Mov Financeira'!$N:$N,'Dados Mov Financeira'!$O:$O,DRE!$B84)</f>
        <v>0</v>
      </c>
      <c r="E84" s="13">
        <f t="shared" ref="E84:E95" si="6">IFERROR(D84/D$5,0)</f>
        <v>0</v>
      </c>
    </row>
    <row r="85" spans="2:5" s="66" customFormat="1" ht="14.4" thickBot="1" x14ac:dyDescent="0.35">
      <c r="B85" s="82" t="s">
        <v>42</v>
      </c>
      <c r="C85" s="80"/>
      <c r="D85" s="123">
        <f>SUM(D86:D88)</f>
        <v>0</v>
      </c>
      <c r="E85" s="11">
        <f t="shared" si="6"/>
        <v>0</v>
      </c>
    </row>
    <row r="86" spans="2:5" ht="14.4" outlineLevel="1" thickBot="1" x14ac:dyDescent="0.35">
      <c r="B86" s="74" t="s">
        <v>21</v>
      </c>
      <c r="C86" s="78"/>
      <c r="D86" s="123">
        <f>SUMIFS('Dados Mov Financeira'!$N:$N,'Dados Mov Financeira'!$O:$O,DRE!$B86)</f>
        <v>0</v>
      </c>
      <c r="E86" s="13">
        <f t="shared" si="6"/>
        <v>0</v>
      </c>
    </row>
    <row r="87" spans="2:5" ht="14.4" outlineLevel="1" thickBot="1" x14ac:dyDescent="0.35">
      <c r="B87" s="108" t="s">
        <v>22</v>
      </c>
      <c r="C87" s="109"/>
      <c r="D87" s="130">
        <f>SUMIFS('Dados Mov Financeira'!$N:$N,'Dados Mov Financeira'!$O:$O,DRE!$B87)</f>
        <v>0</v>
      </c>
      <c r="E87" s="110">
        <f t="shared" si="6"/>
        <v>0</v>
      </c>
    </row>
    <row r="88" spans="2:5" ht="14.4" outlineLevel="1" thickBot="1" x14ac:dyDescent="0.35">
      <c r="B88" s="74" t="s">
        <v>40</v>
      </c>
      <c r="C88" s="78"/>
      <c r="D88" s="123">
        <f>SUMIFS('Dados Mov Financeira'!$N:$N,'Dados Mov Financeira'!$O:$O,DRE!$B88)</f>
        <v>0</v>
      </c>
      <c r="E88" s="13">
        <f t="shared" si="6"/>
        <v>0</v>
      </c>
    </row>
    <row r="89" spans="2:5" s="66" customFormat="1" ht="14.4" thickBot="1" x14ac:dyDescent="0.35">
      <c r="B89" s="82" t="s">
        <v>84</v>
      </c>
      <c r="D89" s="123">
        <f>SUM(D90:D102)</f>
        <v>0</v>
      </c>
      <c r="E89" s="11">
        <f t="shared" si="6"/>
        <v>0</v>
      </c>
    </row>
    <row r="90" spans="2:5" ht="14.4" outlineLevel="1" thickBot="1" x14ac:dyDescent="0.35">
      <c r="B90" s="74" t="s">
        <v>85</v>
      </c>
      <c r="D90" s="123">
        <f>SUMIFS('Dados Mov Financeira'!$N:$N,'Dados Mov Financeira'!$O:$O,DRE!$B90)</f>
        <v>0</v>
      </c>
      <c r="E90" s="13">
        <f t="shared" si="6"/>
        <v>0</v>
      </c>
    </row>
    <row r="91" spans="2:5" ht="14.4" outlineLevel="1" thickBot="1" x14ac:dyDescent="0.35">
      <c r="B91" s="74" t="s">
        <v>86</v>
      </c>
      <c r="D91" s="123">
        <f>SUMIFS('Dados Mov Financeira'!$N:$N,'Dados Mov Financeira'!$O:$O,DRE!$B91)</f>
        <v>0</v>
      </c>
      <c r="E91" s="13">
        <f t="shared" si="6"/>
        <v>0</v>
      </c>
    </row>
    <row r="92" spans="2:5" ht="14.4" outlineLevel="1" thickBot="1" x14ac:dyDescent="0.35">
      <c r="B92" s="74" t="s">
        <v>87</v>
      </c>
      <c r="D92" s="123">
        <f>SUMIFS('Dados Mov Financeira'!$N:$N,'Dados Mov Financeira'!$O:$O,DRE!$B92)</f>
        <v>0</v>
      </c>
      <c r="E92" s="13">
        <f t="shared" si="6"/>
        <v>0</v>
      </c>
    </row>
    <row r="93" spans="2:5" ht="14.4" outlineLevel="1" thickBot="1" x14ac:dyDescent="0.35">
      <c r="B93" s="74" t="s">
        <v>88</v>
      </c>
      <c r="D93" s="123">
        <f>SUMIFS('Dados Mov Financeira'!$N:$N,'Dados Mov Financeira'!$O:$O,DRE!$B93)</f>
        <v>0</v>
      </c>
      <c r="E93" s="13">
        <f t="shared" si="6"/>
        <v>0</v>
      </c>
    </row>
    <row r="94" spans="2:5" ht="14.4" outlineLevel="1" thickBot="1" x14ac:dyDescent="0.35">
      <c r="B94" s="74" t="s">
        <v>26</v>
      </c>
      <c r="D94" s="123">
        <f>SUMIFS('Dados Mov Financeira'!$N:$N,'Dados Mov Financeira'!$O:$O,DRE!$B94)</f>
        <v>0</v>
      </c>
      <c r="E94" s="13">
        <f t="shared" si="6"/>
        <v>0</v>
      </c>
    </row>
    <row r="95" spans="2:5" ht="14.4" outlineLevel="1" thickBot="1" x14ac:dyDescent="0.35">
      <c r="B95" s="74" t="s">
        <v>89</v>
      </c>
      <c r="D95" s="123">
        <f>SUMIFS('Dados Mov Financeira'!$N:$N,'Dados Mov Financeira'!$O:$O,DRE!$B95)</f>
        <v>0</v>
      </c>
      <c r="E95" s="13">
        <f t="shared" si="6"/>
        <v>0</v>
      </c>
    </row>
    <row r="96" spans="2:5" ht="14.4" outlineLevel="1" thickBot="1" x14ac:dyDescent="0.35">
      <c r="B96" s="74" t="s">
        <v>90</v>
      </c>
      <c r="D96" s="123">
        <f>SUMIFS('Dados Mov Financeira'!$N:$N,'Dados Mov Financeira'!$O:$O,DRE!$B96)</f>
        <v>0</v>
      </c>
      <c r="E96" s="13">
        <f t="shared" ref="E96" si="7">IFERROR(D96/D$5,0)</f>
        <v>0</v>
      </c>
    </row>
    <row r="97" spans="1:5" s="66" customFormat="1" ht="14.4" outlineLevel="1" thickBot="1" x14ac:dyDescent="0.35">
      <c r="B97" s="82" t="s">
        <v>94</v>
      </c>
      <c r="D97" s="123">
        <f>SUM(D98:D102)</f>
        <v>0</v>
      </c>
      <c r="E97" s="11">
        <f t="shared" ref="E97:E102" si="8">IFERROR(D97/D$5,0)</f>
        <v>0</v>
      </c>
    </row>
    <row r="98" spans="1:5" ht="14.4" outlineLevel="1" thickBot="1" x14ac:dyDescent="0.35">
      <c r="B98" s="84" t="s">
        <v>8</v>
      </c>
      <c r="D98" s="123">
        <f>SUMIFS('Dados Mov Financeira'!$N:$N,'Dados Mov Financeira'!$O:$O,DRE!$B98)</f>
        <v>0</v>
      </c>
      <c r="E98" s="13">
        <f t="shared" si="8"/>
        <v>0</v>
      </c>
    </row>
    <row r="99" spans="1:5" ht="14.4" outlineLevel="1" thickBot="1" x14ac:dyDescent="0.35">
      <c r="B99" s="84" t="s">
        <v>96</v>
      </c>
      <c r="D99" s="123">
        <f>SUMIFS('Dados Mov Financeira'!$N:$N,'Dados Mov Financeira'!$O:$O,DRE!$B99)</f>
        <v>0</v>
      </c>
      <c r="E99" s="13">
        <f t="shared" si="8"/>
        <v>0</v>
      </c>
    </row>
    <row r="100" spans="1:5" ht="14.4" outlineLevel="1" thickBot="1" x14ac:dyDescent="0.35">
      <c r="B100" s="74" t="s">
        <v>38</v>
      </c>
      <c r="D100" s="123">
        <f>SUMIFS('Dados Mov Financeira'!$N:$N,'Dados Mov Financeira'!$O:$O,DRE!$B100)</f>
        <v>0</v>
      </c>
      <c r="E100" s="13">
        <f t="shared" si="8"/>
        <v>0</v>
      </c>
    </row>
    <row r="101" spans="1:5" ht="14.4" outlineLevel="1" thickBot="1" x14ac:dyDescent="0.35">
      <c r="B101" s="74" t="s">
        <v>97</v>
      </c>
      <c r="D101" s="123">
        <f>SUMIFS('Dados Mov Financeira'!$N:$N,'Dados Mov Financeira'!$O:$O,DRE!$B101)</f>
        <v>0</v>
      </c>
      <c r="E101" s="13">
        <f t="shared" si="8"/>
        <v>0</v>
      </c>
    </row>
    <row r="102" spans="1:5" ht="14.4" outlineLevel="1" thickBot="1" x14ac:dyDescent="0.35">
      <c r="B102" s="108" t="s">
        <v>0</v>
      </c>
      <c r="C102" s="111"/>
      <c r="D102" s="130">
        <f>SUMIFS('Dados Mov Financeira'!$N:$N,'Dados Mov Financeira'!$O:$O,DRE!$B102)</f>
        <v>0</v>
      </c>
      <c r="E102" s="110">
        <f t="shared" si="8"/>
        <v>0</v>
      </c>
    </row>
    <row r="103" spans="1:5" s="64" customFormat="1" ht="6.75" customHeight="1" thickBot="1" x14ac:dyDescent="0.35">
      <c r="B103" s="62"/>
      <c r="C103" s="65"/>
      <c r="D103" s="126"/>
      <c r="E103" s="5"/>
    </row>
    <row r="104" spans="1:5" s="66" customFormat="1" ht="14.4" thickBot="1" x14ac:dyDescent="0.35">
      <c r="A104" s="61"/>
      <c r="B104" s="81" t="s">
        <v>92</v>
      </c>
      <c r="D104" s="131">
        <f>D42+D44</f>
        <v>0</v>
      </c>
      <c r="E104" s="15">
        <f>IFERROR(D104/D$5,0)</f>
        <v>0</v>
      </c>
    </row>
    <row r="105" spans="1:5" s="64" customFormat="1" ht="4.5" customHeight="1" thickBot="1" x14ac:dyDescent="0.35">
      <c r="B105" s="62"/>
      <c r="C105" s="65"/>
      <c r="D105" s="126"/>
      <c r="E105" s="5"/>
    </row>
    <row r="106" spans="1:5" s="66" customFormat="1" ht="14.4" hidden="1" thickBot="1" x14ac:dyDescent="0.35">
      <c r="A106" s="61"/>
      <c r="B106" s="71" t="s">
        <v>93</v>
      </c>
      <c r="D106" s="127">
        <f>D107+D110</f>
        <v>0</v>
      </c>
      <c r="E106" s="9">
        <f t="shared" ref="E106:E113" si="9">IFERROR(D106/D$5,0)</f>
        <v>0</v>
      </c>
    </row>
    <row r="107" spans="1:5" s="66" customFormat="1" ht="14.4" hidden="1" thickBot="1" x14ac:dyDescent="0.35">
      <c r="B107" s="82" t="s">
        <v>94</v>
      </c>
      <c r="D107" s="129">
        <f>SUM(D108:D109)</f>
        <v>0</v>
      </c>
      <c r="E107" s="14">
        <f t="shared" si="9"/>
        <v>0</v>
      </c>
    </row>
    <row r="108" spans="1:5" ht="14.4" outlineLevel="1" thickBot="1" x14ac:dyDescent="0.35">
      <c r="B108" s="84" t="s">
        <v>95</v>
      </c>
      <c r="D108" s="123">
        <f>SUMIFS('Dados Mov Financeira'!$N:$N,'Dados Mov Financeira'!$O:$O,DRE!$B108)</f>
        <v>0</v>
      </c>
      <c r="E108" s="13">
        <f t="shared" si="9"/>
        <v>0</v>
      </c>
    </row>
    <row r="109" spans="1:5" ht="14.4" outlineLevel="1" thickBot="1" x14ac:dyDescent="0.35">
      <c r="B109" s="74" t="s">
        <v>134</v>
      </c>
      <c r="D109" s="123">
        <f>SUMIFS('Dados Mov Financeira'!$N:$N,'Dados Mov Financeira'!$O:$O,DRE!$B109)</f>
        <v>0</v>
      </c>
      <c r="E109" s="13">
        <f t="shared" si="9"/>
        <v>0</v>
      </c>
    </row>
    <row r="110" spans="1:5" s="66" customFormat="1" ht="14.4" hidden="1" thickBot="1" x14ac:dyDescent="0.35">
      <c r="B110" s="82" t="s">
        <v>98</v>
      </c>
      <c r="D110" s="123">
        <f>SUMIFS('Dados Mov Financeira'!$N:$N,'Dados Mov Financeira'!$O:$O,DRE!$B110)</f>
        <v>0</v>
      </c>
      <c r="E110" s="14">
        <f t="shared" si="9"/>
        <v>0</v>
      </c>
    </row>
    <row r="111" spans="1:5" ht="14.4" outlineLevel="1" thickBot="1" x14ac:dyDescent="0.35">
      <c r="B111" s="74" t="s">
        <v>99</v>
      </c>
      <c r="D111" s="123">
        <f>SUMIFS('Dados Mov Financeira'!$N:$N,'Dados Mov Financeira'!$O:$O,DRE!$B111)</f>
        <v>0</v>
      </c>
      <c r="E111" s="13">
        <f t="shared" si="9"/>
        <v>0</v>
      </c>
    </row>
    <row r="112" spans="1:5" ht="14.4" outlineLevel="1" thickBot="1" x14ac:dyDescent="0.35">
      <c r="B112" s="74" t="s">
        <v>100</v>
      </c>
      <c r="D112" s="123">
        <f>SUMIFS('Dados Mov Financeira'!$N:$N,'Dados Mov Financeira'!$O:$O,DRE!$B112)</f>
        <v>0</v>
      </c>
      <c r="E112" s="13">
        <f t="shared" si="9"/>
        <v>0</v>
      </c>
    </row>
    <row r="113" spans="1:5" ht="14.4" outlineLevel="1" thickBot="1" x14ac:dyDescent="0.35">
      <c r="B113" s="74" t="s">
        <v>101</v>
      </c>
      <c r="D113" s="123">
        <f>SUMIFS('Dados Mov Financeira'!$N:$N,'Dados Mov Financeira'!$O:$O,DRE!$B113)</f>
        <v>0</v>
      </c>
      <c r="E113" s="13">
        <f t="shared" si="9"/>
        <v>0</v>
      </c>
    </row>
    <row r="114" spans="1:5" s="64" customFormat="1" ht="6" hidden="1" customHeight="1" thickBot="1" x14ac:dyDescent="0.35">
      <c r="B114" s="62"/>
      <c r="C114" s="65"/>
      <c r="D114" s="126"/>
      <c r="E114" s="5"/>
    </row>
    <row r="115" spans="1:5" s="66" customFormat="1" ht="14.25" hidden="1" customHeight="1" thickBot="1" x14ac:dyDescent="0.35">
      <c r="A115" s="61"/>
      <c r="B115" s="81" t="s">
        <v>102</v>
      </c>
      <c r="D115" s="131">
        <f>D104+D106</f>
        <v>0</v>
      </c>
      <c r="E115" s="15">
        <f>IFERROR(D115/D$5,0)</f>
        <v>0</v>
      </c>
    </row>
    <row r="116" spans="1:5" s="64" customFormat="1" ht="14.25" customHeight="1" thickBot="1" x14ac:dyDescent="0.35">
      <c r="B116" s="62"/>
      <c r="C116" s="65"/>
      <c r="D116" s="126"/>
      <c r="E116" s="5"/>
    </row>
    <row r="117" spans="1:5" s="66" customFormat="1" ht="14.25" customHeight="1" thickBot="1" x14ac:dyDescent="0.35">
      <c r="A117" s="61"/>
      <c r="B117" s="85" t="s">
        <v>103</v>
      </c>
      <c r="D117" s="133">
        <f>SUM(D118:D128)</f>
        <v>0</v>
      </c>
      <c r="E117" s="21">
        <f t="shared" ref="E117:E124" si="10">IFERROR(D117/D$5,0)</f>
        <v>0</v>
      </c>
    </row>
    <row r="118" spans="1:5" ht="14.4" outlineLevel="1" thickBot="1" x14ac:dyDescent="0.35">
      <c r="B118" s="84" t="s">
        <v>41</v>
      </c>
      <c r="D118" s="123">
        <f>SUMIFS('Dados Mov Financeira'!$N:$N,'Dados Mov Financeira'!$O:$O,DRE!$B118)</f>
        <v>0</v>
      </c>
      <c r="E118" s="13">
        <f t="shared" si="10"/>
        <v>0</v>
      </c>
    </row>
    <row r="119" spans="1:5" ht="14.4" outlineLevel="1" thickBot="1" x14ac:dyDescent="0.35">
      <c r="B119" s="74" t="s">
        <v>104</v>
      </c>
      <c r="D119" s="123">
        <f>SUMIFS('Dados Mov Financeira'!$N:$N,'Dados Mov Financeira'!$O:$O,DRE!$B119)</f>
        <v>0</v>
      </c>
      <c r="E119" s="13">
        <f t="shared" si="10"/>
        <v>0</v>
      </c>
    </row>
    <row r="120" spans="1:5" ht="14.4" outlineLevel="1" thickBot="1" x14ac:dyDescent="0.35">
      <c r="B120" s="74" t="s">
        <v>7</v>
      </c>
      <c r="D120" s="123">
        <f>SUMIFS('Dados Mov Financeira'!$N:$N,'Dados Mov Financeira'!$O:$O,DRE!$B120)</f>
        <v>0</v>
      </c>
      <c r="E120" s="13">
        <f t="shared" si="10"/>
        <v>0</v>
      </c>
    </row>
    <row r="121" spans="1:5" ht="14.4" outlineLevel="1" thickBot="1" x14ac:dyDescent="0.35">
      <c r="B121" s="74" t="s">
        <v>6</v>
      </c>
      <c r="D121" s="123">
        <f>SUMIFS('Dados Mov Financeira'!$N:$N,'Dados Mov Financeira'!$O:$O,DRE!$B121)</f>
        <v>0</v>
      </c>
      <c r="E121" s="13">
        <f t="shared" si="10"/>
        <v>0</v>
      </c>
    </row>
    <row r="122" spans="1:5" ht="14.4" outlineLevel="1" thickBot="1" x14ac:dyDescent="0.35">
      <c r="B122" s="74" t="s">
        <v>47</v>
      </c>
      <c r="D122" s="123">
        <f>SUMIFS('Dados Mov Financeira'!$N:$N,'Dados Mov Financeira'!$O:$O,DRE!$B122)</f>
        <v>0</v>
      </c>
      <c r="E122" s="13">
        <f t="shared" si="10"/>
        <v>0</v>
      </c>
    </row>
    <row r="123" spans="1:5" ht="14.4" outlineLevel="1" thickBot="1" x14ac:dyDescent="0.35">
      <c r="B123" s="74" t="s">
        <v>108</v>
      </c>
      <c r="D123" s="123">
        <f>SUMIFS('Dados Mov Financeira'!$N:$N,'Dados Mov Financeira'!$O:$O,DRE!$B123)</f>
        <v>0</v>
      </c>
      <c r="E123" s="13">
        <f t="shared" si="10"/>
        <v>0</v>
      </c>
    </row>
    <row r="124" spans="1:5" ht="14.4" outlineLevel="1" thickBot="1" x14ac:dyDescent="0.35">
      <c r="B124" s="74" t="s">
        <v>109</v>
      </c>
      <c r="D124" s="123">
        <f>SUMIFS('Dados Mov Financeira'!$N:$N,'Dados Mov Financeira'!$O:$O,DRE!$B124)</f>
        <v>0</v>
      </c>
      <c r="E124" s="13">
        <f t="shared" si="10"/>
        <v>0</v>
      </c>
    </row>
    <row r="125" spans="1:5" ht="15.75" customHeight="1" outlineLevel="1" thickBot="1" x14ac:dyDescent="0.35">
      <c r="B125" s="74" t="s">
        <v>112</v>
      </c>
      <c r="D125" s="123">
        <f>SUMIFS('Dados Mov Financeira'!$N:$N,'Dados Mov Financeira'!$O:$O,DRE!$B125)</f>
        <v>0</v>
      </c>
      <c r="E125" s="13">
        <f>IFERROR(D125/D$5,0)</f>
        <v>0</v>
      </c>
    </row>
    <row r="126" spans="1:5" ht="15.75" customHeight="1" outlineLevel="1" thickBot="1" x14ac:dyDescent="0.35">
      <c r="B126" s="74" t="s">
        <v>149</v>
      </c>
      <c r="D126" s="123">
        <f>SUMIFS('Dados Mov Financeira'!$N:$N,'Dados Mov Financeira'!$O:$O,DRE!$B126)</f>
        <v>0</v>
      </c>
      <c r="E126" s="13">
        <f>IFERROR(D126/D$5,0)</f>
        <v>0</v>
      </c>
    </row>
    <row r="127" spans="1:5" ht="14.4" outlineLevel="1" thickBot="1" x14ac:dyDescent="0.35">
      <c r="B127" s="74" t="s">
        <v>119</v>
      </c>
      <c r="D127" s="123">
        <f>SUMIFS('Dados Mov Financeira'!$N:$N,'Dados Mov Financeira'!$O:$O,DRE!$B127)</f>
        <v>0</v>
      </c>
      <c r="E127" s="13">
        <f t="shared" ref="E127:E128" si="11">IFERROR(D127/D$5,0)</f>
        <v>0</v>
      </c>
    </row>
    <row r="128" spans="1:5" ht="14.4" outlineLevel="1" thickBot="1" x14ac:dyDescent="0.35">
      <c r="B128" s="74" t="s">
        <v>120</v>
      </c>
      <c r="D128" s="123">
        <f>SUMIFS('Dados Mov Financeira'!$N:$N,'Dados Mov Financeira'!$O:$O,DRE!$B128)</f>
        <v>0</v>
      </c>
      <c r="E128" s="13">
        <f t="shared" si="11"/>
        <v>0</v>
      </c>
    </row>
    <row r="129" spans="1:5" s="64" customFormat="1" ht="9" customHeight="1" x14ac:dyDescent="0.3">
      <c r="B129" s="62"/>
      <c r="C129" s="65"/>
      <c r="D129" s="126"/>
      <c r="E129" s="5"/>
    </row>
    <row r="130" spans="1:5" s="66" customFormat="1" ht="14.4" hidden="1" thickBot="1" x14ac:dyDescent="0.35">
      <c r="A130" s="61"/>
      <c r="B130" s="81" t="s">
        <v>113</v>
      </c>
      <c r="D130" s="131">
        <f>D115+D117</f>
        <v>0</v>
      </c>
      <c r="E130" s="15">
        <f>IFERROR(D130/D$5,0)</f>
        <v>0</v>
      </c>
    </row>
    <row r="131" spans="1:5" ht="14.4" hidden="1" thickBot="1" x14ac:dyDescent="0.35">
      <c r="B131" s="86" t="s">
        <v>114</v>
      </c>
    </row>
    <row r="132" spans="1:5" ht="14.4" hidden="1" thickBot="1" x14ac:dyDescent="0.35">
      <c r="B132" s="86" t="s">
        <v>115</v>
      </c>
    </row>
  </sheetData>
  <mergeCells count="3">
    <mergeCell ref="D4:E4"/>
    <mergeCell ref="D1:E1"/>
    <mergeCell ref="D2:E2"/>
  </mergeCells>
  <conditionalFormatting sqref="B32:E32 B42:E42 B104:E104 B106:E106 B115:E115 B117:E117 B130:E130">
    <cfRule type="cellIs" dxfId="2" priority="464" operator="lessThan">
      <formula>0</formula>
    </cfRule>
  </conditionalFormatting>
  <pageMargins left="0.25" right="0.25" top="0.75" bottom="0.75" header="0.3" footer="0.3"/>
  <pageSetup paperSize="9" scale="4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O257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11253" sqref="A11253"/>
      <selection pane="bottomRight" activeCell="B2" sqref="A2:B2"/>
    </sheetView>
  </sheetViews>
  <sheetFormatPr defaultRowHeight="14.4" x14ac:dyDescent="0.3"/>
  <cols>
    <col min="1" max="1" width="6.5546875" bestFit="1" customWidth="1"/>
    <col min="2" max="2" width="6.33203125" style="31" bestFit="1" customWidth="1"/>
    <col min="3" max="3" width="10.5546875" style="32" bestFit="1" customWidth="1"/>
    <col min="4" max="4" width="17.6640625" style="31" bestFit="1" customWidth="1"/>
    <col min="5" max="5" width="13.21875" style="31" bestFit="1" customWidth="1"/>
    <col min="6" max="6" width="15" style="31" bestFit="1" customWidth="1"/>
    <col min="7" max="7" width="6.6640625" style="35" customWidth="1"/>
    <col min="8" max="8" width="9.6640625" style="25" bestFit="1" customWidth="1"/>
    <col min="9" max="9" width="16.5546875" style="31" bestFit="1" customWidth="1"/>
    <col min="10" max="10" width="7.21875" style="33" bestFit="1" customWidth="1"/>
    <col min="11" max="11" width="7.5546875" style="34" bestFit="1" customWidth="1"/>
    <col min="12" max="12" width="7.44140625" bestFit="1" customWidth="1"/>
    <col min="13" max="13" width="8.6640625" bestFit="1" customWidth="1"/>
    <col min="14" max="14" width="8.44140625" style="105" bestFit="1" customWidth="1"/>
    <col min="15" max="15" width="18" bestFit="1" customWidth="1"/>
  </cols>
  <sheetData>
    <row r="1" spans="1:15" s="36" customFormat="1" ht="11.4" x14ac:dyDescent="0.2">
      <c r="A1" s="40" t="s">
        <v>49</v>
      </c>
      <c r="B1" s="41" t="s">
        <v>51</v>
      </c>
      <c r="C1" s="47" t="s">
        <v>138</v>
      </c>
      <c r="D1" s="37" t="s">
        <v>139</v>
      </c>
      <c r="E1" s="37" t="s">
        <v>140</v>
      </c>
      <c r="F1" s="37" t="s">
        <v>141</v>
      </c>
      <c r="G1" s="38"/>
      <c r="H1" s="26" t="s">
        <v>125</v>
      </c>
      <c r="I1" s="27" t="s">
        <v>126</v>
      </c>
      <c r="J1" s="39" t="s">
        <v>127</v>
      </c>
      <c r="K1" s="28" t="s">
        <v>128</v>
      </c>
      <c r="L1" s="29" t="s">
        <v>129</v>
      </c>
      <c r="M1" s="30" t="s">
        <v>130</v>
      </c>
      <c r="N1" s="107" t="s">
        <v>132</v>
      </c>
      <c r="O1" s="43" t="s">
        <v>131</v>
      </c>
    </row>
    <row r="2" spans="1:15" x14ac:dyDescent="0.3">
      <c r="A2" s="42"/>
      <c r="C2" s="52"/>
      <c r="D2"/>
      <c r="E2"/>
      <c r="F2"/>
      <c r="N2" s="44"/>
    </row>
    <row r="3" spans="1:15" x14ac:dyDescent="0.3">
      <c r="A3" s="42"/>
      <c r="C3" s="52"/>
      <c r="D3"/>
      <c r="E3"/>
      <c r="F3"/>
      <c r="N3" s="44"/>
    </row>
    <row r="4" spans="1:15" x14ac:dyDescent="0.3">
      <c r="A4" s="42"/>
      <c r="C4" s="52"/>
      <c r="D4"/>
      <c r="E4"/>
      <c r="F4"/>
      <c r="N4" s="44"/>
    </row>
    <row r="5" spans="1:15" x14ac:dyDescent="0.3">
      <c r="A5" s="42"/>
      <c r="C5" s="52"/>
      <c r="D5"/>
      <c r="E5"/>
      <c r="F5"/>
      <c r="N5" s="44"/>
    </row>
    <row r="6" spans="1:15" x14ac:dyDescent="0.3">
      <c r="A6" s="42"/>
      <c r="C6" s="52"/>
      <c r="D6"/>
      <c r="E6"/>
      <c r="F6"/>
      <c r="N6" s="44"/>
    </row>
    <row r="7" spans="1:15" ht="15.6" x14ac:dyDescent="0.3">
      <c r="A7" s="42"/>
      <c r="C7" s="122"/>
      <c r="D7" s="112"/>
      <c r="E7"/>
      <c r="F7" s="112"/>
      <c r="L7" s="112"/>
      <c r="N7" s="44"/>
    </row>
    <row r="8" spans="1:15" ht="15.6" x14ac:dyDescent="0.3">
      <c r="A8" s="42"/>
      <c r="C8" s="122"/>
      <c r="D8" s="112"/>
      <c r="E8"/>
      <c r="F8" s="112"/>
      <c r="L8" s="112"/>
      <c r="N8" s="44"/>
    </row>
    <row r="9" spans="1:15" ht="15.6" x14ac:dyDescent="0.3">
      <c r="A9" s="42"/>
      <c r="C9" s="122"/>
      <c r="D9" s="112"/>
      <c r="E9"/>
      <c r="F9" s="112"/>
      <c r="L9" s="112"/>
      <c r="N9" s="44"/>
    </row>
    <row r="10" spans="1:15" x14ac:dyDescent="0.3">
      <c r="A10" s="42"/>
      <c r="C10" s="52"/>
      <c r="D10"/>
      <c r="E10"/>
      <c r="F10"/>
      <c r="N10" s="44"/>
    </row>
    <row r="11" spans="1:15" ht="15" thickBot="1" x14ac:dyDescent="0.35">
      <c r="A11" s="42"/>
      <c r="C11" s="52"/>
      <c r="D11"/>
      <c r="E11"/>
      <c r="F11"/>
      <c r="N11" s="44"/>
      <c r="O11" s="74"/>
    </row>
    <row r="12" spans="1:15" ht="15" thickBot="1" x14ac:dyDescent="0.35">
      <c r="A12" s="42"/>
      <c r="C12" s="52"/>
      <c r="D12"/>
      <c r="E12"/>
      <c r="F12"/>
      <c r="N12" s="44"/>
      <c r="O12" s="74"/>
    </row>
    <row r="13" spans="1:15" ht="15.6" x14ac:dyDescent="0.3">
      <c r="A13" s="42"/>
      <c r="C13" s="122"/>
      <c r="D13" s="112"/>
      <c r="E13"/>
      <c r="F13" s="112"/>
      <c r="L13" s="112"/>
      <c r="N13" s="44"/>
    </row>
    <row r="14" spans="1:15" x14ac:dyDescent="0.3">
      <c r="A14" s="42"/>
      <c r="C14" s="52"/>
      <c r="D14"/>
      <c r="E14"/>
      <c r="F14"/>
      <c r="N14" s="44"/>
    </row>
    <row r="15" spans="1:15" x14ac:dyDescent="0.3">
      <c r="A15" s="42"/>
      <c r="C15" s="52"/>
      <c r="D15"/>
      <c r="E15"/>
      <c r="F15"/>
      <c r="N15" s="44"/>
    </row>
    <row r="16" spans="1:15" x14ac:dyDescent="0.3">
      <c r="A16" s="42"/>
      <c r="C16" s="52"/>
      <c r="D16"/>
      <c r="E16"/>
      <c r="F16"/>
      <c r="N16" s="44"/>
    </row>
    <row r="17" spans="1:14" x14ac:dyDescent="0.3">
      <c r="A17" s="42"/>
      <c r="C17" s="52"/>
      <c r="D17"/>
      <c r="E17"/>
      <c r="F17"/>
      <c r="N17" s="44"/>
    </row>
    <row r="18" spans="1:14" ht="15.6" x14ac:dyDescent="0.3">
      <c r="A18" s="42"/>
      <c r="C18" s="122"/>
      <c r="D18" s="112"/>
      <c r="E18"/>
      <c r="F18"/>
      <c r="L18" s="112"/>
      <c r="N18" s="44"/>
    </row>
    <row r="19" spans="1:14" ht="15.6" x14ac:dyDescent="0.3">
      <c r="A19" s="42"/>
      <c r="C19" s="122"/>
      <c r="D19" s="112"/>
      <c r="E19"/>
      <c r="F19"/>
      <c r="L19" s="112"/>
      <c r="N19" s="44"/>
    </row>
    <row r="20" spans="1:14" x14ac:dyDescent="0.3">
      <c r="A20" s="42"/>
      <c r="C20" s="52"/>
      <c r="D20"/>
      <c r="E20"/>
      <c r="F20"/>
      <c r="N20" s="44"/>
    </row>
    <row r="21" spans="1:14" x14ac:dyDescent="0.3">
      <c r="A21" s="42"/>
      <c r="C21" s="52"/>
      <c r="D21"/>
      <c r="E21"/>
      <c r="F21"/>
      <c r="N21" s="44"/>
    </row>
    <row r="22" spans="1:14" x14ac:dyDescent="0.3">
      <c r="A22" s="42"/>
      <c r="C22" s="52"/>
      <c r="D22"/>
      <c r="E22"/>
      <c r="F22"/>
      <c r="N22" s="44"/>
    </row>
    <row r="23" spans="1:14" x14ac:dyDescent="0.3">
      <c r="A23" s="42"/>
      <c r="C23" s="52"/>
      <c r="D23"/>
      <c r="E23"/>
      <c r="F23"/>
      <c r="N23" s="44"/>
    </row>
    <row r="24" spans="1:14" x14ac:dyDescent="0.3">
      <c r="A24" s="42"/>
      <c r="C24" s="52"/>
      <c r="D24"/>
      <c r="E24"/>
      <c r="F24"/>
      <c r="N24" s="44"/>
    </row>
    <row r="25" spans="1:14" ht="15.6" x14ac:dyDescent="0.3">
      <c r="A25" s="42"/>
      <c r="C25" s="122"/>
      <c r="D25" s="112"/>
      <c r="E25"/>
      <c r="F25"/>
      <c r="L25" s="112"/>
      <c r="N25" s="44"/>
    </row>
    <row r="26" spans="1:14" x14ac:dyDescent="0.3">
      <c r="A26" s="42"/>
      <c r="C26" s="52"/>
      <c r="D26"/>
      <c r="E26"/>
      <c r="F26"/>
      <c r="N26" s="44"/>
    </row>
    <row r="27" spans="1:14" x14ac:dyDescent="0.3">
      <c r="A27" s="42"/>
      <c r="C27" s="52"/>
      <c r="D27"/>
      <c r="E27"/>
      <c r="F27"/>
      <c r="N27" s="44"/>
    </row>
    <row r="28" spans="1:14" x14ac:dyDescent="0.3">
      <c r="A28" s="42"/>
      <c r="C28" s="52"/>
      <c r="D28"/>
      <c r="E28"/>
      <c r="F28"/>
      <c r="N28" s="44"/>
    </row>
    <row r="29" spans="1:14" x14ac:dyDescent="0.3">
      <c r="A29" s="42"/>
      <c r="C29" s="52"/>
      <c r="D29"/>
      <c r="E29"/>
      <c r="F29"/>
      <c r="N29" s="44"/>
    </row>
    <row r="30" spans="1:14" x14ac:dyDescent="0.3">
      <c r="A30" s="42"/>
      <c r="C30" s="52"/>
      <c r="D30"/>
      <c r="E30"/>
      <c r="F30"/>
      <c r="N30" s="44"/>
    </row>
    <row r="31" spans="1:14" x14ac:dyDescent="0.3">
      <c r="A31" s="42"/>
      <c r="C31" s="52"/>
      <c r="D31"/>
      <c r="E31"/>
      <c r="F31"/>
      <c r="N31" s="44"/>
    </row>
    <row r="32" spans="1:14" ht="15.6" x14ac:dyDescent="0.3">
      <c r="A32" s="42"/>
      <c r="C32" s="122"/>
      <c r="D32" s="112"/>
      <c r="E32"/>
      <c r="F32"/>
      <c r="L32" s="112"/>
      <c r="N32" s="44"/>
    </row>
    <row r="33" spans="1:14" ht="15.6" x14ac:dyDescent="0.3">
      <c r="A33" s="42"/>
      <c r="C33" s="122"/>
      <c r="D33" s="112"/>
      <c r="E33"/>
      <c r="F33"/>
      <c r="L33" s="112"/>
      <c r="N33" s="44"/>
    </row>
    <row r="34" spans="1:14" ht="15.6" x14ac:dyDescent="0.3">
      <c r="A34" s="42"/>
      <c r="C34" s="122"/>
      <c r="D34" s="112"/>
      <c r="E34"/>
      <c r="F34"/>
      <c r="L34" s="112"/>
      <c r="N34" s="44"/>
    </row>
    <row r="35" spans="1:14" ht="15.6" x14ac:dyDescent="0.3">
      <c r="A35" s="42"/>
      <c r="C35" s="122"/>
      <c r="D35" s="112"/>
      <c r="E35"/>
      <c r="F35"/>
      <c r="L35" s="112"/>
      <c r="N35" s="44"/>
    </row>
    <row r="36" spans="1:14" ht="15.6" x14ac:dyDescent="0.3">
      <c r="A36" s="42"/>
      <c r="C36" s="122"/>
      <c r="D36" s="112"/>
      <c r="E36"/>
      <c r="F36" s="112"/>
      <c r="L36" s="112"/>
      <c r="N36" s="44"/>
    </row>
    <row r="37" spans="1:14" x14ac:dyDescent="0.3">
      <c r="A37" s="42"/>
      <c r="C37" s="52"/>
      <c r="D37"/>
      <c r="E37"/>
      <c r="F37"/>
      <c r="N37" s="44"/>
    </row>
    <row r="38" spans="1:14" x14ac:dyDescent="0.3">
      <c r="A38" s="42"/>
      <c r="C38" s="52"/>
      <c r="D38"/>
      <c r="E38"/>
      <c r="F38"/>
      <c r="N38" s="44"/>
    </row>
    <row r="39" spans="1:14" x14ac:dyDescent="0.3">
      <c r="A39" s="42"/>
      <c r="C39" s="52"/>
      <c r="D39"/>
      <c r="E39"/>
      <c r="F39"/>
      <c r="N39" s="44"/>
    </row>
    <row r="40" spans="1:14" x14ac:dyDescent="0.3">
      <c r="A40" s="42"/>
      <c r="C40" s="52"/>
      <c r="D40"/>
      <c r="E40"/>
      <c r="F40"/>
      <c r="N40" s="44"/>
    </row>
    <row r="41" spans="1:14" x14ac:dyDescent="0.3">
      <c r="A41" s="42"/>
      <c r="C41" s="52"/>
      <c r="D41"/>
      <c r="E41"/>
      <c r="F41"/>
      <c r="N41" s="44"/>
    </row>
    <row r="42" spans="1:14" x14ac:dyDescent="0.3">
      <c r="A42" s="42"/>
      <c r="C42" s="52"/>
      <c r="D42"/>
      <c r="E42"/>
      <c r="F42"/>
      <c r="N42" s="44"/>
    </row>
    <row r="43" spans="1:14" x14ac:dyDescent="0.3">
      <c r="A43" s="42"/>
      <c r="C43" s="52"/>
      <c r="D43"/>
      <c r="E43"/>
      <c r="F43"/>
      <c r="N43" s="44"/>
    </row>
    <row r="44" spans="1:14" x14ac:dyDescent="0.3">
      <c r="A44" s="42"/>
      <c r="C44" s="52"/>
      <c r="D44"/>
      <c r="E44"/>
      <c r="F44"/>
      <c r="N44" s="44"/>
    </row>
    <row r="45" spans="1:14" ht="15.6" x14ac:dyDescent="0.3">
      <c r="A45" s="42"/>
      <c r="C45" s="122"/>
      <c r="D45" s="112"/>
      <c r="E45"/>
      <c r="F45"/>
      <c r="L45" s="112"/>
      <c r="N45" s="44"/>
    </row>
    <row r="46" spans="1:14" ht="15.6" x14ac:dyDescent="0.3">
      <c r="A46" s="42"/>
      <c r="C46" s="122"/>
      <c r="D46" s="112"/>
      <c r="E46"/>
      <c r="F46"/>
      <c r="L46" s="112"/>
      <c r="N46" s="44"/>
    </row>
    <row r="47" spans="1:14" ht="15.6" x14ac:dyDescent="0.3">
      <c r="A47" s="42"/>
      <c r="C47" s="122"/>
      <c r="D47" s="112"/>
      <c r="E47"/>
      <c r="F47"/>
      <c r="L47" s="112"/>
      <c r="N47" s="44"/>
    </row>
    <row r="48" spans="1:14" x14ac:dyDescent="0.3">
      <c r="A48" s="42"/>
      <c r="C48" s="52"/>
      <c r="D48"/>
      <c r="E48"/>
      <c r="F48"/>
      <c r="N48" s="44"/>
    </row>
    <row r="49" spans="1:14" ht="15.6" x14ac:dyDescent="0.3">
      <c r="A49" s="42"/>
      <c r="C49" s="122"/>
      <c r="D49" s="112"/>
      <c r="E49"/>
      <c r="F49" s="112"/>
      <c r="L49" s="112"/>
      <c r="N49" s="44"/>
    </row>
    <row r="50" spans="1:14" x14ac:dyDescent="0.3">
      <c r="A50" s="42"/>
      <c r="C50" s="52"/>
      <c r="D50"/>
      <c r="E50"/>
      <c r="F50"/>
      <c r="N50" s="44"/>
    </row>
    <row r="51" spans="1:14" ht="15.6" x14ac:dyDescent="0.3">
      <c r="A51" s="42"/>
      <c r="C51" s="122"/>
      <c r="D51" s="112"/>
      <c r="E51"/>
      <c r="F51"/>
      <c r="L51" s="112"/>
      <c r="N51" s="44"/>
    </row>
    <row r="52" spans="1:14" x14ac:dyDescent="0.3">
      <c r="A52" s="42"/>
      <c r="C52" s="52"/>
      <c r="D52"/>
      <c r="E52"/>
      <c r="F52"/>
      <c r="N52" s="44"/>
    </row>
    <row r="53" spans="1:14" ht="15.6" x14ac:dyDescent="0.3">
      <c r="A53" s="42"/>
      <c r="C53" s="122"/>
      <c r="D53" s="112"/>
      <c r="E53"/>
      <c r="F53" s="112"/>
      <c r="L53" s="112"/>
      <c r="N53" s="44"/>
    </row>
    <row r="54" spans="1:14" x14ac:dyDescent="0.3">
      <c r="A54" s="42"/>
      <c r="C54" s="52"/>
      <c r="D54"/>
      <c r="E54"/>
      <c r="F54"/>
      <c r="N54" s="44"/>
    </row>
    <row r="55" spans="1:14" x14ac:dyDescent="0.3">
      <c r="A55" s="42"/>
      <c r="C55" s="52"/>
      <c r="D55"/>
      <c r="E55"/>
      <c r="F55"/>
      <c r="N55" s="44"/>
    </row>
    <row r="56" spans="1:14" x14ac:dyDescent="0.3">
      <c r="A56" s="42"/>
      <c r="C56" s="52"/>
      <c r="D56"/>
      <c r="E56"/>
      <c r="F56"/>
      <c r="N56" s="44"/>
    </row>
    <row r="57" spans="1:14" x14ac:dyDescent="0.3">
      <c r="A57" s="42"/>
      <c r="C57" s="52"/>
      <c r="D57"/>
      <c r="E57"/>
      <c r="F57"/>
      <c r="N57" s="44"/>
    </row>
    <row r="58" spans="1:14" x14ac:dyDescent="0.3">
      <c r="A58" s="42"/>
      <c r="C58" s="52"/>
      <c r="D58"/>
      <c r="E58"/>
      <c r="F58"/>
      <c r="N58" s="44"/>
    </row>
    <row r="59" spans="1:14" ht="15.6" x14ac:dyDescent="0.3">
      <c r="A59" s="42"/>
      <c r="C59" s="122"/>
      <c r="D59" s="112"/>
      <c r="E59"/>
      <c r="F59"/>
      <c r="L59" s="112"/>
      <c r="N59" s="44"/>
    </row>
    <row r="60" spans="1:14" x14ac:dyDescent="0.3">
      <c r="A60" s="42"/>
      <c r="C60" s="52"/>
      <c r="D60"/>
      <c r="E60"/>
      <c r="F60"/>
      <c r="N60" s="44"/>
    </row>
    <row r="61" spans="1:14" ht="15.6" x14ac:dyDescent="0.3">
      <c r="A61" s="42"/>
      <c r="C61" s="122"/>
      <c r="D61" s="112"/>
      <c r="E61"/>
      <c r="F61"/>
      <c r="L61" s="112"/>
      <c r="N61" s="44"/>
    </row>
    <row r="62" spans="1:14" x14ac:dyDescent="0.3">
      <c r="A62" s="42"/>
      <c r="C62" s="52"/>
      <c r="D62"/>
      <c r="E62"/>
      <c r="F62"/>
      <c r="N62" s="44"/>
    </row>
    <row r="63" spans="1:14" x14ac:dyDescent="0.3">
      <c r="A63" s="42"/>
      <c r="C63" s="52"/>
      <c r="D63"/>
      <c r="E63"/>
      <c r="F63"/>
      <c r="N63" s="44"/>
    </row>
    <row r="64" spans="1:14" x14ac:dyDescent="0.3">
      <c r="A64" s="42"/>
      <c r="C64" s="52"/>
      <c r="D64"/>
      <c r="E64"/>
      <c r="F64"/>
      <c r="N64" s="44"/>
    </row>
    <row r="65" spans="1:14" x14ac:dyDescent="0.3">
      <c r="A65" s="42"/>
      <c r="C65" s="52"/>
      <c r="D65"/>
      <c r="E65"/>
      <c r="F65"/>
      <c r="N65" s="44"/>
    </row>
    <row r="66" spans="1:14" x14ac:dyDescent="0.3">
      <c r="A66" s="42"/>
      <c r="C66" s="52"/>
      <c r="D66"/>
      <c r="E66"/>
      <c r="F66"/>
      <c r="N66" s="44"/>
    </row>
    <row r="67" spans="1:14" x14ac:dyDescent="0.3">
      <c r="A67" s="42"/>
      <c r="C67" s="52"/>
      <c r="D67"/>
      <c r="E67"/>
      <c r="F67"/>
      <c r="N67" s="44"/>
    </row>
    <row r="68" spans="1:14" ht="15.6" x14ac:dyDescent="0.3">
      <c r="A68" s="42"/>
      <c r="C68" s="122"/>
      <c r="D68" s="112"/>
      <c r="E68"/>
      <c r="F68"/>
      <c r="L68" s="112"/>
      <c r="N68" s="44"/>
    </row>
    <row r="69" spans="1:14" x14ac:dyDescent="0.3">
      <c r="A69" s="42"/>
      <c r="C69" s="52"/>
      <c r="D69"/>
      <c r="E69"/>
      <c r="F69"/>
      <c r="N69" s="44"/>
    </row>
    <row r="70" spans="1:14" ht="15.6" x14ac:dyDescent="0.3">
      <c r="A70" s="42"/>
      <c r="C70" s="122"/>
      <c r="D70" s="112"/>
      <c r="E70"/>
      <c r="F70"/>
      <c r="L70" s="112"/>
      <c r="N70" s="44"/>
    </row>
    <row r="71" spans="1:14" x14ac:dyDescent="0.3">
      <c r="A71" s="42"/>
      <c r="C71" s="52"/>
      <c r="D71"/>
      <c r="E71"/>
      <c r="F71"/>
      <c r="N71" s="44"/>
    </row>
    <row r="72" spans="1:14" x14ac:dyDescent="0.3">
      <c r="A72" s="42"/>
      <c r="C72" s="52"/>
      <c r="D72"/>
      <c r="E72"/>
      <c r="F72"/>
      <c r="N72" s="44"/>
    </row>
    <row r="73" spans="1:14" x14ac:dyDescent="0.3">
      <c r="A73" s="42"/>
      <c r="C73" s="52"/>
      <c r="D73"/>
      <c r="E73"/>
      <c r="F73"/>
      <c r="N73" s="44"/>
    </row>
    <row r="74" spans="1:14" ht="15.6" x14ac:dyDescent="0.3">
      <c r="A74" s="42"/>
      <c r="C74" s="122"/>
      <c r="D74" s="112"/>
      <c r="E74"/>
      <c r="F74"/>
      <c r="L74" s="112"/>
      <c r="N74" s="44"/>
    </row>
    <row r="75" spans="1:14" x14ac:dyDescent="0.3">
      <c r="A75" s="42"/>
      <c r="C75" s="52"/>
      <c r="D75"/>
      <c r="E75"/>
      <c r="F75"/>
      <c r="N75" s="44"/>
    </row>
    <row r="76" spans="1:14" x14ac:dyDescent="0.3">
      <c r="A76" s="42"/>
      <c r="C76" s="52"/>
      <c r="D76"/>
      <c r="E76"/>
      <c r="F76"/>
      <c r="N76" s="44"/>
    </row>
    <row r="77" spans="1:14" ht="15.6" x14ac:dyDescent="0.3">
      <c r="A77" s="42"/>
      <c r="C77" s="122"/>
      <c r="D77" s="112"/>
      <c r="E77"/>
      <c r="F77"/>
      <c r="L77" s="112"/>
      <c r="M77" s="45"/>
      <c r="N77" s="44"/>
    </row>
    <row r="78" spans="1:14" x14ac:dyDescent="0.3">
      <c r="A78" s="42"/>
      <c r="C78" s="52"/>
      <c r="D78"/>
      <c r="E78"/>
      <c r="F78"/>
      <c r="N78" s="44"/>
    </row>
    <row r="79" spans="1:14" ht="15.6" x14ac:dyDescent="0.3">
      <c r="A79" s="42"/>
      <c r="C79" s="122"/>
      <c r="D79" s="112"/>
      <c r="E79"/>
      <c r="F79"/>
      <c r="L79" s="112"/>
      <c r="N79" s="44"/>
    </row>
    <row r="80" spans="1:14" x14ac:dyDescent="0.3">
      <c r="A80" s="42"/>
      <c r="C80" s="52"/>
      <c r="D80"/>
      <c r="E80"/>
      <c r="F80"/>
      <c r="N80" s="44"/>
    </row>
    <row r="81" spans="1:14" ht="15.6" x14ac:dyDescent="0.3">
      <c r="A81" s="42"/>
      <c r="C81" s="122"/>
      <c r="D81" s="112"/>
      <c r="E81"/>
      <c r="F81"/>
      <c r="L81" s="112"/>
      <c r="M81" s="45"/>
      <c r="N81" s="44"/>
    </row>
    <row r="82" spans="1:14" x14ac:dyDescent="0.3">
      <c r="A82" s="42"/>
      <c r="C82" s="52"/>
      <c r="D82"/>
      <c r="E82"/>
      <c r="F82"/>
      <c r="N82" s="44"/>
    </row>
    <row r="83" spans="1:14" ht="15.6" x14ac:dyDescent="0.3">
      <c r="A83" s="42"/>
      <c r="C83" s="122"/>
      <c r="D83" s="112"/>
      <c r="E83"/>
      <c r="F83"/>
      <c r="L83" s="112"/>
      <c r="N83" s="44"/>
    </row>
    <row r="84" spans="1:14" x14ac:dyDescent="0.3">
      <c r="A84" s="42"/>
      <c r="C84" s="52"/>
      <c r="D84"/>
      <c r="E84"/>
      <c r="F84"/>
      <c r="N84" s="44"/>
    </row>
    <row r="85" spans="1:14" ht="15.6" x14ac:dyDescent="0.3">
      <c r="A85" s="42"/>
      <c r="C85" s="122"/>
      <c r="D85" s="112"/>
      <c r="E85"/>
      <c r="F85"/>
      <c r="L85" s="112"/>
      <c r="N85" s="44"/>
    </row>
    <row r="86" spans="1:14" ht="15.6" x14ac:dyDescent="0.3">
      <c r="A86" s="42"/>
      <c r="C86" s="122"/>
      <c r="D86" s="112"/>
      <c r="E86"/>
      <c r="F86"/>
      <c r="L86" s="112"/>
      <c r="N86" s="44"/>
    </row>
    <row r="87" spans="1:14" ht="15.6" x14ac:dyDescent="0.3">
      <c r="A87" s="42"/>
      <c r="C87" s="122"/>
      <c r="D87" s="112"/>
      <c r="E87"/>
      <c r="F87"/>
      <c r="L87" s="112"/>
      <c r="N87" s="44"/>
    </row>
    <row r="88" spans="1:14" x14ac:dyDescent="0.3">
      <c r="A88" s="42"/>
      <c r="C88" s="52"/>
      <c r="D88"/>
      <c r="E88"/>
      <c r="F88"/>
      <c r="N88" s="44"/>
    </row>
    <row r="89" spans="1:14" ht="15.6" x14ac:dyDescent="0.3">
      <c r="A89" s="42"/>
      <c r="C89" s="122"/>
      <c r="D89" s="112"/>
      <c r="E89"/>
      <c r="F89"/>
      <c r="L89" s="112"/>
      <c r="N89" s="44"/>
    </row>
    <row r="90" spans="1:14" x14ac:dyDescent="0.3">
      <c r="A90" s="42"/>
      <c r="C90" s="52"/>
      <c r="D90"/>
      <c r="E90"/>
      <c r="F90"/>
      <c r="N90" s="44"/>
    </row>
    <row r="91" spans="1:14" ht="15.6" x14ac:dyDescent="0.3">
      <c r="A91" s="42"/>
      <c r="C91" s="122"/>
      <c r="D91" s="112"/>
      <c r="E91"/>
      <c r="F91" s="112"/>
      <c r="L91" s="112"/>
      <c r="N91" s="44"/>
    </row>
    <row r="92" spans="1:14" x14ac:dyDescent="0.3">
      <c r="A92" s="42"/>
      <c r="C92" s="52"/>
      <c r="D92"/>
      <c r="E92"/>
      <c r="F92"/>
      <c r="N92" s="44"/>
    </row>
    <row r="93" spans="1:14" x14ac:dyDescent="0.3">
      <c r="A93" s="42"/>
      <c r="C93" s="122"/>
      <c r="D93"/>
      <c r="E93"/>
      <c r="F93"/>
      <c r="N93" s="44"/>
    </row>
    <row r="94" spans="1:14" x14ac:dyDescent="0.3">
      <c r="A94" s="42"/>
      <c r="C94" s="122"/>
      <c r="D94"/>
      <c r="E94"/>
      <c r="F94"/>
      <c r="N94" s="44"/>
    </row>
    <row r="95" spans="1:14" x14ac:dyDescent="0.3">
      <c r="A95" s="42"/>
      <c r="C95" s="122"/>
      <c r="D95"/>
      <c r="E95"/>
      <c r="F95"/>
      <c r="N95" s="44"/>
    </row>
    <row r="96" spans="1:14" x14ac:dyDescent="0.3">
      <c r="A96" s="42"/>
      <c r="C96" s="122"/>
      <c r="D96"/>
      <c r="E96"/>
      <c r="F96"/>
      <c r="N96" s="44"/>
    </row>
    <row r="97" spans="1:14" x14ac:dyDescent="0.3">
      <c r="A97" s="42"/>
      <c r="C97" s="122"/>
      <c r="D97"/>
      <c r="E97"/>
      <c r="F97"/>
      <c r="N97" s="44"/>
    </row>
    <row r="98" spans="1:14" x14ac:dyDescent="0.3">
      <c r="A98" s="42"/>
      <c r="C98" s="122"/>
      <c r="D98"/>
      <c r="E98"/>
      <c r="F98"/>
      <c r="N98" s="44"/>
    </row>
    <row r="99" spans="1:14" x14ac:dyDescent="0.3">
      <c r="A99" s="42"/>
      <c r="C99" s="122"/>
      <c r="D99"/>
      <c r="E99"/>
      <c r="F99"/>
      <c r="N99" s="44"/>
    </row>
    <row r="100" spans="1:14" x14ac:dyDescent="0.3">
      <c r="A100" s="42"/>
      <c r="C100" s="122"/>
      <c r="D100"/>
      <c r="E100"/>
      <c r="F100"/>
      <c r="N100" s="44"/>
    </row>
    <row r="101" spans="1:14" x14ac:dyDescent="0.3">
      <c r="A101" s="42"/>
      <c r="C101" s="122"/>
      <c r="D101"/>
      <c r="E101"/>
      <c r="F101"/>
      <c r="N101" s="44"/>
    </row>
    <row r="102" spans="1:14" x14ac:dyDescent="0.3">
      <c r="A102" s="42"/>
      <c r="C102" s="122"/>
      <c r="D102"/>
      <c r="E102"/>
      <c r="F102"/>
      <c r="N102" s="44"/>
    </row>
    <row r="103" spans="1:14" ht="15.6" x14ac:dyDescent="0.3">
      <c r="A103" s="42"/>
      <c r="C103" s="122"/>
      <c r="D103" s="112"/>
      <c r="E103"/>
      <c r="F103"/>
      <c r="L103" s="112"/>
      <c r="N103" s="44"/>
    </row>
    <row r="104" spans="1:14" x14ac:dyDescent="0.3">
      <c r="A104" s="42"/>
      <c r="C104" s="52"/>
      <c r="D104"/>
      <c r="E104"/>
      <c r="F104"/>
      <c r="N104" s="44"/>
    </row>
    <row r="105" spans="1:14" x14ac:dyDescent="0.3">
      <c r="A105" s="42"/>
      <c r="C105" s="52"/>
      <c r="D105"/>
      <c r="E105"/>
      <c r="F105"/>
      <c r="L105" s="2"/>
      <c r="N105" s="44"/>
    </row>
    <row r="106" spans="1:14" x14ac:dyDescent="0.3">
      <c r="A106" s="42"/>
      <c r="C106" s="52"/>
      <c r="D106"/>
      <c r="E106"/>
      <c r="F106"/>
      <c r="L106" s="2"/>
      <c r="N106" s="44"/>
    </row>
    <row r="107" spans="1:14" x14ac:dyDescent="0.3">
      <c r="A107" s="42"/>
      <c r="C107" s="52"/>
      <c r="D107"/>
      <c r="E107"/>
      <c r="F107"/>
      <c r="L107" s="53"/>
      <c r="N107" s="44"/>
    </row>
    <row r="108" spans="1:14" x14ac:dyDescent="0.3">
      <c r="A108" s="42"/>
      <c r="C108" s="52"/>
      <c r="D108"/>
      <c r="E108"/>
      <c r="F108"/>
      <c r="L108" s="2"/>
      <c r="N108" s="44"/>
    </row>
    <row r="109" spans="1:14" x14ac:dyDescent="0.3">
      <c r="A109" s="42"/>
      <c r="C109" s="52"/>
      <c r="D109"/>
      <c r="E109"/>
      <c r="F109"/>
      <c r="L109" s="2"/>
      <c r="N109" s="44"/>
    </row>
    <row r="110" spans="1:14" x14ac:dyDescent="0.3">
      <c r="A110" s="42"/>
      <c r="C110" s="52"/>
      <c r="D110"/>
      <c r="E110"/>
      <c r="F110"/>
      <c r="L110" s="2"/>
      <c r="N110" s="44"/>
    </row>
    <row r="111" spans="1:14" x14ac:dyDescent="0.3">
      <c r="A111" s="42"/>
      <c r="C111" s="52"/>
      <c r="D111"/>
      <c r="E111"/>
      <c r="F111"/>
      <c r="L111" s="2"/>
      <c r="N111" s="44"/>
    </row>
    <row r="112" spans="1:14" x14ac:dyDescent="0.3">
      <c r="A112" s="42"/>
      <c r="C112" s="52"/>
      <c r="D112"/>
      <c r="E112"/>
      <c r="F112"/>
      <c r="L112" s="2"/>
      <c r="N112" s="44"/>
    </row>
    <row r="113" spans="1:14" x14ac:dyDescent="0.3">
      <c r="A113" s="42"/>
      <c r="C113" s="52"/>
      <c r="D113"/>
      <c r="E113"/>
      <c r="F113"/>
      <c r="N113" s="44"/>
    </row>
    <row r="114" spans="1:14" x14ac:dyDescent="0.3">
      <c r="A114" s="42"/>
      <c r="C114" s="122"/>
      <c r="D114"/>
      <c r="E114"/>
      <c r="F114"/>
      <c r="N114" s="44"/>
    </row>
    <row r="115" spans="1:14" x14ac:dyDescent="0.3">
      <c r="A115" s="42"/>
      <c r="C115" s="122"/>
      <c r="D115"/>
      <c r="E115"/>
      <c r="F115"/>
      <c r="N115" s="44"/>
    </row>
    <row r="116" spans="1:14" x14ac:dyDescent="0.3">
      <c r="A116" s="42"/>
      <c r="C116" s="122"/>
      <c r="D116"/>
      <c r="E116"/>
      <c r="F116"/>
      <c r="N116" s="44"/>
    </row>
    <row r="117" spans="1:14" x14ac:dyDescent="0.3">
      <c r="A117" s="42"/>
      <c r="C117" s="122"/>
      <c r="D117"/>
      <c r="E117"/>
      <c r="F117"/>
      <c r="N117" s="44"/>
    </row>
    <row r="118" spans="1:14" x14ac:dyDescent="0.3">
      <c r="A118" s="42"/>
      <c r="C118" s="122"/>
      <c r="D118"/>
      <c r="E118"/>
      <c r="F118"/>
      <c r="N118" s="44"/>
    </row>
    <row r="119" spans="1:14" ht="15.6" x14ac:dyDescent="0.3">
      <c r="A119" s="42"/>
      <c r="C119" s="122"/>
      <c r="D119" s="112"/>
      <c r="E119"/>
      <c r="F119" s="112"/>
      <c r="L119" s="112"/>
      <c r="N119" s="44"/>
    </row>
    <row r="120" spans="1:14" x14ac:dyDescent="0.3">
      <c r="A120" s="42"/>
      <c r="C120" s="52"/>
      <c r="D120"/>
      <c r="E120"/>
      <c r="F120"/>
      <c r="N120" s="44"/>
    </row>
    <row r="121" spans="1:14" x14ac:dyDescent="0.3">
      <c r="A121" s="42"/>
      <c r="C121" s="122"/>
      <c r="D121"/>
      <c r="E121"/>
      <c r="F121"/>
      <c r="N121" s="44"/>
    </row>
    <row r="122" spans="1:14" x14ac:dyDescent="0.3">
      <c r="A122" s="42"/>
      <c r="C122" s="122"/>
      <c r="D122"/>
      <c r="E122"/>
      <c r="F122"/>
      <c r="N122" s="44"/>
    </row>
    <row r="123" spans="1:14" x14ac:dyDescent="0.3">
      <c r="A123" s="42"/>
      <c r="C123" s="122"/>
      <c r="D123"/>
      <c r="E123"/>
      <c r="F123"/>
      <c r="N123" s="44"/>
    </row>
    <row r="124" spans="1:14" x14ac:dyDescent="0.3">
      <c r="A124" s="42"/>
      <c r="C124" s="122"/>
      <c r="D124"/>
      <c r="E124"/>
      <c r="F124"/>
      <c r="N124" s="44"/>
    </row>
    <row r="125" spans="1:14" x14ac:dyDescent="0.3">
      <c r="A125" s="42"/>
      <c r="C125" s="122"/>
      <c r="D125"/>
      <c r="E125"/>
      <c r="F125"/>
      <c r="N125" s="44"/>
    </row>
    <row r="126" spans="1:14" x14ac:dyDescent="0.3">
      <c r="A126" s="42"/>
      <c r="C126" s="122"/>
      <c r="D126"/>
      <c r="E126"/>
      <c r="F126"/>
      <c r="N126" s="44"/>
    </row>
    <row r="127" spans="1:14" x14ac:dyDescent="0.3">
      <c r="A127" s="42"/>
      <c r="C127" s="122"/>
      <c r="D127"/>
      <c r="E127"/>
      <c r="F127"/>
      <c r="N127" s="44"/>
    </row>
    <row r="128" spans="1:14" x14ac:dyDescent="0.3">
      <c r="A128" s="42"/>
      <c r="C128" s="122"/>
      <c r="D128"/>
      <c r="E128"/>
      <c r="F128"/>
      <c r="N128" s="44"/>
    </row>
    <row r="129" spans="1:14" x14ac:dyDescent="0.3">
      <c r="A129" s="42"/>
      <c r="C129" s="122"/>
      <c r="D129"/>
      <c r="E129"/>
      <c r="F129"/>
      <c r="N129" s="44"/>
    </row>
    <row r="130" spans="1:14" x14ac:dyDescent="0.3">
      <c r="A130" s="42"/>
      <c r="C130" s="122"/>
      <c r="D130"/>
      <c r="E130"/>
      <c r="F130"/>
      <c r="N130" s="44"/>
    </row>
    <row r="131" spans="1:14" x14ac:dyDescent="0.3">
      <c r="A131" s="42"/>
      <c r="C131" s="122"/>
      <c r="D131"/>
      <c r="E131"/>
      <c r="F131"/>
      <c r="N131" s="44"/>
    </row>
    <row r="132" spans="1:14" x14ac:dyDescent="0.3">
      <c r="A132" s="42"/>
      <c r="C132" s="122"/>
      <c r="D132"/>
      <c r="E132"/>
      <c r="F132"/>
      <c r="N132" s="44"/>
    </row>
    <row r="133" spans="1:14" x14ac:dyDescent="0.3">
      <c r="A133" s="42"/>
      <c r="C133" s="122"/>
      <c r="D133"/>
      <c r="E133"/>
      <c r="F133"/>
      <c r="N133" s="44"/>
    </row>
    <row r="134" spans="1:14" x14ac:dyDescent="0.3">
      <c r="A134" s="42"/>
      <c r="C134" s="122"/>
      <c r="D134"/>
      <c r="E134"/>
      <c r="F134"/>
      <c r="N134" s="44"/>
    </row>
    <row r="135" spans="1:14" x14ac:dyDescent="0.3">
      <c r="A135" s="42"/>
      <c r="C135" s="122"/>
      <c r="D135"/>
      <c r="E135"/>
      <c r="F135"/>
      <c r="N135" s="44"/>
    </row>
    <row r="136" spans="1:14" x14ac:dyDescent="0.3">
      <c r="A136" s="42"/>
      <c r="C136" s="122"/>
      <c r="D136"/>
      <c r="E136"/>
      <c r="F136"/>
      <c r="N136" s="44"/>
    </row>
    <row r="137" spans="1:14" x14ac:dyDescent="0.3">
      <c r="A137" s="42"/>
      <c r="C137" s="122"/>
      <c r="D137"/>
      <c r="E137"/>
      <c r="F137"/>
      <c r="N137" s="44"/>
    </row>
    <row r="138" spans="1:14" x14ac:dyDescent="0.3">
      <c r="A138" s="42"/>
      <c r="C138" s="122"/>
      <c r="D138"/>
      <c r="E138"/>
      <c r="F138"/>
      <c r="N138" s="44"/>
    </row>
    <row r="139" spans="1:14" x14ac:dyDescent="0.3">
      <c r="A139" s="42"/>
      <c r="C139" s="122"/>
      <c r="D139"/>
      <c r="E139"/>
      <c r="F139"/>
      <c r="N139" s="44"/>
    </row>
    <row r="140" spans="1:14" x14ac:dyDescent="0.3">
      <c r="A140" s="42"/>
      <c r="C140" s="122"/>
      <c r="D140"/>
      <c r="E140"/>
      <c r="F140"/>
      <c r="N140" s="44"/>
    </row>
    <row r="141" spans="1:14" x14ac:dyDescent="0.3">
      <c r="A141" s="42"/>
      <c r="C141" s="122"/>
      <c r="D141"/>
      <c r="E141"/>
      <c r="F141"/>
      <c r="N141" s="44"/>
    </row>
    <row r="142" spans="1:14" x14ac:dyDescent="0.3">
      <c r="A142" s="42"/>
      <c r="C142" s="122"/>
      <c r="D142"/>
      <c r="E142"/>
      <c r="F142"/>
      <c r="N142" s="44"/>
    </row>
    <row r="143" spans="1:14" x14ac:dyDescent="0.3">
      <c r="A143" s="42"/>
      <c r="C143" s="122"/>
      <c r="D143"/>
      <c r="E143"/>
      <c r="F143"/>
      <c r="N143" s="44"/>
    </row>
    <row r="144" spans="1:14" x14ac:dyDescent="0.3">
      <c r="A144" s="42"/>
      <c r="C144" s="122"/>
      <c r="D144"/>
      <c r="E144"/>
      <c r="F144"/>
      <c r="N144" s="44"/>
    </row>
    <row r="145" spans="1:14" x14ac:dyDescent="0.3">
      <c r="A145" s="42"/>
      <c r="C145" s="122"/>
      <c r="D145"/>
      <c r="E145"/>
      <c r="F145"/>
      <c r="N145" s="44"/>
    </row>
    <row r="146" spans="1:14" x14ac:dyDescent="0.3">
      <c r="A146" s="42"/>
      <c r="C146" s="122"/>
      <c r="D146"/>
      <c r="E146"/>
      <c r="F146"/>
      <c r="N146" s="44"/>
    </row>
    <row r="147" spans="1:14" x14ac:dyDescent="0.3">
      <c r="A147" s="42"/>
      <c r="C147" s="52"/>
      <c r="D147"/>
      <c r="E147"/>
      <c r="F147"/>
      <c r="N147" s="44"/>
    </row>
    <row r="148" spans="1:14" x14ac:dyDescent="0.3">
      <c r="A148" s="42"/>
      <c r="C148" s="52"/>
      <c r="D148"/>
      <c r="E148"/>
      <c r="F148"/>
      <c r="N148" s="44"/>
    </row>
    <row r="149" spans="1:14" x14ac:dyDescent="0.3">
      <c r="A149" s="42"/>
      <c r="C149" s="52"/>
      <c r="D149"/>
      <c r="E149"/>
      <c r="F149"/>
      <c r="N149" s="44"/>
    </row>
    <row r="150" spans="1:14" x14ac:dyDescent="0.3">
      <c r="A150" s="42"/>
      <c r="C150" s="52"/>
      <c r="D150"/>
      <c r="E150"/>
      <c r="F150"/>
      <c r="N150" s="44"/>
    </row>
    <row r="151" spans="1:14" x14ac:dyDescent="0.3">
      <c r="A151" s="42"/>
      <c r="C151" s="52"/>
      <c r="D151"/>
      <c r="E151"/>
      <c r="F151"/>
      <c r="N151" s="44"/>
    </row>
    <row r="152" spans="1:14" x14ac:dyDescent="0.3">
      <c r="A152" s="42"/>
      <c r="C152" s="52"/>
      <c r="D152"/>
      <c r="E152"/>
      <c r="F152"/>
      <c r="L152" s="2"/>
      <c r="N152" s="44"/>
    </row>
    <row r="153" spans="1:14" x14ac:dyDescent="0.3">
      <c r="A153" s="42"/>
      <c r="C153" s="52"/>
      <c r="D153"/>
      <c r="E153"/>
      <c r="F153"/>
      <c r="L153" s="2"/>
      <c r="N153" s="44"/>
    </row>
    <row r="154" spans="1:14" x14ac:dyDescent="0.3">
      <c r="A154" s="42"/>
      <c r="C154" s="52"/>
      <c r="D154"/>
      <c r="E154"/>
      <c r="F154"/>
      <c r="L154" s="2"/>
      <c r="N154" s="44"/>
    </row>
    <row r="155" spans="1:14" x14ac:dyDescent="0.3">
      <c r="A155" s="42"/>
      <c r="C155" s="52"/>
      <c r="D155"/>
      <c r="E155"/>
      <c r="F155"/>
      <c r="L155" s="2"/>
      <c r="N155" s="44"/>
    </row>
    <row r="156" spans="1:14" x14ac:dyDescent="0.3">
      <c r="A156" s="42"/>
      <c r="C156" s="52"/>
      <c r="D156"/>
      <c r="E156"/>
      <c r="F156"/>
      <c r="L156" s="2"/>
      <c r="N156" s="44"/>
    </row>
    <row r="157" spans="1:14" x14ac:dyDescent="0.3">
      <c r="A157" s="42"/>
      <c r="C157" s="52"/>
      <c r="D157"/>
      <c r="E157"/>
      <c r="F157"/>
      <c r="L157" s="2"/>
      <c r="N157" s="44"/>
    </row>
    <row r="158" spans="1:14" x14ac:dyDescent="0.3">
      <c r="A158" s="42"/>
      <c r="C158" s="52"/>
      <c r="D158"/>
      <c r="E158"/>
      <c r="F158"/>
      <c r="L158" s="2"/>
      <c r="N158" s="44"/>
    </row>
    <row r="159" spans="1:14" x14ac:dyDescent="0.3">
      <c r="A159" s="42"/>
      <c r="C159" s="52"/>
      <c r="D159"/>
      <c r="E159"/>
      <c r="F159"/>
      <c r="L159" s="2"/>
      <c r="N159" s="44"/>
    </row>
    <row r="160" spans="1:14" x14ac:dyDescent="0.3">
      <c r="A160" s="42"/>
      <c r="C160" s="52"/>
      <c r="D160"/>
      <c r="E160"/>
      <c r="F160"/>
      <c r="N160" s="44"/>
    </row>
    <row r="161" spans="1:14" x14ac:dyDescent="0.3">
      <c r="A161" s="42"/>
      <c r="C161" s="52"/>
      <c r="D161"/>
      <c r="E161"/>
      <c r="F161"/>
      <c r="N161" s="44"/>
    </row>
    <row r="162" spans="1:14" x14ac:dyDescent="0.3">
      <c r="A162" s="42"/>
      <c r="C162" s="52"/>
      <c r="D162"/>
      <c r="E162"/>
      <c r="F162"/>
      <c r="N162" s="44"/>
    </row>
    <row r="163" spans="1:14" x14ac:dyDescent="0.3">
      <c r="A163" s="42"/>
      <c r="C163" s="122"/>
      <c r="D163"/>
      <c r="E163"/>
      <c r="F163"/>
      <c r="N163" s="44"/>
    </row>
    <row r="164" spans="1:14" x14ac:dyDescent="0.3">
      <c r="A164" s="42"/>
      <c r="C164" s="122"/>
      <c r="D164"/>
      <c r="E164"/>
      <c r="F164"/>
      <c r="N164" s="44"/>
    </row>
    <row r="165" spans="1:14" x14ac:dyDescent="0.3">
      <c r="A165" s="42"/>
      <c r="C165" s="122"/>
      <c r="D165"/>
      <c r="E165"/>
      <c r="F165"/>
      <c r="N165" s="44"/>
    </row>
    <row r="166" spans="1:14" x14ac:dyDescent="0.3">
      <c r="A166" s="42"/>
      <c r="C166" s="122"/>
      <c r="D166"/>
      <c r="E166"/>
      <c r="F166"/>
      <c r="N166" s="44"/>
    </row>
    <row r="167" spans="1:14" x14ac:dyDescent="0.3">
      <c r="A167" s="42"/>
      <c r="C167" s="122"/>
      <c r="D167"/>
      <c r="E167"/>
      <c r="F167"/>
      <c r="N167" s="44"/>
    </row>
    <row r="168" spans="1:14" x14ac:dyDescent="0.3">
      <c r="A168" s="42"/>
      <c r="C168" s="122"/>
      <c r="D168"/>
      <c r="E168"/>
      <c r="F168"/>
      <c r="N168" s="44"/>
    </row>
    <row r="169" spans="1:14" x14ac:dyDescent="0.3">
      <c r="A169" s="42"/>
      <c r="C169" s="122"/>
      <c r="D169"/>
      <c r="E169"/>
      <c r="F169"/>
      <c r="N169" s="44"/>
    </row>
    <row r="170" spans="1:14" x14ac:dyDescent="0.3">
      <c r="A170" s="42"/>
      <c r="C170" s="52"/>
      <c r="D170"/>
      <c r="E170"/>
      <c r="F170"/>
      <c r="N170" s="44"/>
    </row>
    <row r="171" spans="1:14" x14ac:dyDescent="0.3">
      <c r="A171" s="42"/>
      <c r="C171" s="52"/>
      <c r="D171"/>
      <c r="E171"/>
      <c r="F171"/>
      <c r="N171" s="44"/>
    </row>
    <row r="172" spans="1:14" x14ac:dyDescent="0.3">
      <c r="A172" s="42"/>
      <c r="C172" s="122"/>
      <c r="D172"/>
      <c r="E172"/>
      <c r="F172"/>
      <c r="N172" s="44"/>
    </row>
    <row r="173" spans="1:14" x14ac:dyDescent="0.3">
      <c r="A173" s="42"/>
      <c r="C173" s="122"/>
      <c r="D173"/>
      <c r="E173"/>
      <c r="F173"/>
      <c r="N173" s="44"/>
    </row>
    <row r="174" spans="1:14" x14ac:dyDescent="0.3">
      <c r="A174" s="42"/>
      <c r="C174" s="122"/>
      <c r="D174"/>
      <c r="E174"/>
      <c r="F174"/>
      <c r="N174" s="44"/>
    </row>
    <row r="175" spans="1:14" x14ac:dyDescent="0.3">
      <c r="A175" s="42"/>
      <c r="C175" s="122"/>
      <c r="D175"/>
      <c r="E175"/>
      <c r="F175"/>
      <c r="N175" s="44"/>
    </row>
    <row r="176" spans="1:14" x14ac:dyDescent="0.3">
      <c r="A176" s="42"/>
      <c r="C176" s="122"/>
      <c r="D176"/>
      <c r="E176"/>
      <c r="F176"/>
      <c r="N176" s="44"/>
    </row>
    <row r="177" spans="1:14" x14ac:dyDescent="0.3">
      <c r="A177" s="42"/>
      <c r="C177" s="122"/>
      <c r="D177"/>
      <c r="E177"/>
      <c r="F177"/>
      <c r="N177" s="44"/>
    </row>
    <row r="178" spans="1:14" x14ac:dyDescent="0.3">
      <c r="A178" s="42"/>
      <c r="C178" s="122"/>
      <c r="D178"/>
      <c r="E178"/>
      <c r="F178"/>
      <c r="N178" s="44"/>
    </row>
    <row r="179" spans="1:14" x14ac:dyDescent="0.3">
      <c r="A179" s="42"/>
      <c r="C179" s="122"/>
      <c r="D179"/>
      <c r="E179"/>
      <c r="F179"/>
      <c r="N179" s="44"/>
    </row>
    <row r="180" spans="1:14" x14ac:dyDescent="0.3">
      <c r="A180" s="42"/>
      <c r="C180" s="122"/>
      <c r="D180"/>
      <c r="E180"/>
      <c r="F180"/>
      <c r="N180" s="44"/>
    </row>
    <row r="181" spans="1:14" x14ac:dyDescent="0.3">
      <c r="A181" s="42"/>
      <c r="C181" s="122"/>
      <c r="D181"/>
      <c r="E181"/>
      <c r="F181"/>
      <c r="N181" s="44"/>
    </row>
    <row r="182" spans="1:14" x14ac:dyDescent="0.3">
      <c r="A182" s="42"/>
      <c r="C182" s="122"/>
      <c r="D182"/>
      <c r="E182"/>
      <c r="F182"/>
      <c r="N182" s="44"/>
    </row>
    <row r="183" spans="1:14" x14ac:dyDescent="0.3">
      <c r="A183" s="42"/>
      <c r="C183" s="122"/>
      <c r="D183"/>
      <c r="E183"/>
      <c r="F183"/>
      <c r="N183" s="44"/>
    </row>
    <row r="184" spans="1:14" x14ac:dyDescent="0.3">
      <c r="A184" s="42"/>
      <c r="C184" s="122"/>
      <c r="D184"/>
      <c r="E184"/>
      <c r="F184"/>
      <c r="N184" s="44"/>
    </row>
    <row r="185" spans="1:14" x14ac:dyDescent="0.3">
      <c r="A185" s="42"/>
      <c r="C185" s="122"/>
      <c r="D185"/>
      <c r="E185"/>
      <c r="F185"/>
      <c r="N185" s="44"/>
    </row>
    <row r="186" spans="1:14" x14ac:dyDescent="0.3">
      <c r="A186" s="42"/>
      <c r="C186" s="122"/>
      <c r="D186"/>
      <c r="E186"/>
      <c r="F186"/>
      <c r="N186" s="44"/>
    </row>
    <row r="187" spans="1:14" x14ac:dyDescent="0.3">
      <c r="A187" s="42"/>
      <c r="C187" s="122"/>
      <c r="D187"/>
      <c r="E187"/>
      <c r="F187"/>
      <c r="N187" s="44"/>
    </row>
    <row r="188" spans="1:14" x14ac:dyDescent="0.3">
      <c r="A188" s="42"/>
      <c r="C188" s="122"/>
      <c r="D188"/>
      <c r="E188"/>
      <c r="F188"/>
      <c r="N188" s="44"/>
    </row>
    <row r="189" spans="1:14" x14ac:dyDescent="0.3">
      <c r="A189" s="42"/>
      <c r="C189" s="122"/>
      <c r="D189"/>
      <c r="E189"/>
      <c r="F189"/>
      <c r="N189" s="44"/>
    </row>
    <row r="190" spans="1:14" x14ac:dyDescent="0.3">
      <c r="A190" s="42"/>
      <c r="C190" s="122"/>
      <c r="D190"/>
      <c r="E190"/>
      <c r="F190"/>
      <c r="N190" s="44"/>
    </row>
    <row r="191" spans="1:14" x14ac:dyDescent="0.3">
      <c r="A191" s="42"/>
      <c r="C191" s="122"/>
      <c r="D191"/>
      <c r="E191"/>
      <c r="F191"/>
      <c r="N191" s="44"/>
    </row>
    <row r="192" spans="1:14" x14ac:dyDescent="0.3">
      <c r="A192" s="42"/>
      <c r="C192" s="122"/>
      <c r="D192"/>
      <c r="E192"/>
      <c r="F192"/>
      <c r="N192" s="44"/>
    </row>
    <row r="193" spans="1:14" x14ac:dyDescent="0.3">
      <c r="A193" s="42"/>
      <c r="C193" s="122"/>
      <c r="D193"/>
      <c r="E193"/>
      <c r="F193"/>
      <c r="N193" s="44"/>
    </row>
    <row r="194" spans="1:14" x14ac:dyDescent="0.3">
      <c r="A194" s="42"/>
      <c r="C194" s="122"/>
      <c r="D194"/>
      <c r="E194"/>
      <c r="F194"/>
      <c r="N194" s="44"/>
    </row>
    <row r="195" spans="1:14" x14ac:dyDescent="0.3">
      <c r="A195" s="42"/>
      <c r="C195" s="122"/>
      <c r="D195"/>
      <c r="E195"/>
      <c r="F195"/>
      <c r="N195" s="44"/>
    </row>
    <row r="196" spans="1:14" x14ac:dyDescent="0.3">
      <c r="A196" s="42"/>
      <c r="C196" s="122"/>
      <c r="D196"/>
      <c r="E196"/>
      <c r="F196"/>
      <c r="N196" s="44"/>
    </row>
    <row r="197" spans="1:14" x14ac:dyDescent="0.3">
      <c r="A197" s="42"/>
      <c r="C197" s="122"/>
      <c r="D197"/>
      <c r="E197"/>
      <c r="F197"/>
      <c r="N197" s="44"/>
    </row>
    <row r="198" spans="1:14" x14ac:dyDescent="0.3">
      <c r="A198" s="42"/>
      <c r="C198" s="122"/>
      <c r="D198"/>
      <c r="E198"/>
      <c r="F198"/>
      <c r="N198" s="44"/>
    </row>
    <row r="199" spans="1:14" x14ac:dyDescent="0.3">
      <c r="A199" s="42"/>
      <c r="C199" s="122"/>
      <c r="D199"/>
      <c r="E199"/>
      <c r="F199"/>
      <c r="N199" s="44"/>
    </row>
    <row r="200" spans="1:14" x14ac:dyDescent="0.3">
      <c r="A200" s="42"/>
      <c r="C200" s="122"/>
      <c r="D200"/>
      <c r="E200"/>
      <c r="F200"/>
      <c r="N200" s="44"/>
    </row>
    <row r="201" spans="1:14" x14ac:dyDescent="0.3">
      <c r="A201" s="42"/>
      <c r="C201" s="122"/>
      <c r="D201"/>
      <c r="E201"/>
      <c r="F201"/>
      <c r="N201" s="44"/>
    </row>
    <row r="202" spans="1:14" x14ac:dyDescent="0.3">
      <c r="A202" s="42"/>
      <c r="C202" s="122"/>
      <c r="D202"/>
      <c r="E202"/>
      <c r="F202"/>
      <c r="N202" s="44"/>
    </row>
    <row r="203" spans="1:14" x14ac:dyDescent="0.3">
      <c r="A203" s="42"/>
      <c r="C203" s="122"/>
      <c r="D203"/>
      <c r="E203"/>
      <c r="F203"/>
      <c r="N203" s="44"/>
    </row>
    <row r="204" spans="1:14" x14ac:dyDescent="0.3">
      <c r="A204" s="42"/>
      <c r="C204" s="122"/>
      <c r="D204"/>
      <c r="E204"/>
      <c r="F204"/>
      <c r="N204" s="44"/>
    </row>
    <row r="205" spans="1:14" x14ac:dyDescent="0.3">
      <c r="A205" s="42"/>
      <c r="C205" s="122"/>
      <c r="D205"/>
      <c r="E205"/>
      <c r="F205"/>
      <c r="N205" s="44"/>
    </row>
    <row r="206" spans="1:14" x14ac:dyDescent="0.3">
      <c r="A206" s="42"/>
      <c r="C206" s="122"/>
      <c r="D206"/>
      <c r="E206"/>
      <c r="F206"/>
      <c r="N206" s="44"/>
    </row>
    <row r="207" spans="1:14" x14ac:dyDescent="0.3">
      <c r="A207" s="42"/>
      <c r="C207" s="122"/>
      <c r="D207"/>
      <c r="E207"/>
      <c r="F207"/>
      <c r="N207" s="44"/>
    </row>
    <row r="208" spans="1:14" x14ac:dyDescent="0.3">
      <c r="A208" s="42"/>
      <c r="C208" s="122"/>
      <c r="D208"/>
      <c r="E208"/>
      <c r="F208"/>
      <c r="N208" s="44"/>
    </row>
    <row r="209" spans="1:14" x14ac:dyDescent="0.3">
      <c r="A209" s="42"/>
      <c r="C209" s="52"/>
      <c r="D209"/>
      <c r="E209"/>
      <c r="F209"/>
      <c r="N209" s="44"/>
    </row>
    <row r="210" spans="1:14" x14ac:dyDescent="0.3">
      <c r="A210" s="42"/>
      <c r="C210" s="52"/>
      <c r="D210"/>
      <c r="E210"/>
      <c r="F210"/>
      <c r="N210" s="44"/>
    </row>
    <row r="211" spans="1:14" x14ac:dyDescent="0.3">
      <c r="A211" s="42"/>
      <c r="C211" s="52"/>
      <c r="D211"/>
      <c r="E211"/>
      <c r="F211"/>
      <c r="N211" s="44"/>
    </row>
    <row r="212" spans="1:14" x14ac:dyDescent="0.3">
      <c r="A212" s="42"/>
      <c r="C212" s="52"/>
      <c r="D212"/>
      <c r="E212"/>
      <c r="F212"/>
      <c r="N212" s="44"/>
    </row>
    <row r="213" spans="1:14" x14ac:dyDescent="0.3">
      <c r="A213" s="42"/>
      <c r="C213" s="52"/>
      <c r="D213"/>
      <c r="E213"/>
      <c r="F213"/>
      <c r="L213" s="2"/>
      <c r="N213" s="44"/>
    </row>
    <row r="214" spans="1:14" x14ac:dyDescent="0.3">
      <c r="A214" s="42"/>
      <c r="C214" s="52"/>
      <c r="D214"/>
      <c r="E214"/>
      <c r="F214"/>
      <c r="L214" s="2"/>
      <c r="N214" s="44"/>
    </row>
    <row r="215" spans="1:14" x14ac:dyDescent="0.3">
      <c r="A215" s="42"/>
      <c r="C215" s="52"/>
      <c r="D215"/>
      <c r="E215"/>
      <c r="F215"/>
      <c r="N215" s="44"/>
    </row>
    <row r="216" spans="1:14" x14ac:dyDescent="0.3">
      <c r="A216" s="42"/>
      <c r="C216" s="122"/>
      <c r="D216"/>
      <c r="E216"/>
      <c r="F216"/>
      <c r="N216" s="44"/>
    </row>
    <row r="217" spans="1:14" x14ac:dyDescent="0.3">
      <c r="A217" s="42"/>
      <c r="C217" s="122"/>
      <c r="D217"/>
      <c r="E217"/>
      <c r="F217"/>
      <c r="N217" s="44"/>
    </row>
    <row r="218" spans="1:14" x14ac:dyDescent="0.3">
      <c r="A218" s="42"/>
      <c r="C218" s="122"/>
      <c r="D218"/>
      <c r="E218"/>
      <c r="F218"/>
      <c r="N218" s="44"/>
    </row>
    <row r="219" spans="1:14" x14ac:dyDescent="0.3">
      <c r="A219" s="42"/>
      <c r="C219" s="122"/>
      <c r="D219"/>
      <c r="E219"/>
      <c r="F219"/>
      <c r="N219" s="44"/>
    </row>
    <row r="220" spans="1:14" x14ac:dyDescent="0.3">
      <c r="A220" s="42"/>
      <c r="C220" s="122"/>
      <c r="D220"/>
      <c r="E220"/>
      <c r="F220"/>
      <c r="N220" s="44"/>
    </row>
    <row r="221" spans="1:14" x14ac:dyDescent="0.3">
      <c r="A221" s="42"/>
      <c r="C221" s="122"/>
      <c r="D221"/>
      <c r="E221"/>
      <c r="F221"/>
      <c r="N221" s="44"/>
    </row>
    <row r="222" spans="1:14" x14ac:dyDescent="0.3">
      <c r="A222" s="42"/>
      <c r="C222" s="122"/>
      <c r="D222"/>
      <c r="E222"/>
      <c r="F222"/>
      <c r="N222" s="44"/>
    </row>
    <row r="223" spans="1:14" x14ac:dyDescent="0.3">
      <c r="A223" s="42"/>
      <c r="C223" s="122"/>
      <c r="D223"/>
      <c r="E223"/>
      <c r="F223"/>
      <c r="N223" s="44"/>
    </row>
    <row r="224" spans="1:14" x14ac:dyDescent="0.3">
      <c r="A224" s="42"/>
      <c r="C224" s="122"/>
      <c r="D224"/>
      <c r="E224"/>
      <c r="F224"/>
      <c r="N224" s="44"/>
    </row>
    <row r="225" spans="1:14" x14ac:dyDescent="0.3">
      <c r="A225" s="42"/>
      <c r="C225" s="122"/>
      <c r="D225"/>
      <c r="E225"/>
      <c r="F225"/>
      <c r="N225" s="44"/>
    </row>
    <row r="226" spans="1:14" x14ac:dyDescent="0.3">
      <c r="A226" s="42"/>
      <c r="C226" s="122"/>
      <c r="D226"/>
      <c r="E226"/>
      <c r="F226"/>
      <c r="N226" s="44"/>
    </row>
    <row r="227" spans="1:14" x14ac:dyDescent="0.3">
      <c r="A227" s="42"/>
      <c r="C227" s="122"/>
      <c r="D227"/>
      <c r="E227"/>
      <c r="F227"/>
      <c r="N227" s="44"/>
    </row>
    <row r="228" spans="1:14" x14ac:dyDescent="0.3">
      <c r="A228" s="42"/>
      <c r="C228" s="122"/>
      <c r="D228"/>
      <c r="E228"/>
      <c r="F228"/>
      <c r="N228" s="44"/>
    </row>
    <row r="229" spans="1:14" x14ac:dyDescent="0.3">
      <c r="A229" s="42"/>
      <c r="C229" s="122"/>
      <c r="D229"/>
      <c r="E229"/>
      <c r="F229"/>
      <c r="N229" s="44"/>
    </row>
    <row r="230" spans="1:14" x14ac:dyDescent="0.3">
      <c r="A230" s="42"/>
      <c r="C230" s="122"/>
      <c r="D230"/>
      <c r="E230"/>
      <c r="F230"/>
      <c r="N230" s="44"/>
    </row>
    <row r="231" spans="1:14" x14ac:dyDescent="0.3">
      <c r="A231" s="42"/>
      <c r="C231" s="122"/>
      <c r="D231"/>
      <c r="E231"/>
      <c r="F231"/>
      <c r="N231" s="44"/>
    </row>
    <row r="232" spans="1:14" x14ac:dyDescent="0.3">
      <c r="A232" s="42"/>
      <c r="C232" s="122"/>
      <c r="D232"/>
      <c r="E232"/>
      <c r="F232"/>
      <c r="N232" s="44"/>
    </row>
    <row r="233" spans="1:14" x14ac:dyDescent="0.3">
      <c r="A233" s="42"/>
      <c r="C233" s="122"/>
      <c r="D233"/>
      <c r="E233"/>
      <c r="F233"/>
      <c r="N233" s="44"/>
    </row>
    <row r="234" spans="1:14" x14ac:dyDescent="0.3">
      <c r="A234" s="42"/>
      <c r="C234" s="122"/>
      <c r="D234"/>
      <c r="E234"/>
      <c r="F234"/>
      <c r="N234" s="44"/>
    </row>
    <row r="235" spans="1:14" x14ac:dyDescent="0.3">
      <c r="A235" s="42"/>
      <c r="C235" s="52"/>
      <c r="D235"/>
      <c r="E235"/>
      <c r="F235"/>
      <c r="N235" s="44"/>
    </row>
    <row r="236" spans="1:14" x14ac:dyDescent="0.3">
      <c r="A236" s="42"/>
      <c r="C236" s="52"/>
      <c r="D236"/>
      <c r="E236"/>
      <c r="F236"/>
      <c r="N236" s="44"/>
    </row>
    <row r="237" spans="1:14" x14ac:dyDescent="0.3">
      <c r="A237" s="42"/>
      <c r="C237" s="52"/>
      <c r="D237"/>
      <c r="E237"/>
      <c r="F237"/>
      <c r="N237" s="44"/>
    </row>
    <row r="238" spans="1:14" x14ac:dyDescent="0.3">
      <c r="A238" s="42"/>
      <c r="C238" s="52"/>
      <c r="D238"/>
      <c r="E238"/>
      <c r="F238"/>
      <c r="N238" s="44"/>
    </row>
    <row r="239" spans="1:14" x14ac:dyDescent="0.3">
      <c r="A239" s="42"/>
      <c r="C239" s="52"/>
      <c r="D239"/>
      <c r="E239"/>
      <c r="F239"/>
      <c r="N239" s="44"/>
    </row>
    <row r="240" spans="1:14" x14ac:dyDescent="0.3">
      <c r="A240" s="42"/>
      <c r="C240" s="52"/>
      <c r="D240"/>
      <c r="E240"/>
      <c r="F240"/>
      <c r="N240" s="44"/>
    </row>
    <row r="241" spans="1:14" x14ac:dyDescent="0.3">
      <c r="A241" s="42"/>
      <c r="C241" s="52"/>
      <c r="D241"/>
      <c r="E241"/>
      <c r="F241"/>
      <c r="L241" s="2"/>
      <c r="N241" s="44"/>
    </row>
    <row r="242" spans="1:14" x14ac:dyDescent="0.3">
      <c r="A242" s="42"/>
      <c r="C242" s="52"/>
      <c r="D242"/>
      <c r="E242"/>
      <c r="F242"/>
      <c r="L242" s="2"/>
      <c r="N242" s="44"/>
    </row>
    <row r="243" spans="1:14" x14ac:dyDescent="0.3">
      <c r="A243" s="42"/>
      <c r="C243" s="52"/>
      <c r="D243"/>
      <c r="E243"/>
      <c r="F243"/>
      <c r="L243" s="2"/>
      <c r="N243" s="44"/>
    </row>
    <row r="244" spans="1:14" x14ac:dyDescent="0.3">
      <c r="A244" s="42"/>
      <c r="C244" s="52"/>
      <c r="D244"/>
      <c r="E244"/>
      <c r="F244"/>
      <c r="L244" s="2"/>
      <c r="N244" s="44"/>
    </row>
    <row r="245" spans="1:14" x14ac:dyDescent="0.3">
      <c r="A245" s="42"/>
      <c r="C245" s="52"/>
      <c r="D245"/>
      <c r="E245"/>
      <c r="F245"/>
      <c r="N245" s="44"/>
    </row>
    <row r="246" spans="1:14" x14ac:dyDescent="0.3">
      <c r="A246" s="42"/>
      <c r="C246" s="52"/>
      <c r="D246"/>
      <c r="E246"/>
      <c r="F246"/>
      <c r="N246" s="44"/>
    </row>
    <row r="247" spans="1:14" x14ac:dyDescent="0.3">
      <c r="A247" s="42"/>
      <c r="C247" s="122"/>
      <c r="D247"/>
      <c r="E247"/>
      <c r="F247"/>
      <c r="N247" s="44"/>
    </row>
    <row r="248" spans="1:14" x14ac:dyDescent="0.3">
      <c r="A248" s="42"/>
      <c r="C248" s="122"/>
      <c r="D248"/>
      <c r="E248"/>
      <c r="F248"/>
      <c r="N248" s="44"/>
    </row>
    <row r="249" spans="1:14" x14ac:dyDescent="0.3">
      <c r="A249" s="42"/>
      <c r="C249" s="122"/>
      <c r="D249"/>
      <c r="E249"/>
      <c r="F249"/>
      <c r="N249" s="44"/>
    </row>
    <row r="250" spans="1:14" x14ac:dyDescent="0.3">
      <c r="A250" s="42"/>
      <c r="C250" s="122"/>
      <c r="D250"/>
      <c r="E250"/>
      <c r="F250"/>
      <c r="N250" s="44"/>
    </row>
    <row r="251" spans="1:14" x14ac:dyDescent="0.3">
      <c r="A251" s="42"/>
      <c r="C251" s="122"/>
      <c r="D251"/>
      <c r="E251"/>
      <c r="F251"/>
      <c r="N251" s="44"/>
    </row>
    <row r="252" spans="1:14" x14ac:dyDescent="0.3">
      <c r="A252" s="42"/>
      <c r="C252" s="122"/>
      <c r="D252"/>
      <c r="E252"/>
      <c r="F252"/>
      <c r="N252" s="44"/>
    </row>
    <row r="253" spans="1:14" x14ac:dyDescent="0.3">
      <c r="A253" s="42"/>
      <c r="C253" s="122"/>
      <c r="D253"/>
      <c r="E253"/>
      <c r="F253"/>
      <c r="N253" s="44"/>
    </row>
    <row r="254" spans="1:14" x14ac:dyDescent="0.3">
      <c r="A254" s="42"/>
      <c r="C254" s="122"/>
      <c r="D254"/>
      <c r="E254"/>
      <c r="F254"/>
      <c r="N254" s="44"/>
    </row>
    <row r="255" spans="1:14" x14ac:dyDescent="0.3">
      <c r="A255" s="42"/>
      <c r="C255" s="122"/>
      <c r="D255"/>
      <c r="E255"/>
      <c r="F255"/>
      <c r="N255" s="44"/>
    </row>
    <row r="256" spans="1:14" x14ac:dyDescent="0.3">
      <c r="A256" s="42"/>
      <c r="C256" s="122"/>
      <c r="D256"/>
      <c r="E256"/>
      <c r="F256"/>
      <c r="N256" s="44"/>
    </row>
    <row r="257" spans="1:14" x14ac:dyDescent="0.3">
      <c r="A257" s="42"/>
      <c r="C257" s="122"/>
      <c r="D257"/>
      <c r="E257"/>
      <c r="F257"/>
      <c r="N257" s="44"/>
    </row>
    <row r="258" spans="1:14" x14ac:dyDescent="0.3">
      <c r="A258" s="42"/>
      <c r="C258" s="122"/>
      <c r="D258"/>
      <c r="E258"/>
      <c r="F258"/>
      <c r="N258" s="44"/>
    </row>
    <row r="259" spans="1:14" x14ac:dyDescent="0.3">
      <c r="A259" s="42"/>
      <c r="C259" s="122"/>
      <c r="D259"/>
      <c r="E259"/>
      <c r="F259"/>
      <c r="N259" s="44"/>
    </row>
    <row r="260" spans="1:14" x14ac:dyDescent="0.3">
      <c r="A260" s="42"/>
      <c r="C260" s="122"/>
      <c r="D260"/>
      <c r="E260"/>
      <c r="F260"/>
      <c r="N260" s="44"/>
    </row>
    <row r="261" spans="1:14" x14ac:dyDescent="0.3">
      <c r="A261" s="42"/>
      <c r="C261" s="122"/>
      <c r="D261"/>
      <c r="E261"/>
      <c r="F261"/>
      <c r="N261" s="44"/>
    </row>
    <row r="262" spans="1:14" ht="15.6" x14ac:dyDescent="0.3">
      <c r="A262" s="42"/>
      <c r="C262" s="122"/>
      <c r="D262" s="112"/>
      <c r="E262"/>
      <c r="F262"/>
      <c r="L262" s="112"/>
      <c r="N262" s="44"/>
    </row>
    <row r="263" spans="1:14" x14ac:dyDescent="0.3">
      <c r="A263" s="42"/>
      <c r="C263" s="122"/>
      <c r="D263"/>
      <c r="E263"/>
      <c r="F263"/>
      <c r="N263" s="44"/>
    </row>
    <row r="264" spans="1:14" x14ac:dyDescent="0.3">
      <c r="A264" s="42"/>
      <c r="C264" s="122"/>
      <c r="D264"/>
      <c r="E264"/>
      <c r="F264"/>
      <c r="N264" s="44"/>
    </row>
    <row r="265" spans="1:14" x14ac:dyDescent="0.3">
      <c r="A265" s="42"/>
      <c r="C265" s="122"/>
      <c r="D265"/>
      <c r="E265"/>
      <c r="F265"/>
      <c r="N265" s="44"/>
    </row>
    <row r="266" spans="1:14" x14ac:dyDescent="0.3">
      <c r="A266" s="42"/>
      <c r="C266" s="52"/>
      <c r="D266"/>
      <c r="E266"/>
      <c r="F266"/>
      <c r="N266" s="44"/>
    </row>
    <row r="267" spans="1:14" x14ac:dyDescent="0.3">
      <c r="A267" s="42"/>
      <c r="C267" s="52"/>
      <c r="D267"/>
      <c r="E267"/>
      <c r="F267"/>
      <c r="N267" s="44"/>
    </row>
    <row r="268" spans="1:14" ht="15.6" x14ac:dyDescent="0.3">
      <c r="A268" s="42"/>
      <c r="C268" s="122"/>
      <c r="D268" s="112"/>
      <c r="E268"/>
      <c r="F268" s="112"/>
      <c r="L268" s="112"/>
      <c r="N268" s="44"/>
    </row>
    <row r="269" spans="1:14" x14ac:dyDescent="0.3">
      <c r="A269" s="42"/>
      <c r="C269" s="52"/>
      <c r="D269"/>
      <c r="E269"/>
      <c r="F269"/>
      <c r="M269" s="45"/>
      <c r="N269" s="44"/>
    </row>
    <row r="270" spans="1:14" x14ac:dyDescent="0.3">
      <c r="A270" s="42"/>
      <c r="C270" s="122"/>
      <c r="D270"/>
      <c r="E270"/>
      <c r="F270"/>
      <c r="N270" s="44"/>
    </row>
    <row r="271" spans="1:14" x14ac:dyDescent="0.3">
      <c r="A271" s="42"/>
      <c r="C271" s="52"/>
      <c r="D271"/>
      <c r="E271"/>
      <c r="F271"/>
      <c r="N271" s="44"/>
    </row>
    <row r="272" spans="1:14" x14ac:dyDescent="0.3">
      <c r="A272" s="42"/>
      <c r="C272" s="52"/>
      <c r="D272"/>
      <c r="E272"/>
      <c r="F272"/>
      <c r="N272" s="44"/>
    </row>
    <row r="273" spans="1:14" x14ac:dyDescent="0.3">
      <c r="A273" s="42"/>
      <c r="C273" s="52"/>
      <c r="D273"/>
      <c r="E273"/>
      <c r="F273"/>
      <c r="N273" s="44"/>
    </row>
    <row r="274" spans="1:14" x14ac:dyDescent="0.3">
      <c r="A274" s="42"/>
      <c r="C274" s="52"/>
      <c r="D274"/>
      <c r="E274"/>
      <c r="F274"/>
      <c r="N274" s="44"/>
    </row>
    <row r="275" spans="1:14" x14ac:dyDescent="0.3">
      <c r="A275" s="42"/>
      <c r="C275" s="52"/>
      <c r="D275"/>
      <c r="E275"/>
      <c r="F275"/>
      <c r="N275" s="44"/>
    </row>
    <row r="276" spans="1:14" x14ac:dyDescent="0.3">
      <c r="A276" s="42"/>
      <c r="C276" s="52"/>
      <c r="D276"/>
      <c r="E276"/>
      <c r="F276"/>
      <c r="N276" s="44"/>
    </row>
    <row r="277" spans="1:14" x14ac:dyDescent="0.3">
      <c r="A277" s="42"/>
      <c r="C277" s="52"/>
      <c r="D277"/>
      <c r="E277"/>
      <c r="F277"/>
      <c r="N277" s="44"/>
    </row>
    <row r="278" spans="1:14" x14ac:dyDescent="0.3">
      <c r="A278" s="42"/>
      <c r="C278" s="52"/>
      <c r="D278"/>
      <c r="E278"/>
      <c r="F278"/>
      <c r="N278" s="44"/>
    </row>
    <row r="279" spans="1:14" x14ac:dyDescent="0.3">
      <c r="A279" s="42"/>
      <c r="C279" s="52"/>
      <c r="D279"/>
      <c r="E279"/>
      <c r="F279"/>
      <c r="N279" s="44"/>
    </row>
    <row r="280" spans="1:14" x14ac:dyDescent="0.3">
      <c r="A280" s="42"/>
      <c r="C280" s="52"/>
      <c r="D280"/>
      <c r="E280"/>
      <c r="F280"/>
      <c r="N280" s="44"/>
    </row>
    <row r="281" spans="1:14" x14ac:dyDescent="0.3">
      <c r="A281" s="42"/>
      <c r="C281" s="52"/>
      <c r="D281"/>
      <c r="E281"/>
      <c r="F281"/>
      <c r="N281" s="44"/>
    </row>
    <row r="282" spans="1:14" x14ac:dyDescent="0.3">
      <c r="A282" s="42"/>
      <c r="C282" s="52"/>
      <c r="D282"/>
      <c r="E282"/>
      <c r="F282"/>
      <c r="L282" s="53"/>
      <c r="N282" s="44"/>
    </row>
    <row r="283" spans="1:14" x14ac:dyDescent="0.3">
      <c r="A283" s="42"/>
      <c r="C283" s="52"/>
      <c r="D283"/>
      <c r="E283"/>
      <c r="F283"/>
      <c r="L283" s="2"/>
      <c r="N283" s="44"/>
    </row>
    <row r="284" spans="1:14" x14ac:dyDescent="0.3">
      <c r="A284" s="42"/>
      <c r="C284" s="52"/>
      <c r="D284"/>
      <c r="E284"/>
      <c r="F284"/>
      <c r="L284" s="2"/>
      <c r="N284" s="44"/>
    </row>
    <row r="285" spans="1:14" x14ac:dyDescent="0.3">
      <c r="A285" s="42"/>
      <c r="C285" s="52"/>
      <c r="D285"/>
      <c r="E285"/>
      <c r="F285"/>
      <c r="L285" s="2"/>
      <c r="N285" s="44"/>
    </row>
    <row r="286" spans="1:14" x14ac:dyDescent="0.3">
      <c r="A286" s="42"/>
      <c r="C286" s="52"/>
      <c r="D286"/>
      <c r="E286"/>
      <c r="F286"/>
      <c r="L286" s="2"/>
      <c r="N286" s="44"/>
    </row>
    <row r="287" spans="1:14" x14ac:dyDescent="0.3">
      <c r="A287" s="42"/>
      <c r="C287" s="52"/>
      <c r="D287"/>
      <c r="E287"/>
      <c r="F287"/>
      <c r="N287" s="44"/>
    </row>
    <row r="288" spans="1:14" x14ac:dyDescent="0.3">
      <c r="A288" s="42"/>
      <c r="C288" s="52"/>
      <c r="D288"/>
      <c r="E288"/>
      <c r="F288"/>
      <c r="N288" s="44"/>
    </row>
    <row r="289" spans="1:14" x14ac:dyDescent="0.3">
      <c r="A289" s="42"/>
      <c r="C289" s="122"/>
      <c r="D289"/>
      <c r="E289"/>
      <c r="F289"/>
      <c r="N289" s="44"/>
    </row>
    <row r="290" spans="1:14" x14ac:dyDescent="0.3">
      <c r="A290" s="42"/>
      <c r="C290" s="122"/>
      <c r="D290"/>
      <c r="E290"/>
      <c r="F290"/>
      <c r="N290" s="44"/>
    </row>
    <row r="291" spans="1:14" x14ac:dyDescent="0.3">
      <c r="A291" s="42"/>
      <c r="C291" s="122"/>
      <c r="D291"/>
      <c r="E291"/>
      <c r="F291"/>
      <c r="N291" s="44"/>
    </row>
    <row r="292" spans="1:14" x14ac:dyDescent="0.3">
      <c r="A292" s="42"/>
      <c r="C292" s="122"/>
      <c r="D292"/>
      <c r="E292"/>
      <c r="F292"/>
      <c r="N292" s="44"/>
    </row>
    <row r="293" spans="1:14" x14ac:dyDescent="0.3">
      <c r="A293" s="42"/>
      <c r="C293" s="122"/>
      <c r="D293"/>
      <c r="E293"/>
      <c r="F293"/>
      <c r="N293" s="44"/>
    </row>
    <row r="294" spans="1:14" x14ac:dyDescent="0.3">
      <c r="A294" s="42"/>
      <c r="C294" s="122"/>
      <c r="D294"/>
      <c r="E294"/>
      <c r="F294"/>
      <c r="N294" s="44"/>
    </row>
    <row r="295" spans="1:14" x14ac:dyDescent="0.3">
      <c r="A295" s="42"/>
      <c r="C295" s="122"/>
      <c r="D295"/>
      <c r="E295"/>
      <c r="F295"/>
      <c r="N295" s="44"/>
    </row>
    <row r="296" spans="1:14" x14ac:dyDescent="0.3">
      <c r="A296" s="42"/>
      <c r="C296" s="122"/>
      <c r="D296"/>
      <c r="E296"/>
      <c r="F296"/>
      <c r="N296" s="44"/>
    </row>
    <row r="297" spans="1:14" x14ac:dyDescent="0.3">
      <c r="A297" s="42"/>
      <c r="C297" s="122"/>
      <c r="D297"/>
      <c r="E297"/>
      <c r="F297"/>
      <c r="N297" s="44"/>
    </row>
    <row r="298" spans="1:14" x14ac:dyDescent="0.3">
      <c r="A298" s="42"/>
      <c r="C298" s="122"/>
      <c r="D298"/>
      <c r="E298"/>
      <c r="F298"/>
      <c r="N298" s="44"/>
    </row>
    <row r="299" spans="1:14" x14ac:dyDescent="0.3">
      <c r="A299" s="42"/>
      <c r="C299" s="122"/>
      <c r="D299"/>
      <c r="E299"/>
      <c r="F299"/>
      <c r="N299" s="44"/>
    </row>
    <row r="300" spans="1:14" x14ac:dyDescent="0.3">
      <c r="A300" s="42"/>
      <c r="C300" s="122"/>
      <c r="D300"/>
      <c r="E300"/>
      <c r="F300"/>
      <c r="N300" s="44"/>
    </row>
    <row r="301" spans="1:14" x14ac:dyDescent="0.3">
      <c r="A301" s="42"/>
      <c r="C301" s="122"/>
      <c r="D301"/>
      <c r="E301"/>
      <c r="F301"/>
      <c r="N301" s="44"/>
    </row>
    <row r="302" spans="1:14" x14ac:dyDescent="0.3">
      <c r="A302" s="42"/>
      <c r="C302" s="122"/>
      <c r="D302"/>
      <c r="E302"/>
      <c r="F302"/>
      <c r="N302" s="44"/>
    </row>
    <row r="303" spans="1:14" x14ac:dyDescent="0.3">
      <c r="A303" s="42"/>
      <c r="C303" s="122"/>
      <c r="D303"/>
      <c r="E303"/>
      <c r="F303"/>
      <c r="N303" s="44"/>
    </row>
    <row r="304" spans="1:14" x14ac:dyDescent="0.3">
      <c r="A304" s="42"/>
      <c r="C304" s="122"/>
      <c r="D304"/>
      <c r="E304"/>
      <c r="F304"/>
      <c r="N304" s="44"/>
    </row>
    <row r="305" spans="1:14" x14ac:dyDescent="0.3">
      <c r="A305" s="42"/>
      <c r="C305" s="122"/>
      <c r="D305"/>
      <c r="E305"/>
      <c r="F305"/>
      <c r="N305" s="44"/>
    </row>
    <row r="306" spans="1:14" x14ac:dyDescent="0.3">
      <c r="A306" s="42"/>
      <c r="C306" s="122"/>
      <c r="D306"/>
      <c r="E306"/>
      <c r="F306"/>
      <c r="N306" s="44"/>
    </row>
    <row r="307" spans="1:14" x14ac:dyDescent="0.3">
      <c r="A307" s="42"/>
      <c r="C307" s="122"/>
      <c r="D307"/>
      <c r="E307"/>
      <c r="F307"/>
      <c r="N307" s="44"/>
    </row>
    <row r="308" spans="1:14" x14ac:dyDescent="0.3">
      <c r="A308" s="42"/>
      <c r="C308" s="122"/>
      <c r="D308"/>
      <c r="E308"/>
      <c r="F308"/>
      <c r="N308" s="44"/>
    </row>
    <row r="309" spans="1:14" x14ac:dyDescent="0.3">
      <c r="A309" s="42"/>
      <c r="C309" s="122"/>
      <c r="D309"/>
      <c r="E309"/>
      <c r="F309"/>
      <c r="N309" s="44"/>
    </row>
    <row r="310" spans="1:14" x14ac:dyDescent="0.3">
      <c r="A310" s="42"/>
      <c r="C310" s="122"/>
      <c r="D310"/>
      <c r="E310"/>
      <c r="F310"/>
      <c r="N310" s="44"/>
    </row>
    <row r="311" spans="1:14" x14ac:dyDescent="0.3">
      <c r="A311" s="42"/>
      <c r="C311" s="122"/>
      <c r="D311"/>
      <c r="E311"/>
      <c r="F311"/>
      <c r="N311" s="44"/>
    </row>
    <row r="312" spans="1:14" x14ac:dyDescent="0.3">
      <c r="A312" s="42"/>
      <c r="C312" s="122"/>
      <c r="D312"/>
      <c r="E312"/>
      <c r="F312"/>
      <c r="N312" s="44"/>
    </row>
    <row r="313" spans="1:14" x14ac:dyDescent="0.3">
      <c r="A313" s="42"/>
      <c r="C313" s="122"/>
      <c r="D313"/>
      <c r="E313"/>
      <c r="F313"/>
      <c r="N313" s="44"/>
    </row>
    <row r="314" spans="1:14" x14ac:dyDescent="0.3">
      <c r="A314" s="42"/>
      <c r="C314" s="122"/>
      <c r="D314"/>
      <c r="E314"/>
      <c r="F314"/>
      <c r="N314" s="44"/>
    </row>
    <row r="315" spans="1:14" x14ac:dyDescent="0.3">
      <c r="A315" s="42"/>
      <c r="C315" s="122"/>
      <c r="D315"/>
      <c r="E315"/>
      <c r="F315"/>
      <c r="N315" s="44"/>
    </row>
    <row r="316" spans="1:14" x14ac:dyDescent="0.3">
      <c r="A316" s="42"/>
      <c r="C316" s="122"/>
      <c r="D316"/>
      <c r="E316"/>
      <c r="F316"/>
      <c r="N316" s="44"/>
    </row>
    <row r="317" spans="1:14" x14ac:dyDescent="0.3">
      <c r="A317" s="42"/>
      <c r="C317" s="122"/>
      <c r="D317"/>
      <c r="E317"/>
      <c r="F317"/>
      <c r="N317" s="44"/>
    </row>
    <row r="318" spans="1:14" x14ac:dyDescent="0.3">
      <c r="A318" s="42"/>
      <c r="C318"/>
      <c r="D318"/>
      <c r="E318"/>
      <c r="F318"/>
      <c r="N318" s="44"/>
    </row>
    <row r="319" spans="1:14" x14ac:dyDescent="0.3">
      <c r="A319" s="42"/>
      <c r="C319"/>
      <c r="D319"/>
      <c r="E319"/>
      <c r="F319"/>
      <c r="N319" s="44"/>
    </row>
    <row r="320" spans="1:14" x14ac:dyDescent="0.3">
      <c r="A320" s="42"/>
      <c r="C320"/>
      <c r="D320"/>
      <c r="E320"/>
      <c r="F320"/>
      <c r="N320" s="44"/>
    </row>
    <row r="321" spans="1:14" x14ac:dyDescent="0.3">
      <c r="A321" s="42"/>
      <c r="C321"/>
      <c r="D321"/>
      <c r="E321"/>
      <c r="F321"/>
      <c r="L321" s="2"/>
      <c r="N321" s="44"/>
    </row>
    <row r="322" spans="1:14" x14ac:dyDescent="0.3">
      <c r="A322" s="42"/>
      <c r="C322"/>
      <c r="D322"/>
      <c r="E322"/>
      <c r="F322"/>
      <c r="L322" s="2"/>
      <c r="N322" s="44"/>
    </row>
    <row r="323" spans="1:14" x14ac:dyDescent="0.3">
      <c r="A323" s="42"/>
      <c r="C323"/>
      <c r="D323"/>
      <c r="E323"/>
      <c r="F323"/>
      <c r="L323" s="2"/>
      <c r="N323" s="44"/>
    </row>
    <row r="324" spans="1:14" x14ac:dyDescent="0.3">
      <c r="A324" s="42"/>
      <c r="C324"/>
      <c r="D324"/>
      <c r="E324"/>
      <c r="F324"/>
      <c r="L324" s="2"/>
      <c r="N324" s="44"/>
    </row>
    <row r="325" spans="1:14" x14ac:dyDescent="0.3">
      <c r="A325" s="42"/>
      <c r="C325"/>
      <c r="D325"/>
      <c r="E325"/>
      <c r="F325"/>
      <c r="L325" s="2"/>
      <c r="N325" s="44"/>
    </row>
    <row r="326" spans="1:14" x14ac:dyDescent="0.3">
      <c r="A326" s="42"/>
      <c r="C326"/>
      <c r="D326"/>
      <c r="E326"/>
      <c r="F326"/>
      <c r="L326" s="2"/>
      <c r="N326" s="44"/>
    </row>
    <row r="327" spans="1:14" x14ac:dyDescent="0.3">
      <c r="A327" s="42"/>
      <c r="C327"/>
      <c r="D327"/>
      <c r="E327"/>
      <c r="F327"/>
      <c r="L327" s="2"/>
      <c r="N327" s="44"/>
    </row>
    <row r="328" spans="1:14" x14ac:dyDescent="0.3">
      <c r="A328" s="42"/>
      <c r="C328"/>
      <c r="D328"/>
      <c r="E328"/>
      <c r="F328"/>
      <c r="L328" s="2"/>
      <c r="N328" s="44"/>
    </row>
    <row r="329" spans="1:14" x14ac:dyDescent="0.3">
      <c r="A329" s="42"/>
      <c r="C329"/>
      <c r="D329"/>
      <c r="E329"/>
      <c r="F329"/>
      <c r="L329" s="45"/>
      <c r="N329" s="44"/>
    </row>
    <row r="330" spans="1:14" x14ac:dyDescent="0.3">
      <c r="A330" s="42"/>
      <c r="C330"/>
      <c r="D330"/>
      <c r="E330"/>
      <c r="F330"/>
      <c r="L330" s="45"/>
      <c r="N330" s="44"/>
    </row>
    <row r="331" spans="1:14" x14ac:dyDescent="0.3">
      <c r="A331" s="42"/>
      <c r="C331"/>
      <c r="D331"/>
      <c r="E331"/>
      <c r="F331"/>
      <c r="N331" s="44"/>
    </row>
    <row r="332" spans="1:14" x14ac:dyDescent="0.3">
      <c r="A332" s="42"/>
      <c r="C332"/>
      <c r="D332"/>
      <c r="E332"/>
      <c r="F332"/>
      <c r="L332" s="45"/>
      <c r="N332" s="44"/>
    </row>
    <row r="333" spans="1:14" x14ac:dyDescent="0.3">
      <c r="A333" s="42"/>
      <c r="C333"/>
      <c r="D333"/>
      <c r="E333"/>
      <c r="F333"/>
      <c r="L333" s="45"/>
      <c r="N333" s="44"/>
    </row>
    <row r="334" spans="1:14" x14ac:dyDescent="0.3">
      <c r="A334" s="42"/>
      <c r="C334"/>
      <c r="D334"/>
      <c r="E334"/>
      <c r="F334"/>
      <c r="L334" s="45"/>
      <c r="N334" s="44"/>
    </row>
    <row r="335" spans="1:14" x14ac:dyDescent="0.3">
      <c r="A335" s="42"/>
      <c r="C335"/>
      <c r="D335"/>
      <c r="E335"/>
      <c r="F335"/>
      <c r="N335" s="44"/>
    </row>
    <row r="336" spans="1:14" x14ac:dyDescent="0.3">
      <c r="A336" s="42"/>
      <c r="C336"/>
      <c r="D336"/>
      <c r="E336"/>
      <c r="F336"/>
      <c r="N336" s="44"/>
    </row>
    <row r="337" spans="1:14" x14ac:dyDescent="0.3">
      <c r="A337" s="42"/>
      <c r="C337"/>
      <c r="D337"/>
      <c r="E337"/>
      <c r="F337"/>
      <c r="N337" s="44"/>
    </row>
    <row r="338" spans="1:14" x14ac:dyDescent="0.3">
      <c r="A338" s="42"/>
      <c r="C338"/>
      <c r="D338"/>
      <c r="E338"/>
      <c r="F338"/>
      <c r="N338" s="44"/>
    </row>
    <row r="339" spans="1:14" x14ac:dyDescent="0.3">
      <c r="A339" s="42"/>
      <c r="C339"/>
      <c r="D339"/>
      <c r="E339"/>
      <c r="F339"/>
      <c r="N339" s="44"/>
    </row>
    <row r="340" spans="1:14" x14ac:dyDescent="0.3">
      <c r="A340" s="42"/>
      <c r="C340"/>
      <c r="D340"/>
      <c r="E340"/>
      <c r="F340"/>
      <c r="N340" s="44"/>
    </row>
    <row r="341" spans="1:14" x14ac:dyDescent="0.3">
      <c r="A341" s="42"/>
      <c r="C341"/>
      <c r="D341"/>
      <c r="E341"/>
      <c r="F341"/>
      <c r="N341" s="44"/>
    </row>
    <row r="342" spans="1:14" x14ac:dyDescent="0.3">
      <c r="A342" s="42"/>
      <c r="C342" s="122"/>
      <c r="D342"/>
      <c r="E342"/>
      <c r="F342"/>
      <c r="N342" s="44"/>
    </row>
    <row r="343" spans="1:14" x14ac:dyDescent="0.3">
      <c r="A343" s="42"/>
      <c r="C343" s="122"/>
      <c r="D343"/>
      <c r="E343"/>
      <c r="F343"/>
      <c r="N343" s="44"/>
    </row>
    <row r="344" spans="1:14" x14ac:dyDescent="0.3">
      <c r="A344" s="42"/>
      <c r="C344" s="122"/>
      <c r="D344"/>
      <c r="E344"/>
      <c r="F344"/>
      <c r="N344" s="44"/>
    </row>
    <row r="345" spans="1:14" x14ac:dyDescent="0.3">
      <c r="A345" s="42"/>
      <c r="C345" s="122"/>
      <c r="D345"/>
      <c r="E345"/>
      <c r="F345"/>
      <c r="N345" s="44"/>
    </row>
    <row r="346" spans="1:14" x14ac:dyDescent="0.3">
      <c r="A346" s="42"/>
      <c r="C346"/>
      <c r="D346"/>
      <c r="E346"/>
      <c r="F346"/>
      <c r="N346" s="44"/>
    </row>
    <row r="347" spans="1:14" x14ac:dyDescent="0.3">
      <c r="A347" s="42"/>
      <c r="C347"/>
      <c r="D347"/>
      <c r="E347"/>
      <c r="F347"/>
      <c r="N347" s="44"/>
    </row>
    <row r="348" spans="1:14" x14ac:dyDescent="0.3">
      <c r="A348" s="42"/>
      <c r="C348"/>
      <c r="D348"/>
      <c r="E348"/>
      <c r="F348"/>
      <c r="N348" s="44"/>
    </row>
    <row r="349" spans="1:14" x14ac:dyDescent="0.3">
      <c r="A349" s="42"/>
      <c r="C349"/>
      <c r="D349"/>
      <c r="E349"/>
      <c r="F349"/>
      <c r="N349" s="44"/>
    </row>
    <row r="350" spans="1:14" x14ac:dyDescent="0.3">
      <c r="A350" s="42"/>
      <c r="C350"/>
      <c r="D350"/>
      <c r="E350"/>
      <c r="F350"/>
      <c r="N350" s="44"/>
    </row>
    <row r="351" spans="1:14" x14ac:dyDescent="0.3">
      <c r="A351" s="42"/>
      <c r="C351"/>
      <c r="D351"/>
      <c r="E351"/>
      <c r="F351"/>
      <c r="N351" s="44"/>
    </row>
    <row r="352" spans="1:14" x14ac:dyDescent="0.3">
      <c r="A352" s="42"/>
      <c r="C352"/>
      <c r="D352"/>
      <c r="E352"/>
      <c r="F352"/>
      <c r="N352" s="44"/>
    </row>
    <row r="353" spans="1:14" x14ac:dyDescent="0.3">
      <c r="A353" s="42"/>
      <c r="C353"/>
      <c r="D353"/>
      <c r="E353"/>
      <c r="F353"/>
      <c r="N353" s="44"/>
    </row>
    <row r="354" spans="1:14" x14ac:dyDescent="0.3">
      <c r="A354" s="42"/>
      <c r="C354"/>
      <c r="D354"/>
      <c r="E354"/>
      <c r="F354"/>
      <c r="N354" s="44"/>
    </row>
    <row r="355" spans="1:14" x14ac:dyDescent="0.3">
      <c r="A355" s="42"/>
      <c r="C355"/>
      <c r="D355"/>
      <c r="E355"/>
      <c r="F355"/>
      <c r="N355" s="44"/>
    </row>
    <row r="356" spans="1:14" x14ac:dyDescent="0.3">
      <c r="A356" s="42"/>
      <c r="C356"/>
      <c r="D356"/>
      <c r="E356"/>
      <c r="F356"/>
      <c r="N356" s="44"/>
    </row>
    <row r="357" spans="1:14" x14ac:dyDescent="0.3">
      <c r="A357" s="42"/>
      <c r="C357"/>
      <c r="D357"/>
      <c r="E357"/>
      <c r="F357"/>
      <c r="N357" s="44"/>
    </row>
    <row r="358" spans="1:14" x14ac:dyDescent="0.3">
      <c r="A358" s="42"/>
      <c r="C358"/>
      <c r="D358"/>
      <c r="E358"/>
      <c r="F358"/>
      <c r="N358" s="44"/>
    </row>
    <row r="359" spans="1:14" x14ac:dyDescent="0.3">
      <c r="A359" s="42"/>
      <c r="C359"/>
      <c r="D359"/>
      <c r="E359"/>
      <c r="F359"/>
      <c r="N359" s="44"/>
    </row>
    <row r="360" spans="1:14" x14ac:dyDescent="0.3">
      <c r="A360" s="42"/>
      <c r="C360"/>
      <c r="D360"/>
      <c r="E360"/>
      <c r="F360"/>
      <c r="N360" s="44"/>
    </row>
    <row r="361" spans="1:14" x14ac:dyDescent="0.3">
      <c r="A361" s="42"/>
      <c r="C361"/>
      <c r="D361"/>
      <c r="E361"/>
      <c r="F361"/>
      <c r="N361" s="44"/>
    </row>
    <row r="362" spans="1:14" x14ac:dyDescent="0.3">
      <c r="A362" s="42"/>
      <c r="C362"/>
      <c r="D362"/>
      <c r="E362"/>
      <c r="F362"/>
      <c r="N362" s="44"/>
    </row>
    <row r="363" spans="1:14" x14ac:dyDescent="0.3">
      <c r="A363" s="42"/>
      <c r="C363"/>
      <c r="D363"/>
      <c r="E363"/>
      <c r="F363"/>
      <c r="L363" s="2"/>
      <c r="N363" s="44"/>
    </row>
    <row r="364" spans="1:14" x14ac:dyDescent="0.3">
      <c r="A364" s="42"/>
      <c r="C364"/>
      <c r="D364"/>
      <c r="E364"/>
      <c r="F364"/>
      <c r="L364" s="2"/>
      <c r="N364" s="44"/>
    </row>
    <row r="365" spans="1:14" x14ac:dyDescent="0.3">
      <c r="A365" s="42"/>
      <c r="C365"/>
      <c r="D365"/>
      <c r="E365"/>
      <c r="F365"/>
      <c r="L365" s="2"/>
      <c r="N365" s="44"/>
    </row>
    <row r="366" spans="1:14" x14ac:dyDescent="0.3">
      <c r="A366" s="42"/>
      <c r="C366"/>
      <c r="D366"/>
      <c r="E366"/>
      <c r="F366"/>
      <c r="L366" s="2"/>
      <c r="N366" s="44"/>
    </row>
    <row r="367" spans="1:14" x14ac:dyDescent="0.3">
      <c r="A367" s="42"/>
      <c r="C367"/>
      <c r="D367"/>
      <c r="E367"/>
      <c r="F367"/>
      <c r="N367" s="44"/>
    </row>
    <row r="368" spans="1:14" x14ac:dyDescent="0.3">
      <c r="A368" s="42"/>
      <c r="C368"/>
      <c r="D368"/>
      <c r="E368"/>
      <c r="F368"/>
      <c r="N368" s="44"/>
    </row>
    <row r="369" spans="1:14" x14ac:dyDescent="0.3">
      <c r="A369" s="42"/>
      <c r="C369"/>
      <c r="D369"/>
      <c r="E369"/>
      <c r="F369"/>
      <c r="N369" s="44"/>
    </row>
    <row r="370" spans="1:14" x14ac:dyDescent="0.3">
      <c r="A370" s="42"/>
      <c r="C370"/>
      <c r="D370"/>
      <c r="E370"/>
      <c r="F370"/>
      <c r="N370" s="44"/>
    </row>
    <row r="371" spans="1:14" x14ac:dyDescent="0.3">
      <c r="A371" s="42"/>
      <c r="C371"/>
      <c r="D371"/>
      <c r="E371"/>
      <c r="F371"/>
      <c r="N371" s="44"/>
    </row>
    <row r="372" spans="1:14" x14ac:dyDescent="0.3">
      <c r="A372" s="42"/>
      <c r="C372"/>
      <c r="D372"/>
      <c r="E372"/>
      <c r="F372"/>
      <c r="N372" s="44"/>
    </row>
    <row r="373" spans="1:14" x14ac:dyDescent="0.3">
      <c r="A373" s="42"/>
      <c r="C373"/>
      <c r="D373"/>
      <c r="E373"/>
      <c r="F373"/>
      <c r="N373" s="44"/>
    </row>
    <row r="374" spans="1:14" x14ac:dyDescent="0.3">
      <c r="A374" s="42"/>
      <c r="C374"/>
      <c r="D374"/>
      <c r="E374"/>
      <c r="F374"/>
      <c r="N374" s="44"/>
    </row>
    <row r="375" spans="1:14" x14ac:dyDescent="0.3">
      <c r="A375" s="42"/>
      <c r="C375" s="122"/>
      <c r="D375"/>
      <c r="E375"/>
      <c r="F375"/>
      <c r="N375" s="44"/>
    </row>
    <row r="376" spans="1:14" x14ac:dyDescent="0.3">
      <c r="A376" s="42"/>
      <c r="C376" s="122"/>
      <c r="D376"/>
      <c r="E376"/>
      <c r="F376"/>
      <c r="N376" s="44"/>
    </row>
    <row r="377" spans="1:14" x14ac:dyDescent="0.3">
      <c r="A377" s="42"/>
      <c r="C377" s="122"/>
      <c r="D377"/>
      <c r="E377"/>
      <c r="F377"/>
      <c r="N377" s="44"/>
    </row>
    <row r="378" spans="1:14" x14ac:dyDescent="0.3">
      <c r="A378" s="42"/>
      <c r="C378" s="122"/>
      <c r="D378"/>
      <c r="E378"/>
      <c r="F378"/>
      <c r="N378" s="44"/>
    </row>
    <row r="379" spans="1:14" x14ac:dyDescent="0.3">
      <c r="A379" s="42"/>
      <c r="C379" s="122"/>
      <c r="D379"/>
      <c r="E379"/>
      <c r="F379"/>
      <c r="N379" s="44"/>
    </row>
    <row r="380" spans="1:14" x14ac:dyDescent="0.3">
      <c r="A380" s="42"/>
      <c r="C380" s="122"/>
      <c r="D380"/>
      <c r="E380"/>
      <c r="F380"/>
      <c r="N380" s="44"/>
    </row>
    <row r="381" spans="1:14" x14ac:dyDescent="0.3">
      <c r="A381" s="42"/>
      <c r="C381" s="122"/>
      <c r="D381"/>
      <c r="E381"/>
      <c r="F381"/>
      <c r="N381" s="44"/>
    </row>
    <row r="382" spans="1:14" x14ac:dyDescent="0.3">
      <c r="A382" s="42"/>
      <c r="C382" s="122"/>
      <c r="D382"/>
      <c r="E382"/>
      <c r="F382"/>
      <c r="N382" s="44"/>
    </row>
    <row r="383" spans="1:14" x14ac:dyDescent="0.3">
      <c r="A383" s="42"/>
      <c r="C383" s="122"/>
      <c r="D383"/>
      <c r="E383"/>
      <c r="F383"/>
      <c r="N383" s="44"/>
    </row>
    <row r="384" spans="1:14" x14ac:dyDescent="0.3">
      <c r="A384" s="42"/>
      <c r="C384" s="122"/>
      <c r="D384"/>
      <c r="E384"/>
      <c r="F384"/>
      <c r="N384" s="44"/>
    </row>
    <row r="385" spans="1:14" x14ac:dyDescent="0.3">
      <c r="A385" s="42"/>
      <c r="C385" s="122"/>
      <c r="D385"/>
      <c r="E385"/>
      <c r="F385"/>
      <c r="N385" s="44"/>
    </row>
    <row r="386" spans="1:14" ht="15.6" x14ac:dyDescent="0.3">
      <c r="A386" s="42"/>
      <c r="C386" s="122"/>
      <c r="D386" s="112"/>
      <c r="E386"/>
      <c r="F386" s="112"/>
      <c r="L386" s="112"/>
      <c r="N386" s="44"/>
    </row>
    <row r="387" spans="1:14" x14ac:dyDescent="0.3">
      <c r="A387" s="42"/>
      <c r="C387" s="122"/>
      <c r="D387"/>
      <c r="E387"/>
      <c r="F387"/>
      <c r="N387" s="44"/>
    </row>
    <row r="388" spans="1:14" x14ac:dyDescent="0.3">
      <c r="A388" s="42"/>
      <c r="C388" s="122"/>
      <c r="D388"/>
      <c r="E388"/>
      <c r="F388"/>
      <c r="N388" s="44"/>
    </row>
    <row r="389" spans="1:14" x14ac:dyDescent="0.3">
      <c r="A389" s="42"/>
      <c r="C389" s="122"/>
      <c r="D389"/>
      <c r="E389"/>
      <c r="F389"/>
      <c r="N389" s="44"/>
    </row>
    <row r="390" spans="1:14" x14ac:dyDescent="0.3">
      <c r="A390" s="42"/>
      <c r="C390" s="122"/>
      <c r="D390"/>
      <c r="E390"/>
      <c r="F390"/>
      <c r="N390" s="44"/>
    </row>
    <row r="391" spans="1:14" x14ac:dyDescent="0.3">
      <c r="A391" s="42"/>
      <c r="C391" s="122"/>
      <c r="D391"/>
      <c r="E391"/>
      <c r="F391"/>
      <c r="N391" s="44"/>
    </row>
    <row r="392" spans="1:14" x14ac:dyDescent="0.3">
      <c r="A392" s="42"/>
      <c r="C392" s="122"/>
      <c r="D392"/>
      <c r="E392"/>
      <c r="F392"/>
      <c r="N392" s="44"/>
    </row>
    <row r="393" spans="1:14" x14ac:dyDescent="0.3">
      <c r="A393" s="42"/>
      <c r="C393" s="122"/>
      <c r="D393"/>
      <c r="E393"/>
      <c r="F393"/>
      <c r="N393" s="44"/>
    </row>
    <row r="394" spans="1:14" x14ac:dyDescent="0.3">
      <c r="A394" s="42"/>
      <c r="C394" s="122"/>
      <c r="D394"/>
      <c r="E394"/>
      <c r="F394"/>
      <c r="N394" s="44"/>
    </row>
    <row r="395" spans="1:14" x14ac:dyDescent="0.3">
      <c r="A395" s="42"/>
      <c r="C395" s="122"/>
      <c r="D395"/>
      <c r="E395"/>
      <c r="F395"/>
      <c r="N395" s="44"/>
    </row>
    <row r="396" spans="1:14" x14ac:dyDescent="0.3">
      <c r="A396" s="42"/>
      <c r="C396" s="122"/>
      <c r="D396"/>
      <c r="E396"/>
      <c r="F396"/>
      <c r="N396" s="44"/>
    </row>
    <row r="397" spans="1:14" x14ac:dyDescent="0.3">
      <c r="A397" s="42"/>
      <c r="C397" s="122"/>
      <c r="D397"/>
      <c r="E397"/>
      <c r="F397"/>
      <c r="N397" s="44"/>
    </row>
    <row r="398" spans="1:14" x14ac:dyDescent="0.3">
      <c r="A398" s="42"/>
      <c r="C398" s="122"/>
      <c r="D398"/>
      <c r="E398"/>
      <c r="F398"/>
      <c r="N398" s="44"/>
    </row>
    <row r="399" spans="1:14" x14ac:dyDescent="0.3">
      <c r="A399" s="42"/>
      <c r="C399"/>
      <c r="D399"/>
      <c r="E399"/>
      <c r="F399"/>
      <c r="L399" s="2"/>
      <c r="N399" s="44"/>
    </row>
    <row r="400" spans="1:14" x14ac:dyDescent="0.3">
      <c r="A400" s="42"/>
      <c r="C400"/>
      <c r="D400"/>
      <c r="E400"/>
      <c r="F400"/>
      <c r="L400" s="2"/>
      <c r="N400" s="44"/>
    </row>
    <row r="401" spans="1:14" x14ac:dyDescent="0.3">
      <c r="A401" s="42"/>
      <c r="C401"/>
      <c r="D401"/>
      <c r="E401"/>
      <c r="F401"/>
      <c r="L401" s="2"/>
      <c r="N401" s="44"/>
    </row>
    <row r="402" spans="1:14" x14ac:dyDescent="0.3">
      <c r="A402" s="42"/>
      <c r="C402"/>
      <c r="D402"/>
      <c r="E402"/>
      <c r="F402"/>
      <c r="L402" s="2"/>
      <c r="N402" s="44"/>
    </row>
    <row r="403" spans="1:14" x14ac:dyDescent="0.3">
      <c r="A403" s="42"/>
      <c r="C403"/>
      <c r="D403"/>
      <c r="E403"/>
      <c r="F403"/>
      <c r="L403" s="2"/>
      <c r="N403" s="44"/>
    </row>
    <row r="404" spans="1:14" x14ac:dyDescent="0.3">
      <c r="A404" s="42"/>
      <c r="C404"/>
      <c r="D404"/>
      <c r="E404"/>
      <c r="F404"/>
      <c r="L404" s="2"/>
      <c r="N404" s="44"/>
    </row>
    <row r="405" spans="1:14" x14ac:dyDescent="0.3">
      <c r="A405" s="42"/>
      <c r="C405"/>
      <c r="D405"/>
      <c r="E405"/>
      <c r="F405"/>
      <c r="L405" s="2"/>
      <c r="N405" s="44"/>
    </row>
    <row r="406" spans="1:14" x14ac:dyDescent="0.3">
      <c r="A406" s="42"/>
      <c r="C406"/>
      <c r="D406"/>
      <c r="E406"/>
      <c r="F406"/>
      <c r="L406" s="2"/>
      <c r="N406" s="44"/>
    </row>
    <row r="407" spans="1:14" x14ac:dyDescent="0.3">
      <c r="A407" s="42"/>
      <c r="C407"/>
      <c r="D407"/>
      <c r="E407"/>
      <c r="F407"/>
      <c r="L407" s="2"/>
      <c r="N407" s="44"/>
    </row>
    <row r="408" spans="1:14" x14ac:dyDescent="0.3">
      <c r="A408" s="42"/>
      <c r="C408"/>
      <c r="D408"/>
      <c r="E408"/>
      <c r="F408"/>
      <c r="L408" s="2"/>
      <c r="N408" s="44"/>
    </row>
    <row r="409" spans="1:14" x14ac:dyDescent="0.3">
      <c r="A409" s="42"/>
      <c r="C409"/>
      <c r="D409"/>
      <c r="E409"/>
      <c r="F409"/>
      <c r="N409" s="44"/>
    </row>
    <row r="410" spans="1:14" x14ac:dyDescent="0.3">
      <c r="A410" s="42"/>
      <c r="C410"/>
      <c r="D410"/>
      <c r="E410"/>
      <c r="F410"/>
      <c r="N410" s="44"/>
    </row>
    <row r="411" spans="1:14" x14ac:dyDescent="0.3">
      <c r="A411" s="42"/>
      <c r="C411"/>
      <c r="D411"/>
      <c r="E411"/>
      <c r="F411"/>
      <c r="N411" s="44"/>
    </row>
    <row r="412" spans="1:14" x14ac:dyDescent="0.3">
      <c r="A412" s="42"/>
      <c r="C412"/>
      <c r="D412"/>
      <c r="E412"/>
      <c r="F412"/>
      <c r="N412" s="44"/>
    </row>
    <row r="413" spans="1:14" x14ac:dyDescent="0.3">
      <c r="A413" s="42"/>
      <c r="C413"/>
      <c r="D413"/>
      <c r="E413"/>
      <c r="F413"/>
      <c r="N413" s="44"/>
    </row>
    <row r="414" spans="1:14" x14ac:dyDescent="0.3">
      <c r="A414" s="42"/>
      <c r="C414"/>
      <c r="D414"/>
      <c r="E414"/>
      <c r="F414"/>
      <c r="L414" s="45"/>
      <c r="N414" s="44"/>
    </row>
    <row r="415" spans="1:14" x14ac:dyDescent="0.3">
      <c r="A415" s="42"/>
      <c r="C415"/>
      <c r="D415"/>
      <c r="E415"/>
      <c r="F415"/>
      <c r="L415" s="45"/>
      <c r="N415" s="44"/>
    </row>
    <row r="416" spans="1:14" x14ac:dyDescent="0.3">
      <c r="A416" s="42"/>
      <c r="C416"/>
      <c r="D416"/>
      <c r="E416"/>
      <c r="F416"/>
      <c r="L416" s="45"/>
      <c r="N416" s="44"/>
    </row>
    <row r="417" spans="1:14" x14ac:dyDescent="0.3">
      <c r="A417" s="42"/>
      <c r="C417"/>
      <c r="D417"/>
      <c r="E417"/>
      <c r="F417"/>
      <c r="L417" s="45"/>
      <c r="N417" s="44"/>
    </row>
    <row r="418" spans="1:14" x14ac:dyDescent="0.3">
      <c r="A418" s="42"/>
      <c r="C418"/>
      <c r="D418"/>
      <c r="E418"/>
      <c r="F418"/>
      <c r="L418" s="45"/>
      <c r="N418" s="44"/>
    </row>
    <row r="419" spans="1:14" x14ac:dyDescent="0.3">
      <c r="A419" s="42"/>
      <c r="C419"/>
      <c r="D419"/>
      <c r="E419"/>
      <c r="F419"/>
      <c r="L419" s="45"/>
      <c r="N419" s="44"/>
    </row>
    <row r="420" spans="1:14" x14ac:dyDescent="0.3">
      <c r="A420" s="42"/>
      <c r="C420"/>
      <c r="D420"/>
      <c r="E420"/>
      <c r="F420"/>
      <c r="L420" s="45"/>
      <c r="N420" s="44"/>
    </row>
    <row r="421" spans="1:14" x14ac:dyDescent="0.3">
      <c r="A421" s="42"/>
      <c r="C421"/>
      <c r="D421"/>
      <c r="E421"/>
      <c r="F421"/>
      <c r="L421" s="45"/>
      <c r="N421" s="44"/>
    </row>
    <row r="422" spans="1:14" x14ac:dyDescent="0.3">
      <c r="A422" s="42"/>
      <c r="C422"/>
      <c r="D422"/>
      <c r="E422"/>
      <c r="F422"/>
      <c r="N422" s="44"/>
    </row>
    <row r="423" spans="1:14" x14ac:dyDescent="0.3">
      <c r="A423" s="42"/>
      <c r="C423" s="52"/>
      <c r="D423"/>
      <c r="E423"/>
      <c r="F423"/>
      <c r="N423" s="44"/>
    </row>
    <row r="424" spans="1:14" x14ac:dyDescent="0.3">
      <c r="A424" s="42"/>
      <c r="C424" s="122"/>
      <c r="D424"/>
      <c r="E424"/>
      <c r="F424"/>
      <c r="N424" s="44"/>
    </row>
    <row r="425" spans="1:14" x14ac:dyDescent="0.3">
      <c r="A425" s="42"/>
      <c r="C425" s="122"/>
      <c r="D425"/>
      <c r="E425"/>
      <c r="F425"/>
      <c r="N425" s="44"/>
    </row>
    <row r="426" spans="1:14" x14ac:dyDescent="0.3">
      <c r="A426" s="42"/>
      <c r="C426" s="122"/>
      <c r="D426"/>
      <c r="E426"/>
      <c r="F426"/>
      <c r="N426" s="44"/>
    </row>
    <row r="427" spans="1:14" x14ac:dyDescent="0.3">
      <c r="A427" s="42"/>
      <c r="C427" s="122"/>
      <c r="D427"/>
      <c r="E427"/>
      <c r="F427"/>
      <c r="N427" s="44"/>
    </row>
    <row r="428" spans="1:14" x14ac:dyDescent="0.3">
      <c r="A428" s="42"/>
      <c r="C428" s="122"/>
      <c r="D428"/>
      <c r="E428"/>
      <c r="F428"/>
      <c r="N428" s="44"/>
    </row>
    <row r="429" spans="1:14" x14ac:dyDescent="0.3">
      <c r="A429" s="42"/>
      <c r="C429" s="122"/>
      <c r="D429"/>
      <c r="E429"/>
      <c r="F429"/>
      <c r="N429" s="44"/>
    </row>
    <row r="430" spans="1:14" x14ac:dyDescent="0.3">
      <c r="A430" s="42"/>
      <c r="C430" s="122"/>
      <c r="D430"/>
      <c r="E430"/>
      <c r="F430"/>
      <c r="N430" s="44"/>
    </row>
    <row r="431" spans="1:14" x14ac:dyDescent="0.3">
      <c r="A431" s="42"/>
      <c r="C431" s="122"/>
      <c r="D431"/>
      <c r="E431"/>
      <c r="F431"/>
      <c r="N431" s="44"/>
    </row>
    <row r="432" spans="1:14" x14ac:dyDescent="0.3">
      <c r="A432" s="42"/>
      <c r="C432" s="122"/>
      <c r="D432"/>
      <c r="E432"/>
      <c r="F432"/>
      <c r="N432" s="44"/>
    </row>
    <row r="433" spans="1:14" x14ac:dyDescent="0.3">
      <c r="A433" s="42"/>
      <c r="C433" s="122"/>
      <c r="D433"/>
      <c r="E433"/>
      <c r="F433"/>
      <c r="N433" s="44"/>
    </row>
    <row r="434" spans="1:14" x14ac:dyDescent="0.3">
      <c r="A434" s="42"/>
      <c r="C434" s="122"/>
      <c r="D434"/>
      <c r="E434"/>
      <c r="F434"/>
      <c r="N434" s="44"/>
    </row>
    <row r="435" spans="1:14" x14ac:dyDescent="0.3">
      <c r="A435" s="42"/>
      <c r="C435" s="122"/>
      <c r="D435"/>
      <c r="E435"/>
      <c r="F435"/>
      <c r="N435" s="44"/>
    </row>
    <row r="436" spans="1:14" x14ac:dyDescent="0.3">
      <c r="A436" s="42"/>
      <c r="C436" s="52"/>
      <c r="D436"/>
      <c r="E436"/>
      <c r="F436"/>
      <c r="N436" s="44"/>
    </row>
    <row r="437" spans="1:14" x14ac:dyDescent="0.3">
      <c r="A437" s="42"/>
      <c r="C437" s="122"/>
      <c r="D437"/>
      <c r="E437"/>
      <c r="F437"/>
      <c r="N437" s="44"/>
    </row>
    <row r="438" spans="1:14" x14ac:dyDescent="0.3">
      <c r="A438" s="42"/>
      <c r="C438" s="122"/>
      <c r="D438"/>
      <c r="E438"/>
      <c r="F438"/>
      <c r="N438" s="44"/>
    </row>
    <row r="439" spans="1:14" x14ac:dyDescent="0.3">
      <c r="A439" s="42"/>
      <c r="C439" s="122"/>
      <c r="D439"/>
      <c r="E439"/>
      <c r="F439"/>
      <c r="N439" s="44"/>
    </row>
    <row r="440" spans="1:14" ht="15.6" x14ac:dyDescent="0.3">
      <c r="A440" s="42"/>
      <c r="C440" s="122"/>
      <c r="D440" s="112"/>
      <c r="E440"/>
      <c r="F440" s="112"/>
      <c r="L440" s="112"/>
      <c r="N440" s="44"/>
    </row>
    <row r="441" spans="1:14" x14ac:dyDescent="0.3">
      <c r="A441" s="42"/>
      <c r="C441" s="52"/>
      <c r="D441"/>
      <c r="E441"/>
      <c r="F441"/>
      <c r="N441" s="44"/>
    </row>
    <row r="442" spans="1:14" ht="15.6" x14ac:dyDescent="0.3">
      <c r="A442" s="42"/>
      <c r="C442" s="122"/>
      <c r="D442" s="112"/>
      <c r="E442"/>
      <c r="F442"/>
      <c r="L442" s="112"/>
      <c r="N442" s="44"/>
    </row>
    <row r="443" spans="1:14" x14ac:dyDescent="0.3">
      <c r="A443" s="42"/>
      <c r="C443"/>
      <c r="D443"/>
      <c r="E443"/>
      <c r="F443"/>
      <c r="N443" s="44"/>
    </row>
    <row r="444" spans="1:14" x14ac:dyDescent="0.3">
      <c r="A444" s="42"/>
      <c r="C444" s="122"/>
      <c r="D444"/>
      <c r="E444"/>
      <c r="F444"/>
      <c r="N444" s="44"/>
    </row>
    <row r="445" spans="1:14" x14ac:dyDescent="0.3">
      <c r="A445" s="42"/>
      <c r="C445" s="122"/>
      <c r="D445"/>
      <c r="E445"/>
      <c r="F445"/>
      <c r="N445" s="44"/>
    </row>
    <row r="446" spans="1:14" x14ac:dyDescent="0.3">
      <c r="A446" s="42"/>
      <c r="C446" s="122"/>
      <c r="D446"/>
      <c r="E446"/>
      <c r="F446"/>
      <c r="N446" s="44"/>
    </row>
    <row r="447" spans="1:14" x14ac:dyDescent="0.3">
      <c r="A447" s="42"/>
      <c r="C447"/>
      <c r="D447"/>
      <c r="E447"/>
      <c r="F447"/>
      <c r="N447" s="44"/>
    </row>
    <row r="448" spans="1:14" x14ac:dyDescent="0.3">
      <c r="A448" s="42"/>
      <c r="C448"/>
      <c r="D448"/>
      <c r="E448"/>
      <c r="F448"/>
      <c r="L448" s="2"/>
      <c r="N448" s="44"/>
    </row>
    <row r="449" spans="1:14" x14ac:dyDescent="0.3">
      <c r="A449" s="42"/>
      <c r="C449" s="122"/>
      <c r="D449"/>
      <c r="E449"/>
      <c r="F449"/>
      <c r="N449" s="44"/>
    </row>
    <row r="450" spans="1:14" ht="15.6" x14ac:dyDescent="0.3">
      <c r="A450" s="42"/>
      <c r="C450" s="122"/>
      <c r="D450" s="112"/>
      <c r="E450"/>
      <c r="F450"/>
      <c r="L450" s="112"/>
      <c r="N450" s="44"/>
    </row>
    <row r="451" spans="1:14" x14ac:dyDescent="0.3">
      <c r="A451" s="42"/>
      <c r="C451" s="122"/>
      <c r="D451"/>
      <c r="E451"/>
      <c r="F451"/>
      <c r="N451" s="44"/>
    </row>
    <row r="452" spans="1:14" x14ac:dyDescent="0.3">
      <c r="A452" s="42"/>
      <c r="C452" s="122"/>
      <c r="D452"/>
      <c r="E452"/>
      <c r="F452"/>
      <c r="N452" s="44"/>
    </row>
    <row r="453" spans="1:14" x14ac:dyDescent="0.3">
      <c r="A453" s="42"/>
      <c r="C453" s="122"/>
      <c r="D453"/>
      <c r="E453"/>
      <c r="F453"/>
      <c r="N453" s="44"/>
    </row>
    <row r="454" spans="1:14" x14ac:dyDescent="0.3">
      <c r="A454" s="42"/>
      <c r="C454" s="122"/>
      <c r="D454"/>
      <c r="E454"/>
      <c r="F454"/>
      <c r="N454" s="44"/>
    </row>
    <row r="455" spans="1:14" x14ac:dyDescent="0.3">
      <c r="A455" s="42"/>
      <c r="C455" s="122"/>
      <c r="D455"/>
      <c r="E455"/>
      <c r="F455"/>
      <c r="N455" s="44"/>
    </row>
    <row r="456" spans="1:14" x14ac:dyDescent="0.3">
      <c r="A456" s="42"/>
      <c r="C456" s="122"/>
      <c r="D456"/>
      <c r="E456"/>
      <c r="F456"/>
      <c r="N456" s="44"/>
    </row>
    <row r="457" spans="1:14" x14ac:dyDescent="0.3">
      <c r="A457" s="42"/>
      <c r="C457" s="122"/>
      <c r="D457"/>
      <c r="E457"/>
      <c r="F457"/>
      <c r="N457" s="44"/>
    </row>
    <row r="458" spans="1:14" x14ac:dyDescent="0.3">
      <c r="A458" s="42"/>
      <c r="C458" s="52"/>
      <c r="D458"/>
      <c r="E458"/>
      <c r="F458"/>
      <c r="N458" s="44"/>
    </row>
    <row r="459" spans="1:14" x14ac:dyDescent="0.3">
      <c r="A459" s="42"/>
      <c r="C459" s="122"/>
      <c r="D459"/>
      <c r="E459"/>
      <c r="F459"/>
      <c r="N459" s="44"/>
    </row>
    <row r="460" spans="1:14" x14ac:dyDescent="0.3">
      <c r="A460" s="42"/>
      <c r="C460" s="122"/>
      <c r="D460"/>
      <c r="E460"/>
      <c r="F460"/>
      <c r="N460" s="44"/>
    </row>
    <row r="461" spans="1:14" x14ac:dyDescent="0.3">
      <c r="A461" s="42"/>
      <c r="C461" s="122"/>
      <c r="D461"/>
      <c r="E461"/>
      <c r="F461"/>
      <c r="N461" s="44"/>
    </row>
    <row r="462" spans="1:14" x14ac:dyDescent="0.3">
      <c r="A462" s="42"/>
      <c r="C462" s="122"/>
      <c r="D462"/>
      <c r="E462"/>
      <c r="F462"/>
      <c r="N462" s="44"/>
    </row>
    <row r="463" spans="1:14" x14ac:dyDescent="0.3">
      <c r="A463" s="42"/>
      <c r="C463" s="122"/>
      <c r="D463"/>
      <c r="E463"/>
      <c r="F463"/>
      <c r="N463" s="44"/>
    </row>
    <row r="464" spans="1:14" x14ac:dyDescent="0.3">
      <c r="A464" s="42"/>
      <c r="C464" s="122"/>
      <c r="D464"/>
      <c r="E464"/>
      <c r="F464"/>
      <c r="N464" s="44"/>
    </row>
    <row r="465" spans="1:14" x14ac:dyDescent="0.3">
      <c r="A465" s="42"/>
      <c r="C465" s="122"/>
      <c r="D465"/>
      <c r="E465"/>
      <c r="F465"/>
      <c r="N465" s="44"/>
    </row>
    <row r="466" spans="1:14" x14ac:dyDescent="0.3">
      <c r="A466" s="42"/>
      <c r="C466" s="122"/>
      <c r="D466"/>
      <c r="E466"/>
      <c r="F466"/>
      <c r="N466" s="44"/>
    </row>
    <row r="467" spans="1:14" x14ac:dyDescent="0.3">
      <c r="A467" s="42"/>
      <c r="C467" s="52"/>
      <c r="D467"/>
      <c r="E467"/>
      <c r="F467"/>
      <c r="N467" s="44"/>
    </row>
    <row r="468" spans="1:14" x14ac:dyDescent="0.3">
      <c r="A468" s="42"/>
      <c r="C468" s="122"/>
      <c r="D468"/>
      <c r="E468"/>
      <c r="F468"/>
      <c r="N468" s="44"/>
    </row>
    <row r="469" spans="1:14" x14ac:dyDescent="0.3">
      <c r="A469" s="42"/>
      <c r="C469" s="122"/>
      <c r="D469"/>
      <c r="E469"/>
      <c r="F469"/>
      <c r="N469" s="44"/>
    </row>
    <row r="470" spans="1:14" x14ac:dyDescent="0.3">
      <c r="A470" s="42"/>
      <c r="C470" s="52"/>
      <c r="D470"/>
      <c r="E470"/>
      <c r="F470"/>
      <c r="N470" s="44"/>
    </row>
    <row r="471" spans="1:14" x14ac:dyDescent="0.3">
      <c r="A471" s="42"/>
      <c r="C471" s="52"/>
      <c r="D471"/>
      <c r="E471"/>
      <c r="F471"/>
      <c r="N471" s="44"/>
    </row>
    <row r="472" spans="1:14" x14ac:dyDescent="0.3">
      <c r="A472" s="42"/>
      <c r="C472" s="52"/>
      <c r="D472"/>
      <c r="E472"/>
      <c r="F472"/>
      <c r="N472" s="44"/>
    </row>
    <row r="473" spans="1:14" x14ac:dyDescent="0.3">
      <c r="A473" s="42"/>
      <c r="C473" s="52"/>
      <c r="D473"/>
      <c r="E473"/>
      <c r="F473"/>
      <c r="N473" s="44"/>
    </row>
    <row r="474" spans="1:14" x14ac:dyDescent="0.3">
      <c r="A474" s="42"/>
      <c r="C474" s="52"/>
      <c r="D474"/>
      <c r="E474"/>
      <c r="F474"/>
      <c r="N474" s="44"/>
    </row>
    <row r="475" spans="1:14" x14ac:dyDescent="0.3">
      <c r="A475" s="42"/>
      <c r="C475"/>
      <c r="D475"/>
      <c r="E475"/>
      <c r="F475"/>
      <c r="N475" s="44"/>
    </row>
    <row r="476" spans="1:14" x14ac:dyDescent="0.3">
      <c r="A476" s="42"/>
      <c r="C476"/>
      <c r="D476"/>
      <c r="E476"/>
      <c r="F476"/>
      <c r="N476" s="44"/>
    </row>
    <row r="477" spans="1:14" x14ac:dyDescent="0.3">
      <c r="A477" s="42"/>
      <c r="C477"/>
      <c r="D477"/>
      <c r="E477"/>
      <c r="F477"/>
      <c r="N477" s="44"/>
    </row>
    <row r="478" spans="1:14" x14ac:dyDescent="0.3">
      <c r="A478" s="42"/>
      <c r="C478"/>
      <c r="D478"/>
      <c r="E478"/>
      <c r="F478"/>
      <c r="N478" s="44"/>
    </row>
    <row r="479" spans="1:14" x14ac:dyDescent="0.3">
      <c r="A479" s="42"/>
      <c r="C479"/>
      <c r="D479"/>
      <c r="E479"/>
      <c r="F479"/>
      <c r="N479" s="44"/>
    </row>
    <row r="480" spans="1:14" x14ac:dyDescent="0.3">
      <c r="A480" s="42"/>
      <c r="C480" s="52"/>
      <c r="D480"/>
      <c r="E480"/>
      <c r="F480"/>
      <c r="N480" s="44"/>
    </row>
    <row r="481" spans="1:14" x14ac:dyDescent="0.3">
      <c r="A481" s="42"/>
      <c r="C481" s="122"/>
      <c r="D481"/>
      <c r="E481"/>
      <c r="F481"/>
      <c r="N481" s="44"/>
    </row>
    <row r="482" spans="1:14" ht="15.6" x14ac:dyDescent="0.3">
      <c r="A482" s="42"/>
      <c r="C482" s="122"/>
      <c r="D482" s="112"/>
      <c r="E482"/>
      <c r="F482" s="112"/>
      <c r="L482" s="112"/>
      <c r="N482" s="44"/>
    </row>
    <row r="483" spans="1:14" ht="15.6" x14ac:dyDescent="0.3">
      <c r="A483" s="42"/>
      <c r="C483" s="122"/>
      <c r="D483" s="112"/>
      <c r="E483"/>
      <c r="F483" s="112"/>
      <c r="L483" s="112"/>
      <c r="N483" s="44"/>
    </row>
    <row r="484" spans="1:14" x14ac:dyDescent="0.3">
      <c r="A484" s="42"/>
      <c r="C484"/>
      <c r="D484"/>
      <c r="E484"/>
      <c r="F484"/>
      <c r="N484" s="44"/>
    </row>
    <row r="485" spans="1:14" x14ac:dyDescent="0.3">
      <c r="A485" s="42"/>
      <c r="C485"/>
      <c r="D485"/>
      <c r="E485"/>
      <c r="F485"/>
      <c r="N485" s="44"/>
    </row>
    <row r="486" spans="1:14" x14ac:dyDescent="0.3">
      <c r="A486" s="42"/>
      <c r="C486" s="122"/>
      <c r="D486"/>
      <c r="E486"/>
      <c r="F486"/>
      <c r="N486" s="44"/>
    </row>
    <row r="487" spans="1:14" x14ac:dyDescent="0.3">
      <c r="A487" s="42"/>
      <c r="C487" s="122"/>
      <c r="D487"/>
      <c r="E487"/>
      <c r="F487"/>
      <c r="N487" s="44"/>
    </row>
    <row r="488" spans="1:14" x14ac:dyDescent="0.3">
      <c r="A488" s="42"/>
      <c r="C488" s="122"/>
      <c r="D488"/>
      <c r="E488"/>
      <c r="F488"/>
      <c r="N488" s="44"/>
    </row>
    <row r="489" spans="1:14" x14ac:dyDescent="0.3">
      <c r="A489" s="42"/>
      <c r="C489" s="122"/>
      <c r="D489"/>
      <c r="E489"/>
      <c r="F489"/>
      <c r="N489" s="44"/>
    </row>
    <row r="490" spans="1:14" x14ac:dyDescent="0.3">
      <c r="A490" s="42"/>
      <c r="C490" s="122"/>
      <c r="D490"/>
      <c r="E490"/>
      <c r="F490"/>
      <c r="N490" s="44"/>
    </row>
    <row r="491" spans="1:14" x14ac:dyDescent="0.3">
      <c r="A491" s="42"/>
      <c r="C491" s="122"/>
      <c r="D491"/>
      <c r="E491"/>
      <c r="F491"/>
      <c r="N491" s="44"/>
    </row>
    <row r="492" spans="1:14" x14ac:dyDescent="0.3">
      <c r="A492" s="42"/>
      <c r="C492" s="122"/>
      <c r="D492"/>
      <c r="E492"/>
      <c r="F492"/>
      <c r="N492" s="44"/>
    </row>
    <row r="493" spans="1:14" x14ac:dyDescent="0.3">
      <c r="A493" s="42"/>
      <c r="C493" s="122"/>
      <c r="D493"/>
      <c r="E493"/>
      <c r="F493"/>
      <c r="N493" s="44"/>
    </row>
    <row r="494" spans="1:14" x14ac:dyDescent="0.3">
      <c r="A494" s="42"/>
      <c r="C494" s="122"/>
      <c r="D494"/>
      <c r="E494"/>
      <c r="F494"/>
      <c r="N494" s="44"/>
    </row>
    <row r="495" spans="1:14" x14ac:dyDescent="0.3">
      <c r="A495" s="42"/>
      <c r="C495" s="122"/>
      <c r="D495"/>
      <c r="E495"/>
      <c r="F495"/>
      <c r="N495" s="44"/>
    </row>
    <row r="496" spans="1:14" x14ac:dyDescent="0.3">
      <c r="A496" s="42"/>
      <c r="C496" s="122"/>
      <c r="D496"/>
      <c r="E496"/>
      <c r="F496"/>
      <c r="N496" s="44"/>
    </row>
    <row r="497" spans="1:14" x14ac:dyDescent="0.3">
      <c r="A497" s="42"/>
      <c r="C497" s="122"/>
      <c r="D497"/>
      <c r="E497"/>
      <c r="F497"/>
      <c r="N497" s="44"/>
    </row>
    <row r="498" spans="1:14" x14ac:dyDescent="0.3">
      <c r="A498" s="42"/>
      <c r="C498" s="122"/>
      <c r="D498"/>
      <c r="E498"/>
      <c r="F498"/>
      <c r="N498" s="44"/>
    </row>
    <row r="499" spans="1:14" x14ac:dyDescent="0.3">
      <c r="A499" s="42"/>
      <c r="C499" s="122"/>
      <c r="D499"/>
      <c r="E499"/>
      <c r="F499"/>
      <c r="N499" s="44"/>
    </row>
    <row r="500" spans="1:14" x14ac:dyDescent="0.3">
      <c r="A500" s="42"/>
      <c r="C500" s="122"/>
      <c r="D500"/>
      <c r="E500"/>
      <c r="F500"/>
      <c r="N500" s="44"/>
    </row>
    <row r="501" spans="1:14" ht="0.75" customHeight="1" x14ac:dyDescent="0.3">
      <c r="A501" s="42"/>
      <c r="C501" s="122"/>
      <c r="D501"/>
      <c r="E501"/>
      <c r="F501"/>
      <c r="N501" s="44"/>
    </row>
    <row r="502" spans="1:14" x14ac:dyDescent="0.3">
      <c r="A502" s="42"/>
      <c r="C502" s="122"/>
      <c r="D502"/>
      <c r="E502"/>
      <c r="F502"/>
      <c r="N502" s="44"/>
    </row>
    <row r="503" spans="1:14" x14ac:dyDescent="0.3">
      <c r="A503" s="42"/>
      <c r="C503" s="122"/>
      <c r="D503"/>
      <c r="E503"/>
      <c r="F503"/>
      <c r="N503" s="44"/>
    </row>
    <row r="504" spans="1:14" x14ac:dyDescent="0.3">
      <c r="A504" s="42"/>
      <c r="C504" s="122"/>
      <c r="D504"/>
      <c r="E504"/>
      <c r="F504"/>
      <c r="N504" s="44"/>
    </row>
    <row r="505" spans="1:14" x14ac:dyDescent="0.3">
      <c r="A505" s="42"/>
      <c r="C505" s="122"/>
      <c r="D505"/>
      <c r="E505"/>
      <c r="F505"/>
      <c r="N505" s="44"/>
    </row>
    <row r="506" spans="1:14" x14ac:dyDescent="0.3">
      <c r="A506" s="42"/>
      <c r="C506" s="122"/>
      <c r="D506"/>
      <c r="E506"/>
      <c r="F506"/>
      <c r="N506" s="44"/>
    </row>
    <row r="507" spans="1:14" x14ac:dyDescent="0.3">
      <c r="A507" s="42"/>
      <c r="C507" s="122"/>
      <c r="D507"/>
      <c r="E507"/>
      <c r="F507"/>
      <c r="N507" s="44"/>
    </row>
    <row r="508" spans="1:14" x14ac:dyDescent="0.3">
      <c r="A508" s="42"/>
      <c r="C508" s="122"/>
      <c r="D508"/>
      <c r="E508"/>
      <c r="F508"/>
      <c r="N508" s="44"/>
    </row>
    <row r="509" spans="1:14" x14ac:dyDescent="0.3">
      <c r="A509" s="42"/>
      <c r="C509" s="122"/>
      <c r="D509"/>
      <c r="E509"/>
      <c r="F509"/>
      <c r="N509" s="44"/>
    </row>
    <row r="510" spans="1:14" x14ac:dyDescent="0.3">
      <c r="A510" s="42"/>
      <c r="C510" s="122"/>
      <c r="D510"/>
      <c r="E510"/>
      <c r="F510"/>
      <c r="N510" s="44"/>
    </row>
    <row r="511" spans="1:14" x14ac:dyDescent="0.3">
      <c r="A511" s="42"/>
      <c r="C511" s="122"/>
      <c r="D511"/>
      <c r="E511"/>
      <c r="F511"/>
      <c r="N511" s="44"/>
    </row>
    <row r="512" spans="1:14" x14ac:dyDescent="0.3">
      <c r="A512" s="42"/>
      <c r="C512" s="122"/>
      <c r="D512"/>
      <c r="E512"/>
      <c r="F512"/>
      <c r="N512" s="44"/>
    </row>
    <row r="513" spans="1:14" x14ac:dyDescent="0.3">
      <c r="A513" s="42"/>
      <c r="C513" s="122"/>
      <c r="D513"/>
      <c r="E513"/>
      <c r="F513"/>
      <c r="N513" s="44"/>
    </row>
    <row r="514" spans="1:14" x14ac:dyDescent="0.3">
      <c r="A514" s="42"/>
      <c r="C514" s="122"/>
      <c r="D514"/>
      <c r="E514"/>
      <c r="F514"/>
      <c r="N514" s="44"/>
    </row>
    <row r="515" spans="1:14" x14ac:dyDescent="0.3">
      <c r="A515" s="42"/>
      <c r="C515" s="122"/>
      <c r="D515"/>
      <c r="E515"/>
      <c r="F515"/>
      <c r="N515" s="44"/>
    </row>
    <row r="516" spans="1:14" x14ac:dyDescent="0.3">
      <c r="A516" s="42"/>
      <c r="C516"/>
      <c r="D516"/>
      <c r="E516"/>
      <c r="F516"/>
      <c r="N516" s="44"/>
    </row>
    <row r="517" spans="1:14" x14ac:dyDescent="0.3">
      <c r="A517" s="42"/>
      <c r="C517"/>
      <c r="D517"/>
      <c r="E517"/>
      <c r="F517"/>
      <c r="N517" s="44"/>
    </row>
    <row r="518" spans="1:14" x14ac:dyDescent="0.3">
      <c r="A518" s="42"/>
      <c r="C518"/>
      <c r="D518"/>
      <c r="E518"/>
      <c r="F518"/>
      <c r="N518" s="44"/>
    </row>
    <row r="519" spans="1:14" x14ac:dyDescent="0.3">
      <c r="A519" s="42"/>
      <c r="C519"/>
      <c r="D519"/>
      <c r="E519"/>
      <c r="F519"/>
      <c r="N519" s="44"/>
    </row>
    <row r="520" spans="1:14" x14ac:dyDescent="0.3">
      <c r="A520" s="42"/>
      <c r="C520"/>
      <c r="D520"/>
      <c r="E520"/>
      <c r="F520"/>
      <c r="N520" s="44"/>
    </row>
    <row r="521" spans="1:14" x14ac:dyDescent="0.3">
      <c r="A521" s="42"/>
      <c r="C521"/>
      <c r="D521"/>
      <c r="E521"/>
      <c r="F521"/>
      <c r="N521" s="44"/>
    </row>
    <row r="522" spans="1:14" x14ac:dyDescent="0.3">
      <c r="A522" s="42"/>
      <c r="C522"/>
      <c r="D522"/>
      <c r="E522"/>
      <c r="F522"/>
      <c r="N522" s="44"/>
    </row>
    <row r="523" spans="1:14" x14ac:dyDescent="0.3">
      <c r="A523" s="42"/>
      <c r="C523"/>
      <c r="D523"/>
      <c r="E523"/>
      <c r="F523"/>
      <c r="N523" s="44"/>
    </row>
    <row r="524" spans="1:14" x14ac:dyDescent="0.3">
      <c r="A524" s="42"/>
      <c r="C524"/>
      <c r="D524"/>
      <c r="E524"/>
      <c r="F524"/>
      <c r="N524" s="44"/>
    </row>
    <row r="525" spans="1:14" x14ac:dyDescent="0.3">
      <c r="A525" s="42"/>
      <c r="C525" s="122"/>
      <c r="D525"/>
      <c r="E525"/>
      <c r="F525"/>
      <c r="N525" s="44"/>
    </row>
    <row r="526" spans="1:14" x14ac:dyDescent="0.3">
      <c r="A526" s="42"/>
      <c r="C526" s="122"/>
      <c r="D526"/>
      <c r="E526"/>
      <c r="F526"/>
      <c r="N526" s="44"/>
    </row>
    <row r="527" spans="1:14" x14ac:dyDescent="0.3">
      <c r="A527" s="42"/>
      <c r="C527" s="122"/>
      <c r="D527"/>
      <c r="E527"/>
      <c r="F527"/>
      <c r="N527" s="44"/>
    </row>
    <row r="528" spans="1:14" x14ac:dyDescent="0.3">
      <c r="A528" s="42"/>
      <c r="C528" s="122"/>
      <c r="D528"/>
      <c r="E528"/>
      <c r="F528"/>
      <c r="N528" s="44"/>
    </row>
    <row r="529" spans="1:14" x14ac:dyDescent="0.3">
      <c r="A529" s="42"/>
      <c r="C529" s="122"/>
      <c r="D529"/>
      <c r="E529"/>
      <c r="F529"/>
      <c r="N529" s="44"/>
    </row>
    <row r="530" spans="1:14" x14ac:dyDescent="0.3">
      <c r="A530" s="42"/>
      <c r="C530" s="122"/>
      <c r="D530"/>
      <c r="E530"/>
      <c r="F530"/>
      <c r="N530" s="44"/>
    </row>
    <row r="531" spans="1:14" x14ac:dyDescent="0.3">
      <c r="A531" s="42"/>
      <c r="C531" s="122"/>
      <c r="D531"/>
      <c r="E531"/>
      <c r="F531"/>
      <c r="N531" s="44"/>
    </row>
    <row r="532" spans="1:14" x14ac:dyDescent="0.3">
      <c r="A532" s="42"/>
      <c r="C532" s="122"/>
      <c r="D532"/>
      <c r="E532"/>
      <c r="F532"/>
      <c r="N532" s="44"/>
    </row>
    <row r="533" spans="1:14" x14ac:dyDescent="0.3">
      <c r="A533" s="42"/>
      <c r="C533"/>
      <c r="D533"/>
      <c r="E533"/>
      <c r="F533"/>
      <c r="N533" s="44"/>
    </row>
    <row r="534" spans="1:14" x14ac:dyDescent="0.3">
      <c r="A534" s="42"/>
      <c r="C534"/>
      <c r="D534"/>
      <c r="E534"/>
      <c r="F534"/>
      <c r="N534" s="44"/>
    </row>
    <row r="535" spans="1:14" x14ac:dyDescent="0.3">
      <c r="A535" s="42"/>
      <c r="C535"/>
      <c r="D535"/>
      <c r="E535"/>
      <c r="F535"/>
      <c r="N535" s="44"/>
    </row>
    <row r="536" spans="1:14" x14ac:dyDescent="0.3">
      <c r="A536" s="42"/>
      <c r="C536"/>
      <c r="D536"/>
      <c r="E536"/>
      <c r="F536"/>
      <c r="N536" s="44"/>
    </row>
    <row r="537" spans="1:14" x14ac:dyDescent="0.3">
      <c r="A537" s="42"/>
      <c r="C537"/>
      <c r="D537"/>
      <c r="E537"/>
      <c r="F537"/>
      <c r="N537" s="44"/>
    </row>
    <row r="538" spans="1:14" x14ac:dyDescent="0.3">
      <c r="A538" s="42"/>
      <c r="C538"/>
      <c r="D538"/>
      <c r="E538"/>
      <c r="F538"/>
      <c r="N538" s="44"/>
    </row>
    <row r="539" spans="1:14" x14ac:dyDescent="0.3">
      <c r="A539" s="42"/>
      <c r="C539"/>
      <c r="D539"/>
      <c r="E539"/>
      <c r="F539"/>
      <c r="N539" s="44"/>
    </row>
    <row r="540" spans="1:14" x14ac:dyDescent="0.3">
      <c r="A540" s="42"/>
      <c r="C540"/>
      <c r="D540"/>
      <c r="E540"/>
      <c r="F540"/>
      <c r="N540" s="44"/>
    </row>
    <row r="541" spans="1:14" x14ac:dyDescent="0.3">
      <c r="A541" s="42"/>
      <c r="C541"/>
      <c r="D541"/>
      <c r="E541"/>
      <c r="F541"/>
      <c r="L541" s="2"/>
      <c r="N541" s="44"/>
    </row>
    <row r="542" spans="1:14" x14ac:dyDescent="0.3">
      <c r="A542" s="42"/>
      <c r="C542"/>
      <c r="D542"/>
      <c r="E542"/>
      <c r="F542"/>
      <c r="L542" s="2"/>
      <c r="N542" s="44"/>
    </row>
    <row r="543" spans="1:14" x14ac:dyDescent="0.3">
      <c r="A543" s="42"/>
      <c r="C543"/>
      <c r="D543"/>
      <c r="E543"/>
      <c r="F543"/>
      <c r="L543" s="2"/>
      <c r="N543" s="44"/>
    </row>
    <row r="544" spans="1:14" x14ac:dyDescent="0.3">
      <c r="A544" s="42"/>
      <c r="C544"/>
      <c r="D544"/>
      <c r="E544"/>
      <c r="F544"/>
      <c r="L544" s="2"/>
      <c r="N544" s="44"/>
    </row>
    <row r="545" spans="1:14" x14ac:dyDescent="0.3">
      <c r="A545" s="42"/>
      <c r="C545"/>
      <c r="D545"/>
      <c r="E545"/>
      <c r="F545"/>
      <c r="L545" s="2"/>
      <c r="N545" s="44"/>
    </row>
    <row r="546" spans="1:14" x14ac:dyDescent="0.3">
      <c r="A546" s="42"/>
      <c r="C546"/>
      <c r="D546"/>
      <c r="E546"/>
      <c r="F546"/>
      <c r="L546" s="2"/>
      <c r="N546" s="44"/>
    </row>
    <row r="547" spans="1:14" x14ac:dyDescent="0.3">
      <c r="A547" s="42"/>
      <c r="C547"/>
      <c r="D547"/>
      <c r="E547"/>
      <c r="F547"/>
      <c r="L547" s="2"/>
      <c r="N547" s="44"/>
    </row>
    <row r="548" spans="1:14" x14ac:dyDescent="0.3">
      <c r="A548" s="42"/>
      <c r="C548"/>
      <c r="D548"/>
      <c r="E548"/>
      <c r="F548"/>
      <c r="L548" s="2"/>
      <c r="N548" s="44"/>
    </row>
    <row r="549" spans="1:14" x14ac:dyDescent="0.3">
      <c r="A549" s="42"/>
      <c r="C549"/>
      <c r="D549"/>
      <c r="E549"/>
      <c r="F549"/>
      <c r="L549" s="2"/>
      <c r="N549" s="44"/>
    </row>
    <row r="550" spans="1:14" x14ac:dyDescent="0.3">
      <c r="A550" s="42"/>
      <c r="C550"/>
      <c r="D550"/>
      <c r="E550"/>
      <c r="F550"/>
      <c r="L550" s="2"/>
      <c r="N550" s="44"/>
    </row>
    <row r="551" spans="1:14" x14ac:dyDescent="0.3">
      <c r="A551" s="42"/>
      <c r="C551" s="122"/>
      <c r="D551"/>
      <c r="E551"/>
      <c r="F551"/>
      <c r="N551" s="44"/>
    </row>
    <row r="552" spans="1:14" x14ac:dyDescent="0.3">
      <c r="A552" s="42"/>
      <c r="C552" s="122"/>
      <c r="D552"/>
      <c r="E552"/>
      <c r="F552"/>
      <c r="N552" s="44"/>
    </row>
    <row r="553" spans="1:14" x14ac:dyDescent="0.3">
      <c r="A553" s="42"/>
      <c r="C553" s="122"/>
      <c r="D553"/>
      <c r="E553"/>
      <c r="F553"/>
      <c r="N553" s="44"/>
    </row>
    <row r="554" spans="1:14" x14ac:dyDescent="0.3">
      <c r="A554" s="42"/>
      <c r="C554" s="122"/>
      <c r="D554"/>
      <c r="E554"/>
      <c r="F554"/>
      <c r="N554" s="44"/>
    </row>
    <row r="555" spans="1:14" x14ac:dyDescent="0.3">
      <c r="A555" s="42"/>
      <c r="C555" s="122"/>
      <c r="D555"/>
      <c r="E555"/>
      <c r="F555"/>
      <c r="N555" s="44"/>
    </row>
    <row r="556" spans="1:14" x14ac:dyDescent="0.3">
      <c r="A556" s="42"/>
      <c r="C556" s="122"/>
      <c r="D556"/>
      <c r="E556"/>
      <c r="F556"/>
      <c r="N556" s="44"/>
    </row>
    <row r="557" spans="1:14" x14ac:dyDescent="0.3">
      <c r="A557" s="42"/>
      <c r="C557" s="122"/>
      <c r="D557"/>
      <c r="E557"/>
      <c r="F557"/>
      <c r="N557" s="44"/>
    </row>
    <row r="558" spans="1:14" x14ac:dyDescent="0.3">
      <c r="A558" s="42"/>
      <c r="C558" s="122"/>
      <c r="D558"/>
      <c r="E558"/>
      <c r="F558"/>
      <c r="N558" s="44"/>
    </row>
    <row r="559" spans="1:14" x14ac:dyDescent="0.3">
      <c r="A559" s="42"/>
      <c r="C559" s="122"/>
      <c r="D559"/>
      <c r="E559"/>
      <c r="F559"/>
      <c r="N559" s="44"/>
    </row>
    <row r="560" spans="1:14" x14ac:dyDescent="0.3">
      <c r="A560" s="42"/>
      <c r="C560" s="122"/>
      <c r="D560"/>
      <c r="E560"/>
      <c r="F560"/>
      <c r="N560" s="44"/>
    </row>
    <row r="561" spans="1:14" x14ac:dyDescent="0.3">
      <c r="A561" s="42"/>
      <c r="C561" s="122"/>
      <c r="D561"/>
      <c r="E561"/>
      <c r="F561"/>
      <c r="N561" s="44"/>
    </row>
    <row r="562" spans="1:14" x14ac:dyDescent="0.3">
      <c r="A562" s="42"/>
      <c r="C562" s="122"/>
      <c r="D562"/>
      <c r="E562"/>
      <c r="F562"/>
      <c r="N562" s="44"/>
    </row>
    <row r="563" spans="1:14" x14ac:dyDescent="0.3">
      <c r="A563" s="42"/>
      <c r="C563" s="122"/>
      <c r="D563"/>
      <c r="E563"/>
      <c r="F563"/>
      <c r="N563" s="44"/>
    </row>
    <row r="564" spans="1:14" x14ac:dyDescent="0.3">
      <c r="A564" s="42"/>
      <c r="C564" s="122"/>
      <c r="D564"/>
      <c r="E564"/>
      <c r="F564"/>
      <c r="N564" s="44"/>
    </row>
    <row r="565" spans="1:14" x14ac:dyDescent="0.3">
      <c r="A565" s="42"/>
      <c r="C565" s="122"/>
      <c r="D565"/>
      <c r="E565"/>
      <c r="F565"/>
      <c r="N565" s="44"/>
    </row>
    <row r="566" spans="1:14" x14ac:dyDescent="0.3">
      <c r="A566" s="42"/>
      <c r="C566" s="122"/>
      <c r="D566"/>
      <c r="E566"/>
      <c r="F566"/>
      <c r="N566" s="44"/>
    </row>
    <row r="567" spans="1:14" x14ac:dyDescent="0.3">
      <c r="A567" s="42"/>
      <c r="C567"/>
      <c r="D567"/>
      <c r="E567"/>
      <c r="F567"/>
      <c r="N567" s="44"/>
    </row>
    <row r="568" spans="1:14" x14ac:dyDescent="0.3">
      <c r="A568" s="42"/>
      <c r="C568"/>
      <c r="D568"/>
      <c r="E568"/>
      <c r="F568"/>
      <c r="N568" s="44"/>
    </row>
    <row r="569" spans="1:14" x14ac:dyDescent="0.3">
      <c r="A569" s="42"/>
      <c r="C569"/>
      <c r="D569"/>
      <c r="E569"/>
      <c r="F569"/>
      <c r="N569" s="44"/>
    </row>
    <row r="570" spans="1:14" x14ac:dyDescent="0.3">
      <c r="A570" s="42"/>
      <c r="C570"/>
      <c r="D570"/>
      <c r="E570"/>
      <c r="F570"/>
      <c r="N570" s="44"/>
    </row>
    <row r="571" spans="1:14" x14ac:dyDescent="0.3">
      <c r="A571" s="42"/>
      <c r="C571"/>
      <c r="D571"/>
      <c r="E571"/>
      <c r="F571"/>
      <c r="N571" s="44"/>
    </row>
    <row r="572" spans="1:14" x14ac:dyDescent="0.3">
      <c r="A572" s="42"/>
      <c r="C572"/>
      <c r="D572"/>
      <c r="E572"/>
      <c r="F572"/>
      <c r="N572" s="44"/>
    </row>
    <row r="573" spans="1:14" x14ac:dyDescent="0.3">
      <c r="A573" s="42"/>
      <c r="C573"/>
      <c r="D573"/>
      <c r="E573"/>
      <c r="F573"/>
      <c r="N573" s="44"/>
    </row>
    <row r="574" spans="1:14" x14ac:dyDescent="0.3">
      <c r="A574" s="42"/>
      <c r="C574"/>
      <c r="D574"/>
      <c r="E574"/>
      <c r="F574"/>
      <c r="L574" s="53"/>
      <c r="N574" s="44"/>
    </row>
    <row r="575" spans="1:14" x14ac:dyDescent="0.3">
      <c r="A575" s="42"/>
      <c r="C575"/>
      <c r="D575"/>
      <c r="E575"/>
      <c r="F575"/>
      <c r="L575" s="2"/>
      <c r="N575" s="44"/>
    </row>
    <row r="576" spans="1:14" x14ac:dyDescent="0.3">
      <c r="A576" s="42"/>
      <c r="C576"/>
      <c r="D576"/>
      <c r="E576"/>
      <c r="F576"/>
      <c r="L576" s="2"/>
      <c r="N576" s="44"/>
    </row>
    <row r="577" spans="1:14" x14ac:dyDescent="0.3">
      <c r="A577" s="42"/>
      <c r="C577"/>
      <c r="D577"/>
      <c r="E577"/>
      <c r="F577"/>
      <c r="L577" s="2"/>
      <c r="N577" s="44"/>
    </row>
    <row r="578" spans="1:14" x14ac:dyDescent="0.3">
      <c r="A578" s="42"/>
      <c r="C578"/>
      <c r="D578"/>
      <c r="E578"/>
      <c r="F578"/>
      <c r="L578" s="2"/>
      <c r="N578" s="44"/>
    </row>
    <row r="579" spans="1:14" x14ac:dyDescent="0.3">
      <c r="A579" s="42"/>
      <c r="C579"/>
      <c r="D579"/>
      <c r="E579"/>
      <c r="F579"/>
      <c r="L579" s="2"/>
      <c r="N579" s="44"/>
    </row>
    <row r="580" spans="1:14" x14ac:dyDescent="0.3">
      <c r="A580" s="42"/>
      <c r="C580"/>
      <c r="D580"/>
      <c r="E580"/>
      <c r="F580"/>
      <c r="L580" s="2"/>
      <c r="N580" s="44"/>
    </row>
    <row r="581" spans="1:14" x14ac:dyDescent="0.3">
      <c r="A581" s="42"/>
      <c r="C581"/>
      <c r="D581"/>
      <c r="E581"/>
      <c r="F581"/>
      <c r="N581" s="44"/>
    </row>
    <row r="582" spans="1:14" x14ac:dyDescent="0.3">
      <c r="A582" s="42"/>
      <c r="C582"/>
      <c r="D582"/>
      <c r="E582"/>
      <c r="F582"/>
      <c r="L582" s="45"/>
      <c r="N582" s="44"/>
    </row>
    <row r="583" spans="1:14" x14ac:dyDescent="0.3">
      <c r="A583" s="42"/>
      <c r="C583" s="122"/>
      <c r="D583"/>
      <c r="E583"/>
      <c r="F583"/>
      <c r="N583" s="44"/>
    </row>
    <row r="584" spans="1:14" x14ac:dyDescent="0.3">
      <c r="A584" s="42"/>
      <c r="C584" s="122"/>
      <c r="D584"/>
      <c r="E584"/>
      <c r="F584"/>
      <c r="N584" s="44"/>
    </row>
    <row r="585" spans="1:14" x14ac:dyDescent="0.3">
      <c r="A585" s="42"/>
      <c r="C585" s="122"/>
      <c r="D585"/>
      <c r="E585"/>
      <c r="F585"/>
      <c r="N585" s="44"/>
    </row>
    <row r="586" spans="1:14" x14ac:dyDescent="0.3">
      <c r="A586" s="42"/>
      <c r="C586" s="122"/>
      <c r="D586"/>
      <c r="E586"/>
      <c r="F586"/>
      <c r="N586" s="44"/>
    </row>
    <row r="587" spans="1:14" x14ac:dyDescent="0.3">
      <c r="A587" s="42"/>
      <c r="C587" s="122"/>
      <c r="D587"/>
      <c r="E587"/>
      <c r="F587"/>
      <c r="N587" s="44"/>
    </row>
    <row r="588" spans="1:14" x14ac:dyDescent="0.3">
      <c r="A588" s="42"/>
      <c r="C588" s="122"/>
      <c r="D588"/>
      <c r="E588"/>
      <c r="F588"/>
      <c r="N588" s="44"/>
    </row>
    <row r="589" spans="1:14" x14ac:dyDescent="0.3">
      <c r="A589" s="42"/>
      <c r="C589" s="122"/>
      <c r="D589"/>
      <c r="E589"/>
      <c r="F589"/>
      <c r="N589" s="44"/>
    </row>
    <row r="590" spans="1:14" x14ac:dyDescent="0.3">
      <c r="A590" s="42"/>
      <c r="C590" s="122"/>
      <c r="D590"/>
      <c r="E590"/>
      <c r="F590"/>
      <c r="N590" s="44"/>
    </row>
    <row r="591" spans="1:14" x14ac:dyDescent="0.3">
      <c r="A591" s="42"/>
      <c r="C591" s="122"/>
      <c r="D591"/>
      <c r="E591"/>
      <c r="F591"/>
      <c r="N591" s="44"/>
    </row>
    <row r="592" spans="1:14" x14ac:dyDescent="0.3">
      <c r="A592" s="42"/>
      <c r="C592" s="122"/>
      <c r="D592"/>
      <c r="E592"/>
      <c r="F592"/>
      <c r="N592" s="44"/>
    </row>
    <row r="593" spans="1:14" x14ac:dyDescent="0.3">
      <c r="A593" s="42"/>
      <c r="C593" s="122"/>
      <c r="D593"/>
      <c r="E593"/>
      <c r="F593"/>
      <c r="N593" s="44"/>
    </row>
    <row r="594" spans="1:14" x14ac:dyDescent="0.3">
      <c r="A594" s="42"/>
      <c r="C594" s="122"/>
      <c r="D594"/>
      <c r="E594"/>
      <c r="F594"/>
      <c r="N594" s="44"/>
    </row>
    <row r="595" spans="1:14" x14ac:dyDescent="0.3">
      <c r="A595" s="42"/>
      <c r="C595"/>
      <c r="D595"/>
      <c r="E595"/>
      <c r="F595"/>
      <c r="L595" s="2"/>
      <c r="N595" s="44"/>
    </row>
    <row r="596" spans="1:14" x14ac:dyDescent="0.3">
      <c r="A596" s="42"/>
      <c r="C596"/>
      <c r="D596"/>
      <c r="E596"/>
      <c r="F596"/>
      <c r="L596" s="2"/>
      <c r="N596" s="44"/>
    </row>
    <row r="597" spans="1:14" x14ac:dyDescent="0.3">
      <c r="A597" s="42"/>
      <c r="C597"/>
      <c r="D597"/>
      <c r="E597"/>
      <c r="F597"/>
      <c r="L597" s="2"/>
      <c r="N597" s="44"/>
    </row>
    <row r="598" spans="1:14" x14ac:dyDescent="0.3">
      <c r="A598" s="42"/>
      <c r="C598"/>
      <c r="D598"/>
      <c r="E598"/>
      <c r="F598"/>
      <c r="N598" s="44"/>
    </row>
    <row r="599" spans="1:14" x14ac:dyDescent="0.3">
      <c r="A599" s="42"/>
      <c r="C599"/>
      <c r="D599"/>
      <c r="E599"/>
      <c r="F599"/>
      <c r="N599" s="44"/>
    </row>
    <row r="600" spans="1:14" x14ac:dyDescent="0.3">
      <c r="A600" s="42"/>
      <c r="C600"/>
      <c r="D600"/>
      <c r="E600"/>
      <c r="F600"/>
      <c r="N600" s="44"/>
    </row>
    <row r="601" spans="1:14" x14ac:dyDescent="0.3">
      <c r="A601" s="42"/>
      <c r="C601" s="122"/>
      <c r="D601"/>
      <c r="E601"/>
      <c r="F601"/>
      <c r="N601" s="44"/>
    </row>
    <row r="602" spans="1:14" x14ac:dyDescent="0.3">
      <c r="A602" s="42"/>
      <c r="C602" s="122"/>
      <c r="D602"/>
      <c r="E602"/>
      <c r="F602"/>
      <c r="N602" s="44"/>
    </row>
    <row r="603" spans="1:14" x14ac:dyDescent="0.3">
      <c r="A603" s="42"/>
      <c r="C603" s="122"/>
      <c r="D603"/>
      <c r="E603"/>
      <c r="F603"/>
      <c r="N603" s="44"/>
    </row>
    <row r="604" spans="1:14" x14ac:dyDescent="0.3">
      <c r="A604" s="42"/>
      <c r="C604"/>
      <c r="D604"/>
      <c r="E604"/>
      <c r="F604"/>
      <c r="N604" s="44"/>
    </row>
    <row r="605" spans="1:14" x14ac:dyDescent="0.3">
      <c r="A605" s="42"/>
      <c r="C605"/>
      <c r="D605"/>
      <c r="E605"/>
      <c r="F605"/>
      <c r="N605" s="44"/>
    </row>
    <row r="606" spans="1:14" x14ac:dyDescent="0.3">
      <c r="A606" s="42"/>
      <c r="C606" s="122"/>
      <c r="D606"/>
      <c r="E606"/>
      <c r="F606"/>
      <c r="N606" s="44"/>
    </row>
    <row r="607" spans="1:14" x14ac:dyDescent="0.3">
      <c r="A607" s="42"/>
      <c r="C607" s="122"/>
      <c r="D607"/>
      <c r="E607"/>
      <c r="F607"/>
      <c r="N607" s="44"/>
    </row>
    <row r="608" spans="1:14" x14ac:dyDescent="0.3">
      <c r="A608" s="42"/>
      <c r="C608"/>
      <c r="D608"/>
      <c r="E608"/>
      <c r="F608"/>
      <c r="N608" s="44"/>
    </row>
    <row r="609" spans="1:14" x14ac:dyDescent="0.3">
      <c r="A609" s="42"/>
      <c r="C609"/>
      <c r="D609"/>
      <c r="E609"/>
      <c r="F609"/>
      <c r="N609" s="44"/>
    </row>
    <row r="610" spans="1:14" x14ac:dyDescent="0.3">
      <c r="A610" s="42"/>
      <c r="C610" s="122"/>
      <c r="D610"/>
      <c r="E610"/>
      <c r="F610"/>
      <c r="N610" s="44"/>
    </row>
    <row r="611" spans="1:14" x14ac:dyDescent="0.3">
      <c r="A611" s="42"/>
      <c r="C611" s="122"/>
      <c r="D611"/>
      <c r="E611"/>
      <c r="F611"/>
      <c r="N611" s="44"/>
    </row>
    <row r="612" spans="1:14" x14ac:dyDescent="0.3">
      <c r="A612" s="42"/>
      <c r="C612" s="122"/>
      <c r="D612"/>
      <c r="E612"/>
      <c r="F612"/>
      <c r="N612" s="44"/>
    </row>
    <row r="613" spans="1:14" x14ac:dyDescent="0.3">
      <c r="A613" s="42"/>
      <c r="C613" s="122"/>
      <c r="D613"/>
      <c r="E613"/>
      <c r="F613"/>
      <c r="N613" s="44"/>
    </row>
    <row r="614" spans="1:14" x14ac:dyDescent="0.3">
      <c r="A614" s="42"/>
      <c r="C614"/>
      <c r="D614"/>
      <c r="E614"/>
      <c r="F614"/>
      <c r="N614" s="44"/>
    </row>
    <row r="615" spans="1:14" x14ac:dyDescent="0.3">
      <c r="A615" s="42"/>
      <c r="C615"/>
      <c r="D615"/>
      <c r="E615"/>
      <c r="F615"/>
      <c r="N615" s="44"/>
    </row>
    <row r="616" spans="1:14" x14ac:dyDescent="0.3">
      <c r="A616" s="42"/>
      <c r="C616"/>
      <c r="D616"/>
      <c r="E616"/>
      <c r="F616"/>
      <c r="N616" s="44"/>
    </row>
    <row r="617" spans="1:14" x14ac:dyDescent="0.3">
      <c r="A617" s="42"/>
      <c r="C617"/>
      <c r="D617"/>
      <c r="E617"/>
      <c r="F617"/>
      <c r="N617" s="44"/>
    </row>
    <row r="618" spans="1:14" x14ac:dyDescent="0.3">
      <c r="A618" s="42"/>
      <c r="C618"/>
      <c r="D618"/>
      <c r="E618"/>
      <c r="F618"/>
      <c r="N618" s="44"/>
    </row>
    <row r="619" spans="1:14" x14ac:dyDescent="0.3">
      <c r="A619" s="42"/>
      <c r="C619"/>
      <c r="D619"/>
      <c r="E619"/>
      <c r="F619"/>
      <c r="N619" s="44"/>
    </row>
    <row r="620" spans="1:14" x14ac:dyDescent="0.3">
      <c r="A620" s="42"/>
      <c r="C620"/>
      <c r="D620"/>
      <c r="E620"/>
      <c r="F620"/>
      <c r="N620" s="44"/>
    </row>
    <row r="621" spans="1:14" x14ac:dyDescent="0.3">
      <c r="A621" s="42"/>
      <c r="C621"/>
      <c r="D621"/>
      <c r="E621"/>
      <c r="F621"/>
      <c r="L621" s="2"/>
      <c r="N621" s="44"/>
    </row>
    <row r="622" spans="1:14" x14ac:dyDescent="0.3">
      <c r="A622" s="42"/>
      <c r="C622"/>
      <c r="D622"/>
      <c r="E622"/>
      <c r="F622"/>
      <c r="L622" s="2"/>
      <c r="N622" s="44"/>
    </row>
    <row r="623" spans="1:14" x14ac:dyDescent="0.3">
      <c r="A623" s="42"/>
      <c r="C623"/>
      <c r="D623"/>
      <c r="E623"/>
      <c r="F623"/>
      <c r="L623" s="2"/>
      <c r="N623" s="44"/>
    </row>
    <row r="624" spans="1:14" x14ac:dyDescent="0.3">
      <c r="A624" s="42"/>
      <c r="C624"/>
      <c r="D624"/>
      <c r="E624"/>
      <c r="F624"/>
      <c r="L624" s="2"/>
      <c r="N624" s="44"/>
    </row>
    <row r="625" spans="1:14" x14ac:dyDescent="0.3">
      <c r="A625" s="42"/>
      <c r="C625"/>
      <c r="D625"/>
      <c r="E625"/>
      <c r="F625"/>
      <c r="L625" s="2"/>
      <c r="N625" s="44"/>
    </row>
    <row r="626" spans="1:14" x14ac:dyDescent="0.3">
      <c r="A626" s="42"/>
      <c r="C626"/>
      <c r="D626"/>
      <c r="E626"/>
      <c r="F626"/>
      <c r="L626" s="2"/>
      <c r="N626" s="44"/>
    </row>
    <row r="627" spans="1:14" x14ac:dyDescent="0.3">
      <c r="A627" s="42"/>
      <c r="C627"/>
      <c r="D627"/>
      <c r="E627"/>
      <c r="F627"/>
      <c r="L627" s="2"/>
      <c r="N627" s="44"/>
    </row>
    <row r="628" spans="1:14" x14ac:dyDescent="0.3">
      <c r="A628" s="42"/>
      <c r="C628"/>
      <c r="D628"/>
      <c r="E628"/>
      <c r="F628"/>
      <c r="N628" s="44"/>
    </row>
    <row r="629" spans="1:14" x14ac:dyDescent="0.3">
      <c r="A629" s="42"/>
      <c r="C629"/>
      <c r="D629"/>
      <c r="E629"/>
      <c r="F629"/>
      <c r="N629" s="44"/>
    </row>
    <row r="630" spans="1:14" x14ac:dyDescent="0.3">
      <c r="A630" s="42"/>
      <c r="C630"/>
      <c r="D630"/>
      <c r="E630"/>
      <c r="F630"/>
      <c r="N630" s="44"/>
    </row>
    <row r="631" spans="1:14" x14ac:dyDescent="0.3">
      <c r="A631" s="42"/>
      <c r="C631"/>
      <c r="D631"/>
      <c r="E631"/>
      <c r="F631"/>
      <c r="N631" s="44"/>
    </row>
    <row r="632" spans="1:14" x14ac:dyDescent="0.3">
      <c r="A632" s="42"/>
      <c r="C632"/>
      <c r="D632"/>
      <c r="E632"/>
      <c r="F632"/>
      <c r="N632" s="44"/>
    </row>
    <row r="633" spans="1:14" x14ac:dyDescent="0.3">
      <c r="A633" s="42"/>
      <c r="C633"/>
      <c r="D633"/>
      <c r="E633"/>
      <c r="F633"/>
      <c r="N633" s="44"/>
    </row>
    <row r="634" spans="1:14" x14ac:dyDescent="0.3">
      <c r="A634" s="42"/>
      <c r="C634"/>
      <c r="D634"/>
      <c r="E634"/>
      <c r="F634"/>
      <c r="N634" s="44"/>
    </row>
    <row r="635" spans="1:14" x14ac:dyDescent="0.3">
      <c r="A635" s="42"/>
      <c r="C635"/>
      <c r="D635"/>
      <c r="E635"/>
      <c r="F635"/>
      <c r="N635" s="44"/>
    </row>
    <row r="636" spans="1:14" x14ac:dyDescent="0.3">
      <c r="A636" s="42"/>
      <c r="C636"/>
      <c r="D636"/>
      <c r="E636"/>
      <c r="F636"/>
      <c r="N636" s="44"/>
    </row>
    <row r="637" spans="1:14" x14ac:dyDescent="0.3">
      <c r="A637" s="42"/>
      <c r="C637"/>
      <c r="D637"/>
      <c r="E637"/>
      <c r="F637"/>
      <c r="N637" s="44"/>
    </row>
    <row r="638" spans="1:14" x14ac:dyDescent="0.3">
      <c r="A638" s="42"/>
      <c r="C638"/>
      <c r="D638"/>
      <c r="E638"/>
      <c r="F638"/>
      <c r="N638" s="44"/>
    </row>
    <row r="639" spans="1:14" x14ac:dyDescent="0.3">
      <c r="A639" s="42"/>
      <c r="C639"/>
      <c r="D639"/>
      <c r="E639"/>
      <c r="F639"/>
      <c r="N639" s="44"/>
    </row>
    <row r="640" spans="1:14" x14ac:dyDescent="0.3">
      <c r="A640" s="42"/>
      <c r="C640" s="122"/>
      <c r="D640"/>
      <c r="E640"/>
      <c r="F640"/>
      <c r="N640" s="44"/>
    </row>
    <row r="641" spans="1:14" x14ac:dyDescent="0.3">
      <c r="A641" s="42"/>
      <c r="C641" s="122"/>
      <c r="D641"/>
      <c r="E641"/>
      <c r="F641"/>
      <c r="N641" s="44"/>
    </row>
    <row r="642" spans="1:14" x14ac:dyDescent="0.3">
      <c r="A642" s="42"/>
      <c r="C642" s="122"/>
      <c r="D642"/>
      <c r="E642"/>
      <c r="F642"/>
      <c r="N642" s="44"/>
    </row>
    <row r="643" spans="1:14" x14ac:dyDescent="0.3">
      <c r="A643" s="42"/>
      <c r="C643" s="122"/>
      <c r="D643"/>
      <c r="E643"/>
      <c r="F643"/>
      <c r="N643" s="44"/>
    </row>
    <row r="644" spans="1:14" x14ac:dyDescent="0.3">
      <c r="A644" s="42"/>
      <c r="C644" s="122"/>
      <c r="D644"/>
      <c r="E644"/>
      <c r="F644"/>
      <c r="N644" s="44"/>
    </row>
    <row r="645" spans="1:14" x14ac:dyDescent="0.3">
      <c r="A645" s="42"/>
      <c r="C645" s="122"/>
      <c r="D645"/>
      <c r="E645"/>
      <c r="F645"/>
      <c r="N645" s="44"/>
    </row>
    <row r="646" spans="1:14" x14ac:dyDescent="0.3">
      <c r="A646" s="42"/>
      <c r="C646" s="122"/>
      <c r="D646"/>
      <c r="E646"/>
      <c r="F646"/>
      <c r="N646" s="44"/>
    </row>
    <row r="647" spans="1:14" x14ac:dyDescent="0.3">
      <c r="A647" s="42"/>
      <c r="C647" s="122"/>
      <c r="D647"/>
      <c r="E647"/>
      <c r="F647"/>
      <c r="N647" s="44"/>
    </row>
    <row r="648" spans="1:14" x14ac:dyDescent="0.3">
      <c r="A648" s="42"/>
      <c r="C648"/>
      <c r="D648"/>
      <c r="E648"/>
      <c r="F648"/>
      <c r="N648" s="44"/>
    </row>
    <row r="649" spans="1:14" x14ac:dyDescent="0.3">
      <c r="A649" s="42"/>
      <c r="C649" s="122"/>
      <c r="D649"/>
      <c r="E649"/>
      <c r="F649"/>
      <c r="N649" s="44"/>
    </row>
    <row r="650" spans="1:14" x14ac:dyDescent="0.3">
      <c r="A650" s="42"/>
      <c r="C650" s="122"/>
      <c r="D650"/>
      <c r="E650"/>
      <c r="F650"/>
      <c r="N650" s="44"/>
    </row>
    <row r="651" spans="1:14" x14ac:dyDescent="0.3">
      <c r="A651" s="42"/>
      <c r="C651" s="122"/>
      <c r="D651"/>
      <c r="E651"/>
      <c r="F651"/>
      <c r="N651" s="44"/>
    </row>
    <row r="652" spans="1:14" x14ac:dyDescent="0.3">
      <c r="A652" s="42"/>
      <c r="C652" s="122"/>
      <c r="D652"/>
      <c r="E652"/>
      <c r="F652"/>
      <c r="N652" s="44"/>
    </row>
    <row r="653" spans="1:14" x14ac:dyDescent="0.3">
      <c r="A653" s="42"/>
      <c r="C653" s="122"/>
      <c r="D653"/>
      <c r="E653"/>
      <c r="F653"/>
      <c r="N653" s="44"/>
    </row>
    <row r="654" spans="1:14" x14ac:dyDescent="0.3">
      <c r="A654" s="42"/>
      <c r="C654" s="122"/>
      <c r="D654"/>
      <c r="E654"/>
      <c r="F654"/>
      <c r="N654" s="44"/>
    </row>
    <row r="655" spans="1:14" x14ac:dyDescent="0.3">
      <c r="A655" s="42"/>
      <c r="C655" s="122"/>
      <c r="D655"/>
      <c r="E655"/>
      <c r="F655"/>
      <c r="N655" s="44"/>
    </row>
    <row r="656" spans="1:14" x14ac:dyDescent="0.3">
      <c r="A656" s="42"/>
      <c r="C656" s="122"/>
      <c r="D656"/>
      <c r="E656"/>
      <c r="F656"/>
      <c r="N656" s="44"/>
    </row>
    <row r="657" spans="1:14" x14ac:dyDescent="0.3">
      <c r="A657" s="42"/>
      <c r="C657" s="122"/>
      <c r="D657"/>
      <c r="E657"/>
      <c r="F657"/>
      <c r="N657" s="44"/>
    </row>
    <row r="658" spans="1:14" x14ac:dyDescent="0.3">
      <c r="A658" s="42"/>
      <c r="C658" s="122"/>
      <c r="D658"/>
      <c r="E658"/>
      <c r="F658"/>
      <c r="N658" s="44"/>
    </row>
    <row r="659" spans="1:14" x14ac:dyDescent="0.3">
      <c r="A659" s="42"/>
      <c r="C659" s="122"/>
      <c r="D659"/>
      <c r="E659"/>
      <c r="F659"/>
      <c r="N659" s="44"/>
    </row>
    <row r="660" spans="1:14" x14ac:dyDescent="0.3">
      <c r="A660" s="42"/>
      <c r="C660" s="122"/>
      <c r="D660"/>
      <c r="E660"/>
      <c r="F660"/>
      <c r="N660" s="44"/>
    </row>
    <row r="661" spans="1:14" x14ac:dyDescent="0.3">
      <c r="A661" s="42"/>
      <c r="C661"/>
      <c r="D661"/>
      <c r="E661"/>
      <c r="F661"/>
      <c r="N661" s="44"/>
    </row>
    <row r="662" spans="1:14" x14ac:dyDescent="0.3">
      <c r="A662" s="42"/>
      <c r="C662" s="122"/>
      <c r="D662"/>
      <c r="E662"/>
      <c r="F662"/>
      <c r="N662" s="44"/>
    </row>
    <row r="663" spans="1:14" x14ac:dyDescent="0.3">
      <c r="A663" s="42"/>
      <c r="C663" s="122"/>
      <c r="D663"/>
      <c r="E663"/>
      <c r="F663"/>
      <c r="N663" s="44"/>
    </row>
    <row r="664" spans="1:14" x14ac:dyDescent="0.3">
      <c r="A664" s="42"/>
      <c r="C664" s="122"/>
      <c r="D664"/>
      <c r="E664"/>
      <c r="F664"/>
      <c r="N664" s="44"/>
    </row>
    <row r="665" spans="1:14" x14ac:dyDescent="0.3">
      <c r="A665" s="42"/>
      <c r="C665" s="122"/>
      <c r="D665"/>
      <c r="E665"/>
      <c r="F665"/>
      <c r="N665" s="44"/>
    </row>
    <row r="666" spans="1:14" x14ac:dyDescent="0.3">
      <c r="A666" s="42"/>
      <c r="C666" s="122"/>
      <c r="D666"/>
      <c r="E666"/>
      <c r="F666"/>
      <c r="N666" s="44"/>
    </row>
    <row r="667" spans="1:14" x14ac:dyDescent="0.3">
      <c r="A667" s="42"/>
      <c r="C667" s="122"/>
      <c r="D667"/>
      <c r="E667"/>
      <c r="F667"/>
      <c r="N667" s="44"/>
    </row>
    <row r="668" spans="1:14" x14ac:dyDescent="0.3">
      <c r="A668" s="42"/>
      <c r="C668" s="122"/>
      <c r="D668"/>
      <c r="E668"/>
      <c r="F668"/>
      <c r="N668" s="44"/>
    </row>
    <row r="669" spans="1:14" x14ac:dyDescent="0.3">
      <c r="A669" s="42"/>
      <c r="C669"/>
      <c r="D669"/>
      <c r="E669"/>
      <c r="F669"/>
      <c r="L669" s="2"/>
      <c r="N669" s="44"/>
    </row>
    <row r="670" spans="1:14" x14ac:dyDescent="0.3">
      <c r="A670" s="42"/>
      <c r="C670"/>
      <c r="D670"/>
      <c r="E670"/>
      <c r="F670"/>
      <c r="L670" s="2"/>
      <c r="N670" s="44"/>
    </row>
    <row r="671" spans="1:14" x14ac:dyDescent="0.3">
      <c r="A671" s="42"/>
      <c r="C671"/>
      <c r="D671"/>
      <c r="E671"/>
      <c r="F671"/>
      <c r="L671" s="2"/>
      <c r="N671" s="44"/>
    </row>
    <row r="672" spans="1:14" x14ac:dyDescent="0.3">
      <c r="A672" s="42"/>
      <c r="C672"/>
      <c r="D672"/>
      <c r="E672"/>
      <c r="F672"/>
      <c r="N672" s="44"/>
    </row>
    <row r="673" spans="1:14" x14ac:dyDescent="0.3">
      <c r="A673" s="42"/>
      <c r="C673"/>
      <c r="D673"/>
      <c r="E673"/>
      <c r="F673"/>
      <c r="N673" s="44"/>
    </row>
    <row r="674" spans="1:14" x14ac:dyDescent="0.3">
      <c r="A674" s="42"/>
      <c r="C674"/>
      <c r="D674"/>
      <c r="E674"/>
      <c r="F674"/>
      <c r="N674" s="44"/>
    </row>
    <row r="675" spans="1:14" x14ac:dyDescent="0.3">
      <c r="A675" s="42"/>
      <c r="C675"/>
      <c r="D675"/>
      <c r="E675"/>
      <c r="F675"/>
      <c r="N675" s="44"/>
    </row>
    <row r="676" spans="1:14" x14ac:dyDescent="0.3">
      <c r="A676" s="42"/>
      <c r="C676"/>
      <c r="D676"/>
      <c r="E676"/>
      <c r="F676"/>
      <c r="N676" s="44"/>
    </row>
    <row r="677" spans="1:14" x14ac:dyDescent="0.3">
      <c r="A677" s="42"/>
      <c r="C677"/>
      <c r="D677"/>
      <c r="E677"/>
      <c r="F677"/>
      <c r="N677" s="44"/>
    </row>
    <row r="678" spans="1:14" x14ac:dyDescent="0.3">
      <c r="A678" s="42"/>
      <c r="C678" s="122"/>
      <c r="D678"/>
      <c r="E678"/>
      <c r="F678"/>
      <c r="N678" s="44"/>
    </row>
    <row r="679" spans="1:14" x14ac:dyDescent="0.3">
      <c r="A679" s="42"/>
      <c r="C679" s="122"/>
      <c r="D679"/>
      <c r="E679"/>
      <c r="F679"/>
      <c r="N679" s="44"/>
    </row>
    <row r="680" spans="1:14" x14ac:dyDescent="0.3">
      <c r="A680" s="42"/>
      <c r="C680" s="122"/>
      <c r="D680"/>
      <c r="E680"/>
      <c r="F680"/>
      <c r="N680" s="44"/>
    </row>
    <row r="681" spans="1:14" x14ac:dyDescent="0.3">
      <c r="A681" s="42"/>
      <c r="C681" s="122"/>
      <c r="D681"/>
      <c r="E681"/>
      <c r="F681"/>
      <c r="N681" s="44"/>
    </row>
    <row r="682" spans="1:14" x14ac:dyDescent="0.3">
      <c r="A682" s="42"/>
      <c r="C682" s="122"/>
      <c r="D682"/>
      <c r="E682"/>
      <c r="F682"/>
      <c r="N682" s="44"/>
    </row>
    <row r="683" spans="1:14" x14ac:dyDescent="0.3">
      <c r="A683" s="42"/>
      <c r="C683" s="52"/>
      <c r="D683"/>
      <c r="E683"/>
      <c r="F683"/>
      <c r="N683" s="44"/>
    </row>
    <row r="684" spans="1:14" x14ac:dyDescent="0.3">
      <c r="A684" s="42"/>
      <c r="C684" s="122"/>
      <c r="D684"/>
      <c r="E684"/>
      <c r="F684"/>
      <c r="N684" s="44"/>
    </row>
    <row r="685" spans="1:14" x14ac:dyDescent="0.3">
      <c r="A685" s="42"/>
      <c r="C685" s="122"/>
      <c r="D685"/>
      <c r="E685"/>
      <c r="F685"/>
      <c r="N685" s="44"/>
    </row>
    <row r="686" spans="1:14" x14ac:dyDescent="0.3">
      <c r="A686" s="42"/>
      <c r="C686" s="122"/>
      <c r="D686"/>
      <c r="E686"/>
      <c r="F686"/>
      <c r="N686" s="44"/>
    </row>
    <row r="687" spans="1:14" x14ac:dyDescent="0.3">
      <c r="A687" s="42"/>
      <c r="C687" s="122"/>
      <c r="D687"/>
      <c r="E687"/>
      <c r="F687"/>
      <c r="N687" s="44"/>
    </row>
    <row r="688" spans="1:14" x14ac:dyDescent="0.3">
      <c r="A688" s="42"/>
      <c r="C688"/>
      <c r="D688"/>
      <c r="E688"/>
      <c r="F688"/>
      <c r="N688" s="44"/>
    </row>
    <row r="689" spans="1:14" x14ac:dyDescent="0.3">
      <c r="A689" s="42"/>
      <c r="C689"/>
      <c r="D689"/>
      <c r="E689"/>
      <c r="F689"/>
      <c r="L689" s="2"/>
      <c r="N689" s="44"/>
    </row>
    <row r="690" spans="1:14" x14ac:dyDescent="0.3">
      <c r="A690" s="42"/>
      <c r="C690"/>
      <c r="D690"/>
      <c r="E690"/>
      <c r="F690"/>
      <c r="L690" s="2"/>
      <c r="N690" s="44"/>
    </row>
    <row r="691" spans="1:14" x14ac:dyDescent="0.3">
      <c r="A691" s="42"/>
      <c r="C691"/>
      <c r="D691"/>
      <c r="E691"/>
      <c r="F691"/>
      <c r="L691" s="2"/>
      <c r="N691" s="44"/>
    </row>
    <row r="692" spans="1:14" x14ac:dyDescent="0.3">
      <c r="A692" s="42"/>
      <c r="C692"/>
      <c r="D692"/>
      <c r="E692"/>
      <c r="F692"/>
      <c r="L692" s="2"/>
      <c r="N692" s="44"/>
    </row>
    <row r="693" spans="1:14" x14ac:dyDescent="0.3">
      <c r="A693" s="42"/>
      <c r="C693"/>
      <c r="D693"/>
      <c r="E693"/>
      <c r="F693"/>
      <c r="L693" s="2"/>
      <c r="N693" s="44"/>
    </row>
    <row r="694" spans="1:14" x14ac:dyDescent="0.3">
      <c r="A694" s="42"/>
      <c r="C694"/>
      <c r="D694"/>
      <c r="E694"/>
      <c r="F694"/>
      <c r="L694" s="2"/>
      <c r="N694" s="44"/>
    </row>
    <row r="695" spans="1:14" x14ac:dyDescent="0.3">
      <c r="A695" s="42"/>
      <c r="C695"/>
      <c r="D695"/>
      <c r="E695"/>
      <c r="F695"/>
      <c r="L695" s="2"/>
      <c r="N695" s="44"/>
    </row>
    <row r="696" spans="1:14" x14ac:dyDescent="0.3">
      <c r="A696" s="42"/>
      <c r="C696"/>
      <c r="D696"/>
      <c r="E696"/>
      <c r="F696"/>
      <c r="L696" s="2"/>
      <c r="N696" s="44"/>
    </row>
    <row r="697" spans="1:14" x14ac:dyDescent="0.3">
      <c r="A697" s="42"/>
      <c r="C697"/>
      <c r="D697"/>
      <c r="E697"/>
      <c r="F697"/>
      <c r="L697" s="2"/>
      <c r="N697" s="44"/>
    </row>
    <row r="698" spans="1:14" x14ac:dyDescent="0.3">
      <c r="A698" s="42"/>
      <c r="C698"/>
      <c r="D698"/>
      <c r="E698"/>
      <c r="F698"/>
      <c r="L698" s="2"/>
      <c r="N698" s="44"/>
    </row>
    <row r="699" spans="1:14" x14ac:dyDescent="0.3">
      <c r="A699" s="42"/>
      <c r="C699"/>
      <c r="D699"/>
      <c r="E699"/>
      <c r="F699"/>
      <c r="L699" s="2"/>
      <c r="N699" s="44"/>
    </row>
    <row r="700" spans="1:14" x14ac:dyDescent="0.3">
      <c r="A700" s="42"/>
      <c r="C700"/>
      <c r="D700"/>
      <c r="E700"/>
      <c r="F700"/>
      <c r="L700" s="2"/>
      <c r="N700" s="44"/>
    </row>
    <row r="701" spans="1:14" x14ac:dyDescent="0.3">
      <c r="A701" s="42"/>
      <c r="C701"/>
      <c r="D701"/>
      <c r="E701"/>
      <c r="F701"/>
      <c r="L701" s="2"/>
      <c r="N701" s="44"/>
    </row>
    <row r="702" spans="1:14" x14ac:dyDescent="0.3">
      <c r="A702" s="42"/>
      <c r="C702"/>
      <c r="D702"/>
      <c r="E702"/>
      <c r="F702"/>
      <c r="L702" s="2"/>
      <c r="N702" s="44"/>
    </row>
    <row r="703" spans="1:14" x14ac:dyDescent="0.3">
      <c r="A703" s="42"/>
      <c r="C703"/>
      <c r="D703"/>
      <c r="E703"/>
      <c r="F703"/>
      <c r="L703" s="2"/>
      <c r="N703" s="44"/>
    </row>
    <row r="704" spans="1:14" x14ac:dyDescent="0.3">
      <c r="A704" s="42"/>
      <c r="C704"/>
      <c r="D704"/>
      <c r="E704"/>
      <c r="F704"/>
      <c r="N704" s="44"/>
    </row>
    <row r="705" spans="1:14" x14ac:dyDescent="0.3">
      <c r="A705" s="42"/>
      <c r="C705"/>
      <c r="D705"/>
      <c r="E705"/>
      <c r="F705"/>
      <c r="N705" s="44"/>
    </row>
    <row r="706" spans="1:14" x14ac:dyDescent="0.3">
      <c r="A706" s="42"/>
      <c r="C706"/>
      <c r="D706"/>
      <c r="E706"/>
      <c r="F706"/>
      <c r="N706" s="44"/>
    </row>
    <row r="707" spans="1:14" x14ac:dyDescent="0.3">
      <c r="A707" s="42"/>
      <c r="C707"/>
      <c r="D707"/>
      <c r="E707"/>
      <c r="F707"/>
      <c r="N707" s="44"/>
    </row>
    <row r="708" spans="1:14" x14ac:dyDescent="0.3">
      <c r="A708" s="42"/>
      <c r="C708"/>
      <c r="D708"/>
      <c r="E708"/>
      <c r="F708"/>
      <c r="L708" s="45"/>
      <c r="N708" s="44"/>
    </row>
    <row r="709" spans="1:14" x14ac:dyDescent="0.3">
      <c r="A709" s="42"/>
      <c r="C709"/>
      <c r="D709"/>
      <c r="E709"/>
      <c r="F709"/>
      <c r="N709" s="44"/>
    </row>
    <row r="710" spans="1:14" x14ac:dyDescent="0.3">
      <c r="A710" s="42"/>
      <c r="C710"/>
      <c r="D710"/>
      <c r="E710"/>
      <c r="F710"/>
      <c r="L710" s="45"/>
      <c r="N710" s="44"/>
    </row>
    <row r="711" spans="1:14" x14ac:dyDescent="0.3">
      <c r="A711" s="42"/>
      <c r="C711"/>
      <c r="D711"/>
      <c r="E711"/>
      <c r="F711"/>
      <c r="L711" s="45"/>
      <c r="N711" s="44"/>
    </row>
    <row r="712" spans="1:14" x14ac:dyDescent="0.3">
      <c r="A712" s="42"/>
      <c r="C712"/>
      <c r="D712"/>
      <c r="E712"/>
      <c r="F712"/>
      <c r="L712" s="45"/>
      <c r="N712" s="44"/>
    </row>
    <row r="713" spans="1:14" x14ac:dyDescent="0.3">
      <c r="A713" s="42"/>
      <c r="C713"/>
      <c r="D713"/>
      <c r="E713"/>
      <c r="F713"/>
      <c r="N713" s="44"/>
    </row>
    <row r="714" spans="1:14" x14ac:dyDescent="0.3">
      <c r="A714" s="42"/>
      <c r="C714"/>
      <c r="D714"/>
      <c r="E714"/>
      <c r="F714"/>
      <c r="L714" s="45"/>
      <c r="N714" s="44"/>
    </row>
    <row r="715" spans="1:14" x14ac:dyDescent="0.3">
      <c r="A715" s="42"/>
      <c r="C715"/>
      <c r="D715"/>
      <c r="E715"/>
      <c r="F715"/>
      <c r="N715" s="44"/>
    </row>
    <row r="716" spans="1:14" x14ac:dyDescent="0.3">
      <c r="A716" s="42"/>
      <c r="C716"/>
      <c r="D716"/>
      <c r="E716"/>
      <c r="F716"/>
      <c r="N716" s="44"/>
    </row>
    <row r="717" spans="1:14" x14ac:dyDescent="0.3">
      <c r="A717" s="42"/>
      <c r="C717"/>
      <c r="D717"/>
      <c r="E717"/>
      <c r="F717"/>
      <c r="N717" s="44"/>
    </row>
    <row r="718" spans="1:14" x14ac:dyDescent="0.3">
      <c r="A718" s="42"/>
      <c r="C718"/>
      <c r="D718"/>
      <c r="E718"/>
      <c r="F718"/>
      <c r="N718" s="44"/>
    </row>
    <row r="719" spans="1:14" x14ac:dyDescent="0.3">
      <c r="A719" s="42"/>
      <c r="C719" s="122"/>
      <c r="D719"/>
      <c r="E719"/>
      <c r="F719"/>
      <c r="N719" s="44"/>
    </row>
    <row r="720" spans="1:14" x14ac:dyDescent="0.3">
      <c r="A720" s="42"/>
      <c r="C720" s="122"/>
      <c r="D720"/>
      <c r="E720"/>
      <c r="F720"/>
      <c r="N720" s="44"/>
    </row>
    <row r="721" spans="1:14" x14ac:dyDescent="0.3">
      <c r="A721" s="42"/>
      <c r="C721" s="122"/>
      <c r="D721"/>
      <c r="E721"/>
      <c r="F721"/>
      <c r="N721" s="44"/>
    </row>
    <row r="722" spans="1:14" x14ac:dyDescent="0.3">
      <c r="A722" s="42"/>
      <c r="C722" s="122"/>
      <c r="D722"/>
      <c r="E722"/>
      <c r="F722"/>
      <c r="N722" s="44"/>
    </row>
    <row r="723" spans="1:14" x14ac:dyDescent="0.3">
      <c r="A723" s="42"/>
      <c r="C723" s="122"/>
      <c r="D723"/>
      <c r="E723"/>
      <c r="F723"/>
      <c r="N723" s="44"/>
    </row>
    <row r="724" spans="1:14" x14ac:dyDescent="0.3">
      <c r="A724" s="42"/>
      <c r="C724" s="122"/>
      <c r="D724"/>
      <c r="E724"/>
      <c r="F724"/>
      <c r="N724" s="44"/>
    </row>
    <row r="725" spans="1:14" x14ac:dyDescent="0.3">
      <c r="A725" s="42"/>
      <c r="C725" s="122"/>
      <c r="D725"/>
      <c r="E725"/>
      <c r="F725"/>
      <c r="N725" s="44"/>
    </row>
    <row r="726" spans="1:14" x14ac:dyDescent="0.3">
      <c r="A726" s="42"/>
      <c r="C726" s="122"/>
      <c r="D726"/>
      <c r="E726"/>
      <c r="F726"/>
      <c r="N726" s="44"/>
    </row>
    <row r="727" spans="1:14" x14ac:dyDescent="0.3">
      <c r="A727" s="42"/>
      <c r="C727" s="122"/>
      <c r="D727"/>
      <c r="E727"/>
      <c r="F727"/>
      <c r="N727" s="44"/>
    </row>
    <row r="728" spans="1:14" x14ac:dyDescent="0.3">
      <c r="A728" s="42"/>
      <c r="C728" s="122"/>
      <c r="D728"/>
      <c r="E728"/>
      <c r="F728"/>
      <c r="N728" s="44"/>
    </row>
    <row r="729" spans="1:14" x14ac:dyDescent="0.3">
      <c r="A729" s="42"/>
      <c r="C729" s="122"/>
      <c r="D729"/>
      <c r="E729"/>
      <c r="F729"/>
      <c r="N729" s="44"/>
    </row>
    <row r="730" spans="1:14" x14ac:dyDescent="0.3">
      <c r="A730" s="42"/>
      <c r="C730" s="122"/>
      <c r="D730"/>
      <c r="E730"/>
      <c r="F730"/>
      <c r="N730" s="44"/>
    </row>
    <row r="731" spans="1:14" x14ac:dyDescent="0.3">
      <c r="A731" s="42"/>
      <c r="C731"/>
      <c r="D731"/>
      <c r="E731"/>
      <c r="F731"/>
      <c r="N731" s="44"/>
    </row>
    <row r="732" spans="1:14" x14ac:dyDescent="0.3">
      <c r="A732" s="42"/>
      <c r="C732"/>
      <c r="D732"/>
      <c r="E732"/>
      <c r="F732"/>
      <c r="N732" s="44"/>
    </row>
    <row r="733" spans="1:14" x14ac:dyDescent="0.3">
      <c r="A733" s="42"/>
      <c r="C733"/>
      <c r="D733"/>
      <c r="E733"/>
      <c r="F733"/>
      <c r="N733" s="44"/>
    </row>
    <row r="734" spans="1:14" x14ac:dyDescent="0.3">
      <c r="A734" s="42"/>
      <c r="C734"/>
      <c r="D734"/>
      <c r="E734"/>
      <c r="F734"/>
      <c r="L734" s="2"/>
      <c r="N734" s="44"/>
    </row>
    <row r="735" spans="1:14" x14ac:dyDescent="0.3">
      <c r="A735" s="42"/>
      <c r="C735"/>
      <c r="D735"/>
      <c r="E735"/>
      <c r="F735"/>
      <c r="L735" s="2"/>
      <c r="N735" s="44"/>
    </row>
    <row r="736" spans="1:14" x14ac:dyDescent="0.3">
      <c r="A736" s="42"/>
      <c r="C736"/>
      <c r="D736"/>
      <c r="E736"/>
      <c r="F736"/>
      <c r="L736" s="2"/>
      <c r="N736" s="44"/>
    </row>
    <row r="737" spans="1:14" x14ac:dyDescent="0.3">
      <c r="A737" s="42"/>
      <c r="C737"/>
      <c r="D737"/>
      <c r="E737"/>
      <c r="F737"/>
      <c r="L737" s="2"/>
      <c r="N737" s="44"/>
    </row>
    <row r="738" spans="1:14" x14ac:dyDescent="0.3">
      <c r="A738" s="42"/>
      <c r="C738"/>
      <c r="D738"/>
      <c r="E738"/>
      <c r="F738"/>
      <c r="L738" s="2"/>
      <c r="N738" s="44"/>
    </row>
    <row r="739" spans="1:14" x14ac:dyDescent="0.3">
      <c r="A739" s="42"/>
      <c r="C739"/>
      <c r="D739"/>
      <c r="E739"/>
      <c r="F739"/>
      <c r="L739" s="2"/>
      <c r="N739" s="44"/>
    </row>
    <row r="740" spans="1:14" x14ac:dyDescent="0.3">
      <c r="A740" s="42"/>
      <c r="C740"/>
      <c r="D740"/>
      <c r="E740"/>
      <c r="F740"/>
      <c r="L740" s="2"/>
      <c r="N740" s="44"/>
    </row>
    <row r="741" spans="1:14" x14ac:dyDescent="0.3">
      <c r="A741" s="42"/>
      <c r="C741"/>
      <c r="D741"/>
      <c r="E741"/>
      <c r="F741"/>
      <c r="L741" s="2"/>
      <c r="N741" s="44"/>
    </row>
    <row r="742" spans="1:14" x14ac:dyDescent="0.3">
      <c r="A742" s="42"/>
      <c r="C742"/>
      <c r="D742"/>
      <c r="E742"/>
      <c r="F742"/>
      <c r="L742" s="2"/>
      <c r="N742" s="44"/>
    </row>
    <row r="743" spans="1:14" x14ac:dyDescent="0.3">
      <c r="A743" s="42"/>
      <c r="C743"/>
      <c r="D743"/>
      <c r="E743"/>
      <c r="F743"/>
      <c r="L743" s="2"/>
      <c r="N743" s="44"/>
    </row>
    <row r="744" spans="1:14" x14ac:dyDescent="0.3">
      <c r="A744" s="42"/>
      <c r="C744"/>
      <c r="D744"/>
      <c r="E744"/>
      <c r="F744"/>
      <c r="L744" s="2"/>
      <c r="N744" s="44"/>
    </row>
    <row r="745" spans="1:14" x14ac:dyDescent="0.3">
      <c r="A745" s="42"/>
      <c r="C745"/>
      <c r="D745"/>
      <c r="E745"/>
      <c r="F745"/>
      <c r="N745" s="44"/>
    </row>
    <row r="746" spans="1:14" ht="15.6" x14ac:dyDescent="0.3">
      <c r="A746" s="42"/>
      <c r="C746" s="122"/>
      <c r="D746" s="112"/>
      <c r="E746"/>
      <c r="F746"/>
      <c r="L746" s="112"/>
      <c r="N746" s="44"/>
    </row>
    <row r="747" spans="1:14" x14ac:dyDescent="0.3">
      <c r="A747" s="42"/>
      <c r="C747"/>
      <c r="D747"/>
      <c r="E747"/>
      <c r="F747"/>
      <c r="N747" s="44"/>
    </row>
    <row r="748" spans="1:14" x14ac:dyDescent="0.3">
      <c r="A748" s="42"/>
      <c r="C748" s="122"/>
      <c r="D748"/>
      <c r="E748"/>
      <c r="F748"/>
      <c r="N748" s="44"/>
    </row>
    <row r="749" spans="1:14" x14ac:dyDescent="0.3">
      <c r="A749" s="42"/>
      <c r="C749" s="52"/>
      <c r="D749"/>
      <c r="E749"/>
      <c r="F749"/>
      <c r="N749" s="44"/>
    </row>
    <row r="750" spans="1:14" x14ac:dyDescent="0.3">
      <c r="A750" s="42"/>
      <c r="C750" s="52"/>
      <c r="D750"/>
      <c r="E750"/>
      <c r="F750"/>
      <c r="N750" s="44"/>
    </row>
    <row r="751" spans="1:14" x14ac:dyDescent="0.3">
      <c r="A751" s="42"/>
      <c r="C751" s="52"/>
      <c r="D751"/>
      <c r="E751"/>
      <c r="F751"/>
      <c r="N751" s="44"/>
    </row>
    <row r="752" spans="1:14" x14ac:dyDescent="0.3">
      <c r="A752" s="42"/>
      <c r="C752"/>
      <c r="D752"/>
      <c r="E752"/>
      <c r="F752"/>
      <c r="N752" s="44"/>
    </row>
    <row r="753" spans="1:14" x14ac:dyDescent="0.3">
      <c r="A753" s="42"/>
      <c r="C753"/>
      <c r="D753"/>
      <c r="E753"/>
      <c r="F753"/>
      <c r="N753" s="44"/>
    </row>
    <row r="754" spans="1:14" x14ac:dyDescent="0.3">
      <c r="A754" s="42"/>
      <c r="C754"/>
      <c r="D754"/>
      <c r="E754"/>
      <c r="F754"/>
      <c r="N754" s="44"/>
    </row>
    <row r="755" spans="1:14" x14ac:dyDescent="0.3">
      <c r="A755" s="42"/>
      <c r="C755"/>
      <c r="D755"/>
      <c r="E755"/>
      <c r="F755"/>
      <c r="N755" s="44"/>
    </row>
    <row r="756" spans="1:14" x14ac:dyDescent="0.3">
      <c r="A756" s="42"/>
      <c r="C756"/>
      <c r="D756"/>
      <c r="E756"/>
      <c r="F756"/>
      <c r="N756" s="44"/>
    </row>
    <row r="757" spans="1:14" x14ac:dyDescent="0.3">
      <c r="A757" s="42"/>
      <c r="C757"/>
      <c r="D757"/>
      <c r="E757"/>
      <c r="F757"/>
      <c r="N757" s="44"/>
    </row>
    <row r="758" spans="1:14" x14ac:dyDescent="0.3">
      <c r="A758" s="42"/>
      <c r="C758"/>
      <c r="D758"/>
      <c r="E758"/>
      <c r="F758"/>
      <c r="N758" s="44"/>
    </row>
    <row r="759" spans="1:14" x14ac:dyDescent="0.3">
      <c r="A759" s="42"/>
      <c r="C759"/>
      <c r="D759"/>
      <c r="E759"/>
      <c r="F759"/>
      <c r="N759" s="44"/>
    </row>
    <row r="760" spans="1:14" x14ac:dyDescent="0.3">
      <c r="A760" s="42"/>
      <c r="C760"/>
      <c r="D760"/>
      <c r="E760"/>
      <c r="F760"/>
      <c r="N760" s="44"/>
    </row>
    <row r="761" spans="1:14" x14ac:dyDescent="0.3">
      <c r="A761" s="42"/>
      <c r="C761"/>
      <c r="D761"/>
      <c r="E761"/>
      <c r="F761"/>
      <c r="L761" s="2"/>
      <c r="N761" s="44"/>
    </row>
    <row r="762" spans="1:14" x14ac:dyDescent="0.3">
      <c r="A762" s="42"/>
      <c r="C762"/>
      <c r="D762"/>
      <c r="E762"/>
      <c r="F762"/>
      <c r="L762" s="2"/>
      <c r="N762" s="44"/>
    </row>
    <row r="763" spans="1:14" x14ac:dyDescent="0.3">
      <c r="A763" s="42"/>
      <c r="C763"/>
      <c r="D763"/>
      <c r="E763"/>
      <c r="F763"/>
      <c r="L763" s="2"/>
      <c r="N763" s="44"/>
    </row>
    <row r="764" spans="1:14" x14ac:dyDescent="0.3">
      <c r="A764" s="42"/>
      <c r="C764"/>
      <c r="D764"/>
      <c r="E764"/>
      <c r="F764"/>
      <c r="L764" s="53"/>
      <c r="N764" s="44"/>
    </row>
    <row r="765" spans="1:14" x14ac:dyDescent="0.3">
      <c r="A765" s="42"/>
      <c r="C765"/>
      <c r="D765"/>
      <c r="E765"/>
      <c r="F765"/>
      <c r="L765" s="2"/>
      <c r="N765" s="44"/>
    </row>
    <row r="766" spans="1:14" x14ac:dyDescent="0.3">
      <c r="A766" s="42"/>
      <c r="C766"/>
      <c r="D766"/>
      <c r="E766"/>
      <c r="F766"/>
      <c r="L766" s="2"/>
      <c r="N766" s="44"/>
    </row>
    <row r="767" spans="1:14" x14ac:dyDescent="0.3">
      <c r="A767" s="42"/>
      <c r="C767"/>
      <c r="D767"/>
      <c r="E767"/>
      <c r="F767"/>
      <c r="L767" s="2"/>
      <c r="N767" s="44"/>
    </row>
    <row r="768" spans="1:14" x14ac:dyDescent="0.3">
      <c r="A768" s="42"/>
      <c r="C768"/>
      <c r="D768"/>
      <c r="E768"/>
      <c r="F768"/>
      <c r="L768" s="2"/>
      <c r="N768" s="44"/>
    </row>
    <row r="769" spans="1:14" x14ac:dyDescent="0.3">
      <c r="A769" s="42"/>
      <c r="C769"/>
      <c r="D769"/>
      <c r="E769"/>
      <c r="F769"/>
      <c r="L769" s="2"/>
      <c r="N769" s="44"/>
    </row>
    <row r="770" spans="1:14" x14ac:dyDescent="0.3">
      <c r="A770" s="42"/>
      <c r="C770"/>
      <c r="D770"/>
      <c r="E770"/>
      <c r="F770"/>
      <c r="L770" s="2"/>
      <c r="N770" s="44"/>
    </row>
    <row r="771" spans="1:14" x14ac:dyDescent="0.3">
      <c r="A771" s="42"/>
      <c r="C771"/>
      <c r="D771"/>
      <c r="E771"/>
      <c r="F771"/>
      <c r="N771" s="44"/>
    </row>
    <row r="772" spans="1:14" x14ac:dyDescent="0.3">
      <c r="A772" s="42"/>
      <c r="C772"/>
      <c r="D772"/>
      <c r="E772"/>
      <c r="F772"/>
      <c r="L772" s="45"/>
      <c r="N772" s="44"/>
    </row>
    <row r="773" spans="1:14" x14ac:dyDescent="0.3">
      <c r="A773" s="42"/>
      <c r="C773"/>
      <c r="D773"/>
      <c r="E773"/>
      <c r="F773"/>
      <c r="L773" s="45"/>
      <c r="N773" s="44"/>
    </row>
    <row r="774" spans="1:14" x14ac:dyDescent="0.3">
      <c r="A774" s="42"/>
      <c r="C774"/>
      <c r="D774"/>
      <c r="E774"/>
      <c r="F774"/>
      <c r="L774" s="45"/>
      <c r="N774" s="44"/>
    </row>
    <row r="775" spans="1:14" x14ac:dyDescent="0.3">
      <c r="A775" s="42"/>
      <c r="C775"/>
      <c r="D775"/>
      <c r="E775"/>
      <c r="F775"/>
      <c r="N775" s="44"/>
    </row>
    <row r="776" spans="1:14" x14ac:dyDescent="0.3">
      <c r="A776" s="42"/>
      <c r="C776"/>
      <c r="D776"/>
      <c r="E776"/>
      <c r="F776"/>
      <c r="L776" s="45"/>
      <c r="N776" s="44"/>
    </row>
    <row r="777" spans="1:14" x14ac:dyDescent="0.3">
      <c r="A777" s="42"/>
      <c r="C777"/>
      <c r="D777"/>
      <c r="E777"/>
      <c r="F777"/>
      <c r="L777" s="45"/>
      <c r="N777" s="44"/>
    </row>
    <row r="778" spans="1:14" x14ac:dyDescent="0.3">
      <c r="A778" s="42"/>
      <c r="C778"/>
      <c r="D778"/>
      <c r="E778"/>
      <c r="F778"/>
      <c r="N778" s="44"/>
    </row>
    <row r="779" spans="1:14" x14ac:dyDescent="0.3">
      <c r="A779" s="42"/>
      <c r="C779" s="122"/>
      <c r="D779"/>
      <c r="E779"/>
      <c r="F779"/>
      <c r="N779" s="44"/>
    </row>
    <row r="780" spans="1:14" x14ac:dyDescent="0.3">
      <c r="A780" s="42"/>
      <c r="C780" s="122"/>
      <c r="D780"/>
      <c r="E780"/>
      <c r="F780"/>
      <c r="N780" s="44"/>
    </row>
    <row r="781" spans="1:14" x14ac:dyDescent="0.3">
      <c r="A781" s="42"/>
      <c r="C781" s="122"/>
      <c r="D781"/>
      <c r="E781"/>
      <c r="F781"/>
      <c r="N781" s="44"/>
    </row>
    <row r="782" spans="1:14" x14ac:dyDescent="0.3">
      <c r="A782" s="42"/>
      <c r="C782" s="122"/>
      <c r="D782"/>
      <c r="E782"/>
      <c r="F782"/>
      <c r="N782" s="44"/>
    </row>
    <row r="783" spans="1:14" x14ac:dyDescent="0.3">
      <c r="A783" s="42"/>
      <c r="C783" s="122"/>
      <c r="D783"/>
      <c r="E783"/>
      <c r="F783"/>
      <c r="N783" s="44"/>
    </row>
    <row r="784" spans="1:14" x14ac:dyDescent="0.3">
      <c r="A784" s="42"/>
      <c r="C784" s="122"/>
      <c r="D784"/>
      <c r="E784"/>
      <c r="F784"/>
      <c r="N784" s="44"/>
    </row>
    <row r="785" spans="1:14" x14ac:dyDescent="0.3">
      <c r="A785" s="42"/>
      <c r="C785" s="122"/>
      <c r="D785"/>
      <c r="E785"/>
      <c r="F785"/>
      <c r="N785" s="44"/>
    </row>
    <row r="786" spans="1:14" x14ac:dyDescent="0.3">
      <c r="A786" s="42"/>
      <c r="C786" s="122"/>
      <c r="D786"/>
      <c r="E786"/>
      <c r="F786"/>
      <c r="N786" s="44"/>
    </row>
    <row r="787" spans="1:14" x14ac:dyDescent="0.3">
      <c r="A787" s="42"/>
      <c r="C787" s="122"/>
      <c r="D787"/>
      <c r="E787"/>
      <c r="F787"/>
      <c r="N787" s="44"/>
    </row>
    <row r="788" spans="1:14" x14ac:dyDescent="0.3">
      <c r="A788" s="42"/>
      <c r="C788" s="122"/>
      <c r="D788"/>
      <c r="E788"/>
      <c r="F788"/>
      <c r="N788" s="44"/>
    </row>
    <row r="789" spans="1:14" x14ac:dyDescent="0.3">
      <c r="A789" s="42"/>
      <c r="C789" s="122"/>
      <c r="D789"/>
      <c r="E789"/>
      <c r="F789"/>
      <c r="N789" s="44"/>
    </row>
    <row r="790" spans="1:14" ht="15.6" x14ac:dyDescent="0.3">
      <c r="A790" s="42"/>
      <c r="C790" s="122"/>
      <c r="D790" s="112"/>
      <c r="E790"/>
      <c r="F790" s="112"/>
      <c r="L790" s="112"/>
      <c r="N790" s="44"/>
    </row>
    <row r="791" spans="1:14" x14ac:dyDescent="0.3">
      <c r="A791" s="42"/>
      <c r="C791"/>
      <c r="D791"/>
      <c r="E791"/>
      <c r="F791"/>
      <c r="N791" s="44"/>
    </row>
    <row r="792" spans="1:14" x14ac:dyDescent="0.3">
      <c r="A792" s="42"/>
      <c r="C792"/>
      <c r="D792"/>
      <c r="E792"/>
      <c r="F792"/>
      <c r="N792" s="44"/>
    </row>
    <row r="793" spans="1:14" x14ac:dyDescent="0.3">
      <c r="A793" s="42"/>
      <c r="C793"/>
      <c r="D793"/>
      <c r="E793"/>
      <c r="F793"/>
      <c r="N793" s="44"/>
    </row>
    <row r="794" spans="1:14" x14ac:dyDescent="0.3">
      <c r="A794" s="42"/>
      <c r="C794"/>
      <c r="D794"/>
      <c r="E794"/>
      <c r="F794"/>
      <c r="N794" s="44"/>
    </row>
    <row r="795" spans="1:14" x14ac:dyDescent="0.3">
      <c r="A795" s="42"/>
      <c r="C795"/>
      <c r="D795"/>
      <c r="E795"/>
      <c r="F795"/>
      <c r="N795" s="44"/>
    </row>
    <row r="796" spans="1:14" x14ac:dyDescent="0.3">
      <c r="A796" s="42"/>
      <c r="C796"/>
      <c r="D796"/>
      <c r="E796"/>
      <c r="F796"/>
      <c r="N796" s="44"/>
    </row>
    <row r="797" spans="1:14" x14ac:dyDescent="0.3">
      <c r="A797" s="42"/>
      <c r="C797"/>
      <c r="D797"/>
      <c r="E797"/>
      <c r="F797"/>
      <c r="N797" s="44"/>
    </row>
    <row r="798" spans="1:14" x14ac:dyDescent="0.3">
      <c r="A798" s="42"/>
      <c r="C798"/>
      <c r="D798"/>
      <c r="E798"/>
      <c r="F798"/>
      <c r="N798" s="44"/>
    </row>
    <row r="799" spans="1:14" x14ac:dyDescent="0.3">
      <c r="A799" s="42"/>
      <c r="C799"/>
      <c r="D799"/>
      <c r="E799"/>
      <c r="F799"/>
      <c r="N799" s="44"/>
    </row>
    <row r="800" spans="1:14" x14ac:dyDescent="0.3">
      <c r="A800" s="42"/>
      <c r="C800"/>
      <c r="D800"/>
      <c r="E800"/>
      <c r="F800"/>
      <c r="N800" s="44"/>
    </row>
    <row r="801" spans="1:14" x14ac:dyDescent="0.3">
      <c r="A801" s="42"/>
      <c r="C801"/>
      <c r="D801"/>
      <c r="E801"/>
      <c r="F801"/>
      <c r="N801" s="44"/>
    </row>
    <row r="802" spans="1:14" x14ac:dyDescent="0.3">
      <c r="A802" s="42"/>
      <c r="C802"/>
      <c r="D802"/>
      <c r="E802"/>
      <c r="F802"/>
      <c r="N802" s="44"/>
    </row>
    <row r="803" spans="1:14" x14ac:dyDescent="0.3">
      <c r="A803" s="42"/>
      <c r="C803"/>
      <c r="D803"/>
      <c r="E803"/>
      <c r="F803"/>
      <c r="N803" s="44"/>
    </row>
    <row r="804" spans="1:14" x14ac:dyDescent="0.3">
      <c r="A804" s="42"/>
      <c r="C804"/>
      <c r="D804"/>
      <c r="E804"/>
      <c r="F804"/>
      <c r="N804" s="44"/>
    </row>
    <row r="805" spans="1:14" x14ac:dyDescent="0.3">
      <c r="A805" s="42"/>
      <c r="C805"/>
      <c r="D805"/>
      <c r="E805"/>
      <c r="F805"/>
      <c r="L805" s="2"/>
      <c r="N805" s="44"/>
    </row>
    <row r="806" spans="1:14" x14ac:dyDescent="0.3">
      <c r="A806" s="42"/>
      <c r="C806"/>
      <c r="D806"/>
      <c r="E806"/>
      <c r="F806"/>
      <c r="L806" s="2"/>
      <c r="N806" s="44"/>
    </row>
    <row r="807" spans="1:14" x14ac:dyDescent="0.3">
      <c r="A807" s="42"/>
      <c r="C807"/>
      <c r="D807"/>
      <c r="E807"/>
      <c r="F807"/>
      <c r="L807" s="2"/>
      <c r="N807" s="44"/>
    </row>
    <row r="808" spans="1:14" x14ac:dyDescent="0.3">
      <c r="A808" s="42"/>
      <c r="C808"/>
      <c r="D808"/>
      <c r="E808"/>
      <c r="F808"/>
      <c r="N808" s="44"/>
    </row>
    <row r="809" spans="1:14" x14ac:dyDescent="0.3">
      <c r="A809" s="42"/>
      <c r="C809"/>
      <c r="D809"/>
      <c r="E809"/>
      <c r="F809"/>
      <c r="N809" s="44"/>
    </row>
    <row r="810" spans="1:14" x14ac:dyDescent="0.3">
      <c r="A810" s="42"/>
      <c r="C810"/>
      <c r="D810"/>
      <c r="E810"/>
      <c r="F810"/>
      <c r="N810" s="44"/>
    </row>
    <row r="811" spans="1:14" x14ac:dyDescent="0.3">
      <c r="A811" s="42"/>
      <c r="C811"/>
      <c r="D811"/>
      <c r="E811"/>
      <c r="F811"/>
      <c r="N811" s="44"/>
    </row>
    <row r="812" spans="1:14" x14ac:dyDescent="0.3">
      <c r="A812" s="42"/>
      <c r="C812"/>
      <c r="D812"/>
      <c r="E812"/>
      <c r="F812"/>
      <c r="N812" s="44"/>
    </row>
    <row r="813" spans="1:14" x14ac:dyDescent="0.3">
      <c r="A813" s="42"/>
      <c r="C813"/>
      <c r="D813"/>
      <c r="E813"/>
      <c r="F813"/>
      <c r="N813" s="44"/>
    </row>
    <row r="814" spans="1:14" x14ac:dyDescent="0.3">
      <c r="A814" s="42"/>
      <c r="C814" s="122"/>
      <c r="D814"/>
      <c r="E814"/>
      <c r="F814"/>
      <c r="N814" s="44"/>
    </row>
    <row r="815" spans="1:14" x14ac:dyDescent="0.3">
      <c r="A815" s="42"/>
      <c r="C815" s="122"/>
      <c r="D815"/>
      <c r="E815"/>
      <c r="F815"/>
      <c r="N815" s="44"/>
    </row>
    <row r="816" spans="1:14" x14ac:dyDescent="0.3">
      <c r="A816" s="42"/>
      <c r="C816" s="122"/>
      <c r="D816"/>
      <c r="E816"/>
      <c r="F816"/>
      <c r="N816" s="44"/>
    </row>
    <row r="817" spans="1:14" x14ac:dyDescent="0.3">
      <c r="A817" s="42"/>
      <c r="C817" s="122"/>
      <c r="D817"/>
      <c r="E817"/>
      <c r="F817"/>
      <c r="N817" s="44"/>
    </row>
    <row r="818" spans="1:14" x14ac:dyDescent="0.3">
      <c r="A818" s="42"/>
      <c r="C818" s="122"/>
      <c r="D818"/>
      <c r="E818"/>
      <c r="F818"/>
      <c r="N818" s="44"/>
    </row>
    <row r="819" spans="1:14" x14ac:dyDescent="0.3">
      <c r="A819" s="42"/>
      <c r="C819" s="122"/>
      <c r="D819"/>
      <c r="E819"/>
      <c r="F819"/>
      <c r="N819" s="44"/>
    </row>
    <row r="820" spans="1:14" x14ac:dyDescent="0.3">
      <c r="A820" s="42"/>
      <c r="C820" s="122"/>
      <c r="D820"/>
      <c r="E820"/>
      <c r="F820"/>
      <c r="N820" s="44"/>
    </row>
    <row r="821" spans="1:14" x14ac:dyDescent="0.3">
      <c r="A821" s="42"/>
      <c r="C821" s="122"/>
      <c r="D821"/>
      <c r="E821"/>
      <c r="F821"/>
      <c r="N821" s="44"/>
    </row>
    <row r="822" spans="1:14" x14ac:dyDescent="0.3">
      <c r="A822" s="42"/>
      <c r="C822" s="122"/>
      <c r="D822"/>
      <c r="E822"/>
      <c r="F822"/>
      <c r="N822" s="44"/>
    </row>
    <row r="823" spans="1:14" x14ac:dyDescent="0.3">
      <c r="A823" s="42"/>
      <c r="C823" s="122"/>
      <c r="D823"/>
      <c r="E823"/>
      <c r="F823"/>
      <c r="N823" s="44"/>
    </row>
    <row r="824" spans="1:14" x14ac:dyDescent="0.3">
      <c r="A824" s="42"/>
      <c r="C824" s="122"/>
      <c r="D824"/>
      <c r="E824"/>
      <c r="F824"/>
      <c r="N824" s="44"/>
    </row>
    <row r="825" spans="1:14" x14ac:dyDescent="0.3">
      <c r="A825" s="42"/>
      <c r="C825" s="122"/>
      <c r="D825"/>
      <c r="E825"/>
      <c r="F825"/>
      <c r="N825" s="44"/>
    </row>
    <row r="826" spans="1:14" x14ac:dyDescent="0.3">
      <c r="A826" s="42"/>
      <c r="C826" s="122"/>
      <c r="D826"/>
      <c r="E826"/>
      <c r="F826"/>
      <c r="N826" s="44"/>
    </row>
    <row r="827" spans="1:14" x14ac:dyDescent="0.3">
      <c r="A827" s="42"/>
      <c r="C827"/>
      <c r="D827"/>
      <c r="E827"/>
      <c r="F827"/>
      <c r="L827" s="2"/>
      <c r="N827" s="44"/>
    </row>
    <row r="828" spans="1:14" x14ac:dyDescent="0.3">
      <c r="A828" s="42"/>
      <c r="C828"/>
      <c r="D828"/>
      <c r="E828"/>
      <c r="F828"/>
      <c r="L828" s="2"/>
      <c r="N828" s="44"/>
    </row>
    <row r="829" spans="1:14" x14ac:dyDescent="0.3">
      <c r="A829" s="42"/>
      <c r="C829"/>
      <c r="D829"/>
      <c r="E829"/>
      <c r="F829"/>
      <c r="L829" s="2"/>
      <c r="N829" s="44"/>
    </row>
    <row r="830" spans="1:14" x14ac:dyDescent="0.3">
      <c r="A830" s="42"/>
      <c r="C830"/>
      <c r="D830"/>
      <c r="E830"/>
      <c r="F830"/>
      <c r="L830" s="2"/>
      <c r="N830" s="44"/>
    </row>
    <row r="831" spans="1:14" x14ac:dyDescent="0.3">
      <c r="A831" s="42"/>
      <c r="C831"/>
      <c r="D831"/>
      <c r="E831"/>
      <c r="F831"/>
      <c r="L831" s="2"/>
      <c r="N831" s="44"/>
    </row>
    <row r="832" spans="1:14" x14ac:dyDescent="0.3">
      <c r="A832" s="42"/>
      <c r="C832"/>
      <c r="D832"/>
      <c r="E832"/>
      <c r="F832"/>
      <c r="L832" s="2"/>
      <c r="N832" s="44"/>
    </row>
    <row r="833" spans="1:14" x14ac:dyDescent="0.3">
      <c r="A833" s="42"/>
      <c r="C833"/>
      <c r="D833"/>
      <c r="E833"/>
      <c r="F833"/>
      <c r="L833" s="2"/>
      <c r="N833" s="44"/>
    </row>
    <row r="834" spans="1:14" x14ac:dyDescent="0.3">
      <c r="A834" s="42"/>
      <c r="C834" s="122"/>
      <c r="D834"/>
      <c r="E834"/>
      <c r="F834"/>
      <c r="N834" s="44"/>
    </row>
    <row r="835" spans="1:14" x14ac:dyDescent="0.3">
      <c r="A835" s="42"/>
      <c r="C835" s="122"/>
      <c r="D835"/>
      <c r="E835"/>
      <c r="F835"/>
      <c r="N835" s="44"/>
    </row>
    <row r="836" spans="1:14" x14ac:dyDescent="0.3">
      <c r="A836" s="42"/>
      <c r="C836"/>
      <c r="D836"/>
      <c r="E836"/>
      <c r="F836"/>
      <c r="N836" s="44"/>
    </row>
    <row r="837" spans="1:14" x14ac:dyDescent="0.3">
      <c r="A837" s="42"/>
      <c r="C837"/>
      <c r="D837"/>
      <c r="E837"/>
      <c r="F837"/>
      <c r="N837" s="44"/>
    </row>
    <row r="838" spans="1:14" x14ac:dyDescent="0.3">
      <c r="A838" s="42"/>
      <c r="C838"/>
      <c r="D838"/>
      <c r="E838"/>
      <c r="F838"/>
      <c r="N838" s="44"/>
    </row>
    <row r="839" spans="1:14" x14ac:dyDescent="0.3">
      <c r="A839" s="42"/>
      <c r="C839"/>
      <c r="D839"/>
      <c r="E839"/>
      <c r="F839"/>
      <c r="N839" s="44"/>
    </row>
    <row r="840" spans="1:14" x14ac:dyDescent="0.3">
      <c r="A840" s="42"/>
      <c r="C840" s="122"/>
      <c r="D840"/>
      <c r="E840"/>
      <c r="F840"/>
      <c r="N840" s="44"/>
    </row>
    <row r="841" spans="1:14" x14ac:dyDescent="0.3">
      <c r="A841" s="42"/>
      <c r="C841" s="122"/>
      <c r="D841"/>
      <c r="E841"/>
      <c r="F841"/>
      <c r="N841" s="44"/>
    </row>
    <row r="842" spans="1:14" x14ac:dyDescent="0.3">
      <c r="A842" s="42"/>
      <c r="C842"/>
      <c r="D842"/>
      <c r="E842"/>
      <c r="F842" s="55"/>
      <c r="N842" s="44"/>
    </row>
    <row r="843" spans="1:14" x14ac:dyDescent="0.3">
      <c r="A843" s="42"/>
      <c r="C843" s="52"/>
      <c r="D843"/>
      <c r="E843"/>
      <c r="F843"/>
      <c r="N843" s="44"/>
    </row>
    <row r="844" spans="1:14" x14ac:dyDescent="0.3">
      <c r="A844" s="42"/>
      <c r="C844" s="122"/>
      <c r="D844"/>
      <c r="E844"/>
      <c r="F844"/>
      <c r="N844" s="44"/>
    </row>
    <row r="845" spans="1:14" x14ac:dyDescent="0.3">
      <c r="A845" s="42"/>
      <c r="C845" s="122"/>
      <c r="D845"/>
      <c r="E845"/>
      <c r="F845"/>
      <c r="N845" s="44"/>
    </row>
    <row r="846" spans="1:14" x14ac:dyDescent="0.3">
      <c r="A846" s="42"/>
      <c r="C846" s="122"/>
      <c r="D846"/>
      <c r="E846"/>
      <c r="F846"/>
      <c r="N846" s="44"/>
    </row>
    <row r="847" spans="1:14" x14ac:dyDescent="0.3">
      <c r="A847" s="42"/>
      <c r="C847" s="122"/>
      <c r="D847"/>
      <c r="E847"/>
      <c r="F847"/>
      <c r="N847" s="44"/>
    </row>
    <row r="848" spans="1:14" x14ac:dyDescent="0.3">
      <c r="A848" s="42"/>
      <c r="C848" s="122"/>
      <c r="D848"/>
      <c r="E848"/>
      <c r="F848"/>
      <c r="N848" s="44"/>
    </row>
    <row r="849" spans="1:14" x14ac:dyDescent="0.3">
      <c r="A849" s="42"/>
      <c r="C849" s="122"/>
      <c r="D849"/>
      <c r="E849"/>
      <c r="F849"/>
      <c r="N849" s="44"/>
    </row>
    <row r="850" spans="1:14" x14ac:dyDescent="0.3">
      <c r="A850" s="42"/>
      <c r="C850" s="122"/>
      <c r="D850"/>
      <c r="E850"/>
      <c r="F850"/>
      <c r="N850" s="44"/>
    </row>
    <row r="851" spans="1:14" ht="15.6" x14ac:dyDescent="0.3">
      <c r="A851" s="42"/>
      <c r="C851" s="122"/>
      <c r="D851" s="112"/>
      <c r="E851"/>
      <c r="F851" s="112"/>
      <c r="L851" s="112"/>
      <c r="N851" s="44"/>
    </row>
    <row r="852" spans="1:14" x14ac:dyDescent="0.3">
      <c r="A852" s="42"/>
      <c r="C852"/>
      <c r="D852"/>
      <c r="E852"/>
      <c r="F852"/>
      <c r="N852" s="44"/>
    </row>
    <row r="853" spans="1:14" x14ac:dyDescent="0.3">
      <c r="A853" s="42"/>
      <c r="C853"/>
      <c r="D853"/>
      <c r="E853"/>
      <c r="F853"/>
      <c r="N853" s="44"/>
    </row>
    <row r="854" spans="1:14" x14ac:dyDescent="0.3">
      <c r="A854" s="42"/>
      <c r="C854"/>
      <c r="D854"/>
      <c r="E854"/>
      <c r="F854"/>
      <c r="N854" s="44"/>
    </row>
    <row r="855" spans="1:14" x14ac:dyDescent="0.3">
      <c r="A855" s="42"/>
      <c r="C855"/>
      <c r="D855"/>
      <c r="E855"/>
      <c r="F855"/>
      <c r="L855" s="2"/>
      <c r="N855" s="44"/>
    </row>
    <row r="856" spans="1:14" x14ac:dyDescent="0.3">
      <c r="A856" s="42"/>
      <c r="C856"/>
      <c r="D856"/>
      <c r="E856"/>
      <c r="F856"/>
      <c r="L856" s="2"/>
      <c r="N856" s="44"/>
    </row>
    <row r="857" spans="1:14" x14ac:dyDescent="0.3">
      <c r="A857" s="42"/>
      <c r="C857"/>
      <c r="D857"/>
      <c r="E857"/>
      <c r="F857"/>
      <c r="L857" s="2"/>
      <c r="N857" s="44"/>
    </row>
    <row r="858" spans="1:14" x14ac:dyDescent="0.3">
      <c r="A858" s="42"/>
      <c r="C858"/>
      <c r="D858"/>
      <c r="E858"/>
      <c r="F858"/>
      <c r="L858" s="2"/>
      <c r="N858" s="44"/>
    </row>
    <row r="859" spans="1:14" x14ac:dyDescent="0.3">
      <c r="A859" s="42"/>
      <c r="C859"/>
      <c r="D859"/>
      <c r="E859"/>
      <c r="F859"/>
      <c r="L859" s="2"/>
      <c r="N859" s="44"/>
    </row>
    <row r="860" spans="1:14" x14ac:dyDescent="0.3">
      <c r="A860" s="42"/>
      <c r="C860"/>
      <c r="D860"/>
      <c r="E860"/>
      <c r="F860"/>
      <c r="L860" s="2"/>
      <c r="N860" s="44"/>
    </row>
    <row r="861" spans="1:14" x14ac:dyDescent="0.3">
      <c r="A861" s="42"/>
      <c r="C861"/>
      <c r="D861"/>
      <c r="E861"/>
      <c r="F861"/>
      <c r="L861" s="2"/>
      <c r="N861" s="44"/>
    </row>
    <row r="862" spans="1:14" x14ac:dyDescent="0.3">
      <c r="A862" s="42"/>
      <c r="C862"/>
      <c r="D862"/>
      <c r="E862"/>
      <c r="F862"/>
      <c r="L862" s="2"/>
      <c r="N862" s="44"/>
    </row>
    <row r="863" spans="1:14" x14ac:dyDescent="0.3">
      <c r="A863" s="42"/>
      <c r="C863"/>
      <c r="D863"/>
      <c r="E863"/>
      <c r="F863"/>
      <c r="L863" s="2"/>
      <c r="N863" s="44"/>
    </row>
    <row r="864" spans="1:14" x14ac:dyDescent="0.3">
      <c r="A864" s="42"/>
      <c r="C864"/>
      <c r="D864"/>
      <c r="E864"/>
      <c r="F864"/>
      <c r="L864" s="53"/>
      <c r="N864" s="44"/>
    </row>
    <row r="865" spans="1:14" x14ac:dyDescent="0.3">
      <c r="A865" s="42"/>
      <c r="C865"/>
      <c r="D865"/>
      <c r="E865"/>
      <c r="F865"/>
      <c r="L865" s="2"/>
      <c r="N865" s="44"/>
    </row>
    <row r="866" spans="1:14" x14ac:dyDescent="0.3">
      <c r="A866" s="42"/>
      <c r="C866"/>
      <c r="D866"/>
      <c r="E866"/>
      <c r="F866"/>
      <c r="N866" s="44"/>
    </row>
    <row r="867" spans="1:14" x14ac:dyDescent="0.3">
      <c r="A867" s="42"/>
      <c r="C867"/>
      <c r="D867"/>
      <c r="E867"/>
      <c r="F867"/>
      <c r="N867" s="44"/>
    </row>
    <row r="868" spans="1:14" x14ac:dyDescent="0.3">
      <c r="A868" s="42"/>
      <c r="C868" s="122"/>
      <c r="D868"/>
      <c r="E868"/>
      <c r="F868"/>
      <c r="N868" s="44"/>
    </row>
    <row r="869" spans="1:14" x14ac:dyDescent="0.3">
      <c r="A869" s="42"/>
      <c r="C869" s="122"/>
      <c r="D869"/>
      <c r="E869"/>
      <c r="F869"/>
      <c r="N869" s="44"/>
    </row>
    <row r="870" spans="1:14" x14ac:dyDescent="0.3">
      <c r="A870" s="42"/>
      <c r="C870" s="122"/>
      <c r="D870"/>
      <c r="E870"/>
      <c r="F870"/>
      <c r="N870" s="44"/>
    </row>
    <row r="871" spans="1:14" x14ac:dyDescent="0.3">
      <c r="A871" s="42"/>
      <c r="C871" s="122"/>
      <c r="D871"/>
      <c r="E871"/>
      <c r="F871"/>
      <c r="N871" s="44"/>
    </row>
    <row r="872" spans="1:14" x14ac:dyDescent="0.3">
      <c r="A872" s="42"/>
      <c r="C872"/>
      <c r="D872"/>
      <c r="E872"/>
      <c r="F872"/>
      <c r="N872" s="44"/>
    </row>
    <row r="873" spans="1:14" x14ac:dyDescent="0.3">
      <c r="A873" s="42"/>
      <c r="C873" s="122"/>
      <c r="D873"/>
      <c r="E873"/>
      <c r="F873"/>
      <c r="N873" s="44"/>
    </row>
    <row r="874" spans="1:14" x14ac:dyDescent="0.3">
      <c r="A874" s="42"/>
      <c r="C874" s="122"/>
      <c r="D874"/>
      <c r="E874"/>
      <c r="F874"/>
      <c r="N874" s="44"/>
    </row>
    <row r="875" spans="1:14" x14ac:dyDescent="0.3">
      <c r="A875" s="42"/>
      <c r="C875" s="52"/>
      <c r="D875"/>
      <c r="E875"/>
      <c r="F875"/>
      <c r="N875" s="44"/>
    </row>
    <row r="876" spans="1:14" ht="15.6" x14ac:dyDescent="0.3">
      <c r="A876" s="42"/>
      <c r="C876" s="122"/>
      <c r="D876" s="112"/>
      <c r="E876"/>
      <c r="F876"/>
      <c r="L876" s="112"/>
      <c r="N876" s="44"/>
    </row>
    <row r="877" spans="1:14" x14ac:dyDescent="0.3">
      <c r="A877" s="42"/>
      <c r="C877" s="122"/>
      <c r="D877"/>
      <c r="E877"/>
      <c r="F877"/>
      <c r="N877" s="44"/>
    </row>
    <row r="878" spans="1:14" x14ac:dyDescent="0.3">
      <c r="A878" s="42"/>
      <c r="C878" s="122"/>
      <c r="D878"/>
      <c r="E878"/>
      <c r="F878"/>
      <c r="N878" s="44"/>
    </row>
    <row r="879" spans="1:14" x14ac:dyDescent="0.3">
      <c r="A879" s="42"/>
      <c r="C879" s="122"/>
      <c r="D879"/>
      <c r="E879"/>
      <c r="F879"/>
      <c r="N879" s="44"/>
    </row>
    <row r="880" spans="1:14" x14ac:dyDescent="0.3">
      <c r="A880" s="42"/>
      <c r="C880" s="122"/>
      <c r="D880"/>
      <c r="E880"/>
      <c r="F880"/>
      <c r="N880" s="44"/>
    </row>
    <row r="881" spans="1:14" x14ac:dyDescent="0.3">
      <c r="A881" s="42"/>
      <c r="C881" s="122"/>
      <c r="D881"/>
      <c r="E881"/>
      <c r="F881"/>
      <c r="N881" s="44"/>
    </row>
    <row r="882" spans="1:14" x14ac:dyDescent="0.3">
      <c r="A882" s="42"/>
      <c r="C882" s="122"/>
      <c r="D882"/>
      <c r="E882"/>
      <c r="F882"/>
      <c r="N882" s="44"/>
    </row>
    <row r="883" spans="1:14" x14ac:dyDescent="0.3">
      <c r="A883" s="42"/>
      <c r="C883" s="122"/>
      <c r="D883"/>
      <c r="E883"/>
      <c r="F883"/>
      <c r="N883" s="44"/>
    </row>
    <row r="884" spans="1:14" x14ac:dyDescent="0.3">
      <c r="A884" s="42"/>
      <c r="C884" s="122"/>
      <c r="D884"/>
      <c r="E884"/>
      <c r="F884"/>
      <c r="N884" s="44"/>
    </row>
    <row r="885" spans="1:14" x14ac:dyDescent="0.3">
      <c r="A885" s="42"/>
      <c r="C885" s="122"/>
      <c r="D885"/>
      <c r="E885"/>
      <c r="F885"/>
      <c r="N885" s="44"/>
    </row>
    <row r="886" spans="1:14" x14ac:dyDescent="0.3">
      <c r="A886" s="42"/>
      <c r="C886" s="122"/>
      <c r="D886"/>
      <c r="E886"/>
      <c r="F886"/>
      <c r="N886" s="44"/>
    </row>
    <row r="887" spans="1:14" ht="15.6" x14ac:dyDescent="0.3">
      <c r="A887" s="42"/>
      <c r="C887" s="122"/>
      <c r="D887" s="112"/>
      <c r="E887"/>
      <c r="F887"/>
      <c r="L887" s="112"/>
      <c r="N887" s="44"/>
    </row>
    <row r="888" spans="1:14" x14ac:dyDescent="0.3">
      <c r="A888" s="42"/>
      <c r="C888"/>
      <c r="D888"/>
      <c r="E888"/>
      <c r="F888"/>
      <c r="N888" s="44"/>
    </row>
    <row r="889" spans="1:14" x14ac:dyDescent="0.3">
      <c r="A889" s="42"/>
      <c r="C889"/>
      <c r="D889"/>
      <c r="E889"/>
      <c r="F889"/>
      <c r="M889" s="45"/>
      <c r="N889" s="44"/>
    </row>
    <row r="890" spans="1:14" x14ac:dyDescent="0.3">
      <c r="A890" s="42"/>
      <c r="C890" s="122"/>
      <c r="D890"/>
      <c r="E890"/>
      <c r="F890"/>
      <c r="N890" s="44"/>
    </row>
    <row r="891" spans="1:14" x14ac:dyDescent="0.3">
      <c r="A891" s="42"/>
      <c r="C891" s="122"/>
      <c r="D891"/>
      <c r="E891"/>
      <c r="F891"/>
      <c r="N891" s="44"/>
    </row>
    <row r="892" spans="1:14" x14ac:dyDescent="0.3">
      <c r="A892" s="42"/>
      <c r="C892" s="122"/>
      <c r="D892"/>
      <c r="E892"/>
      <c r="F892"/>
      <c r="N892" s="44"/>
    </row>
    <row r="893" spans="1:14" x14ac:dyDescent="0.3">
      <c r="A893" s="42"/>
      <c r="C893" s="122"/>
      <c r="D893"/>
      <c r="E893"/>
      <c r="F893"/>
      <c r="N893" s="44"/>
    </row>
    <row r="894" spans="1:14" x14ac:dyDescent="0.3">
      <c r="A894" s="42"/>
      <c r="C894" s="122"/>
      <c r="D894"/>
      <c r="E894"/>
      <c r="F894"/>
      <c r="N894" s="44"/>
    </row>
    <row r="895" spans="1:14" x14ac:dyDescent="0.3">
      <c r="A895" s="42"/>
      <c r="C895" s="122"/>
      <c r="D895"/>
      <c r="E895"/>
      <c r="F895"/>
      <c r="N895" s="44"/>
    </row>
    <row r="896" spans="1:14" x14ac:dyDescent="0.3">
      <c r="A896" s="42"/>
      <c r="C896" s="122"/>
      <c r="D896"/>
      <c r="E896"/>
      <c r="F896"/>
      <c r="N896" s="44"/>
    </row>
    <row r="897" spans="1:14" x14ac:dyDescent="0.3">
      <c r="A897" s="42"/>
      <c r="C897" s="52"/>
      <c r="D897"/>
      <c r="E897"/>
      <c r="F897"/>
      <c r="N897" s="44"/>
    </row>
    <row r="898" spans="1:14" x14ac:dyDescent="0.3">
      <c r="A898" s="42"/>
      <c r="C898"/>
      <c r="D898"/>
      <c r="E898"/>
      <c r="F898"/>
      <c r="N898" s="44"/>
    </row>
    <row r="899" spans="1:14" x14ac:dyDescent="0.3">
      <c r="A899" s="42"/>
      <c r="C899"/>
      <c r="D899"/>
      <c r="E899"/>
      <c r="F899"/>
      <c r="L899" s="2"/>
      <c r="N899" s="44"/>
    </row>
    <row r="900" spans="1:14" x14ac:dyDescent="0.3">
      <c r="A900" s="42"/>
      <c r="C900"/>
      <c r="D900"/>
      <c r="E900"/>
      <c r="F900"/>
      <c r="N900" s="44"/>
    </row>
    <row r="901" spans="1:14" x14ac:dyDescent="0.3">
      <c r="A901" s="42"/>
      <c r="C901"/>
      <c r="D901"/>
      <c r="E901"/>
      <c r="F901"/>
      <c r="N901" s="44"/>
    </row>
    <row r="902" spans="1:14" x14ac:dyDescent="0.3">
      <c r="A902" s="42"/>
      <c r="C902"/>
      <c r="D902"/>
      <c r="E902"/>
      <c r="F902"/>
      <c r="N902" s="44"/>
    </row>
    <row r="903" spans="1:14" x14ac:dyDescent="0.3">
      <c r="A903" s="42"/>
      <c r="C903"/>
      <c r="D903"/>
      <c r="E903"/>
      <c r="F903"/>
      <c r="N903" s="44"/>
    </row>
    <row r="904" spans="1:14" x14ac:dyDescent="0.3">
      <c r="A904" s="42"/>
      <c r="C904"/>
      <c r="D904"/>
      <c r="E904"/>
      <c r="F904"/>
      <c r="N904" s="44"/>
    </row>
    <row r="905" spans="1:14" x14ac:dyDescent="0.3">
      <c r="A905" s="42"/>
      <c r="C905"/>
      <c r="D905"/>
      <c r="E905"/>
      <c r="F905"/>
      <c r="N905" s="44"/>
    </row>
    <row r="906" spans="1:14" x14ac:dyDescent="0.3">
      <c r="A906" s="42"/>
      <c r="C906"/>
      <c r="D906"/>
      <c r="E906"/>
      <c r="F906"/>
      <c r="N906" s="44"/>
    </row>
    <row r="907" spans="1:14" ht="15.6" x14ac:dyDescent="0.3">
      <c r="A907" s="42"/>
      <c r="C907" s="122"/>
      <c r="D907" s="112"/>
      <c r="E907"/>
      <c r="F907" s="112"/>
      <c r="L907" s="112"/>
      <c r="N907" s="44"/>
    </row>
    <row r="908" spans="1:14" x14ac:dyDescent="0.3">
      <c r="A908" s="42"/>
      <c r="C908" s="122"/>
      <c r="D908"/>
      <c r="E908"/>
      <c r="F908"/>
      <c r="N908" s="44"/>
    </row>
    <row r="909" spans="1:14" x14ac:dyDescent="0.3">
      <c r="A909" s="42"/>
      <c r="C909" s="122"/>
      <c r="D909"/>
      <c r="E909"/>
      <c r="F909"/>
      <c r="N909" s="44"/>
    </row>
    <row r="910" spans="1:14" x14ac:dyDescent="0.3">
      <c r="A910" s="42"/>
      <c r="C910" s="122"/>
      <c r="D910"/>
      <c r="E910"/>
      <c r="F910"/>
      <c r="N910" s="44"/>
    </row>
    <row r="911" spans="1:14" x14ac:dyDescent="0.3">
      <c r="A911" s="42"/>
      <c r="C911" s="122"/>
      <c r="D911"/>
      <c r="E911"/>
      <c r="F911"/>
      <c r="N911" s="44"/>
    </row>
    <row r="912" spans="1:14" x14ac:dyDescent="0.3">
      <c r="A912" s="42"/>
      <c r="C912" s="122"/>
      <c r="D912"/>
      <c r="E912"/>
      <c r="F912"/>
      <c r="N912" s="44"/>
    </row>
    <row r="913" spans="1:14" x14ac:dyDescent="0.3">
      <c r="A913" s="42"/>
      <c r="C913" s="122"/>
      <c r="D913"/>
      <c r="E913"/>
      <c r="F913"/>
      <c r="N913" s="44"/>
    </row>
    <row r="914" spans="1:14" x14ac:dyDescent="0.3">
      <c r="A914" s="42"/>
      <c r="C914" s="122"/>
      <c r="D914"/>
      <c r="E914"/>
      <c r="F914"/>
      <c r="N914" s="44"/>
    </row>
    <row r="915" spans="1:14" x14ac:dyDescent="0.3">
      <c r="A915" s="42"/>
      <c r="C915" s="122"/>
      <c r="D915"/>
      <c r="E915"/>
      <c r="F915"/>
      <c r="N915" s="44"/>
    </row>
    <row r="916" spans="1:14" x14ac:dyDescent="0.3">
      <c r="A916" s="42"/>
      <c r="C916" s="122"/>
      <c r="D916"/>
      <c r="E916"/>
      <c r="F916"/>
      <c r="N916" s="44"/>
    </row>
    <row r="917" spans="1:14" x14ac:dyDescent="0.3">
      <c r="A917" s="42"/>
      <c r="C917" s="122"/>
      <c r="D917"/>
      <c r="E917"/>
      <c r="F917"/>
      <c r="N917" s="44"/>
    </row>
    <row r="918" spans="1:14" x14ac:dyDescent="0.3">
      <c r="A918" s="42"/>
      <c r="C918"/>
      <c r="D918"/>
      <c r="E918"/>
      <c r="F918"/>
      <c r="N918" s="44"/>
    </row>
    <row r="919" spans="1:14" x14ac:dyDescent="0.3">
      <c r="A919" s="42"/>
      <c r="C919"/>
      <c r="D919"/>
      <c r="E919"/>
      <c r="F919"/>
      <c r="N919" s="44"/>
    </row>
    <row r="920" spans="1:14" x14ac:dyDescent="0.3">
      <c r="A920" s="42"/>
      <c r="C920"/>
      <c r="D920"/>
      <c r="E920"/>
      <c r="F920"/>
      <c r="N920" s="44"/>
    </row>
    <row r="921" spans="1:14" x14ac:dyDescent="0.3">
      <c r="A921" s="42"/>
      <c r="C921"/>
      <c r="D921"/>
      <c r="E921"/>
      <c r="F921"/>
      <c r="N921" s="44"/>
    </row>
    <row r="922" spans="1:14" x14ac:dyDescent="0.3">
      <c r="A922" s="42"/>
      <c r="C922"/>
      <c r="D922"/>
      <c r="E922"/>
      <c r="F922"/>
      <c r="N922" s="44"/>
    </row>
    <row r="923" spans="1:14" x14ac:dyDescent="0.3">
      <c r="A923" s="42"/>
      <c r="C923"/>
      <c r="D923"/>
      <c r="E923"/>
      <c r="F923"/>
      <c r="N923" s="44"/>
    </row>
    <row r="924" spans="1:14" x14ac:dyDescent="0.3">
      <c r="A924" s="42"/>
      <c r="C924"/>
      <c r="D924"/>
      <c r="E924"/>
      <c r="F924"/>
      <c r="N924" s="44"/>
    </row>
    <row r="925" spans="1:14" x14ac:dyDescent="0.3">
      <c r="A925" s="42"/>
      <c r="C925"/>
      <c r="D925"/>
      <c r="E925"/>
      <c r="F925"/>
      <c r="N925" s="44"/>
    </row>
    <row r="926" spans="1:14" x14ac:dyDescent="0.3">
      <c r="A926" s="42"/>
      <c r="C926"/>
      <c r="D926"/>
      <c r="E926"/>
      <c r="F926"/>
      <c r="L926" s="2"/>
      <c r="N926" s="44"/>
    </row>
    <row r="927" spans="1:14" x14ac:dyDescent="0.3">
      <c r="A927" s="42"/>
      <c r="C927"/>
      <c r="D927"/>
      <c r="E927"/>
      <c r="F927"/>
      <c r="L927" s="2"/>
      <c r="N927" s="44"/>
    </row>
    <row r="928" spans="1:14" x14ac:dyDescent="0.3">
      <c r="A928" s="42"/>
      <c r="C928"/>
      <c r="D928"/>
      <c r="E928"/>
      <c r="F928"/>
      <c r="L928" s="2"/>
      <c r="N928" s="44"/>
    </row>
    <row r="929" spans="1:14" x14ac:dyDescent="0.3">
      <c r="A929" s="42"/>
      <c r="C929"/>
      <c r="D929"/>
      <c r="E929"/>
      <c r="F929"/>
      <c r="L929" s="2"/>
      <c r="N929" s="44"/>
    </row>
    <row r="930" spans="1:14" x14ac:dyDescent="0.3">
      <c r="A930" s="42"/>
      <c r="C930"/>
      <c r="D930"/>
      <c r="E930"/>
      <c r="F930"/>
      <c r="L930" s="2"/>
      <c r="N930" s="44"/>
    </row>
    <row r="931" spans="1:14" x14ac:dyDescent="0.3">
      <c r="A931" s="42"/>
      <c r="C931"/>
      <c r="D931"/>
      <c r="E931"/>
      <c r="F931"/>
      <c r="L931" s="2"/>
      <c r="N931" s="44"/>
    </row>
    <row r="932" spans="1:14" x14ac:dyDescent="0.3">
      <c r="A932" s="42"/>
      <c r="C932"/>
      <c r="D932"/>
      <c r="E932"/>
      <c r="F932"/>
      <c r="N932" s="44"/>
    </row>
    <row r="933" spans="1:14" x14ac:dyDescent="0.3">
      <c r="A933" s="42"/>
      <c r="C933"/>
      <c r="D933"/>
      <c r="E933"/>
      <c r="F933"/>
      <c r="N933" s="44"/>
    </row>
    <row r="934" spans="1:14" x14ac:dyDescent="0.3">
      <c r="A934" s="42"/>
      <c r="C934"/>
      <c r="D934"/>
      <c r="E934"/>
      <c r="F934"/>
      <c r="N934" s="44"/>
    </row>
    <row r="935" spans="1:14" x14ac:dyDescent="0.3">
      <c r="A935" s="42"/>
      <c r="C935" s="122"/>
      <c r="D935"/>
      <c r="E935"/>
      <c r="F935"/>
      <c r="N935" s="44"/>
    </row>
    <row r="936" spans="1:14" x14ac:dyDescent="0.3">
      <c r="A936" s="42"/>
      <c r="C936" s="122"/>
      <c r="D936"/>
      <c r="E936"/>
      <c r="F936"/>
      <c r="N936" s="44"/>
    </row>
    <row r="937" spans="1:14" x14ac:dyDescent="0.3">
      <c r="A937" s="42"/>
      <c r="C937" s="122"/>
      <c r="D937"/>
      <c r="E937"/>
      <c r="F937"/>
      <c r="N937" s="44"/>
    </row>
    <row r="938" spans="1:14" x14ac:dyDescent="0.3">
      <c r="A938" s="42"/>
      <c r="C938" s="122"/>
      <c r="D938"/>
      <c r="E938"/>
      <c r="F938"/>
      <c r="N938" s="44"/>
    </row>
    <row r="939" spans="1:14" x14ac:dyDescent="0.3">
      <c r="A939" s="42"/>
      <c r="C939" s="122"/>
      <c r="D939"/>
      <c r="E939"/>
      <c r="F939"/>
      <c r="N939" s="44"/>
    </row>
    <row r="940" spans="1:14" x14ac:dyDescent="0.3">
      <c r="A940" s="42"/>
      <c r="C940" s="122"/>
      <c r="D940"/>
      <c r="E940"/>
      <c r="F940"/>
      <c r="N940" s="44"/>
    </row>
    <row r="941" spans="1:14" x14ac:dyDescent="0.3">
      <c r="A941" s="42"/>
      <c r="C941" s="122"/>
      <c r="D941"/>
      <c r="E941"/>
      <c r="F941"/>
      <c r="N941" s="44"/>
    </row>
    <row r="942" spans="1:14" x14ac:dyDescent="0.3">
      <c r="A942" s="42"/>
      <c r="C942"/>
      <c r="D942"/>
      <c r="E942"/>
      <c r="F942"/>
      <c r="N942" s="44"/>
    </row>
    <row r="943" spans="1:14" x14ac:dyDescent="0.3">
      <c r="A943" s="42"/>
      <c r="C943"/>
      <c r="D943"/>
      <c r="E943"/>
      <c r="F943"/>
      <c r="N943" s="44"/>
    </row>
    <row r="944" spans="1:14" x14ac:dyDescent="0.3">
      <c r="A944" s="42"/>
      <c r="C944"/>
      <c r="D944"/>
      <c r="E944"/>
      <c r="F944"/>
      <c r="N944" s="44"/>
    </row>
    <row r="945" spans="1:14" x14ac:dyDescent="0.3">
      <c r="A945" s="42"/>
      <c r="C945"/>
      <c r="D945"/>
      <c r="E945"/>
      <c r="F945"/>
      <c r="N945" s="44"/>
    </row>
    <row r="946" spans="1:14" x14ac:dyDescent="0.3">
      <c r="A946" s="42"/>
      <c r="C946"/>
      <c r="D946"/>
      <c r="E946"/>
      <c r="F946"/>
      <c r="N946" s="44"/>
    </row>
    <row r="947" spans="1:14" x14ac:dyDescent="0.3">
      <c r="A947" s="42"/>
      <c r="C947"/>
      <c r="D947"/>
      <c r="E947"/>
      <c r="F947"/>
      <c r="N947" s="44"/>
    </row>
    <row r="948" spans="1:14" x14ac:dyDescent="0.3">
      <c r="A948" s="42"/>
      <c r="C948"/>
      <c r="D948"/>
      <c r="E948"/>
      <c r="F948"/>
      <c r="N948" s="44"/>
    </row>
    <row r="949" spans="1:14" x14ac:dyDescent="0.3">
      <c r="A949" s="42"/>
      <c r="C949"/>
      <c r="D949"/>
      <c r="E949"/>
      <c r="F949"/>
      <c r="N949" s="44"/>
    </row>
    <row r="950" spans="1:14" x14ac:dyDescent="0.3">
      <c r="A950" s="42"/>
      <c r="C950"/>
      <c r="D950"/>
      <c r="E950"/>
      <c r="F950"/>
      <c r="N950" s="44"/>
    </row>
    <row r="951" spans="1:14" x14ac:dyDescent="0.3">
      <c r="A951" s="42"/>
      <c r="C951"/>
      <c r="D951"/>
      <c r="E951"/>
      <c r="F951"/>
      <c r="N951" s="44"/>
    </row>
    <row r="952" spans="1:14" x14ac:dyDescent="0.3">
      <c r="A952" s="42"/>
      <c r="C952"/>
      <c r="D952"/>
      <c r="E952"/>
      <c r="F952"/>
      <c r="N952" s="44"/>
    </row>
    <row r="953" spans="1:14" x14ac:dyDescent="0.3">
      <c r="A953" s="42"/>
      <c r="C953"/>
      <c r="D953"/>
      <c r="E953"/>
      <c r="F953"/>
      <c r="N953" s="44"/>
    </row>
    <row r="954" spans="1:14" x14ac:dyDescent="0.3">
      <c r="A954" s="42"/>
      <c r="C954"/>
      <c r="D954"/>
      <c r="E954"/>
      <c r="F954"/>
      <c r="L954" s="2"/>
      <c r="N954" s="44"/>
    </row>
    <row r="955" spans="1:14" x14ac:dyDescent="0.3">
      <c r="A955" s="42"/>
      <c r="C955"/>
      <c r="D955"/>
      <c r="E955"/>
      <c r="F955"/>
      <c r="L955" s="2"/>
      <c r="N955" s="44"/>
    </row>
    <row r="956" spans="1:14" x14ac:dyDescent="0.3">
      <c r="A956" s="42"/>
      <c r="C956"/>
      <c r="D956"/>
      <c r="E956"/>
      <c r="F956"/>
      <c r="L956" s="2"/>
      <c r="N956" s="44"/>
    </row>
    <row r="957" spans="1:14" x14ac:dyDescent="0.3">
      <c r="A957" s="42"/>
      <c r="C957"/>
      <c r="D957"/>
      <c r="E957"/>
      <c r="F957"/>
      <c r="L957" s="2"/>
      <c r="N957" s="44"/>
    </row>
    <row r="958" spans="1:14" x14ac:dyDescent="0.3">
      <c r="A958" s="42"/>
      <c r="C958"/>
      <c r="D958"/>
      <c r="E958"/>
      <c r="F958"/>
      <c r="N958" s="44"/>
    </row>
    <row r="959" spans="1:14" x14ac:dyDescent="0.3">
      <c r="A959" s="42"/>
      <c r="C959"/>
      <c r="D959"/>
      <c r="E959"/>
      <c r="F959"/>
      <c r="L959" s="45"/>
      <c r="N959" s="44"/>
    </row>
    <row r="960" spans="1:14" x14ac:dyDescent="0.3">
      <c r="A960" s="42"/>
      <c r="C960"/>
      <c r="D960"/>
      <c r="E960"/>
      <c r="F960"/>
      <c r="L960" s="45"/>
      <c r="N960" s="44"/>
    </row>
    <row r="961" spans="1:14" x14ac:dyDescent="0.3">
      <c r="A961" s="42"/>
      <c r="C961"/>
      <c r="D961"/>
      <c r="E961"/>
      <c r="F961"/>
      <c r="N961" s="44"/>
    </row>
    <row r="962" spans="1:14" x14ac:dyDescent="0.3">
      <c r="A962" s="42"/>
      <c r="C962"/>
      <c r="D962"/>
      <c r="E962"/>
      <c r="F962"/>
      <c r="L962" s="45"/>
      <c r="N962" s="44"/>
    </row>
    <row r="963" spans="1:14" x14ac:dyDescent="0.3">
      <c r="A963" s="42"/>
      <c r="C963"/>
      <c r="D963"/>
      <c r="E963"/>
      <c r="F963"/>
      <c r="L963" s="45"/>
      <c r="N963" s="44"/>
    </row>
    <row r="964" spans="1:14" x14ac:dyDescent="0.3">
      <c r="A964" s="42"/>
      <c r="C964" s="122"/>
      <c r="D964"/>
      <c r="E964"/>
      <c r="F964"/>
      <c r="N964" s="44"/>
    </row>
    <row r="965" spans="1:14" x14ac:dyDescent="0.3">
      <c r="A965" s="42"/>
      <c r="C965" s="122"/>
      <c r="D965"/>
      <c r="E965"/>
      <c r="F965"/>
      <c r="N965" s="44"/>
    </row>
    <row r="966" spans="1:14" x14ac:dyDescent="0.3">
      <c r="A966" s="42"/>
      <c r="C966" s="122"/>
      <c r="D966"/>
      <c r="E966"/>
      <c r="F966"/>
      <c r="N966" s="44"/>
    </row>
    <row r="967" spans="1:14" x14ac:dyDescent="0.3">
      <c r="A967" s="42"/>
      <c r="C967" s="122"/>
      <c r="D967"/>
      <c r="E967"/>
      <c r="F967"/>
      <c r="N967" s="44"/>
    </row>
    <row r="968" spans="1:14" x14ac:dyDescent="0.3">
      <c r="A968" s="42"/>
      <c r="C968" s="122"/>
      <c r="D968"/>
      <c r="E968"/>
      <c r="F968"/>
      <c r="N968" s="44"/>
    </row>
    <row r="969" spans="1:14" x14ac:dyDescent="0.3">
      <c r="A969" s="42"/>
      <c r="C969" s="122"/>
      <c r="D969"/>
      <c r="E969"/>
      <c r="F969"/>
      <c r="N969" s="44"/>
    </row>
    <row r="970" spans="1:14" x14ac:dyDescent="0.3">
      <c r="A970" s="42"/>
      <c r="C970" s="122"/>
      <c r="D970"/>
      <c r="E970"/>
      <c r="F970"/>
      <c r="N970" s="44"/>
    </row>
    <row r="971" spans="1:14" x14ac:dyDescent="0.3">
      <c r="A971" s="42"/>
      <c r="C971" s="122"/>
      <c r="D971"/>
      <c r="E971"/>
      <c r="F971"/>
      <c r="N971" s="44"/>
    </row>
    <row r="972" spans="1:14" x14ac:dyDescent="0.3">
      <c r="A972" s="42"/>
      <c r="C972" s="122"/>
      <c r="D972"/>
      <c r="E972"/>
      <c r="F972"/>
      <c r="N972" s="44"/>
    </row>
    <row r="973" spans="1:14" x14ac:dyDescent="0.3">
      <c r="A973" s="42"/>
      <c r="C973" s="122"/>
      <c r="D973"/>
      <c r="E973"/>
      <c r="F973"/>
      <c r="N973" s="44"/>
    </row>
    <row r="974" spans="1:14" x14ac:dyDescent="0.3">
      <c r="A974" s="42"/>
      <c r="C974" s="122"/>
      <c r="D974"/>
      <c r="E974"/>
      <c r="F974"/>
      <c r="N974" s="44"/>
    </row>
    <row r="975" spans="1:14" x14ac:dyDescent="0.3">
      <c r="A975" s="42"/>
      <c r="C975" s="122"/>
      <c r="D975"/>
      <c r="E975"/>
      <c r="F975"/>
      <c r="N975" s="44"/>
    </row>
    <row r="976" spans="1:14" x14ac:dyDescent="0.3">
      <c r="A976" s="42"/>
      <c r="C976" s="122"/>
      <c r="D976"/>
      <c r="E976"/>
      <c r="F976"/>
      <c r="N976" s="44"/>
    </row>
    <row r="977" spans="1:14" x14ac:dyDescent="0.3">
      <c r="A977" s="42"/>
      <c r="C977" s="122"/>
      <c r="D977"/>
      <c r="E977"/>
      <c r="F977"/>
      <c r="N977" s="44"/>
    </row>
    <row r="978" spans="1:14" x14ac:dyDescent="0.3">
      <c r="A978" s="42"/>
      <c r="C978" s="122"/>
      <c r="D978"/>
      <c r="E978"/>
      <c r="F978"/>
      <c r="N978" s="44"/>
    </row>
    <row r="979" spans="1:14" x14ac:dyDescent="0.3">
      <c r="A979" s="42"/>
      <c r="C979" s="122"/>
      <c r="D979"/>
      <c r="E979"/>
      <c r="F979"/>
      <c r="N979" s="44"/>
    </row>
    <row r="980" spans="1:14" x14ac:dyDescent="0.3">
      <c r="A980" s="42"/>
      <c r="C980" s="122"/>
      <c r="D980"/>
      <c r="E980"/>
      <c r="F980"/>
      <c r="N980" s="44"/>
    </row>
    <row r="981" spans="1:14" x14ac:dyDescent="0.3">
      <c r="A981" s="42"/>
      <c r="C981" s="122"/>
      <c r="D981"/>
      <c r="E981"/>
      <c r="F981"/>
      <c r="N981" s="44"/>
    </row>
    <row r="982" spans="1:14" x14ac:dyDescent="0.3">
      <c r="A982" s="42"/>
      <c r="C982" s="122"/>
      <c r="D982"/>
      <c r="E982"/>
      <c r="F982"/>
      <c r="N982" s="44"/>
    </row>
    <row r="983" spans="1:14" x14ac:dyDescent="0.3">
      <c r="A983" s="42"/>
      <c r="C983" s="122"/>
      <c r="D983"/>
      <c r="E983"/>
      <c r="F983"/>
      <c r="N983" s="44"/>
    </row>
    <row r="984" spans="1:14" x14ac:dyDescent="0.3">
      <c r="A984" s="42"/>
      <c r="C984" s="122"/>
      <c r="D984"/>
      <c r="E984"/>
      <c r="F984"/>
      <c r="N984" s="44"/>
    </row>
    <row r="985" spans="1:14" x14ac:dyDescent="0.3">
      <c r="A985" s="42"/>
      <c r="C985" s="122"/>
      <c r="D985"/>
      <c r="E985"/>
      <c r="F985"/>
      <c r="N985" s="44"/>
    </row>
    <row r="986" spans="1:14" x14ac:dyDescent="0.3">
      <c r="A986" s="42"/>
      <c r="C986" s="122"/>
      <c r="D986"/>
      <c r="E986"/>
      <c r="F986"/>
      <c r="N986" s="44"/>
    </row>
    <row r="987" spans="1:14" x14ac:dyDescent="0.3">
      <c r="A987" s="42"/>
      <c r="C987" s="122"/>
      <c r="D987"/>
      <c r="E987"/>
      <c r="F987"/>
      <c r="N987" s="44"/>
    </row>
    <row r="988" spans="1:14" x14ac:dyDescent="0.3">
      <c r="A988" s="42"/>
      <c r="C988" s="122"/>
      <c r="D988"/>
      <c r="E988"/>
      <c r="F988"/>
      <c r="N988" s="44"/>
    </row>
    <row r="989" spans="1:14" x14ac:dyDescent="0.3">
      <c r="A989" s="42"/>
      <c r="C989" s="122"/>
      <c r="D989"/>
      <c r="E989"/>
      <c r="F989"/>
      <c r="N989" s="44"/>
    </row>
    <row r="990" spans="1:14" x14ac:dyDescent="0.3">
      <c r="A990" s="42"/>
      <c r="C990" s="52"/>
      <c r="D990"/>
      <c r="E990"/>
      <c r="F990"/>
      <c r="N990" s="44"/>
    </row>
    <row r="991" spans="1:14" x14ac:dyDescent="0.3">
      <c r="A991" s="42"/>
      <c r="C991"/>
      <c r="D991"/>
      <c r="E991"/>
      <c r="F991"/>
      <c r="N991" s="44"/>
    </row>
    <row r="992" spans="1:14" x14ac:dyDescent="0.3">
      <c r="A992" s="42"/>
      <c r="C992"/>
      <c r="D992"/>
      <c r="E992"/>
      <c r="F992"/>
      <c r="N992" s="44"/>
    </row>
    <row r="993" spans="1:14" x14ac:dyDescent="0.3">
      <c r="A993" s="42"/>
      <c r="C993"/>
      <c r="D993"/>
      <c r="E993"/>
      <c r="F993"/>
      <c r="N993" s="44"/>
    </row>
    <row r="994" spans="1:14" x14ac:dyDescent="0.3">
      <c r="A994" s="42"/>
      <c r="C994"/>
      <c r="D994"/>
      <c r="E994"/>
      <c r="F994"/>
      <c r="N994" s="44"/>
    </row>
    <row r="995" spans="1:14" x14ac:dyDescent="0.3">
      <c r="A995" s="42"/>
      <c r="C995"/>
      <c r="D995"/>
      <c r="E995"/>
      <c r="F995"/>
      <c r="L995" s="2"/>
      <c r="N995" s="44"/>
    </row>
    <row r="996" spans="1:14" x14ac:dyDescent="0.3">
      <c r="A996" s="42"/>
      <c r="C996"/>
      <c r="D996"/>
      <c r="E996"/>
      <c r="F996"/>
      <c r="L996" s="2"/>
      <c r="N996" s="44"/>
    </row>
    <row r="997" spans="1:14" x14ac:dyDescent="0.3">
      <c r="A997" s="42"/>
      <c r="C997"/>
      <c r="D997"/>
      <c r="E997"/>
      <c r="F997"/>
      <c r="L997" s="2"/>
      <c r="N997" s="44"/>
    </row>
    <row r="998" spans="1:14" x14ac:dyDescent="0.3">
      <c r="A998" s="42"/>
      <c r="C998"/>
      <c r="D998"/>
      <c r="E998"/>
      <c r="F998"/>
      <c r="L998" s="2"/>
      <c r="N998" s="44"/>
    </row>
    <row r="999" spans="1:14" x14ac:dyDescent="0.3">
      <c r="A999" s="42"/>
      <c r="C999"/>
      <c r="D999"/>
      <c r="E999"/>
      <c r="F999"/>
      <c r="N999" s="44"/>
    </row>
    <row r="1000" spans="1:14" x14ac:dyDescent="0.3">
      <c r="A1000" s="42"/>
      <c r="C1000"/>
      <c r="D1000"/>
      <c r="E1000"/>
      <c r="F1000"/>
      <c r="N1000" s="44"/>
    </row>
    <row r="1001" spans="1:14" x14ac:dyDescent="0.3">
      <c r="A1001" s="42"/>
      <c r="C1001"/>
      <c r="D1001"/>
      <c r="E1001"/>
      <c r="F1001"/>
      <c r="L1001" s="45"/>
      <c r="N1001" s="44"/>
    </row>
    <row r="1002" spans="1:14" x14ac:dyDescent="0.3">
      <c r="A1002" s="42"/>
      <c r="C1002"/>
      <c r="D1002"/>
      <c r="E1002"/>
      <c r="F1002"/>
      <c r="L1002" s="45"/>
      <c r="N1002" s="44"/>
    </row>
    <row r="1003" spans="1:14" x14ac:dyDescent="0.3">
      <c r="A1003" s="42"/>
      <c r="C1003"/>
      <c r="D1003"/>
      <c r="E1003"/>
      <c r="F1003"/>
      <c r="L1003" s="45"/>
      <c r="N1003" s="44"/>
    </row>
    <row r="1004" spans="1:14" x14ac:dyDescent="0.3">
      <c r="A1004" s="42"/>
      <c r="C1004" s="122"/>
      <c r="D1004"/>
      <c r="E1004"/>
      <c r="F1004"/>
      <c r="N1004" s="44"/>
    </row>
    <row r="1005" spans="1:14" x14ac:dyDescent="0.3">
      <c r="A1005" s="42"/>
      <c r="C1005" s="122"/>
      <c r="D1005"/>
      <c r="E1005"/>
      <c r="F1005"/>
      <c r="N1005" s="44"/>
    </row>
    <row r="1006" spans="1:14" x14ac:dyDescent="0.3">
      <c r="A1006" s="42"/>
      <c r="C1006" s="122"/>
      <c r="D1006"/>
      <c r="E1006"/>
      <c r="F1006"/>
      <c r="N1006" s="44"/>
    </row>
    <row r="1007" spans="1:14" x14ac:dyDescent="0.3">
      <c r="A1007" s="42"/>
      <c r="C1007" s="122"/>
      <c r="D1007"/>
      <c r="E1007"/>
      <c r="F1007"/>
      <c r="N1007" s="44"/>
    </row>
    <row r="1008" spans="1:14" x14ac:dyDescent="0.3">
      <c r="A1008" s="42"/>
      <c r="C1008" s="122"/>
      <c r="D1008"/>
      <c r="E1008"/>
      <c r="F1008"/>
      <c r="N1008" s="44"/>
    </row>
    <row r="1009" spans="1:14" x14ac:dyDescent="0.3">
      <c r="A1009" s="42"/>
      <c r="C1009" s="122"/>
      <c r="D1009"/>
      <c r="E1009"/>
      <c r="F1009"/>
      <c r="N1009" s="44"/>
    </row>
    <row r="1010" spans="1:14" x14ac:dyDescent="0.3">
      <c r="A1010" s="42"/>
      <c r="C1010" s="122"/>
      <c r="D1010"/>
      <c r="E1010"/>
      <c r="F1010"/>
      <c r="N1010" s="44"/>
    </row>
    <row r="1011" spans="1:14" x14ac:dyDescent="0.3">
      <c r="A1011" s="42"/>
      <c r="C1011" s="122"/>
      <c r="D1011"/>
      <c r="E1011"/>
      <c r="F1011"/>
      <c r="N1011" s="44"/>
    </row>
    <row r="1012" spans="1:14" x14ac:dyDescent="0.3">
      <c r="A1012" s="42"/>
      <c r="C1012" s="122"/>
      <c r="D1012"/>
      <c r="E1012"/>
      <c r="F1012"/>
      <c r="N1012" s="44"/>
    </row>
    <row r="1013" spans="1:14" x14ac:dyDescent="0.3">
      <c r="A1013" s="42"/>
      <c r="C1013" s="122"/>
      <c r="D1013"/>
      <c r="E1013"/>
      <c r="F1013"/>
      <c r="N1013" s="44"/>
    </row>
    <row r="1014" spans="1:14" x14ac:dyDescent="0.3">
      <c r="A1014" s="42"/>
      <c r="C1014" s="122"/>
      <c r="D1014"/>
      <c r="E1014"/>
      <c r="F1014"/>
      <c r="N1014" s="44"/>
    </row>
    <row r="1015" spans="1:14" x14ac:dyDescent="0.3">
      <c r="A1015" s="42"/>
      <c r="C1015" s="122"/>
      <c r="D1015"/>
      <c r="E1015"/>
      <c r="F1015"/>
      <c r="N1015" s="44"/>
    </row>
    <row r="1016" spans="1:14" x14ac:dyDescent="0.3">
      <c r="A1016" s="42"/>
      <c r="C1016"/>
      <c r="D1016"/>
      <c r="E1016"/>
      <c r="F1016"/>
      <c r="N1016" s="44"/>
    </row>
    <row r="1017" spans="1:14" x14ac:dyDescent="0.3">
      <c r="A1017" s="42"/>
      <c r="C1017"/>
      <c r="D1017"/>
      <c r="E1017"/>
      <c r="F1017"/>
      <c r="N1017" s="44"/>
    </row>
    <row r="1018" spans="1:14" x14ac:dyDescent="0.3">
      <c r="A1018" s="42"/>
      <c r="C1018"/>
      <c r="D1018"/>
      <c r="E1018"/>
      <c r="F1018"/>
      <c r="N1018" s="44"/>
    </row>
    <row r="1019" spans="1:14" x14ac:dyDescent="0.3">
      <c r="A1019" s="42"/>
      <c r="C1019"/>
      <c r="D1019"/>
      <c r="E1019"/>
      <c r="F1019"/>
      <c r="N1019" s="44"/>
    </row>
    <row r="1020" spans="1:14" x14ac:dyDescent="0.3">
      <c r="A1020" s="42"/>
      <c r="C1020"/>
      <c r="D1020"/>
      <c r="E1020"/>
      <c r="F1020"/>
      <c r="N1020" s="44"/>
    </row>
    <row r="1021" spans="1:14" x14ac:dyDescent="0.3">
      <c r="A1021" s="42"/>
      <c r="C1021"/>
      <c r="D1021"/>
      <c r="E1021"/>
      <c r="F1021"/>
      <c r="N1021" s="44"/>
    </row>
    <row r="1022" spans="1:14" x14ac:dyDescent="0.3">
      <c r="A1022" s="42"/>
      <c r="C1022"/>
      <c r="D1022"/>
      <c r="E1022"/>
      <c r="F1022"/>
      <c r="L1022" s="53"/>
      <c r="N1022" s="44"/>
    </row>
    <row r="1023" spans="1:14" x14ac:dyDescent="0.3">
      <c r="A1023" s="42"/>
      <c r="C1023"/>
      <c r="D1023"/>
      <c r="E1023"/>
      <c r="F1023"/>
      <c r="L1023" s="2"/>
      <c r="N1023" s="44"/>
    </row>
    <row r="1024" spans="1:14" x14ac:dyDescent="0.3">
      <c r="A1024" s="42"/>
      <c r="C1024"/>
      <c r="D1024"/>
      <c r="E1024"/>
      <c r="F1024"/>
      <c r="L1024" s="53"/>
      <c r="N1024" s="44"/>
    </row>
    <row r="1025" spans="1:14" x14ac:dyDescent="0.3">
      <c r="A1025" s="42"/>
      <c r="C1025"/>
      <c r="D1025"/>
      <c r="E1025"/>
      <c r="F1025"/>
      <c r="L1025" s="2"/>
      <c r="N1025" s="44"/>
    </row>
    <row r="1026" spans="1:14" x14ac:dyDescent="0.3">
      <c r="A1026" s="42"/>
      <c r="C1026"/>
      <c r="D1026"/>
      <c r="E1026"/>
      <c r="F1026"/>
      <c r="L1026" s="2"/>
      <c r="N1026" s="44"/>
    </row>
    <row r="1027" spans="1:14" x14ac:dyDescent="0.3">
      <c r="A1027" s="42"/>
      <c r="C1027"/>
      <c r="D1027"/>
      <c r="E1027"/>
      <c r="F1027"/>
      <c r="L1027" s="2"/>
      <c r="N1027" s="44"/>
    </row>
    <row r="1028" spans="1:14" x14ac:dyDescent="0.3">
      <c r="A1028" s="42"/>
      <c r="C1028"/>
      <c r="D1028"/>
      <c r="E1028"/>
      <c r="F1028"/>
      <c r="N1028" s="44"/>
    </row>
    <row r="1029" spans="1:14" x14ac:dyDescent="0.3">
      <c r="A1029" s="42"/>
      <c r="C1029"/>
      <c r="D1029"/>
      <c r="E1029"/>
      <c r="F1029"/>
      <c r="N1029" s="44"/>
    </row>
    <row r="1030" spans="1:14" x14ac:dyDescent="0.3">
      <c r="A1030" s="42"/>
      <c r="C1030"/>
      <c r="D1030"/>
      <c r="E1030"/>
      <c r="F1030"/>
      <c r="N1030" s="44"/>
    </row>
    <row r="1031" spans="1:14" x14ac:dyDescent="0.3">
      <c r="A1031" s="42"/>
      <c r="C1031"/>
      <c r="D1031"/>
      <c r="E1031"/>
      <c r="F1031"/>
      <c r="N1031" s="44"/>
    </row>
    <row r="1032" spans="1:14" x14ac:dyDescent="0.3">
      <c r="A1032" s="42"/>
      <c r="C1032"/>
      <c r="D1032"/>
      <c r="E1032"/>
      <c r="F1032"/>
      <c r="N1032" s="44"/>
    </row>
    <row r="1033" spans="1:14" x14ac:dyDescent="0.3">
      <c r="A1033" s="42"/>
      <c r="C1033"/>
      <c r="D1033"/>
      <c r="E1033"/>
      <c r="F1033"/>
      <c r="N1033" s="44"/>
    </row>
    <row r="1034" spans="1:14" x14ac:dyDescent="0.3">
      <c r="A1034" s="42"/>
      <c r="C1034"/>
      <c r="D1034"/>
      <c r="E1034"/>
      <c r="F1034"/>
      <c r="N1034" s="44"/>
    </row>
    <row r="1035" spans="1:14" x14ac:dyDescent="0.3">
      <c r="A1035" s="42"/>
      <c r="C1035"/>
      <c r="D1035"/>
      <c r="E1035"/>
      <c r="F1035"/>
      <c r="N1035" s="44"/>
    </row>
    <row r="1036" spans="1:14" x14ac:dyDescent="0.3">
      <c r="A1036" s="42"/>
      <c r="C1036"/>
      <c r="D1036"/>
      <c r="E1036"/>
      <c r="F1036"/>
      <c r="N1036" s="44"/>
    </row>
    <row r="1037" spans="1:14" x14ac:dyDescent="0.3">
      <c r="A1037" s="42"/>
      <c r="C1037"/>
      <c r="D1037"/>
      <c r="E1037"/>
      <c r="F1037"/>
      <c r="N1037" s="44"/>
    </row>
    <row r="1038" spans="1:14" x14ac:dyDescent="0.3">
      <c r="A1038" s="42"/>
      <c r="C1038"/>
      <c r="D1038"/>
      <c r="E1038"/>
      <c r="F1038"/>
      <c r="N1038" s="44"/>
    </row>
    <row r="1039" spans="1:14" x14ac:dyDescent="0.3">
      <c r="A1039" s="42"/>
      <c r="C1039" s="122"/>
      <c r="D1039"/>
      <c r="E1039"/>
      <c r="F1039"/>
      <c r="N1039" s="44"/>
    </row>
    <row r="1040" spans="1:14" x14ac:dyDescent="0.3">
      <c r="A1040" s="42"/>
      <c r="C1040" s="122"/>
      <c r="D1040"/>
      <c r="E1040"/>
      <c r="F1040"/>
      <c r="N1040" s="44"/>
    </row>
    <row r="1041" spans="1:14" x14ac:dyDescent="0.3">
      <c r="A1041" s="42"/>
      <c r="C1041" s="122"/>
      <c r="D1041"/>
      <c r="E1041"/>
      <c r="F1041"/>
      <c r="N1041" s="44"/>
    </row>
    <row r="1042" spans="1:14" x14ac:dyDescent="0.3">
      <c r="A1042" s="42"/>
      <c r="C1042" s="122"/>
      <c r="D1042"/>
      <c r="E1042"/>
      <c r="F1042"/>
      <c r="N1042" s="44"/>
    </row>
    <row r="1043" spans="1:14" x14ac:dyDescent="0.3">
      <c r="A1043" s="42"/>
      <c r="C1043" s="122"/>
      <c r="D1043"/>
      <c r="E1043"/>
      <c r="F1043"/>
      <c r="N1043" s="44"/>
    </row>
    <row r="1044" spans="1:14" x14ac:dyDescent="0.3">
      <c r="A1044" s="42"/>
      <c r="C1044"/>
      <c r="D1044"/>
      <c r="E1044"/>
      <c r="F1044"/>
      <c r="L1044" s="2"/>
      <c r="N1044" s="44"/>
    </row>
    <row r="1045" spans="1:14" x14ac:dyDescent="0.3">
      <c r="A1045" s="42"/>
      <c r="C1045"/>
      <c r="D1045"/>
      <c r="E1045"/>
      <c r="F1045"/>
      <c r="L1045" s="2"/>
      <c r="N1045" s="44"/>
    </row>
    <row r="1046" spans="1:14" x14ac:dyDescent="0.3">
      <c r="A1046" s="42"/>
      <c r="C1046"/>
      <c r="D1046"/>
      <c r="E1046"/>
      <c r="F1046"/>
      <c r="L1046" s="2"/>
      <c r="N1046" s="44"/>
    </row>
    <row r="1047" spans="1:14" x14ac:dyDescent="0.3">
      <c r="A1047" s="42"/>
      <c r="C1047"/>
      <c r="D1047"/>
      <c r="E1047"/>
      <c r="F1047"/>
      <c r="L1047" s="2"/>
      <c r="N1047" s="44"/>
    </row>
    <row r="1048" spans="1:14" x14ac:dyDescent="0.3">
      <c r="A1048" s="42"/>
      <c r="C1048"/>
      <c r="D1048"/>
      <c r="E1048"/>
      <c r="F1048"/>
      <c r="L1048" s="2"/>
      <c r="N1048" s="44"/>
    </row>
    <row r="1049" spans="1:14" x14ac:dyDescent="0.3">
      <c r="A1049" s="42"/>
      <c r="C1049"/>
      <c r="D1049"/>
      <c r="E1049"/>
      <c r="F1049"/>
      <c r="L1049" s="2"/>
      <c r="N1049" s="44"/>
    </row>
    <row r="1050" spans="1:14" x14ac:dyDescent="0.3">
      <c r="A1050" s="42"/>
      <c r="C1050"/>
      <c r="D1050"/>
      <c r="E1050"/>
      <c r="F1050"/>
      <c r="L1050" s="2"/>
      <c r="N1050" s="44"/>
    </row>
    <row r="1051" spans="1:14" x14ac:dyDescent="0.3">
      <c r="A1051" s="42"/>
      <c r="C1051"/>
      <c r="D1051"/>
      <c r="E1051"/>
      <c r="F1051"/>
      <c r="L1051" s="2"/>
      <c r="N1051" s="44"/>
    </row>
    <row r="1052" spans="1:14" x14ac:dyDescent="0.3">
      <c r="A1052" s="42"/>
      <c r="C1052"/>
      <c r="D1052"/>
      <c r="E1052"/>
      <c r="F1052"/>
      <c r="L1052" s="2"/>
      <c r="N1052" s="44"/>
    </row>
    <row r="1053" spans="1:14" x14ac:dyDescent="0.3">
      <c r="A1053" s="42"/>
      <c r="C1053"/>
      <c r="D1053"/>
      <c r="E1053"/>
      <c r="F1053"/>
      <c r="N1053" s="44"/>
    </row>
    <row r="1054" spans="1:14" x14ac:dyDescent="0.3">
      <c r="A1054" s="42"/>
      <c r="C1054"/>
      <c r="D1054"/>
      <c r="E1054"/>
      <c r="F1054"/>
      <c r="N1054" s="44"/>
    </row>
    <row r="1055" spans="1:14" x14ac:dyDescent="0.3">
      <c r="A1055" s="42"/>
      <c r="C1055"/>
      <c r="D1055"/>
      <c r="E1055"/>
      <c r="F1055"/>
      <c r="N1055" s="44"/>
    </row>
    <row r="1056" spans="1:14" x14ac:dyDescent="0.3">
      <c r="A1056" s="42"/>
      <c r="C1056"/>
      <c r="D1056"/>
      <c r="E1056"/>
      <c r="F1056"/>
      <c r="N1056" s="44"/>
    </row>
    <row r="1057" spans="1:14" x14ac:dyDescent="0.3">
      <c r="A1057" s="42"/>
      <c r="C1057"/>
      <c r="D1057"/>
      <c r="E1057"/>
      <c r="F1057"/>
      <c r="N1057" s="44"/>
    </row>
    <row r="1058" spans="1:14" x14ac:dyDescent="0.3">
      <c r="A1058" s="42"/>
      <c r="C1058"/>
      <c r="D1058"/>
      <c r="E1058"/>
      <c r="F1058"/>
      <c r="N1058" s="44"/>
    </row>
    <row r="1059" spans="1:14" x14ac:dyDescent="0.3">
      <c r="A1059" s="42"/>
      <c r="C1059"/>
      <c r="D1059"/>
      <c r="E1059"/>
      <c r="F1059"/>
      <c r="N1059" s="44"/>
    </row>
    <row r="1060" spans="1:14" x14ac:dyDescent="0.3">
      <c r="A1060" s="42"/>
      <c r="C1060" s="122"/>
      <c r="D1060"/>
      <c r="E1060"/>
      <c r="F1060"/>
      <c r="N1060" s="44"/>
    </row>
    <row r="1061" spans="1:14" ht="15.6" x14ac:dyDescent="0.3">
      <c r="A1061" s="42"/>
      <c r="C1061" s="122"/>
      <c r="D1061" s="112"/>
      <c r="E1061"/>
      <c r="F1061" s="112"/>
      <c r="L1061" s="112"/>
      <c r="N1061" s="44"/>
    </row>
    <row r="1062" spans="1:14" x14ac:dyDescent="0.3">
      <c r="A1062" s="42"/>
      <c r="C1062" s="52"/>
      <c r="D1062"/>
      <c r="E1062"/>
      <c r="F1062"/>
      <c r="N1062" s="44"/>
    </row>
    <row r="1063" spans="1:14" ht="15.6" x14ac:dyDescent="0.3">
      <c r="A1063" s="42"/>
      <c r="C1063" s="122"/>
      <c r="D1063" s="112"/>
      <c r="E1063"/>
      <c r="F1063"/>
      <c r="L1063" s="112"/>
      <c r="N1063" s="44"/>
    </row>
    <row r="1064" spans="1:14" x14ac:dyDescent="0.3">
      <c r="A1064" s="42"/>
      <c r="C1064"/>
      <c r="D1064"/>
      <c r="E1064"/>
      <c r="F1064"/>
      <c r="N1064" s="44"/>
    </row>
    <row r="1065" spans="1:14" ht="15.6" x14ac:dyDescent="0.3">
      <c r="A1065" s="42"/>
      <c r="C1065" s="122"/>
      <c r="D1065" s="112"/>
      <c r="E1065"/>
      <c r="F1065"/>
      <c r="L1065" s="112"/>
      <c r="N1065" s="44"/>
    </row>
    <row r="1066" spans="1:14" ht="15.6" x14ac:dyDescent="0.3">
      <c r="A1066" s="42"/>
      <c r="C1066" s="122"/>
      <c r="D1066" s="112"/>
      <c r="E1066"/>
      <c r="F1066"/>
      <c r="L1066" s="112"/>
      <c r="N1066" s="44"/>
    </row>
    <row r="1067" spans="1:14" ht="15.6" x14ac:dyDescent="0.3">
      <c r="A1067" s="42"/>
      <c r="C1067" s="122"/>
      <c r="D1067" s="112"/>
      <c r="E1067"/>
      <c r="F1067"/>
      <c r="L1067" s="112"/>
      <c r="N1067" s="44"/>
    </row>
    <row r="1068" spans="1:14" x14ac:dyDescent="0.3">
      <c r="A1068" s="42"/>
      <c r="C1068" s="122"/>
      <c r="D1068"/>
      <c r="E1068"/>
      <c r="F1068"/>
      <c r="N1068" s="44"/>
    </row>
    <row r="1069" spans="1:14" x14ac:dyDescent="0.3">
      <c r="A1069" s="42"/>
      <c r="C1069" s="122"/>
      <c r="D1069"/>
      <c r="E1069"/>
      <c r="F1069"/>
      <c r="N1069" s="44"/>
    </row>
    <row r="1070" spans="1:14" x14ac:dyDescent="0.3">
      <c r="A1070" s="42"/>
      <c r="C1070" s="122"/>
      <c r="D1070"/>
      <c r="E1070"/>
      <c r="F1070"/>
      <c r="N1070" s="44"/>
    </row>
    <row r="1071" spans="1:14" x14ac:dyDescent="0.3">
      <c r="A1071" s="42"/>
      <c r="C1071" s="122"/>
      <c r="D1071"/>
      <c r="E1071"/>
      <c r="F1071"/>
      <c r="N1071" s="44"/>
    </row>
    <row r="1072" spans="1:14" x14ac:dyDescent="0.3">
      <c r="A1072" s="42"/>
      <c r="C1072" s="122"/>
      <c r="D1072"/>
      <c r="E1072"/>
      <c r="F1072"/>
      <c r="N1072" s="44"/>
    </row>
    <row r="1073" spans="1:14" x14ac:dyDescent="0.3">
      <c r="A1073" s="42"/>
      <c r="C1073" s="122"/>
      <c r="D1073"/>
      <c r="E1073"/>
      <c r="F1073"/>
      <c r="N1073" s="44"/>
    </row>
    <row r="1074" spans="1:14" ht="15.6" x14ac:dyDescent="0.3">
      <c r="A1074" s="42"/>
      <c r="C1074" s="122"/>
      <c r="D1074" s="112"/>
      <c r="E1074"/>
      <c r="F1074"/>
      <c r="L1074" s="112"/>
      <c r="N1074" s="44"/>
    </row>
    <row r="1075" spans="1:14" ht="15.6" x14ac:dyDescent="0.3">
      <c r="A1075" s="42"/>
      <c r="C1075" s="122"/>
      <c r="D1075" s="112"/>
      <c r="E1075"/>
      <c r="F1075" s="112"/>
      <c r="L1075" s="112"/>
      <c r="N1075" s="44"/>
    </row>
    <row r="1076" spans="1:14" x14ac:dyDescent="0.3">
      <c r="A1076" s="42"/>
      <c r="C1076" s="122"/>
      <c r="D1076"/>
      <c r="E1076"/>
      <c r="F1076"/>
      <c r="N1076" s="44"/>
    </row>
    <row r="1077" spans="1:14" x14ac:dyDescent="0.3">
      <c r="A1077" s="42"/>
      <c r="C1077" s="122"/>
      <c r="D1077"/>
      <c r="E1077"/>
      <c r="F1077"/>
      <c r="N1077" s="44"/>
    </row>
    <row r="1078" spans="1:14" x14ac:dyDescent="0.3">
      <c r="A1078" s="42"/>
      <c r="C1078" s="122"/>
      <c r="D1078"/>
      <c r="E1078"/>
      <c r="F1078"/>
      <c r="N1078" s="44"/>
    </row>
    <row r="1079" spans="1:14" x14ac:dyDescent="0.3">
      <c r="A1079" s="42"/>
      <c r="C1079" s="122"/>
      <c r="D1079"/>
      <c r="E1079"/>
      <c r="F1079"/>
      <c r="N1079" s="44"/>
    </row>
    <row r="1080" spans="1:14" x14ac:dyDescent="0.3">
      <c r="A1080" s="42"/>
      <c r="C1080" s="122"/>
      <c r="D1080"/>
      <c r="E1080"/>
      <c r="F1080"/>
      <c r="N1080" s="44"/>
    </row>
    <row r="1081" spans="1:14" x14ac:dyDescent="0.3">
      <c r="A1081" s="42"/>
      <c r="C1081" s="122"/>
      <c r="D1081"/>
      <c r="E1081"/>
      <c r="F1081"/>
      <c r="N1081" s="44"/>
    </row>
    <row r="1082" spans="1:14" x14ac:dyDescent="0.3">
      <c r="A1082" s="42"/>
      <c r="C1082" s="52"/>
      <c r="D1082"/>
      <c r="E1082"/>
      <c r="F1082"/>
      <c r="N1082" s="44"/>
    </row>
    <row r="1083" spans="1:14" x14ac:dyDescent="0.3">
      <c r="A1083" s="42"/>
      <c r="C1083" s="52"/>
      <c r="D1083"/>
      <c r="E1083"/>
      <c r="F1083"/>
      <c r="N1083" s="44"/>
    </row>
    <row r="1084" spans="1:14" x14ac:dyDescent="0.3">
      <c r="A1084" s="42"/>
      <c r="C1084" s="122"/>
      <c r="D1084"/>
      <c r="E1084"/>
      <c r="F1084"/>
      <c r="N1084" s="44"/>
    </row>
    <row r="1085" spans="1:14" x14ac:dyDescent="0.3">
      <c r="A1085" s="42"/>
      <c r="C1085" s="122"/>
      <c r="D1085"/>
      <c r="E1085"/>
      <c r="F1085"/>
      <c r="N1085" s="44"/>
    </row>
    <row r="1086" spans="1:14" x14ac:dyDescent="0.3">
      <c r="A1086" s="42"/>
      <c r="C1086" s="52"/>
      <c r="D1086"/>
      <c r="E1086"/>
      <c r="F1086"/>
      <c r="N1086" s="44"/>
    </row>
    <row r="1087" spans="1:14" x14ac:dyDescent="0.3">
      <c r="A1087" s="42"/>
      <c r="C1087"/>
      <c r="D1087"/>
      <c r="E1087"/>
      <c r="F1087"/>
      <c r="N1087" s="44"/>
    </row>
    <row r="1088" spans="1:14" x14ac:dyDescent="0.3">
      <c r="A1088" s="42"/>
      <c r="C1088"/>
      <c r="D1088"/>
      <c r="E1088"/>
      <c r="F1088"/>
      <c r="N1088" s="44"/>
    </row>
    <row r="1089" spans="1:14" x14ac:dyDescent="0.3">
      <c r="A1089" s="42"/>
      <c r="C1089"/>
      <c r="D1089"/>
      <c r="E1089"/>
      <c r="F1089"/>
      <c r="N1089" s="44"/>
    </row>
    <row r="1090" spans="1:14" x14ac:dyDescent="0.3">
      <c r="A1090" s="42"/>
      <c r="C1090"/>
      <c r="D1090"/>
      <c r="E1090"/>
      <c r="F1090"/>
      <c r="N1090" s="44"/>
    </row>
    <row r="1091" spans="1:14" x14ac:dyDescent="0.3">
      <c r="A1091" s="42"/>
      <c r="C1091"/>
      <c r="D1091"/>
      <c r="E1091"/>
      <c r="F1091"/>
      <c r="N1091" s="44"/>
    </row>
    <row r="1092" spans="1:14" x14ac:dyDescent="0.3">
      <c r="A1092" s="42"/>
      <c r="C1092"/>
      <c r="D1092"/>
      <c r="E1092"/>
      <c r="F1092"/>
      <c r="N1092" s="44"/>
    </row>
    <row r="1093" spans="1:14" x14ac:dyDescent="0.3">
      <c r="A1093" s="42"/>
      <c r="C1093"/>
      <c r="D1093"/>
      <c r="E1093"/>
      <c r="F1093"/>
      <c r="N1093" s="44"/>
    </row>
    <row r="1094" spans="1:14" x14ac:dyDescent="0.3">
      <c r="A1094" s="42"/>
      <c r="C1094"/>
      <c r="D1094"/>
      <c r="E1094"/>
      <c r="F1094"/>
      <c r="N1094" s="44"/>
    </row>
    <row r="1095" spans="1:14" x14ac:dyDescent="0.3">
      <c r="A1095" s="42"/>
      <c r="C1095"/>
      <c r="D1095"/>
      <c r="E1095"/>
      <c r="F1095"/>
      <c r="N1095" s="44"/>
    </row>
    <row r="1096" spans="1:14" x14ac:dyDescent="0.3">
      <c r="A1096" s="42"/>
      <c r="C1096"/>
      <c r="D1096"/>
      <c r="E1096"/>
      <c r="F1096"/>
      <c r="L1096" s="2"/>
      <c r="N1096" s="44"/>
    </row>
    <row r="1097" spans="1:14" x14ac:dyDescent="0.3">
      <c r="A1097" s="42"/>
      <c r="C1097"/>
      <c r="D1097"/>
      <c r="E1097"/>
      <c r="F1097"/>
      <c r="L1097" s="2"/>
      <c r="N1097" s="44"/>
    </row>
    <row r="1098" spans="1:14" x14ac:dyDescent="0.3">
      <c r="A1098" s="42"/>
      <c r="C1098"/>
      <c r="D1098"/>
      <c r="E1098"/>
      <c r="F1098"/>
      <c r="L1098" s="2"/>
      <c r="N1098" s="44"/>
    </row>
    <row r="1099" spans="1:14" x14ac:dyDescent="0.3">
      <c r="A1099" s="42"/>
      <c r="C1099"/>
      <c r="D1099"/>
      <c r="E1099"/>
      <c r="F1099"/>
      <c r="N1099" s="44"/>
    </row>
    <row r="1100" spans="1:14" x14ac:dyDescent="0.3">
      <c r="A1100" s="42"/>
      <c r="C1100"/>
      <c r="D1100"/>
      <c r="E1100"/>
      <c r="F1100"/>
      <c r="N1100" s="44"/>
    </row>
    <row r="1101" spans="1:14" x14ac:dyDescent="0.3">
      <c r="A1101" s="42"/>
      <c r="C1101"/>
      <c r="D1101"/>
      <c r="E1101"/>
      <c r="F1101"/>
      <c r="N1101" s="44"/>
    </row>
    <row r="1102" spans="1:14" x14ac:dyDescent="0.3">
      <c r="A1102" s="42"/>
      <c r="C1102"/>
      <c r="D1102"/>
      <c r="E1102"/>
      <c r="F1102"/>
      <c r="N1102" s="44"/>
    </row>
    <row r="1103" spans="1:14" x14ac:dyDescent="0.3">
      <c r="A1103" s="42"/>
      <c r="C1103"/>
      <c r="D1103"/>
      <c r="E1103"/>
      <c r="F1103"/>
      <c r="L1103" s="45"/>
      <c r="N1103" s="44"/>
    </row>
    <row r="1104" spans="1:14" x14ac:dyDescent="0.3">
      <c r="A1104" s="42"/>
      <c r="C1104"/>
      <c r="D1104"/>
      <c r="E1104"/>
      <c r="F1104"/>
      <c r="N1104" s="44"/>
    </row>
    <row r="1105" spans="1:14" x14ac:dyDescent="0.3">
      <c r="A1105" s="42"/>
      <c r="C1105"/>
      <c r="D1105"/>
      <c r="E1105"/>
      <c r="F1105"/>
      <c r="N1105" s="44"/>
    </row>
    <row r="1106" spans="1:14" x14ac:dyDescent="0.3">
      <c r="A1106" s="42"/>
      <c r="C1106" s="122"/>
      <c r="D1106"/>
      <c r="E1106"/>
      <c r="F1106"/>
      <c r="N1106" s="44"/>
    </row>
    <row r="1107" spans="1:14" ht="15.6" x14ac:dyDescent="0.3">
      <c r="A1107" s="42"/>
      <c r="C1107" s="122"/>
      <c r="D1107" s="112"/>
      <c r="E1107"/>
      <c r="F1107"/>
      <c r="L1107" s="112"/>
      <c r="N1107" s="44"/>
    </row>
    <row r="1108" spans="1:14" x14ac:dyDescent="0.3">
      <c r="A1108" s="42"/>
      <c r="C1108"/>
      <c r="D1108"/>
      <c r="E1108"/>
      <c r="F1108"/>
      <c r="N1108" s="44"/>
    </row>
    <row r="1109" spans="1:14" x14ac:dyDescent="0.3">
      <c r="A1109" s="42"/>
      <c r="C1109" s="122"/>
      <c r="D1109"/>
      <c r="E1109"/>
      <c r="F1109"/>
      <c r="N1109" s="44"/>
    </row>
    <row r="1110" spans="1:14" x14ac:dyDescent="0.3">
      <c r="A1110" s="42"/>
      <c r="C1110" s="122"/>
      <c r="D1110"/>
      <c r="E1110"/>
      <c r="F1110"/>
      <c r="N1110" s="44"/>
    </row>
    <row r="1111" spans="1:14" x14ac:dyDescent="0.3">
      <c r="A1111" s="42"/>
      <c r="C1111" s="122"/>
      <c r="D1111"/>
      <c r="E1111"/>
      <c r="F1111"/>
      <c r="N1111" s="44"/>
    </row>
    <row r="1112" spans="1:14" x14ac:dyDescent="0.3">
      <c r="A1112" s="42"/>
      <c r="C1112" s="122"/>
      <c r="D1112"/>
      <c r="E1112"/>
      <c r="F1112"/>
      <c r="N1112" s="44"/>
    </row>
    <row r="1113" spans="1:14" x14ac:dyDescent="0.3">
      <c r="A1113" s="42"/>
      <c r="C1113" s="122"/>
      <c r="D1113"/>
      <c r="E1113"/>
      <c r="F1113"/>
      <c r="N1113" s="44"/>
    </row>
    <row r="1114" spans="1:14" x14ac:dyDescent="0.3">
      <c r="A1114" s="42"/>
      <c r="C1114" s="122"/>
      <c r="D1114"/>
      <c r="E1114"/>
      <c r="F1114"/>
      <c r="N1114" s="44"/>
    </row>
    <row r="1115" spans="1:14" x14ac:dyDescent="0.3">
      <c r="A1115" s="42"/>
      <c r="C1115" s="122"/>
      <c r="D1115"/>
      <c r="E1115"/>
      <c r="F1115"/>
      <c r="N1115" s="44"/>
    </row>
    <row r="1116" spans="1:14" x14ac:dyDescent="0.3">
      <c r="A1116" s="42"/>
      <c r="C1116" s="122"/>
      <c r="D1116"/>
      <c r="E1116"/>
      <c r="F1116"/>
      <c r="N1116" s="44"/>
    </row>
    <row r="1117" spans="1:14" x14ac:dyDescent="0.3">
      <c r="A1117" s="42"/>
      <c r="C1117" s="122"/>
      <c r="D1117"/>
      <c r="E1117"/>
      <c r="F1117"/>
      <c r="N1117" s="44"/>
    </row>
    <row r="1118" spans="1:14" x14ac:dyDescent="0.3">
      <c r="A1118" s="42"/>
      <c r="C1118" s="122"/>
      <c r="D1118"/>
      <c r="E1118"/>
      <c r="F1118"/>
      <c r="N1118" s="44"/>
    </row>
    <row r="1119" spans="1:14" x14ac:dyDescent="0.3">
      <c r="A1119" s="42"/>
      <c r="C1119" s="122"/>
      <c r="D1119"/>
      <c r="E1119"/>
      <c r="F1119"/>
      <c r="N1119" s="44"/>
    </row>
    <row r="1120" spans="1:14" x14ac:dyDescent="0.3">
      <c r="A1120" s="42"/>
      <c r="C1120" s="122"/>
      <c r="D1120"/>
      <c r="E1120"/>
      <c r="F1120"/>
      <c r="N1120" s="44"/>
    </row>
    <row r="1121" spans="1:15" x14ac:dyDescent="0.3">
      <c r="A1121" s="42"/>
      <c r="C1121" s="122"/>
      <c r="D1121"/>
      <c r="E1121"/>
      <c r="F1121"/>
      <c r="N1121" s="44"/>
    </row>
    <row r="1122" spans="1:15" x14ac:dyDescent="0.3">
      <c r="A1122" s="42"/>
      <c r="C1122" s="122"/>
      <c r="D1122"/>
      <c r="E1122"/>
      <c r="F1122"/>
      <c r="N1122" s="44"/>
    </row>
    <row r="1123" spans="1:15" x14ac:dyDescent="0.3">
      <c r="A1123" s="42"/>
      <c r="C1123" s="122"/>
      <c r="D1123"/>
      <c r="E1123"/>
      <c r="F1123"/>
      <c r="N1123" s="44"/>
    </row>
    <row r="1124" spans="1:15" x14ac:dyDescent="0.3">
      <c r="A1124" s="42"/>
      <c r="C1124" s="52"/>
      <c r="D1124"/>
      <c r="E1124"/>
      <c r="F1124"/>
      <c r="N1124" s="44"/>
    </row>
    <row r="1125" spans="1:15" x14ac:dyDescent="0.3">
      <c r="A1125" s="42"/>
      <c r="C1125" s="122"/>
      <c r="D1125"/>
      <c r="E1125"/>
      <c r="F1125"/>
      <c r="N1125" s="44"/>
    </row>
    <row r="1126" spans="1:15" x14ac:dyDescent="0.3">
      <c r="A1126" s="42"/>
      <c r="C1126" s="122"/>
      <c r="D1126"/>
      <c r="E1126"/>
      <c r="F1126"/>
      <c r="N1126" s="44"/>
    </row>
    <row r="1127" spans="1:15" x14ac:dyDescent="0.3">
      <c r="A1127" s="42"/>
      <c r="C1127" s="122"/>
      <c r="D1127"/>
      <c r="E1127"/>
      <c r="F1127"/>
      <c r="N1127" s="44"/>
    </row>
    <row r="1128" spans="1:15" ht="15.6" x14ac:dyDescent="0.3">
      <c r="A1128" s="42"/>
      <c r="C1128" s="122"/>
      <c r="D1128" s="112"/>
      <c r="E1128"/>
      <c r="F1128"/>
      <c r="L1128" s="112"/>
      <c r="N1128" s="44"/>
    </row>
    <row r="1129" spans="1:15" x14ac:dyDescent="0.3">
      <c r="A1129" s="42"/>
      <c r="C1129" s="122"/>
      <c r="D1129"/>
      <c r="E1129"/>
      <c r="F1129"/>
      <c r="N1129" s="44"/>
    </row>
    <row r="1130" spans="1:15" ht="15.6" x14ac:dyDescent="0.3">
      <c r="A1130" s="55"/>
      <c r="B1130" s="114"/>
      <c r="C1130" s="122"/>
      <c r="D1130" s="115"/>
      <c r="E1130" s="55"/>
      <c r="F1130" s="115"/>
      <c r="G1130" s="116"/>
      <c r="H1130" s="117"/>
      <c r="I1130" s="114"/>
      <c r="J1130" s="118"/>
      <c r="K1130" s="119"/>
      <c r="L1130" s="115"/>
      <c r="M1130" s="55"/>
      <c r="N1130" s="120"/>
      <c r="O1130" s="121"/>
    </row>
    <row r="1131" spans="1:15" x14ac:dyDescent="0.3">
      <c r="A1131" s="42"/>
      <c r="C1131" s="122"/>
      <c r="D1131"/>
      <c r="E1131"/>
      <c r="F1131"/>
      <c r="N1131" s="44"/>
    </row>
    <row r="1132" spans="1:15" x14ac:dyDescent="0.3">
      <c r="A1132" s="42"/>
      <c r="C1132" s="122"/>
      <c r="D1132"/>
      <c r="E1132"/>
      <c r="F1132"/>
      <c r="N1132" s="44"/>
    </row>
    <row r="1133" spans="1:15" x14ac:dyDescent="0.3">
      <c r="A1133" s="42"/>
      <c r="C1133" s="122"/>
      <c r="D1133"/>
      <c r="E1133"/>
      <c r="F1133"/>
      <c r="N1133" s="44"/>
    </row>
    <row r="1134" spans="1:15" x14ac:dyDescent="0.3">
      <c r="A1134" s="42"/>
      <c r="C1134" s="122"/>
      <c r="D1134"/>
      <c r="E1134"/>
      <c r="F1134"/>
      <c r="N1134" s="44"/>
    </row>
    <row r="1135" spans="1:15" x14ac:dyDescent="0.3">
      <c r="A1135" s="42"/>
      <c r="C1135"/>
      <c r="D1135"/>
      <c r="E1135"/>
      <c r="F1135"/>
      <c r="N1135" s="44"/>
    </row>
    <row r="1136" spans="1:15" x14ac:dyDescent="0.3">
      <c r="A1136" s="42"/>
      <c r="C1136"/>
      <c r="D1136"/>
      <c r="E1136"/>
      <c r="F1136"/>
      <c r="N1136" s="44"/>
    </row>
    <row r="1137" spans="1:14" x14ac:dyDescent="0.3">
      <c r="A1137" s="42"/>
      <c r="C1137"/>
      <c r="D1137"/>
      <c r="E1137"/>
      <c r="F1137"/>
      <c r="N1137" s="44"/>
    </row>
    <row r="1138" spans="1:14" x14ac:dyDescent="0.3">
      <c r="A1138" s="42"/>
      <c r="C1138"/>
      <c r="D1138"/>
      <c r="E1138"/>
      <c r="F1138"/>
      <c r="N1138" s="44"/>
    </row>
    <row r="1139" spans="1:14" x14ac:dyDescent="0.3">
      <c r="A1139" s="42"/>
      <c r="C1139"/>
      <c r="D1139"/>
      <c r="E1139"/>
      <c r="F1139"/>
      <c r="N1139" s="44"/>
    </row>
    <row r="1140" spans="1:14" x14ac:dyDescent="0.3">
      <c r="A1140" s="42"/>
      <c r="C1140" s="52"/>
      <c r="D1140"/>
      <c r="E1140"/>
      <c r="F1140"/>
      <c r="N1140" s="44"/>
    </row>
    <row r="1141" spans="1:14" ht="15.6" x14ac:dyDescent="0.3">
      <c r="A1141" s="42"/>
      <c r="C1141" s="122"/>
      <c r="D1141" s="112"/>
      <c r="E1141"/>
      <c r="F1141" s="112"/>
      <c r="L1141" s="112"/>
      <c r="N1141" s="44"/>
    </row>
    <row r="1142" spans="1:14" ht="15.6" x14ac:dyDescent="0.3">
      <c r="A1142" s="42"/>
      <c r="C1142" s="122"/>
      <c r="D1142" s="115"/>
      <c r="E1142"/>
      <c r="F1142"/>
      <c r="L1142" s="112"/>
      <c r="N1142" s="44"/>
    </row>
    <row r="1143" spans="1:14" x14ac:dyDescent="0.3">
      <c r="A1143" s="42"/>
      <c r="C1143" s="52"/>
      <c r="D1143"/>
      <c r="E1143"/>
      <c r="F1143"/>
      <c r="N1143" s="44"/>
    </row>
    <row r="1144" spans="1:14" ht="15.6" x14ac:dyDescent="0.3">
      <c r="A1144" s="42"/>
      <c r="C1144" s="122"/>
      <c r="D1144" s="112"/>
      <c r="E1144"/>
      <c r="F1144"/>
      <c r="L1144" s="112"/>
      <c r="N1144" s="44"/>
    </row>
    <row r="1145" spans="1:14" x14ac:dyDescent="0.3">
      <c r="A1145" s="42"/>
      <c r="C1145"/>
      <c r="D1145"/>
      <c r="E1145"/>
      <c r="F1145"/>
      <c r="N1145" s="44"/>
    </row>
    <row r="1146" spans="1:14" x14ac:dyDescent="0.3">
      <c r="A1146" s="42"/>
      <c r="C1146"/>
      <c r="D1146"/>
      <c r="E1146"/>
      <c r="F1146"/>
      <c r="N1146" s="44"/>
    </row>
    <row r="1147" spans="1:14" ht="15.6" x14ac:dyDescent="0.3">
      <c r="A1147" s="42"/>
      <c r="C1147" s="122"/>
      <c r="D1147" s="112"/>
      <c r="E1147"/>
      <c r="F1147"/>
      <c r="L1147" s="112"/>
      <c r="N1147" s="44"/>
    </row>
    <row r="1148" spans="1:14" x14ac:dyDescent="0.3">
      <c r="A1148" s="42"/>
      <c r="C1148" s="52"/>
      <c r="D1148"/>
      <c r="E1148"/>
      <c r="F1148"/>
      <c r="N1148" s="44"/>
    </row>
    <row r="1149" spans="1:14" x14ac:dyDescent="0.3">
      <c r="A1149" s="42"/>
      <c r="C1149"/>
      <c r="D1149"/>
      <c r="E1149"/>
      <c r="F1149"/>
      <c r="N1149" s="44"/>
    </row>
    <row r="1150" spans="1:14" x14ac:dyDescent="0.3">
      <c r="A1150" s="42"/>
      <c r="C1150" s="52"/>
      <c r="D1150"/>
      <c r="E1150"/>
      <c r="F1150"/>
      <c r="N1150" s="44"/>
    </row>
    <row r="1151" spans="1:14" x14ac:dyDescent="0.3">
      <c r="A1151" s="42"/>
      <c r="C1151" s="52"/>
      <c r="D1151"/>
      <c r="E1151"/>
      <c r="F1151"/>
      <c r="N1151" s="44"/>
    </row>
    <row r="1152" spans="1:14" x14ac:dyDescent="0.3">
      <c r="A1152" s="42"/>
      <c r="C1152" s="52"/>
      <c r="D1152"/>
      <c r="E1152"/>
      <c r="F1152"/>
      <c r="N1152" s="44"/>
    </row>
    <row r="1153" spans="1:14" x14ac:dyDescent="0.3">
      <c r="A1153" s="42"/>
      <c r="C1153" s="52"/>
      <c r="D1153"/>
      <c r="E1153"/>
      <c r="F1153"/>
      <c r="N1153" s="44"/>
    </row>
    <row r="1154" spans="1:14" ht="15.6" x14ac:dyDescent="0.3">
      <c r="A1154" s="42"/>
      <c r="C1154" s="122"/>
      <c r="D1154" s="112"/>
      <c r="E1154"/>
      <c r="F1154"/>
      <c r="L1154" s="112"/>
      <c r="N1154" s="44"/>
    </row>
    <row r="1155" spans="1:14" ht="15.6" x14ac:dyDescent="0.3">
      <c r="A1155" s="42"/>
      <c r="C1155" s="122"/>
      <c r="D1155" s="112"/>
      <c r="E1155"/>
      <c r="F1155"/>
      <c r="L1155" s="112"/>
      <c r="N1155" s="44"/>
    </row>
    <row r="1156" spans="1:14" x14ac:dyDescent="0.3">
      <c r="A1156" s="42"/>
      <c r="C1156"/>
      <c r="D1156"/>
      <c r="E1156"/>
      <c r="F1156"/>
      <c r="N1156" s="44"/>
    </row>
    <row r="1157" spans="1:14" x14ac:dyDescent="0.3">
      <c r="A1157" s="42"/>
      <c r="C1157"/>
      <c r="D1157"/>
      <c r="E1157"/>
      <c r="F1157"/>
      <c r="N1157" s="44"/>
    </row>
    <row r="1158" spans="1:14" x14ac:dyDescent="0.3">
      <c r="A1158" s="42"/>
      <c r="C1158"/>
      <c r="D1158"/>
      <c r="E1158"/>
      <c r="F1158"/>
      <c r="N1158" s="44"/>
    </row>
    <row r="1159" spans="1:14" x14ac:dyDescent="0.3">
      <c r="A1159" s="42"/>
      <c r="C1159" s="52"/>
      <c r="D1159"/>
      <c r="E1159"/>
      <c r="F1159"/>
      <c r="N1159" s="44"/>
    </row>
    <row r="1160" spans="1:14" x14ac:dyDescent="0.3">
      <c r="A1160" s="42"/>
      <c r="C1160" s="52"/>
      <c r="D1160"/>
      <c r="E1160"/>
      <c r="F1160"/>
      <c r="N1160" s="44"/>
    </row>
    <row r="1161" spans="1:14" x14ac:dyDescent="0.3">
      <c r="A1161" s="42"/>
      <c r="C1161" s="52"/>
      <c r="D1161"/>
      <c r="E1161"/>
      <c r="F1161"/>
      <c r="N1161" s="44"/>
    </row>
    <row r="1162" spans="1:14" x14ac:dyDescent="0.3">
      <c r="A1162" s="42"/>
      <c r="C1162" s="52"/>
      <c r="D1162"/>
      <c r="E1162"/>
      <c r="F1162"/>
      <c r="N1162" s="44"/>
    </row>
    <row r="1163" spans="1:14" x14ac:dyDescent="0.3">
      <c r="A1163" s="42"/>
      <c r="C1163" s="52"/>
      <c r="D1163"/>
      <c r="E1163"/>
      <c r="F1163"/>
      <c r="N1163" s="44"/>
    </row>
    <row r="1164" spans="1:14" ht="15.6" x14ac:dyDescent="0.3">
      <c r="A1164" s="42"/>
      <c r="C1164" s="122"/>
      <c r="D1164" s="112"/>
      <c r="E1164"/>
      <c r="F1164"/>
      <c r="L1164" s="112"/>
      <c r="N1164" s="44"/>
    </row>
    <row r="1165" spans="1:14" ht="15.6" x14ac:dyDescent="0.3">
      <c r="A1165" s="42"/>
      <c r="C1165" s="122"/>
      <c r="D1165" s="112"/>
      <c r="E1165"/>
      <c r="F1165"/>
      <c r="L1165" s="112"/>
      <c r="N1165" s="44"/>
    </row>
    <row r="1166" spans="1:14" ht="15.6" x14ac:dyDescent="0.3">
      <c r="A1166" s="42"/>
      <c r="C1166" s="122"/>
      <c r="D1166" s="112"/>
      <c r="E1166"/>
      <c r="F1166"/>
      <c r="L1166" s="112"/>
      <c r="N1166" s="44"/>
    </row>
    <row r="1167" spans="1:14" ht="15.6" x14ac:dyDescent="0.3">
      <c r="A1167" s="42"/>
      <c r="C1167" s="122"/>
      <c r="D1167" s="112"/>
      <c r="E1167"/>
      <c r="F1167" s="112"/>
      <c r="L1167" s="112"/>
      <c r="N1167" s="44"/>
    </row>
    <row r="1168" spans="1:14" x14ac:dyDescent="0.3">
      <c r="A1168" s="42"/>
      <c r="C1168"/>
      <c r="D1168"/>
      <c r="E1168"/>
      <c r="F1168"/>
      <c r="N1168" s="44"/>
    </row>
    <row r="1169" spans="1:15" x14ac:dyDescent="0.3">
      <c r="A1169" s="42"/>
      <c r="C1169"/>
      <c r="D1169"/>
      <c r="E1169"/>
      <c r="F1169"/>
      <c r="N1169" s="44"/>
    </row>
    <row r="1170" spans="1:15" ht="15.6" x14ac:dyDescent="0.3">
      <c r="A1170" s="42"/>
      <c r="C1170" s="122"/>
      <c r="D1170" s="112"/>
      <c r="E1170"/>
      <c r="F1170" s="112"/>
      <c r="L1170" s="112"/>
      <c r="N1170" s="44"/>
    </row>
    <row r="1171" spans="1:15" x14ac:dyDescent="0.3">
      <c r="A1171" s="42"/>
      <c r="C1171"/>
      <c r="D1171"/>
      <c r="E1171"/>
      <c r="F1171"/>
      <c r="N1171" s="44"/>
    </row>
    <row r="1172" spans="1:15" x14ac:dyDescent="0.3">
      <c r="A1172" s="42"/>
      <c r="C1172" s="52"/>
      <c r="D1172"/>
      <c r="E1172"/>
      <c r="F1172"/>
      <c r="N1172" s="44"/>
    </row>
    <row r="1173" spans="1:15" x14ac:dyDescent="0.3">
      <c r="A1173" s="42"/>
      <c r="C1173" s="52"/>
      <c r="D1173"/>
      <c r="E1173"/>
      <c r="F1173"/>
      <c r="N1173" s="44"/>
    </row>
    <row r="1174" spans="1:15" x14ac:dyDescent="0.3">
      <c r="A1174" s="42"/>
      <c r="C1174" s="52"/>
      <c r="D1174"/>
      <c r="E1174"/>
      <c r="F1174"/>
      <c r="N1174" s="44"/>
    </row>
    <row r="1175" spans="1:15" ht="15.6" x14ac:dyDescent="0.3">
      <c r="A1175" s="42"/>
      <c r="C1175" s="122"/>
      <c r="D1175" s="115"/>
      <c r="E1175"/>
      <c r="F1175"/>
      <c r="L1175" s="112"/>
      <c r="N1175" s="44"/>
    </row>
    <row r="1176" spans="1:15" x14ac:dyDescent="0.3">
      <c r="A1176" s="42"/>
      <c r="C1176"/>
      <c r="D1176"/>
      <c r="E1176"/>
      <c r="F1176"/>
      <c r="N1176" s="44"/>
    </row>
    <row r="1177" spans="1:15" x14ac:dyDescent="0.3">
      <c r="A1177" s="42"/>
      <c r="C1177"/>
      <c r="D1177"/>
      <c r="E1177"/>
      <c r="F1177"/>
      <c r="N1177" s="44"/>
    </row>
    <row r="1178" spans="1:15" ht="15.6" x14ac:dyDescent="0.3">
      <c r="A1178" s="42"/>
      <c r="C1178" s="122"/>
      <c r="D1178" s="112"/>
      <c r="E1178"/>
      <c r="F1178" s="112"/>
      <c r="L1178" s="112"/>
      <c r="N1178" s="44"/>
    </row>
    <row r="1179" spans="1:15" x14ac:dyDescent="0.3">
      <c r="A1179" s="42"/>
      <c r="C1179" s="52"/>
      <c r="D1179"/>
      <c r="E1179"/>
      <c r="F1179"/>
      <c r="N1179" s="44"/>
    </row>
    <row r="1180" spans="1:15" ht="15.6" x14ac:dyDescent="0.3">
      <c r="A1180" s="42"/>
      <c r="C1180" s="122"/>
      <c r="D1180" s="115"/>
      <c r="E1180"/>
      <c r="F1180"/>
      <c r="L1180" s="112"/>
      <c r="N1180" s="44"/>
    </row>
    <row r="1181" spans="1:15" x14ac:dyDescent="0.3">
      <c r="A1181" s="42"/>
      <c r="C1181"/>
      <c r="D1181"/>
      <c r="E1181"/>
      <c r="F1181"/>
      <c r="N1181" s="44"/>
    </row>
    <row r="1182" spans="1:15" x14ac:dyDescent="0.3">
      <c r="A1182" s="42"/>
      <c r="C1182" s="52"/>
      <c r="D1182"/>
      <c r="E1182"/>
      <c r="F1182"/>
      <c r="N1182" s="44"/>
      <c r="O1182" s="1"/>
    </row>
    <row r="1183" spans="1:15" x14ac:dyDescent="0.3">
      <c r="A1183" s="42"/>
      <c r="C1183" s="52"/>
      <c r="D1183"/>
      <c r="E1183"/>
      <c r="F1183"/>
      <c r="N1183" s="44"/>
      <c r="O1183" s="1"/>
    </row>
    <row r="1184" spans="1:15" x14ac:dyDescent="0.3">
      <c r="A1184" s="42"/>
      <c r="C1184" s="52"/>
      <c r="D1184"/>
      <c r="E1184"/>
      <c r="F1184"/>
      <c r="N1184" s="44"/>
      <c r="O1184" s="1"/>
    </row>
    <row r="1185" spans="1:15" x14ac:dyDescent="0.3">
      <c r="A1185" s="42"/>
      <c r="C1185" s="52"/>
      <c r="D1185"/>
      <c r="E1185"/>
      <c r="F1185"/>
      <c r="N1185" s="44"/>
      <c r="O1185" s="1"/>
    </row>
    <row r="1186" spans="1:15" x14ac:dyDescent="0.3">
      <c r="A1186" s="42"/>
      <c r="C1186" s="52"/>
      <c r="D1186"/>
      <c r="E1186"/>
      <c r="F1186"/>
      <c r="N1186" s="44"/>
      <c r="O1186" s="1"/>
    </row>
    <row r="1187" spans="1:15" ht="15.6" x14ac:dyDescent="0.3">
      <c r="A1187" s="42"/>
      <c r="C1187" s="122"/>
      <c r="D1187" s="112"/>
      <c r="E1187"/>
      <c r="F1187" s="112"/>
      <c r="L1187" s="112"/>
      <c r="N1187" s="44"/>
      <c r="O1187" s="1"/>
    </row>
    <row r="1188" spans="1:15" ht="15.6" x14ac:dyDescent="0.3">
      <c r="A1188" s="42"/>
      <c r="C1188" s="122"/>
      <c r="D1188" s="112"/>
      <c r="E1188"/>
      <c r="F1188"/>
      <c r="L1188" s="112"/>
      <c r="N1188" s="44"/>
      <c r="O1188" s="1"/>
    </row>
    <row r="1189" spans="1:15" ht="15.6" x14ac:dyDescent="0.3">
      <c r="A1189" s="42"/>
      <c r="C1189" s="122"/>
      <c r="D1189" s="112"/>
      <c r="E1189"/>
      <c r="F1189" s="112"/>
      <c r="L1189" s="112"/>
      <c r="N1189" s="44"/>
      <c r="O1189" s="1"/>
    </row>
    <row r="1190" spans="1:15" x14ac:dyDescent="0.3">
      <c r="A1190" s="42"/>
      <c r="C1190"/>
      <c r="D1190"/>
      <c r="E1190"/>
      <c r="F1190"/>
      <c r="N1190" s="44"/>
      <c r="O1190" s="1"/>
    </row>
    <row r="1191" spans="1:15" x14ac:dyDescent="0.3">
      <c r="A1191" s="42"/>
      <c r="C1191"/>
      <c r="D1191"/>
      <c r="E1191"/>
      <c r="F1191"/>
      <c r="N1191" s="44"/>
      <c r="O1191" s="1"/>
    </row>
    <row r="1192" spans="1:15" ht="15.6" x14ac:dyDescent="0.3">
      <c r="A1192" s="42"/>
      <c r="C1192" s="122"/>
      <c r="D1192" s="112"/>
      <c r="E1192"/>
      <c r="F1192" s="112"/>
      <c r="L1192" s="112"/>
      <c r="N1192" s="44"/>
      <c r="O1192" s="1"/>
    </row>
    <row r="1193" spans="1:15" ht="15.6" x14ac:dyDescent="0.3">
      <c r="A1193" s="42"/>
      <c r="C1193" s="122"/>
      <c r="D1193" s="112"/>
      <c r="E1193"/>
      <c r="F1193"/>
      <c r="L1193" s="112"/>
      <c r="N1193" s="44"/>
      <c r="O1193" s="1"/>
    </row>
    <row r="1194" spans="1:15" ht="15.6" x14ac:dyDescent="0.3">
      <c r="A1194" s="42"/>
      <c r="C1194" s="122"/>
      <c r="D1194" s="112"/>
      <c r="E1194"/>
      <c r="F1194"/>
      <c r="L1194" s="112"/>
      <c r="N1194" s="44"/>
      <c r="O1194" s="1"/>
    </row>
    <row r="1195" spans="1:15" ht="15.6" x14ac:dyDescent="0.3">
      <c r="A1195" s="42"/>
      <c r="C1195" s="122"/>
      <c r="D1195" s="112"/>
      <c r="E1195"/>
      <c r="F1195"/>
      <c r="L1195" s="112"/>
      <c r="N1195" s="44"/>
      <c r="O1195" s="1"/>
    </row>
    <row r="1196" spans="1:15" x14ac:dyDescent="0.3">
      <c r="A1196" s="42"/>
      <c r="C1196"/>
      <c r="D1196"/>
      <c r="E1196"/>
      <c r="F1196"/>
      <c r="N1196" s="44"/>
      <c r="O1196" s="1"/>
    </row>
    <row r="1197" spans="1:15" x14ac:dyDescent="0.3">
      <c r="A1197" s="42"/>
      <c r="C1197" s="52"/>
      <c r="D1197"/>
      <c r="E1197"/>
      <c r="F1197"/>
      <c r="N1197" s="44"/>
      <c r="O1197" s="1"/>
    </row>
    <row r="1198" spans="1:15" x14ac:dyDescent="0.3">
      <c r="A1198" s="42"/>
      <c r="C1198" s="52"/>
      <c r="D1198"/>
      <c r="E1198"/>
      <c r="F1198"/>
      <c r="N1198" s="44"/>
      <c r="O1198" s="1"/>
    </row>
    <row r="1199" spans="1:15" x14ac:dyDescent="0.3">
      <c r="A1199" s="42"/>
      <c r="C1199" s="52"/>
      <c r="D1199"/>
      <c r="E1199"/>
      <c r="F1199"/>
      <c r="N1199" s="44"/>
      <c r="O1199" s="1"/>
    </row>
    <row r="1200" spans="1:15" ht="15.6" x14ac:dyDescent="0.3">
      <c r="A1200" s="42"/>
      <c r="C1200" s="122"/>
      <c r="D1200" s="112"/>
      <c r="E1200"/>
      <c r="F1200" s="112"/>
      <c r="L1200" s="112"/>
      <c r="N1200" s="44"/>
      <c r="O1200" s="1"/>
    </row>
    <row r="1201" spans="1:15" ht="15.6" x14ac:dyDescent="0.3">
      <c r="A1201" s="42"/>
      <c r="C1201" s="122"/>
      <c r="D1201" s="112"/>
      <c r="E1201"/>
      <c r="F1201" s="112"/>
      <c r="L1201" s="112"/>
      <c r="N1201" s="44"/>
      <c r="O1201" s="1"/>
    </row>
    <row r="1202" spans="1:15" x14ac:dyDescent="0.3">
      <c r="A1202" s="42"/>
      <c r="C1202"/>
      <c r="D1202"/>
      <c r="E1202"/>
      <c r="F1202"/>
      <c r="N1202" s="44"/>
      <c r="O1202" s="1"/>
    </row>
    <row r="1203" spans="1:15" x14ac:dyDescent="0.3">
      <c r="A1203" s="42"/>
      <c r="C1203"/>
      <c r="D1203"/>
      <c r="E1203"/>
      <c r="F1203"/>
      <c r="N1203" s="44"/>
      <c r="O1203" s="1"/>
    </row>
    <row r="1204" spans="1:15" ht="15.6" x14ac:dyDescent="0.3">
      <c r="A1204" s="42"/>
      <c r="C1204" s="122"/>
      <c r="D1204" s="112"/>
      <c r="E1204"/>
      <c r="F1204" s="112"/>
      <c r="L1204" s="112"/>
      <c r="N1204" s="44"/>
      <c r="O1204" s="113"/>
    </row>
    <row r="1205" spans="1:15" x14ac:dyDescent="0.3">
      <c r="A1205" s="42"/>
      <c r="C1205" s="52"/>
      <c r="D1205"/>
      <c r="E1205"/>
      <c r="F1205"/>
      <c r="N1205" s="44"/>
    </row>
    <row r="1206" spans="1:15" x14ac:dyDescent="0.3">
      <c r="A1206" s="42"/>
      <c r="C1206" s="52"/>
      <c r="D1206"/>
      <c r="E1206"/>
      <c r="F1206"/>
      <c r="N1206" s="44"/>
    </row>
    <row r="1207" spans="1:15" x14ac:dyDescent="0.3">
      <c r="A1207" s="42"/>
      <c r="C1207"/>
      <c r="D1207"/>
      <c r="E1207"/>
      <c r="F1207"/>
      <c r="N1207" s="44"/>
    </row>
    <row r="1208" spans="1:15" x14ac:dyDescent="0.3">
      <c r="A1208" s="42"/>
      <c r="C1208" s="52"/>
      <c r="D1208"/>
      <c r="E1208"/>
      <c r="F1208"/>
      <c r="N1208" s="44"/>
    </row>
    <row r="1209" spans="1:15" x14ac:dyDescent="0.3">
      <c r="A1209" s="42"/>
      <c r="C1209" s="52"/>
      <c r="D1209"/>
      <c r="E1209"/>
      <c r="F1209"/>
      <c r="N1209" s="44"/>
    </row>
    <row r="1210" spans="1:15" x14ac:dyDescent="0.3">
      <c r="A1210" s="42"/>
      <c r="C1210"/>
      <c r="D1210"/>
      <c r="E1210"/>
      <c r="F1210"/>
      <c r="N1210" s="44"/>
    </row>
    <row r="1211" spans="1:15" x14ac:dyDescent="0.3">
      <c r="A1211" s="42"/>
      <c r="C1211" s="52"/>
      <c r="D1211"/>
      <c r="E1211"/>
      <c r="F1211"/>
      <c r="N1211" s="44"/>
    </row>
    <row r="1212" spans="1:15" x14ac:dyDescent="0.3">
      <c r="A1212" s="42"/>
      <c r="C1212" s="52"/>
      <c r="D1212"/>
      <c r="E1212"/>
      <c r="F1212"/>
      <c r="N1212" s="44"/>
    </row>
    <row r="1213" spans="1:15" ht="15.6" x14ac:dyDescent="0.3">
      <c r="A1213" s="42"/>
      <c r="C1213" s="122"/>
      <c r="D1213" s="115"/>
      <c r="E1213"/>
      <c r="F1213"/>
      <c r="L1213" s="112"/>
      <c r="N1213" s="44"/>
    </row>
    <row r="1214" spans="1:15" x14ac:dyDescent="0.3">
      <c r="A1214" s="42"/>
      <c r="C1214"/>
      <c r="D1214"/>
      <c r="E1214"/>
      <c r="F1214"/>
      <c r="N1214" s="44"/>
    </row>
    <row r="1215" spans="1:15" x14ac:dyDescent="0.3">
      <c r="A1215" s="42"/>
      <c r="C1215" s="52"/>
      <c r="D1215"/>
      <c r="E1215"/>
      <c r="F1215"/>
      <c r="N1215" s="44"/>
    </row>
    <row r="1216" spans="1:15" x14ac:dyDescent="0.3">
      <c r="A1216" s="42"/>
      <c r="C1216" s="52"/>
      <c r="D1216"/>
      <c r="E1216"/>
      <c r="F1216"/>
      <c r="N1216" s="44"/>
    </row>
    <row r="1217" spans="1:14" x14ac:dyDescent="0.3">
      <c r="A1217" s="42"/>
      <c r="C1217" s="52"/>
      <c r="D1217"/>
      <c r="E1217"/>
      <c r="F1217"/>
      <c r="N1217" s="44"/>
    </row>
    <row r="1218" spans="1:14" ht="15.6" x14ac:dyDescent="0.3">
      <c r="A1218" s="42"/>
      <c r="C1218" s="122"/>
      <c r="D1218" s="112"/>
      <c r="E1218"/>
      <c r="F1218" s="112"/>
      <c r="L1218" s="112"/>
      <c r="N1218" s="44"/>
    </row>
    <row r="1219" spans="1:14" ht="15.6" x14ac:dyDescent="0.3">
      <c r="A1219" s="42"/>
      <c r="C1219" s="122"/>
      <c r="D1219" s="112"/>
      <c r="E1219"/>
      <c r="F1219" s="112"/>
      <c r="L1219" s="112"/>
      <c r="N1219" s="44"/>
    </row>
    <row r="1220" spans="1:14" x14ac:dyDescent="0.3">
      <c r="A1220" s="42"/>
      <c r="C1220"/>
      <c r="D1220"/>
      <c r="E1220"/>
      <c r="F1220"/>
      <c r="N1220" s="44"/>
    </row>
    <row r="1221" spans="1:14" x14ac:dyDescent="0.3">
      <c r="A1221" s="42"/>
      <c r="C1221"/>
      <c r="D1221"/>
      <c r="E1221"/>
      <c r="F1221"/>
      <c r="N1221" s="44"/>
    </row>
    <row r="1222" spans="1:14" x14ac:dyDescent="0.3">
      <c r="A1222" s="42"/>
      <c r="C1222" s="52"/>
      <c r="D1222"/>
      <c r="E1222"/>
      <c r="F1222"/>
      <c r="M1222" s="45"/>
      <c r="N1222" s="44"/>
    </row>
    <row r="1223" spans="1:14" x14ac:dyDescent="0.3">
      <c r="A1223" s="42"/>
      <c r="C1223" s="52"/>
      <c r="D1223"/>
      <c r="E1223"/>
      <c r="F1223"/>
      <c r="N1223" s="44"/>
    </row>
    <row r="1224" spans="1:14" x14ac:dyDescent="0.3">
      <c r="A1224" s="42"/>
      <c r="C1224" s="52"/>
      <c r="D1224"/>
      <c r="E1224"/>
      <c r="F1224"/>
      <c r="N1224" s="44"/>
    </row>
    <row r="1225" spans="1:14" x14ac:dyDescent="0.3">
      <c r="A1225" s="42"/>
      <c r="C1225" s="52"/>
      <c r="D1225"/>
      <c r="E1225"/>
      <c r="F1225"/>
      <c r="N1225" s="44"/>
    </row>
    <row r="1226" spans="1:14" x14ac:dyDescent="0.3">
      <c r="A1226" s="42"/>
      <c r="C1226" s="52"/>
      <c r="D1226"/>
      <c r="E1226"/>
      <c r="F1226"/>
      <c r="N1226" s="44"/>
    </row>
    <row r="1227" spans="1:14" x14ac:dyDescent="0.3">
      <c r="A1227" s="42"/>
      <c r="C1227" s="52"/>
      <c r="D1227"/>
      <c r="E1227"/>
      <c r="F1227"/>
      <c r="N1227" s="44"/>
    </row>
    <row r="1228" spans="1:14" x14ac:dyDescent="0.3">
      <c r="A1228" s="42"/>
      <c r="C1228" s="52"/>
      <c r="D1228"/>
      <c r="E1228"/>
      <c r="F1228"/>
      <c r="N1228" s="44"/>
    </row>
    <row r="1229" spans="1:14" x14ac:dyDescent="0.3">
      <c r="A1229" s="42"/>
      <c r="C1229" s="52"/>
      <c r="D1229"/>
      <c r="E1229"/>
      <c r="F1229"/>
      <c r="N1229" s="44"/>
    </row>
    <row r="1230" spans="1:14" x14ac:dyDescent="0.3">
      <c r="A1230" s="42"/>
      <c r="C1230" s="52"/>
      <c r="D1230"/>
      <c r="E1230"/>
      <c r="F1230"/>
      <c r="N1230" s="44"/>
    </row>
    <row r="1231" spans="1:14" x14ac:dyDescent="0.3">
      <c r="A1231" s="42"/>
      <c r="C1231" s="52"/>
      <c r="D1231"/>
      <c r="E1231"/>
      <c r="F1231"/>
      <c r="N1231" s="44"/>
    </row>
    <row r="1232" spans="1:14" x14ac:dyDescent="0.3">
      <c r="A1232" s="42"/>
      <c r="C1232" s="52"/>
      <c r="D1232"/>
      <c r="E1232"/>
      <c r="F1232"/>
      <c r="N1232" s="44"/>
    </row>
    <row r="1233" spans="1:14" x14ac:dyDescent="0.3">
      <c r="A1233" s="42"/>
      <c r="C1233" s="52"/>
      <c r="D1233"/>
      <c r="E1233"/>
      <c r="F1233"/>
      <c r="N1233" s="44"/>
    </row>
    <row r="1234" spans="1:14" x14ac:dyDescent="0.3">
      <c r="A1234" s="42"/>
      <c r="C1234" s="52"/>
      <c r="D1234"/>
      <c r="E1234"/>
      <c r="F1234"/>
      <c r="N1234" s="44"/>
    </row>
    <row r="1235" spans="1:14" x14ac:dyDescent="0.3">
      <c r="A1235" s="42"/>
      <c r="C1235" s="52"/>
      <c r="D1235"/>
      <c r="E1235"/>
      <c r="F1235"/>
      <c r="N1235" s="44"/>
    </row>
    <row r="1236" spans="1:14" x14ac:dyDescent="0.3">
      <c r="A1236" s="42"/>
      <c r="C1236" s="52"/>
      <c r="D1236"/>
      <c r="E1236"/>
      <c r="F1236"/>
      <c r="N1236" s="44"/>
    </row>
    <row r="1237" spans="1:14" x14ac:dyDescent="0.3">
      <c r="A1237" s="42"/>
      <c r="C1237" s="52"/>
      <c r="D1237"/>
      <c r="E1237"/>
      <c r="F1237"/>
      <c r="N1237" s="44"/>
    </row>
    <row r="1238" spans="1:14" x14ac:dyDescent="0.3">
      <c r="A1238" s="42"/>
      <c r="C1238" s="52"/>
      <c r="D1238"/>
      <c r="E1238"/>
      <c r="F1238"/>
      <c r="N1238" s="44"/>
    </row>
    <row r="1239" spans="1:14" x14ac:dyDescent="0.3">
      <c r="A1239" s="42"/>
      <c r="C1239" s="52"/>
      <c r="D1239"/>
      <c r="E1239"/>
      <c r="F1239"/>
      <c r="N1239" s="44"/>
    </row>
    <row r="1240" spans="1:14" x14ac:dyDescent="0.3">
      <c r="A1240" s="42"/>
      <c r="C1240" s="52"/>
      <c r="D1240"/>
      <c r="E1240"/>
      <c r="F1240"/>
      <c r="N1240" s="44"/>
    </row>
    <row r="1241" spans="1:14" x14ac:dyDescent="0.3">
      <c r="A1241" s="42"/>
      <c r="C1241" s="52"/>
      <c r="D1241"/>
      <c r="E1241"/>
      <c r="F1241"/>
      <c r="N1241" s="44"/>
    </row>
    <row r="1242" spans="1:14" x14ac:dyDescent="0.3">
      <c r="A1242" s="42"/>
      <c r="C1242" s="52"/>
      <c r="D1242"/>
      <c r="E1242"/>
      <c r="F1242"/>
      <c r="N1242" s="44"/>
    </row>
    <row r="1243" spans="1:14" x14ac:dyDescent="0.3">
      <c r="A1243" s="42"/>
      <c r="C1243" s="52"/>
      <c r="D1243"/>
      <c r="E1243"/>
      <c r="F1243"/>
      <c r="N1243" s="44"/>
    </row>
    <row r="1244" spans="1:14" x14ac:dyDescent="0.3">
      <c r="A1244" s="42"/>
      <c r="C1244" s="52"/>
      <c r="D1244"/>
      <c r="E1244"/>
      <c r="F1244"/>
      <c r="N1244" s="44"/>
    </row>
    <row r="1245" spans="1:14" x14ac:dyDescent="0.3">
      <c r="A1245" s="42"/>
      <c r="C1245" s="52"/>
      <c r="D1245"/>
      <c r="E1245"/>
      <c r="F1245"/>
      <c r="N1245" s="44"/>
    </row>
    <row r="1246" spans="1:14" x14ac:dyDescent="0.3">
      <c r="A1246" s="42"/>
      <c r="C1246" s="52"/>
      <c r="D1246"/>
      <c r="E1246"/>
      <c r="F1246"/>
      <c r="N1246" s="44"/>
    </row>
    <row r="1247" spans="1:14" x14ac:dyDescent="0.3">
      <c r="A1247" s="42"/>
      <c r="C1247" s="52"/>
      <c r="D1247"/>
      <c r="E1247"/>
      <c r="F1247"/>
      <c r="N1247" s="44"/>
    </row>
    <row r="1248" spans="1:14" x14ac:dyDescent="0.3">
      <c r="A1248" s="42"/>
      <c r="C1248" s="52"/>
      <c r="D1248"/>
      <c r="E1248"/>
      <c r="F1248"/>
      <c r="N1248" s="44"/>
    </row>
    <row r="1249" spans="1:14" x14ac:dyDescent="0.3">
      <c r="A1249" s="42"/>
      <c r="C1249" s="52"/>
      <c r="D1249"/>
      <c r="E1249"/>
      <c r="F1249"/>
      <c r="N1249" s="44"/>
    </row>
    <row r="1250" spans="1:14" x14ac:dyDescent="0.3">
      <c r="A1250" s="42"/>
      <c r="C1250" s="52"/>
      <c r="D1250"/>
      <c r="E1250"/>
      <c r="F1250"/>
      <c r="N1250" s="44"/>
    </row>
    <row r="1251" spans="1:14" x14ac:dyDescent="0.3">
      <c r="A1251" s="42"/>
      <c r="C1251" s="52"/>
      <c r="D1251"/>
      <c r="E1251"/>
      <c r="F1251"/>
      <c r="N1251" s="44"/>
    </row>
    <row r="1252" spans="1:14" x14ac:dyDescent="0.3">
      <c r="A1252" s="42"/>
      <c r="C1252" s="52"/>
      <c r="D1252"/>
      <c r="E1252"/>
      <c r="F1252"/>
      <c r="N1252" s="44"/>
    </row>
    <row r="1253" spans="1:14" x14ac:dyDescent="0.3">
      <c r="A1253" s="42"/>
      <c r="C1253" s="52"/>
      <c r="D1253"/>
      <c r="E1253"/>
      <c r="F1253"/>
      <c r="N1253" s="44"/>
    </row>
    <row r="1254" spans="1:14" x14ac:dyDescent="0.3">
      <c r="A1254" s="42"/>
      <c r="C1254" s="52"/>
      <c r="D1254"/>
      <c r="E1254"/>
      <c r="F1254"/>
      <c r="N1254" s="44"/>
    </row>
    <row r="1255" spans="1:14" x14ac:dyDescent="0.3">
      <c r="A1255" s="42"/>
      <c r="C1255" s="52"/>
      <c r="D1255"/>
      <c r="E1255"/>
      <c r="F1255"/>
      <c r="N1255" s="44"/>
    </row>
    <row r="1256" spans="1:14" x14ac:dyDescent="0.3">
      <c r="A1256" s="42"/>
      <c r="C1256" s="52"/>
      <c r="D1256"/>
      <c r="E1256"/>
      <c r="F1256"/>
      <c r="N1256" s="44"/>
    </row>
    <row r="1257" spans="1:14" x14ac:dyDescent="0.3">
      <c r="A1257" s="42"/>
      <c r="C1257" s="52"/>
      <c r="D1257"/>
      <c r="E1257"/>
      <c r="F1257"/>
      <c r="N1257" s="44"/>
    </row>
    <row r="1258" spans="1:14" x14ac:dyDescent="0.3">
      <c r="A1258" s="42"/>
      <c r="C1258" s="52"/>
      <c r="D1258"/>
      <c r="E1258"/>
      <c r="F1258"/>
      <c r="N1258" s="44"/>
    </row>
    <row r="1259" spans="1:14" x14ac:dyDescent="0.3">
      <c r="A1259" s="42"/>
      <c r="C1259" s="52"/>
      <c r="D1259"/>
      <c r="E1259"/>
      <c r="F1259"/>
      <c r="N1259" s="44"/>
    </row>
    <row r="1260" spans="1:14" x14ac:dyDescent="0.3">
      <c r="A1260" s="42"/>
      <c r="C1260" s="52"/>
      <c r="D1260"/>
      <c r="E1260"/>
      <c r="F1260"/>
      <c r="N1260" s="44"/>
    </row>
    <row r="1261" spans="1:14" x14ac:dyDescent="0.3">
      <c r="A1261" s="42"/>
      <c r="C1261" s="52"/>
      <c r="D1261"/>
      <c r="E1261"/>
      <c r="F1261"/>
      <c r="N1261" s="44"/>
    </row>
    <row r="1262" spans="1:14" x14ac:dyDescent="0.3">
      <c r="A1262" s="42"/>
      <c r="C1262" s="52"/>
      <c r="D1262"/>
      <c r="E1262"/>
      <c r="F1262"/>
      <c r="N1262" s="44"/>
    </row>
    <row r="1263" spans="1:14" x14ac:dyDescent="0.3">
      <c r="A1263" s="42"/>
      <c r="C1263" s="52"/>
      <c r="D1263"/>
      <c r="E1263"/>
      <c r="F1263"/>
      <c r="N1263" s="44"/>
    </row>
    <row r="1264" spans="1:14" x14ac:dyDescent="0.3">
      <c r="A1264" s="42"/>
      <c r="C1264" s="52"/>
      <c r="D1264"/>
      <c r="E1264"/>
      <c r="F1264"/>
      <c r="N1264" s="44"/>
    </row>
    <row r="1265" spans="1:14" x14ac:dyDescent="0.3">
      <c r="A1265" s="42"/>
      <c r="C1265" s="52"/>
      <c r="D1265"/>
      <c r="E1265"/>
      <c r="F1265"/>
      <c r="N1265" s="44"/>
    </row>
    <row r="1266" spans="1:14" x14ac:dyDescent="0.3">
      <c r="A1266" s="42"/>
      <c r="C1266" s="52"/>
      <c r="D1266"/>
      <c r="E1266"/>
      <c r="F1266"/>
      <c r="N1266" s="44"/>
    </row>
    <row r="1267" spans="1:14" x14ac:dyDescent="0.3">
      <c r="A1267" s="42"/>
      <c r="C1267" s="52"/>
      <c r="D1267"/>
      <c r="E1267"/>
      <c r="F1267"/>
      <c r="N1267" s="44"/>
    </row>
    <row r="1268" spans="1:14" x14ac:dyDescent="0.3">
      <c r="A1268" s="42"/>
      <c r="C1268" s="52"/>
      <c r="D1268"/>
      <c r="E1268"/>
      <c r="F1268"/>
      <c r="N1268" s="44"/>
    </row>
    <row r="1269" spans="1:14" x14ac:dyDescent="0.3">
      <c r="A1269" s="42"/>
      <c r="C1269" s="52"/>
      <c r="D1269"/>
      <c r="E1269"/>
      <c r="F1269"/>
      <c r="N1269" s="44"/>
    </row>
    <row r="1270" spans="1:14" x14ac:dyDescent="0.3">
      <c r="A1270" s="42"/>
      <c r="C1270" s="52"/>
      <c r="D1270"/>
      <c r="E1270"/>
      <c r="F1270"/>
      <c r="N1270" s="44"/>
    </row>
    <row r="1271" spans="1:14" x14ac:dyDescent="0.3">
      <c r="A1271" s="42"/>
      <c r="C1271" s="52"/>
      <c r="D1271"/>
      <c r="E1271"/>
      <c r="F1271"/>
      <c r="N1271" s="44"/>
    </row>
    <row r="1272" spans="1:14" x14ac:dyDescent="0.3">
      <c r="A1272" s="42"/>
      <c r="C1272" s="52"/>
      <c r="D1272"/>
      <c r="E1272"/>
      <c r="F1272"/>
      <c r="N1272" s="44"/>
    </row>
    <row r="1273" spans="1:14" x14ac:dyDescent="0.3">
      <c r="A1273" s="42"/>
      <c r="C1273" s="52"/>
      <c r="D1273"/>
      <c r="E1273"/>
      <c r="F1273"/>
      <c r="N1273" s="44"/>
    </row>
    <row r="1274" spans="1:14" x14ac:dyDescent="0.3">
      <c r="A1274" s="42"/>
      <c r="C1274" s="52"/>
      <c r="D1274"/>
      <c r="E1274"/>
      <c r="F1274"/>
      <c r="N1274" s="44"/>
    </row>
    <row r="1275" spans="1:14" x14ac:dyDescent="0.3">
      <c r="A1275" s="42"/>
      <c r="C1275" s="52"/>
      <c r="D1275"/>
      <c r="E1275"/>
      <c r="F1275"/>
      <c r="N1275" s="44"/>
    </row>
    <row r="1276" spans="1:14" x14ac:dyDescent="0.3">
      <c r="A1276" s="42"/>
      <c r="C1276" s="52"/>
      <c r="D1276"/>
      <c r="E1276"/>
      <c r="F1276"/>
      <c r="N1276" s="44"/>
    </row>
    <row r="1277" spans="1:14" x14ac:dyDescent="0.3">
      <c r="A1277" s="42"/>
      <c r="C1277" s="52"/>
      <c r="D1277"/>
      <c r="E1277"/>
      <c r="F1277"/>
      <c r="N1277" s="44"/>
    </row>
    <row r="1278" spans="1:14" x14ac:dyDescent="0.3">
      <c r="A1278" s="42"/>
      <c r="C1278" s="52"/>
      <c r="D1278"/>
      <c r="E1278"/>
      <c r="F1278"/>
      <c r="N1278" s="44"/>
    </row>
    <row r="1279" spans="1:14" x14ac:dyDescent="0.3">
      <c r="A1279" s="42"/>
      <c r="C1279" s="52"/>
      <c r="D1279"/>
      <c r="E1279"/>
      <c r="F1279"/>
      <c r="N1279" s="44"/>
    </row>
    <row r="1280" spans="1:14" x14ac:dyDescent="0.3">
      <c r="A1280" s="42"/>
      <c r="C1280" s="52"/>
      <c r="D1280"/>
      <c r="E1280"/>
      <c r="F1280"/>
      <c r="N1280" s="44"/>
    </row>
    <row r="1281" spans="1:14" x14ac:dyDescent="0.3">
      <c r="A1281" s="42"/>
      <c r="C1281" s="52"/>
      <c r="D1281"/>
      <c r="E1281"/>
      <c r="F1281"/>
      <c r="N1281" s="44"/>
    </row>
    <row r="1282" spans="1:14" x14ac:dyDescent="0.3">
      <c r="A1282" s="42"/>
      <c r="C1282" s="52"/>
      <c r="D1282"/>
      <c r="E1282"/>
      <c r="F1282"/>
      <c r="N1282" s="44"/>
    </row>
    <row r="1283" spans="1:14" x14ac:dyDescent="0.3">
      <c r="A1283" s="42"/>
      <c r="C1283" s="52"/>
      <c r="D1283"/>
      <c r="E1283"/>
      <c r="F1283"/>
      <c r="N1283" s="44"/>
    </row>
    <row r="1284" spans="1:14" x14ac:dyDescent="0.3">
      <c r="A1284" s="42"/>
      <c r="C1284" s="52"/>
      <c r="D1284"/>
      <c r="E1284"/>
      <c r="F1284"/>
      <c r="N1284" s="44"/>
    </row>
    <row r="1285" spans="1:14" x14ac:dyDescent="0.3">
      <c r="A1285" s="42"/>
      <c r="C1285" s="52"/>
      <c r="D1285"/>
      <c r="E1285"/>
      <c r="F1285"/>
      <c r="N1285" s="44"/>
    </row>
    <row r="1286" spans="1:14" x14ac:dyDescent="0.3">
      <c r="A1286" s="42"/>
      <c r="C1286" s="52"/>
      <c r="D1286"/>
      <c r="E1286"/>
      <c r="F1286"/>
      <c r="N1286" s="44"/>
    </row>
    <row r="1287" spans="1:14" x14ac:dyDescent="0.3">
      <c r="A1287" s="42"/>
      <c r="C1287" s="52"/>
      <c r="D1287"/>
      <c r="E1287"/>
      <c r="F1287"/>
      <c r="N1287" s="44"/>
    </row>
    <row r="1288" spans="1:14" x14ac:dyDescent="0.3">
      <c r="A1288" s="42"/>
      <c r="C1288" s="52"/>
      <c r="D1288"/>
      <c r="E1288"/>
      <c r="F1288"/>
      <c r="N1288" s="44"/>
    </row>
    <row r="1289" spans="1:14" x14ac:dyDescent="0.3">
      <c r="A1289" s="42"/>
      <c r="C1289" s="52"/>
      <c r="D1289"/>
      <c r="E1289"/>
      <c r="F1289"/>
      <c r="N1289" s="44"/>
    </row>
    <row r="1290" spans="1:14" x14ac:dyDescent="0.3">
      <c r="A1290" s="42"/>
      <c r="C1290" s="52"/>
      <c r="D1290"/>
      <c r="E1290"/>
      <c r="F1290"/>
      <c r="N1290" s="44"/>
    </row>
    <row r="1291" spans="1:14" x14ac:dyDescent="0.3">
      <c r="A1291" s="42"/>
      <c r="C1291" s="52"/>
      <c r="D1291"/>
      <c r="E1291"/>
      <c r="F1291"/>
      <c r="N1291" s="44"/>
    </row>
    <row r="1292" spans="1:14" x14ac:dyDescent="0.3">
      <c r="A1292" s="42"/>
      <c r="C1292" s="52"/>
      <c r="D1292"/>
      <c r="E1292"/>
      <c r="F1292"/>
      <c r="N1292" s="44"/>
    </row>
    <row r="1293" spans="1:14" x14ac:dyDescent="0.3">
      <c r="A1293" s="42"/>
      <c r="C1293" s="52"/>
      <c r="D1293"/>
      <c r="E1293"/>
      <c r="F1293"/>
      <c r="N1293" s="44"/>
    </row>
    <row r="1294" spans="1:14" x14ac:dyDescent="0.3">
      <c r="A1294" s="42"/>
      <c r="C1294" s="52"/>
      <c r="D1294"/>
      <c r="E1294"/>
      <c r="F1294"/>
      <c r="N1294" s="44"/>
    </row>
    <row r="1295" spans="1:14" x14ac:dyDescent="0.3">
      <c r="A1295" s="42"/>
      <c r="C1295" s="52"/>
      <c r="D1295"/>
      <c r="E1295"/>
      <c r="F1295"/>
      <c r="N1295" s="44"/>
    </row>
    <row r="1296" spans="1:14" x14ac:dyDescent="0.3">
      <c r="A1296" s="42"/>
      <c r="C1296" s="52"/>
      <c r="D1296"/>
      <c r="E1296"/>
      <c r="F1296"/>
      <c r="M1296" s="45"/>
      <c r="N1296" s="44"/>
    </row>
    <row r="1297" spans="1:14" x14ac:dyDescent="0.3">
      <c r="A1297" s="42"/>
      <c r="C1297" s="52"/>
      <c r="D1297"/>
      <c r="E1297"/>
      <c r="F1297"/>
      <c r="N1297" s="44"/>
    </row>
    <row r="1298" spans="1:14" x14ac:dyDescent="0.3">
      <c r="A1298" s="42"/>
      <c r="C1298" s="52"/>
      <c r="D1298"/>
      <c r="E1298"/>
      <c r="F1298"/>
      <c r="N1298" s="44"/>
    </row>
    <row r="1299" spans="1:14" x14ac:dyDescent="0.3">
      <c r="A1299" s="42"/>
      <c r="C1299" s="52"/>
      <c r="D1299"/>
      <c r="E1299"/>
      <c r="F1299"/>
      <c r="N1299" s="44"/>
    </row>
    <row r="1300" spans="1:14" x14ac:dyDescent="0.3">
      <c r="A1300" s="42"/>
      <c r="C1300" s="52"/>
      <c r="D1300"/>
      <c r="E1300"/>
      <c r="F1300"/>
      <c r="N1300" s="44"/>
    </row>
    <row r="1301" spans="1:14" x14ac:dyDescent="0.3">
      <c r="A1301" s="42"/>
      <c r="C1301" s="52"/>
      <c r="D1301"/>
      <c r="E1301"/>
      <c r="F1301"/>
      <c r="N1301" s="44"/>
    </row>
    <row r="1302" spans="1:14" x14ac:dyDescent="0.3">
      <c r="A1302" s="42"/>
      <c r="C1302" s="52"/>
      <c r="D1302"/>
      <c r="E1302"/>
      <c r="F1302"/>
      <c r="N1302" s="44"/>
    </row>
    <row r="1303" spans="1:14" x14ac:dyDescent="0.3">
      <c r="A1303" s="42"/>
      <c r="C1303" s="52"/>
      <c r="D1303"/>
      <c r="E1303"/>
      <c r="F1303"/>
      <c r="N1303" s="44"/>
    </row>
    <row r="1304" spans="1:14" x14ac:dyDescent="0.3">
      <c r="A1304" s="42"/>
      <c r="C1304" s="52"/>
      <c r="D1304"/>
      <c r="E1304"/>
      <c r="F1304"/>
      <c r="N1304" s="44"/>
    </row>
    <row r="1305" spans="1:14" x14ac:dyDescent="0.3">
      <c r="A1305" s="42"/>
      <c r="C1305" s="52"/>
      <c r="D1305"/>
      <c r="E1305"/>
      <c r="F1305"/>
      <c r="N1305" s="44"/>
    </row>
    <row r="1306" spans="1:14" x14ac:dyDescent="0.3">
      <c r="A1306" s="42"/>
      <c r="C1306" s="52"/>
      <c r="D1306"/>
      <c r="E1306"/>
      <c r="F1306"/>
      <c r="N1306" s="44"/>
    </row>
    <row r="1307" spans="1:14" x14ac:dyDescent="0.3">
      <c r="A1307" s="42"/>
      <c r="C1307" s="52"/>
      <c r="D1307"/>
      <c r="E1307"/>
      <c r="F1307"/>
      <c r="N1307" s="44"/>
    </row>
    <row r="1308" spans="1:14" x14ac:dyDescent="0.3">
      <c r="A1308" s="42"/>
      <c r="C1308" s="52"/>
      <c r="D1308"/>
      <c r="E1308"/>
      <c r="F1308"/>
      <c r="N1308" s="44"/>
    </row>
    <row r="1309" spans="1:14" x14ac:dyDescent="0.3">
      <c r="A1309" s="42"/>
      <c r="C1309" s="52"/>
      <c r="D1309"/>
      <c r="E1309"/>
      <c r="F1309"/>
      <c r="N1309" s="44"/>
    </row>
    <row r="1310" spans="1:14" x14ac:dyDescent="0.3">
      <c r="A1310" s="42"/>
      <c r="C1310" s="52"/>
      <c r="D1310"/>
      <c r="E1310"/>
      <c r="F1310"/>
      <c r="N1310" s="44"/>
    </row>
    <row r="1311" spans="1:14" x14ac:dyDescent="0.3">
      <c r="A1311" s="42"/>
      <c r="C1311" s="52"/>
      <c r="D1311"/>
      <c r="E1311"/>
      <c r="F1311"/>
      <c r="N1311" s="44"/>
    </row>
    <row r="1312" spans="1:14" x14ac:dyDescent="0.3">
      <c r="A1312" s="42"/>
      <c r="C1312" s="52"/>
      <c r="D1312"/>
      <c r="E1312"/>
      <c r="F1312"/>
      <c r="N1312" s="44"/>
    </row>
    <row r="1313" spans="1:14" x14ac:dyDescent="0.3">
      <c r="A1313" s="42"/>
      <c r="C1313" s="52"/>
      <c r="D1313"/>
      <c r="E1313"/>
      <c r="F1313"/>
      <c r="N1313" s="44"/>
    </row>
    <row r="1314" spans="1:14" x14ac:dyDescent="0.3">
      <c r="A1314" s="42"/>
      <c r="C1314" s="52"/>
      <c r="D1314"/>
      <c r="E1314"/>
      <c r="F1314"/>
      <c r="N1314" s="44"/>
    </row>
    <row r="1315" spans="1:14" x14ac:dyDescent="0.3">
      <c r="A1315" s="42"/>
      <c r="C1315" s="52"/>
      <c r="D1315"/>
      <c r="E1315"/>
      <c r="F1315"/>
      <c r="N1315" s="44"/>
    </row>
    <row r="1316" spans="1:14" x14ac:dyDescent="0.3">
      <c r="A1316" s="42"/>
      <c r="C1316" s="52"/>
      <c r="D1316"/>
      <c r="E1316"/>
      <c r="F1316"/>
      <c r="N1316" s="44"/>
    </row>
    <row r="1317" spans="1:14" x14ac:dyDescent="0.3">
      <c r="A1317" s="42"/>
      <c r="C1317" s="52"/>
      <c r="D1317"/>
      <c r="E1317"/>
      <c r="F1317"/>
      <c r="N1317" s="44"/>
    </row>
    <row r="1318" spans="1:14" x14ac:dyDescent="0.3">
      <c r="A1318" s="42"/>
      <c r="C1318" s="52"/>
      <c r="D1318"/>
      <c r="E1318"/>
      <c r="F1318"/>
      <c r="N1318" s="44"/>
    </row>
    <row r="1319" spans="1:14" x14ac:dyDescent="0.3">
      <c r="A1319" s="42"/>
      <c r="C1319" s="52"/>
      <c r="D1319"/>
      <c r="E1319"/>
      <c r="F1319"/>
      <c r="N1319" s="44"/>
    </row>
    <row r="1320" spans="1:14" x14ac:dyDescent="0.3">
      <c r="A1320" s="42"/>
      <c r="C1320" s="52"/>
      <c r="D1320"/>
      <c r="E1320"/>
      <c r="F1320"/>
      <c r="N1320" s="44"/>
    </row>
    <row r="1321" spans="1:14" x14ac:dyDescent="0.3">
      <c r="A1321" s="42"/>
      <c r="C1321" s="52"/>
      <c r="D1321"/>
      <c r="E1321"/>
      <c r="F1321"/>
      <c r="N1321" s="44"/>
    </row>
    <row r="1322" spans="1:14" x14ac:dyDescent="0.3">
      <c r="A1322" s="42"/>
      <c r="C1322" s="52"/>
      <c r="D1322"/>
      <c r="E1322"/>
      <c r="F1322"/>
      <c r="N1322" s="44"/>
    </row>
    <row r="1323" spans="1:14" x14ac:dyDescent="0.3">
      <c r="A1323" s="42"/>
      <c r="C1323" s="52"/>
      <c r="D1323"/>
      <c r="E1323"/>
      <c r="F1323"/>
      <c r="N1323" s="44"/>
    </row>
    <row r="1324" spans="1:14" x14ac:dyDescent="0.3">
      <c r="A1324" s="42"/>
      <c r="C1324" s="52"/>
      <c r="D1324"/>
      <c r="E1324"/>
      <c r="F1324"/>
      <c r="N1324" s="44"/>
    </row>
    <row r="1325" spans="1:14" x14ac:dyDescent="0.3">
      <c r="A1325" s="42"/>
      <c r="C1325" s="52"/>
      <c r="D1325"/>
      <c r="E1325"/>
      <c r="F1325"/>
      <c r="N1325" s="44"/>
    </row>
    <row r="1326" spans="1:14" x14ac:dyDescent="0.3">
      <c r="A1326" s="42"/>
      <c r="C1326" s="52"/>
      <c r="D1326"/>
      <c r="E1326"/>
      <c r="F1326"/>
      <c r="N1326" s="44"/>
    </row>
    <row r="1327" spans="1:14" x14ac:dyDescent="0.3">
      <c r="A1327" s="42"/>
      <c r="C1327" s="52"/>
      <c r="D1327"/>
      <c r="E1327"/>
      <c r="F1327"/>
      <c r="N1327" s="44"/>
    </row>
    <row r="1328" spans="1:14" x14ac:dyDescent="0.3">
      <c r="A1328" s="42"/>
      <c r="C1328" s="52"/>
      <c r="D1328"/>
      <c r="E1328"/>
      <c r="F1328"/>
      <c r="N1328" s="44"/>
    </row>
    <row r="1329" spans="1:14" x14ac:dyDescent="0.3">
      <c r="A1329" s="42"/>
      <c r="C1329" s="52"/>
      <c r="D1329"/>
      <c r="E1329"/>
      <c r="F1329"/>
      <c r="N1329" s="44"/>
    </row>
    <row r="1330" spans="1:14" x14ac:dyDescent="0.3">
      <c r="A1330" s="42"/>
      <c r="C1330" s="52"/>
      <c r="D1330"/>
      <c r="E1330"/>
      <c r="F1330"/>
      <c r="N1330" s="44"/>
    </row>
    <row r="1331" spans="1:14" x14ac:dyDescent="0.3">
      <c r="A1331" s="42"/>
      <c r="C1331" s="52"/>
      <c r="D1331"/>
      <c r="E1331"/>
      <c r="F1331"/>
      <c r="N1331" s="44"/>
    </row>
    <row r="1332" spans="1:14" x14ac:dyDescent="0.3">
      <c r="A1332" s="42"/>
      <c r="C1332" s="52"/>
      <c r="D1332"/>
      <c r="E1332"/>
      <c r="F1332"/>
      <c r="N1332" s="44"/>
    </row>
    <row r="1333" spans="1:14" x14ac:dyDescent="0.3">
      <c r="A1333" s="42"/>
      <c r="C1333" s="52"/>
      <c r="D1333"/>
      <c r="E1333"/>
      <c r="F1333"/>
      <c r="N1333" s="44"/>
    </row>
    <row r="1334" spans="1:14" x14ac:dyDescent="0.3">
      <c r="A1334" s="42"/>
      <c r="C1334" s="52"/>
      <c r="D1334"/>
      <c r="E1334"/>
      <c r="F1334"/>
      <c r="N1334" s="44"/>
    </row>
    <row r="1335" spans="1:14" x14ac:dyDescent="0.3">
      <c r="A1335" s="42"/>
      <c r="C1335" s="52"/>
      <c r="D1335"/>
      <c r="E1335"/>
      <c r="F1335"/>
      <c r="N1335" s="44"/>
    </row>
    <row r="1336" spans="1:14" x14ac:dyDescent="0.3">
      <c r="A1336" s="42"/>
      <c r="C1336" s="52"/>
      <c r="D1336"/>
      <c r="E1336"/>
      <c r="F1336"/>
      <c r="N1336" s="44"/>
    </row>
    <row r="1337" spans="1:14" x14ac:dyDescent="0.3">
      <c r="A1337" s="42"/>
      <c r="C1337" s="52"/>
      <c r="D1337"/>
      <c r="E1337"/>
      <c r="F1337"/>
      <c r="N1337" s="44"/>
    </row>
    <row r="1338" spans="1:14" x14ac:dyDescent="0.3">
      <c r="A1338" s="42"/>
      <c r="C1338" s="52"/>
      <c r="D1338"/>
      <c r="E1338"/>
      <c r="F1338"/>
      <c r="N1338" s="44"/>
    </row>
    <row r="1339" spans="1:14" x14ac:dyDescent="0.3">
      <c r="A1339" s="42"/>
      <c r="C1339" s="52"/>
      <c r="D1339"/>
      <c r="E1339"/>
      <c r="F1339"/>
      <c r="N1339" s="44"/>
    </row>
    <row r="1340" spans="1:14" x14ac:dyDescent="0.3">
      <c r="A1340" s="42"/>
      <c r="C1340" s="52"/>
      <c r="D1340"/>
      <c r="E1340"/>
      <c r="F1340"/>
      <c r="N1340" s="44"/>
    </row>
    <row r="1341" spans="1:14" x14ac:dyDescent="0.3">
      <c r="A1341" s="42"/>
      <c r="C1341" s="52"/>
      <c r="D1341"/>
      <c r="E1341"/>
      <c r="F1341"/>
      <c r="N1341" s="44"/>
    </row>
    <row r="1342" spans="1:14" x14ac:dyDescent="0.3">
      <c r="A1342" s="42"/>
      <c r="C1342" s="52"/>
      <c r="D1342"/>
      <c r="E1342"/>
      <c r="F1342"/>
      <c r="N1342" s="44"/>
    </row>
    <row r="1343" spans="1:14" x14ac:dyDescent="0.3">
      <c r="A1343" s="42"/>
      <c r="C1343" s="52"/>
      <c r="D1343"/>
      <c r="E1343"/>
      <c r="F1343"/>
      <c r="N1343" s="44"/>
    </row>
    <row r="1344" spans="1:14" x14ac:dyDescent="0.3">
      <c r="A1344" s="42"/>
      <c r="C1344" s="52"/>
      <c r="D1344"/>
      <c r="E1344"/>
      <c r="F1344"/>
      <c r="N1344" s="44"/>
    </row>
    <row r="1345" spans="1:14" x14ac:dyDescent="0.3">
      <c r="A1345" s="42"/>
      <c r="C1345" s="52"/>
      <c r="D1345"/>
      <c r="E1345"/>
      <c r="F1345"/>
      <c r="N1345" s="44"/>
    </row>
    <row r="1346" spans="1:14" x14ac:dyDescent="0.3">
      <c r="A1346" s="42"/>
      <c r="C1346" s="52"/>
      <c r="D1346"/>
      <c r="E1346"/>
      <c r="F1346"/>
      <c r="N1346" s="44"/>
    </row>
    <row r="1347" spans="1:14" x14ac:dyDescent="0.3">
      <c r="A1347" s="42"/>
      <c r="C1347" s="52"/>
      <c r="D1347"/>
      <c r="E1347"/>
      <c r="F1347"/>
      <c r="N1347" s="44"/>
    </row>
    <row r="1348" spans="1:14" x14ac:dyDescent="0.3">
      <c r="A1348" s="42"/>
      <c r="C1348" s="52"/>
      <c r="D1348"/>
      <c r="E1348"/>
      <c r="F1348"/>
      <c r="N1348" s="44"/>
    </row>
    <row r="1349" spans="1:14" x14ac:dyDescent="0.3">
      <c r="A1349" s="42"/>
      <c r="C1349" s="52"/>
      <c r="D1349"/>
      <c r="E1349"/>
      <c r="F1349"/>
      <c r="N1349" s="44"/>
    </row>
    <row r="1350" spans="1:14" x14ac:dyDescent="0.3">
      <c r="A1350" s="42"/>
      <c r="C1350" s="52"/>
      <c r="D1350"/>
      <c r="E1350"/>
      <c r="F1350"/>
      <c r="N1350" s="44"/>
    </row>
    <row r="1351" spans="1:14" x14ac:dyDescent="0.3">
      <c r="A1351" s="42"/>
      <c r="C1351" s="52"/>
      <c r="D1351"/>
      <c r="E1351"/>
      <c r="F1351"/>
      <c r="N1351" s="44"/>
    </row>
    <row r="1352" spans="1:14" x14ac:dyDescent="0.3">
      <c r="A1352" s="42"/>
      <c r="C1352" s="52"/>
      <c r="D1352"/>
      <c r="E1352"/>
      <c r="F1352"/>
      <c r="N1352" s="44"/>
    </row>
    <row r="1353" spans="1:14" x14ac:dyDescent="0.3">
      <c r="A1353" s="42"/>
      <c r="C1353" s="52"/>
      <c r="D1353"/>
      <c r="E1353"/>
      <c r="F1353"/>
      <c r="N1353" s="44"/>
    </row>
    <row r="1354" spans="1:14" x14ac:dyDescent="0.3">
      <c r="A1354" s="42"/>
      <c r="C1354" s="52"/>
      <c r="D1354"/>
      <c r="E1354"/>
      <c r="F1354"/>
      <c r="N1354" s="44"/>
    </row>
    <row r="1355" spans="1:14" x14ac:dyDescent="0.3">
      <c r="A1355" s="42"/>
      <c r="C1355" s="52"/>
      <c r="D1355"/>
      <c r="E1355"/>
      <c r="F1355"/>
      <c r="N1355" s="44"/>
    </row>
    <row r="1356" spans="1:14" x14ac:dyDescent="0.3">
      <c r="A1356" s="42"/>
      <c r="C1356" s="52"/>
      <c r="D1356"/>
      <c r="E1356"/>
      <c r="F1356"/>
      <c r="N1356" s="44"/>
    </row>
    <row r="1357" spans="1:14" x14ac:dyDescent="0.3">
      <c r="A1357" s="42"/>
      <c r="C1357" s="52"/>
      <c r="D1357"/>
      <c r="E1357"/>
      <c r="F1357"/>
      <c r="N1357" s="44"/>
    </row>
    <row r="1358" spans="1:14" x14ac:dyDescent="0.3">
      <c r="A1358" s="42"/>
      <c r="C1358" s="52"/>
      <c r="D1358"/>
      <c r="E1358"/>
      <c r="F1358"/>
      <c r="N1358" s="44"/>
    </row>
    <row r="1359" spans="1:14" x14ac:dyDescent="0.3">
      <c r="A1359" s="42"/>
      <c r="C1359" s="52"/>
      <c r="D1359"/>
      <c r="E1359"/>
      <c r="F1359"/>
      <c r="N1359" s="44"/>
    </row>
    <row r="1360" spans="1:14" x14ac:dyDescent="0.3">
      <c r="A1360" s="42"/>
      <c r="C1360" s="52"/>
      <c r="D1360"/>
      <c r="E1360"/>
      <c r="F1360"/>
      <c r="N1360" s="44"/>
    </row>
    <row r="1361" spans="1:14" x14ac:dyDescent="0.3">
      <c r="A1361" s="42"/>
      <c r="C1361" s="52"/>
      <c r="D1361"/>
      <c r="E1361"/>
      <c r="F1361"/>
      <c r="N1361" s="44"/>
    </row>
    <row r="1362" spans="1:14" x14ac:dyDescent="0.3">
      <c r="A1362" s="42"/>
      <c r="C1362" s="52"/>
      <c r="D1362"/>
      <c r="E1362"/>
      <c r="F1362"/>
      <c r="N1362" s="44"/>
    </row>
    <row r="1363" spans="1:14" x14ac:dyDescent="0.3">
      <c r="A1363" s="42"/>
      <c r="C1363" s="52"/>
      <c r="D1363"/>
      <c r="E1363"/>
      <c r="F1363"/>
      <c r="N1363" s="44"/>
    </row>
    <row r="1364" spans="1:14" x14ac:dyDescent="0.3">
      <c r="A1364" s="42"/>
      <c r="C1364" s="52"/>
      <c r="D1364"/>
      <c r="E1364"/>
      <c r="F1364"/>
      <c r="N1364" s="44"/>
    </row>
    <row r="1365" spans="1:14" x14ac:dyDescent="0.3">
      <c r="A1365" s="42"/>
      <c r="C1365" s="52"/>
      <c r="D1365"/>
      <c r="E1365"/>
      <c r="F1365"/>
      <c r="N1365" s="44"/>
    </row>
    <row r="1366" spans="1:14" x14ac:dyDescent="0.3">
      <c r="A1366" s="42"/>
      <c r="C1366" s="52"/>
      <c r="D1366"/>
      <c r="E1366"/>
      <c r="F1366"/>
      <c r="N1366" s="44"/>
    </row>
    <row r="1367" spans="1:14" x14ac:dyDescent="0.3">
      <c r="A1367" s="42"/>
      <c r="C1367" s="52"/>
      <c r="D1367"/>
      <c r="E1367"/>
      <c r="F1367"/>
      <c r="N1367" s="44"/>
    </row>
    <row r="1368" spans="1:14" x14ac:dyDescent="0.3">
      <c r="A1368" s="42"/>
      <c r="C1368" s="52"/>
      <c r="D1368"/>
      <c r="E1368"/>
      <c r="F1368"/>
      <c r="N1368" s="44"/>
    </row>
    <row r="1369" spans="1:14" x14ac:dyDescent="0.3">
      <c r="A1369" s="42"/>
      <c r="C1369" s="52"/>
      <c r="D1369"/>
      <c r="E1369"/>
      <c r="F1369"/>
      <c r="N1369" s="44"/>
    </row>
    <row r="1370" spans="1:14" x14ac:dyDescent="0.3">
      <c r="A1370" s="42"/>
      <c r="C1370" s="52"/>
      <c r="D1370"/>
      <c r="E1370"/>
      <c r="F1370"/>
      <c r="N1370" s="44"/>
    </row>
    <row r="1371" spans="1:14" x14ac:dyDescent="0.3">
      <c r="A1371" s="42"/>
      <c r="C1371" s="52"/>
      <c r="D1371"/>
      <c r="E1371"/>
      <c r="F1371"/>
      <c r="N1371" s="44"/>
    </row>
    <row r="1372" spans="1:14" x14ac:dyDescent="0.3">
      <c r="A1372" s="42"/>
      <c r="C1372" s="52"/>
      <c r="D1372"/>
      <c r="E1372"/>
      <c r="F1372"/>
      <c r="N1372" s="44"/>
    </row>
    <row r="1373" spans="1:14" x14ac:dyDescent="0.3">
      <c r="A1373" s="42"/>
      <c r="C1373" s="52"/>
      <c r="D1373"/>
      <c r="E1373"/>
      <c r="F1373"/>
      <c r="N1373" s="44"/>
    </row>
    <row r="1374" spans="1:14" x14ac:dyDescent="0.3">
      <c r="A1374" s="42"/>
      <c r="C1374" s="52"/>
      <c r="D1374"/>
      <c r="E1374"/>
      <c r="F1374"/>
      <c r="N1374" s="44"/>
    </row>
    <row r="1375" spans="1:14" x14ac:dyDescent="0.3">
      <c r="A1375" s="42"/>
      <c r="C1375" s="52"/>
      <c r="D1375"/>
      <c r="E1375"/>
      <c r="F1375"/>
      <c r="N1375" s="44"/>
    </row>
    <row r="1376" spans="1:14" x14ac:dyDescent="0.3">
      <c r="A1376" s="42"/>
      <c r="C1376" s="52"/>
      <c r="D1376"/>
      <c r="E1376"/>
      <c r="F1376"/>
      <c r="N1376" s="44"/>
    </row>
    <row r="1377" spans="1:14" x14ac:dyDescent="0.3">
      <c r="A1377" s="42"/>
      <c r="C1377" s="52"/>
      <c r="D1377"/>
      <c r="E1377"/>
      <c r="F1377"/>
      <c r="N1377" s="44"/>
    </row>
    <row r="1378" spans="1:14" x14ac:dyDescent="0.3">
      <c r="A1378" s="42"/>
      <c r="C1378" s="52"/>
      <c r="D1378"/>
      <c r="E1378"/>
      <c r="F1378"/>
      <c r="N1378" s="44"/>
    </row>
    <row r="1379" spans="1:14" x14ac:dyDescent="0.3">
      <c r="A1379" s="42"/>
      <c r="C1379" s="52"/>
      <c r="D1379"/>
      <c r="E1379"/>
      <c r="F1379"/>
      <c r="N1379" s="44"/>
    </row>
    <row r="1380" spans="1:14" x14ac:dyDescent="0.3">
      <c r="A1380" s="42"/>
      <c r="C1380" s="52"/>
      <c r="D1380"/>
      <c r="E1380"/>
      <c r="F1380"/>
      <c r="N1380" s="44"/>
    </row>
    <row r="1381" spans="1:14" x14ac:dyDescent="0.3">
      <c r="A1381" s="42"/>
      <c r="C1381" s="52"/>
      <c r="D1381"/>
      <c r="E1381"/>
      <c r="F1381"/>
      <c r="N1381" s="44"/>
    </row>
    <row r="1382" spans="1:14" x14ac:dyDescent="0.3">
      <c r="A1382" s="42"/>
      <c r="C1382" s="52"/>
      <c r="D1382"/>
      <c r="E1382"/>
      <c r="F1382"/>
      <c r="N1382" s="44"/>
    </row>
    <row r="1383" spans="1:14" x14ac:dyDescent="0.3">
      <c r="A1383" s="42"/>
      <c r="C1383" s="52"/>
      <c r="D1383"/>
      <c r="E1383"/>
      <c r="F1383"/>
      <c r="N1383" s="44"/>
    </row>
    <row r="1384" spans="1:14" x14ac:dyDescent="0.3">
      <c r="A1384" s="42"/>
      <c r="C1384" s="52"/>
      <c r="D1384"/>
      <c r="E1384"/>
      <c r="F1384"/>
      <c r="N1384" s="44"/>
    </row>
    <row r="1385" spans="1:14" x14ac:dyDescent="0.3">
      <c r="A1385" s="42"/>
      <c r="C1385" s="52"/>
      <c r="D1385"/>
      <c r="E1385"/>
      <c r="F1385"/>
      <c r="N1385" s="44"/>
    </row>
    <row r="1386" spans="1:14" x14ac:dyDescent="0.3">
      <c r="A1386" s="42"/>
      <c r="C1386" s="52"/>
      <c r="D1386"/>
      <c r="E1386"/>
      <c r="F1386"/>
      <c r="N1386" s="44"/>
    </row>
    <row r="1387" spans="1:14" x14ac:dyDescent="0.3">
      <c r="A1387" s="42"/>
      <c r="C1387" s="52"/>
      <c r="D1387"/>
      <c r="E1387"/>
      <c r="F1387"/>
      <c r="N1387" s="44"/>
    </row>
    <row r="1388" spans="1:14" x14ac:dyDescent="0.3">
      <c r="A1388" s="42"/>
      <c r="C1388" s="52"/>
      <c r="D1388"/>
      <c r="E1388"/>
      <c r="F1388"/>
      <c r="N1388" s="44"/>
    </row>
    <row r="1389" spans="1:14" x14ac:dyDescent="0.3">
      <c r="A1389" s="42"/>
      <c r="C1389" s="52"/>
      <c r="D1389"/>
      <c r="E1389"/>
      <c r="F1389"/>
      <c r="N1389" s="44"/>
    </row>
    <row r="1390" spans="1:14" x14ac:dyDescent="0.3">
      <c r="A1390" s="42"/>
      <c r="C1390" s="52"/>
      <c r="D1390"/>
      <c r="E1390"/>
      <c r="F1390"/>
      <c r="N1390" s="44"/>
    </row>
    <row r="1391" spans="1:14" x14ac:dyDescent="0.3">
      <c r="A1391" s="42"/>
      <c r="C1391" s="52"/>
      <c r="D1391"/>
      <c r="E1391"/>
      <c r="F1391"/>
      <c r="N1391" s="44"/>
    </row>
    <row r="1392" spans="1:14" x14ac:dyDescent="0.3">
      <c r="A1392" s="42"/>
      <c r="C1392" s="52"/>
      <c r="D1392"/>
      <c r="E1392"/>
      <c r="F1392"/>
      <c r="N1392" s="44"/>
    </row>
    <row r="1393" spans="1:14" x14ac:dyDescent="0.3">
      <c r="A1393" s="42"/>
      <c r="C1393" s="52"/>
      <c r="D1393"/>
      <c r="E1393"/>
      <c r="F1393"/>
      <c r="N1393" s="44"/>
    </row>
    <row r="1394" spans="1:14" x14ac:dyDescent="0.3">
      <c r="A1394" s="42"/>
      <c r="C1394" s="52"/>
      <c r="D1394"/>
      <c r="E1394"/>
      <c r="F1394"/>
      <c r="N1394" s="44"/>
    </row>
    <row r="1395" spans="1:14" x14ac:dyDescent="0.3">
      <c r="A1395" s="42"/>
      <c r="C1395" s="52"/>
      <c r="D1395"/>
      <c r="E1395"/>
      <c r="F1395"/>
      <c r="N1395" s="44"/>
    </row>
    <row r="1396" spans="1:14" x14ac:dyDescent="0.3">
      <c r="A1396" s="42"/>
      <c r="C1396" s="52"/>
      <c r="D1396"/>
      <c r="E1396"/>
      <c r="F1396"/>
      <c r="N1396" s="44"/>
    </row>
    <row r="1397" spans="1:14" x14ac:dyDescent="0.3">
      <c r="A1397" s="42"/>
      <c r="C1397" s="52"/>
      <c r="D1397"/>
      <c r="E1397"/>
      <c r="F1397"/>
      <c r="N1397" s="44"/>
    </row>
    <row r="1398" spans="1:14" x14ac:dyDescent="0.3">
      <c r="A1398" s="42"/>
      <c r="C1398" s="52"/>
      <c r="D1398"/>
      <c r="E1398"/>
      <c r="F1398"/>
      <c r="N1398" s="44"/>
    </row>
    <row r="1399" spans="1:14" x14ac:dyDescent="0.3">
      <c r="A1399" s="42"/>
      <c r="C1399" s="52"/>
      <c r="D1399"/>
      <c r="E1399"/>
      <c r="F1399"/>
      <c r="N1399" s="44"/>
    </row>
    <row r="1400" spans="1:14" x14ac:dyDescent="0.3">
      <c r="A1400" s="42"/>
      <c r="C1400" s="52"/>
      <c r="D1400"/>
      <c r="E1400"/>
      <c r="F1400"/>
      <c r="N1400" s="44"/>
    </row>
    <row r="1401" spans="1:14" x14ac:dyDescent="0.3">
      <c r="A1401" s="42"/>
      <c r="C1401" s="52"/>
      <c r="D1401"/>
      <c r="E1401"/>
      <c r="F1401"/>
      <c r="N1401" s="44"/>
    </row>
    <row r="1402" spans="1:14" x14ac:dyDescent="0.3">
      <c r="A1402" s="42"/>
      <c r="C1402" s="52"/>
      <c r="D1402"/>
      <c r="E1402"/>
      <c r="F1402"/>
      <c r="N1402" s="44"/>
    </row>
    <row r="1403" spans="1:14" x14ac:dyDescent="0.3">
      <c r="A1403" s="42"/>
      <c r="C1403" s="52"/>
      <c r="D1403"/>
      <c r="E1403"/>
      <c r="F1403"/>
      <c r="N1403" s="44"/>
    </row>
    <row r="1404" spans="1:14" x14ac:dyDescent="0.3">
      <c r="A1404" s="42"/>
      <c r="C1404" s="52"/>
      <c r="D1404"/>
      <c r="E1404"/>
      <c r="F1404"/>
      <c r="N1404" s="44"/>
    </row>
    <row r="1405" spans="1:14" x14ac:dyDescent="0.3">
      <c r="A1405" s="42"/>
      <c r="C1405" s="52"/>
      <c r="D1405"/>
      <c r="E1405"/>
      <c r="F1405"/>
      <c r="N1405" s="44"/>
    </row>
    <row r="1406" spans="1:14" x14ac:dyDescent="0.3">
      <c r="A1406" s="42"/>
      <c r="C1406" s="52"/>
      <c r="D1406"/>
      <c r="E1406"/>
      <c r="F1406"/>
      <c r="N1406" s="44"/>
    </row>
    <row r="1407" spans="1:14" x14ac:dyDescent="0.3">
      <c r="A1407" s="42"/>
      <c r="C1407" s="52"/>
      <c r="D1407"/>
      <c r="E1407"/>
      <c r="F1407"/>
      <c r="N1407" s="44"/>
    </row>
    <row r="1408" spans="1:14" x14ac:dyDescent="0.3">
      <c r="A1408" s="42"/>
      <c r="C1408" s="52"/>
      <c r="D1408"/>
      <c r="E1408"/>
      <c r="F1408"/>
      <c r="N1408" s="44"/>
    </row>
    <row r="1409" spans="1:14" x14ac:dyDescent="0.3">
      <c r="A1409" s="42"/>
      <c r="C1409" s="52"/>
      <c r="D1409"/>
      <c r="E1409"/>
      <c r="F1409"/>
      <c r="N1409" s="44"/>
    </row>
    <row r="1410" spans="1:14" x14ac:dyDescent="0.3">
      <c r="A1410" s="42"/>
      <c r="C1410" s="52"/>
      <c r="D1410"/>
      <c r="E1410"/>
      <c r="F1410"/>
      <c r="N1410" s="44"/>
    </row>
    <row r="1411" spans="1:14" x14ac:dyDescent="0.3">
      <c r="A1411" s="42"/>
      <c r="C1411" s="52"/>
      <c r="D1411"/>
      <c r="E1411"/>
      <c r="F1411"/>
      <c r="N1411" s="44"/>
    </row>
    <row r="1412" spans="1:14" x14ac:dyDescent="0.3">
      <c r="A1412" s="42"/>
      <c r="C1412" s="52"/>
      <c r="D1412"/>
      <c r="E1412"/>
      <c r="F1412"/>
      <c r="N1412" s="44"/>
    </row>
    <row r="1413" spans="1:14" x14ac:dyDescent="0.3">
      <c r="A1413" s="42"/>
      <c r="C1413" s="52"/>
      <c r="D1413"/>
      <c r="E1413"/>
      <c r="F1413"/>
      <c r="N1413" s="44"/>
    </row>
    <row r="1414" spans="1:14" x14ac:dyDescent="0.3">
      <c r="A1414" s="42"/>
      <c r="C1414" s="52"/>
      <c r="D1414"/>
      <c r="E1414"/>
      <c r="F1414"/>
      <c r="N1414" s="44"/>
    </row>
    <row r="1415" spans="1:14" x14ac:dyDescent="0.3">
      <c r="A1415" s="42"/>
      <c r="C1415" s="52"/>
      <c r="D1415"/>
      <c r="E1415"/>
      <c r="F1415"/>
      <c r="N1415" s="44"/>
    </row>
    <row r="1416" spans="1:14" x14ac:dyDescent="0.3">
      <c r="A1416" s="42"/>
      <c r="C1416" s="52"/>
      <c r="D1416"/>
      <c r="E1416"/>
      <c r="F1416"/>
      <c r="N1416" s="44"/>
    </row>
    <row r="1417" spans="1:14" x14ac:dyDescent="0.3">
      <c r="A1417" s="42"/>
      <c r="C1417" s="52"/>
      <c r="D1417"/>
      <c r="E1417"/>
      <c r="F1417"/>
      <c r="N1417" s="44"/>
    </row>
    <row r="1418" spans="1:14" x14ac:dyDescent="0.3">
      <c r="A1418" s="42"/>
      <c r="C1418" s="52"/>
      <c r="D1418"/>
      <c r="E1418"/>
      <c r="F1418"/>
      <c r="N1418" s="44"/>
    </row>
    <row r="1419" spans="1:14" x14ac:dyDescent="0.3">
      <c r="A1419" s="42"/>
      <c r="C1419" s="52"/>
      <c r="D1419"/>
      <c r="E1419"/>
      <c r="F1419"/>
      <c r="N1419" s="44"/>
    </row>
    <row r="1420" spans="1:14" x14ac:dyDescent="0.3">
      <c r="A1420" s="42"/>
      <c r="C1420" s="52"/>
      <c r="D1420"/>
      <c r="E1420"/>
      <c r="F1420"/>
      <c r="N1420" s="44"/>
    </row>
    <row r="1421" spans="1:14" x14ac:dyDescent="0.3">
      <c r="A1421" s="42"/>
      <c r="C1421" s="52"/>
      <c r="D1421"/>
      <c r="E1421"/>
      <c r="F1421"/>
      <c r="N1421" s="44"/>
    </row>
    <row r="1422" spans="1:14" x14ac:dyDescent="0.3">
      <c r="A1422" s="42"/>
      <c r="C1422" s="52"/>
      <c r="D1422"/>
      <c r="E1422"/>
      <c r="F1422"/>
      <c r="N1422" s="44"/>
    </row>
    <row r="1423" spans="1:14" x14ac:dyDescent="0.3">
      <c r="A1423" s="42"/>
      <c r="C1423" s="52"/>
      <c r="D1423"/>
      <c r="E1423"/>
      <c r="F1423"/>
      <c r="N1423" s="44"/>
    </row>
    <row r="1424" spans="1:14" x14ac:dyDescent="0.3">
      <c r="A1424" s="42"/>
      <c r="C1424" s="52"/>
      <c r="D1424"/>
      <c r="E1424"/>
      <c r="F1424"/>
      <c r="N1424" s="44"/>
    </row>
    <row r="1425" spans="1:14" x14ac:dyDescent="0.3">
      <c r="A1425" s="42"/>
      <c r="C1425" s="52"/>
      <c r="D1425"/>
      <c r="E1425"/>
      <c r="F1425"/>
      <c r="N1425" s="44"/>
    </row>
    <row r="1426" spans="1:14" x14ac:dyDescent="0.3">
      <c r="A1426" s="42"/>
      <c r="C1426" s="52"/>
      <c r="D1426"/>
      <c r="E1426"/>
      <c r="F1426"/>
      <c r="N1426" s="44"/>
    </row>
    <row r="1427" spans="1:14" x14ac:dyDescent="0.3">
      <c r="A1427" s="42"/>
      <c r="C1427" s="52"/>
      <c r="D1427"/>
      <c r="E1427"/>
      <c r="F1427"/>
      <c r="N1427" s="44"/>
    </row>
    <row r="1428" spans="1:14" x14ac:dyDescent="0.3">
      <c r="A1428" s="42"/>
      <c r="C1428" s="52"/>
      <c r="D1428"/>
      <c r="E1428"/>
      <c r="F1428"/>
      <c r="N1428" s="44"/>
    </row>
    <row r="1429" spans="1:14" x14ac:dyDescent="0.3">
      <c r="A1429" s="42"/>
      <c r="C1429" s="52"/>
      <c r="D1429"/>
      <c r="E1429"/>
      <c r="F1429"/>
      <c r="N1429" s="44"/>
    </row>
    <row r="1430" spans="1:14" x14ac:dyDescent="0.3">
      <c r="A1430" s="42"/>
      <c r="C1430" s="52"/>
      <c r="D1430"/>
      <c r="E1430"/>
      <c r="F1430"/>
      <c r="N1430" s="44"/>
    </row>
    <row r="1431" spans="1:14" x14ac:dyDescent="0.3">
      <c r="A1431" s="42"/>
      <c r="C1431" s="52"/>
      <c r="D1431"/>
      <c r="E1431"/>
      <c r="F1431"/>
      <c r="N1431" s="44"/>
    </row>
    <row r="1432" spans="1:14" x14ac:dyDescent="0.3">
      <c r="A1432" s="42"/>
      <c r="C1432" s="52"/>
      <c r="D1432"/>
      <c r="E1432"/>
      <c r="F1432"/>
      <c r="N1432" s="44"/>
    </row>
    <row r="1433" spans="1:14" x14ac:dyDescent="0.3">
      <c r="A1433" s="42"/>
      <c r="C1433" s="52"/>
      <c r="D1433"/>
      <c r="E1433"/>
      <c r="F1433"/>
      <c r="N1433" s="44"/>
    </row>
    <row r="1434" spans="1:14" x14ac:dyDescent="0.3">
      <c r="A1434" s="42"/>
      <c r="C1434" s="52"/>
      <c r="D1434"/>
      <c r="E1434"/>
      <c r="F1434"/>
      <c r="N1434" s="44"/>
    </row>
    <row r="1435" spans="1:14" x14ac:dyDescent="0.3">
      <c r="A1435" s="42"/>
      <c r="C1435" s="52"/>
      <c r="D1435"/>
      <c r="E1435"/>
      <c r="F1435"/>
      <c r="N1435" s="44"/>
    </row>
    <row r="1436" spans="1:14" x14ac:dyDescent="0.3">
      <c r="A1436" s="42"/>
      <c r="C1436" s="52"/>
      <c r="D1436"/>
      <c r="E1436"/>
      <c r="F1436"/>
      <c r="N1436" s="44"/>
    </row>
    <row r="1437" spans="1:14" x14ac:dyDescent="0.3">
      <c r="A1437" s="42"/>
      <c r="C1437" s="52"/>
      <c r="D1437"/>
      <c r="E1437"/>
      <c r="F1437"/>
      <c r="N1437" s="44"/>
    </row>
    <row r="1438" spans="1:14" x14ac:dyDescent="0.3">
      <c r="A1438" s="42"/>
      <c r="C1438" s="52"/>
      <c r="D1438"/>
      <c r="E1438"/>
      <c r="F1438"/>
      <c r="N1438" s="44"/>
    </row>
    <row r="1439" spans="1:14" x14ac:dyDescent="0.3">
      <c r="A1439" s="42"/>
      <c r="C1439" s="52"/>
      <c r="D1439"/>
      <c r="E1439"/>
      <c r="F1439"/>
      <c r="N1439" s="44"/>
    </row>
    <row r="1440" spans="1:14" x14ac:dyDescent="0.3">
      <c r="A1440" s="42"/>
      <c r="C1440" s="52"/>
      <c r="D1440"/>
      <c r="E1440"/>
      <c r="F1440"/>
      <c r="N1440" s="44"/>
    </row>
    <row r="1441" spans="1:14" x14ac:dyDescent="0.3">
      <c r="A1441" s="42"/>
      <c r="C1441" s="52"/>
      <c r="D1441"/>
      <c r="E1441"/>
      <c r="F1441"/>
      <c r="N1441" s="44"/>
    </row>
    <row r="1442" spans="1:14" x14ac:dyDescent="0.3">
      <c r="A1442" s="42"/>
      <c r="C1442" s="52"/>
      <c r="D1442"/>
      <c r="E1442"/>
      <c r="F1442"/>
      <c r="N1442" s="44"/>
    </row>
    <row r="1443" spans="1:14" x14ac:dyDescent="0.3">
      <c r="A1443" s="42"/>
      <c r="C1443" s="52"/>
      <c r="D1443"/>
      <c r="E1443"/>
      <c r="F1443"/>
      <c r="N1443" s="44"/>
    </row>
    <row r="1444" spans="1:14" x14ac:dyDescent="0.3">
      <c r="A1444" s="42"/>
      <c r="C1444" s="52"/>
      <c r="D1444"/>
      <c r="E1444"/>
      <c r="F1444"/>
      <c r="N1444" s="44"/>
    </row>
    <row r="1445" spans="1:14" x14ac:dyDescent="0.3">
      <c r="A1445" s="42"/>
      <c r="C1445" s="52"/>
      <c r="D1445"/>
      <c r="E1445"/>
      <c r="F1445"/>
      <c r="N1445" s="44"/>
    </row>
    <row r="1446" spans="1:14" x14ac:dyDescent="0.3">
      <c r="A1446" s="42"/>
      <c r="C1446" s="52"/>
      <c r="D1446"/>
      <c r="E1446"/>
      <c r="F1446"/>
      <c r="N1446" s="44"/>
    </row>
    <row r="1447" spans="1:14" x14ac:dyDescent="0.3">
      <c r="A1447" s="42"/>
      <c r="C1447" s="52"/>
      <c r="D1447"/>
      <c r="E1447"/>
      <c r="F1447"/>
      <c r="N1447" s="44"/>
    </row>
    <row r="1448" spans="1:14" x14ac:dyDescent="0.3">
      <c r="A1448" s="42"/>
      <c r="C1448" s="52"/>
      <c r="D1448"/>
      <c r="E1448"/>
      <c r="F1448"/>
      <c r="N1448" s="44"/>
    </row>
    <row r="1449" spans="1:14" x14ac:dyDescent="0.3">
      <c r="A1449" s="42"/>
      <c r="C1449" s="52"/>
      <c r="D1449"/>
      <c r="E1449"/>
      <c r="F1449"/>
      <c r="N1449" s="44"/>
    </row>
    <row r="1450" spans="1:14" x14ac:dyDescent="0.3">
      <c r="A1450" s="42"/>
      <c r="C1450" s="52"/>
      <c r="D1450"/>
      <c r="E1450"/>
      <c r="F1450"/>
      <c r="N1450" s="44"/>
    </row>
    <row r="1451" spans="1:14" x14ac:dyDescent="0.3">
      <c r="A1451" s="42"/>
      <c r="C1451" s="52"/>
      <c r="D1451"/>
      <c r="E1451"/>
      <c r="F1451"/>
      <c r="N1451" s="44"/>
    </row>
    <row r="1452" spans="1:14" x14ac:dyDescent="0.3">
      <c r="A1452" s="42"/>
      <c r="C1452" s="52"/>
      <c r="D1452"/>
      <c r="E1452"/>
      <c r="F1452"/>
      <c r="N1452" s="44"/>
    </row>
    <row r="1453" spans="1:14" x14ac:dyDescent="0.3">
      <c r="A1453" s="42"/>
      <c r="C1453" s="52"/>
      <c r="D1453"/>
      <c r="E1453"/>
      <c r="F1453"/>
      <c r="N1453" s="44"/>
    </row>
    <row r="1454" spans="1:14" x14ac:dyDescent="0.3">
      <c r="A1454" s="42"/>
      <c r="C1454" s="52"/>
      <c r="D1454"/>
      <c r="E1454"/>
      <c r="F1454"/>
      <c r="N1454" s="44"/>
    </row>
    <row r="1455" spans="1:14" x14ac:dyDescent="0.3">
      <c r="A1455" s="42"/>
      <c r="C1455" s="52"/>
      <c r="D1455"/>
      <c r="E1455"/>
      <c r="F1455"/>
      <c r="N1455" s="44"/>
    </row>
    <row r="1456" spans="1:14" x14ac:dyDescent="0.3">
      <c r="A1456" s="42"/>
      <c r="C1456" s="52"/>
      <c r="D1456"/>
      <c r="E1456"/>
      <c r="F1456"/>
      <c r="N1456" s="44"/>
    </row>
    <row r="1457" spans="1:14" x14ac:dyDescent="0.3">
      <c r="A1457" s="42"/>
      <c r="C1457" s="52"/>
      <c r="D1457"/>
      <c r="E1457"/>
      <c r="F1457"/>
      <c r="N1457" s="44"/>
    </row>
    <row r="1458" spans="1:14" x14ac:dyDescent="0.3">
      <c r="A1458" s="42"/>
      <c r="C1458" s="52"/>
      <c r="D1458"/>
      <c r="E1458"/>
      <c r="F1458"/>
      <c r="N1458" s="44"/>
    </row>
    <row r="1459" spans="1:14" x14ac:dyDescent="0.3">
      <c r="A1459" s="42"/>
      <c r="C1459" s="52"/>
      <c r="D1459"/>
      <c r="E1459"/>
      <c r="F1459"/>
      <c r="N1459" s="44"/>
    </row>
    <row r="1460" spans="1:14" x14ac:dyDescent="0.3">
      <c r="A1460" s="42"/>
      <c r="C1460" s="52"/>
      <c r="D1460"/>
      <c r="E1460"/>
      <c r="F1460"/>
      <c r="N1460" s="44"/>
    </row>
    <row r="1461" spans="1:14" x14ac:dyDescent="0.3">
      <c r="A1461" s="42"/>
      <c r="C1461" s="52"/>
      <c r="D1461"/>
      <c r="E1461"/>
      <c r="F1461"/>
      <c r="N1461" s="44"/>
    </row>
    <row r="1462" spans="1:14" x14ac:dyDescent="0.3">
      <c r="A1462" s="42"/>
      <c r="C1462" s="52"/>
      <c r="D1462"/>
      <c r="E1462"/>
      <c r="F1462"/>
      <c r="N1462" s="44"/>
    </row>
    <row r="1463" spans="1:14" x14ac:dyDescent="0.3">
      <c r="A1463" s="42"/>
      <c r="C1463" s="52"/>
      <c r="D1463"/>
      <c r="E1463"/>
      <c r="F1463"/>
      <c r="N1463" s="44"/>
    </row>
    <row r="1464" spans="1:14" x14ac:dyDescent="0.3">
      <c r="A1464" s="42"/>
      <c r="C1464" s="52"/>
      <c r="D1464"/>
      <c r="E1464"/>
      <c r="F1464"/>
      <c r="N1464" s="44"/>
    </row>
    <row r="1465" spans="1:14" x14ac:dyDescent="0.3">
      <c r="A1465" s="42"/>
      <c r="C1465" s="52"/>
      <c r="D1465"/>
      <c r="E1465"/>
      <c r="F1465"/>
      <c r="N1465" s="44"/>
    </row>
    <row r="1466" spans="1:14" x14ac:dyDescent="0.3">
      <c r="A1466" s="42"/>
      <c r="C1466" s="52"/>
      <c r="D1466"/>
      <c r="E1466"/>
      <c r="F1466"/>
      <c r="N1466" s="44"/>
    </row>
    <row r="1467" spans="1:14" x14ac:dyDescent="0.3">
      <c r="A1467" s="42"/>
      <c r="C1467" s="52"/>
      <c r="D1467"/>
      <c r="E1467"/>
      <c r="F1467"/>
      <c r="N1467" s="44"/>
    </row>
    <row r="1468" spans="1:14" x14ac:dyDescent="0.3">
      <c r="A1468" s="42"/>
      <c r="C1468" s="52"/>
      <c r="D1468"/>
      <c r="E1468"/>
      <c r="F1468"/>
      <c r="N1468" s="44"/>
    </row>
    <row r="1469" spans="1:14" x14ac:dyDescent="0.3">
      <c r="A1469" s="42"/>
      <c r="C1469" s="52"/>
      <c r="D1469"/>
      <c r="E1469"/>
      <c r="F1469"/>
      <c r="N1469" s="44"/>
    </row>
    <row r="1470" spans="1:14" x14ac:dyDescent="0.3">
      <c r="A1470" s="42"/>
      <c r="C1470" s="52"/>
      <c r="D1470"/>
      <c r="E1470"/>
      <c r="F1470"/>
      <c r="N1470" s="44"/>
    </row>
    <row r="1471" spans="1:14" x14ac:dyDescent="0.3">
      <c r="A1471" s="42"/>
      <c r="C1471" s="52"/>
      <c r="D1471"/>
      <c r="E1471"/>
      <c r="F1471"/>
      <c r="N1471" s="44"/>
    </row>
    <row r="1472" spans="1:14" x14ac:dyDescent="0.3">
      <c r="A1472" s="42"/>
      <c r="C1472" s="52"/>
      <c r="D1472"/>
      <c r="E1472"/>
      <c r="F1472"/>
      <c r="N1472" s="44"/>
    </row>
    <row r="1473" spans="1:14" x14ac:dyDescent="0.3">
      <c r="A1473" s="42"/>
      <c r="C1473" s="52"/>
      <c r="D1473"/>
      <c r="E1473"/>
      <c r="F1473"/>
      <c r="N1473" s="44"/>
    </row>
    <row r="1474" spans="1:14" x14ac:dyDescent="0.3">
      <c r="A1474" s="42"/>
      <c r="C1474" s="52"/>
      <c r="D1474"/>
      <c r="E1474"/>
      <c r="F1474"/>
      <c r="N1474" s="44"/>
    </row>
    <row r="1475" spans="1:14" x14ac:dyDescent="0.3">
      <c r="A1475" s="42"/>
      <c r="C1475" s="52"/>
      <c r="D1475"/>
      <c r="E1475"/>
      <c r="F1475"/>
      <c r="N1475" s="44"/>
    </row>
    <row r="1476" spans="1:14" x14ac:dyDescent="0.3">
      <c r="A1476" s="42"/>
      <c r="C1476" s="52"/>
      <c r="D1476"/>
      <c r="E1476"/>
      <c r="F1476"/>
      <c r="N1476" s="44"/>
    </row>
    <row r="1477" spans="1:14" x14ac:dyDescent="0.3">
      <c r="A1477" s="42"/>
      <c r="C1477" s="52"/>
      <c r="D1477"/>
      <c r="E1477"/>
      <c r="F1477"/>
      <c r="N1477" s="44"/>
    </row>
    <row r="1478" spans="1:14" x14ac:dyDescent="0.3">
      <c r="A1478" s="42"/>
      <c r="C1478" s="52"/>
      <c r="D1478"/>
      <c r="E1478"/>
      <c r="F1478"/>
      <c r="N1478" s="44"/>
    </row>
    <row r="1479" spans="1:14" x14ac:dyDescent="0.3">
      <c r="A1479" s="42"/>
      <c r="C1479" s="52"/>
      <c r="D1479"/>
      <c r="E1479"/>
      <c r="F1479"/>
      <c r="N1479" s="44"/>
    </row>
    <row r="1480" spans="1:14" x14ac:dyDescent="0.3">
      <c r="A1480" s="42"/>
      <c r="C1480" s="52"/>
      <c r="D1480"/>
      <c r="E1480"/>
      <c r="F1480"/>
      <c r="N1480" s="44"/>
    </row>
    <row r="1481" spans="1:14" x14ac:dyDescent="0.3">
      <c r="A1481" s="42"/>
      <c r="C1481" s="52"/>
      <c r="D1481"/>
      <c r="E1481"/>
      <c r="F1481"/>
      <c r="N1481" s="44"/>
    </row>
    <row r="1482" spans="1:14" x14ac:dyDescent="0.3">
      <c r="A1482" s="42"/>
      <c r="C1482" s="52"/>
      <c r="D1482"/>
      <c r="E1482"/>
      <c r="F1482"/>
      <c r="N1482" s="44"/>
    </row>
    <row r="1483" spans="1:14" x14ac:dyDescent="0.3">
      <c r="A1483" s="42"/>
      <c r="C1483" s="52"/>
      <c r="D1483"/>
      <c r="E1483"/>
      <c r="F1483"/>
      <c r="N1483" s="44"/>
    </row>
    <row r="1484" spans="1:14" x14ac:dyDescent="0.3">
      <c r="A1484" s="42"/>
      <c r="C1484" s="52"/>
      <c r="D1484"/>
      <c r="E1484"/>
      <c r="F1484"/>
      <c r="N1484" s="44"/>
    </row>
    <row r="1485" spans="1:14" x14ac:dyDescent="0.3">
      <c r="A1485" s="42"/>
      <c r="C1485" s="52"/>
      <c r="D1485"/>
      <c r="E1485"/>
      <c r="F1485"/>
      <c r="N1485" s="44"/>
    </row>
    <row r="1486" spans="1:14" x14ac:dyDescent="0.3">
      <c r="A1486" s="42"/>
      <c r="C1486" s="52"/>
      <c r="D1486"/>
      <c r="E1486"/>
      <c r="F1486"/>
      <c r="N1486" s="44"/>
    </row>
    <row r="1487" spans="1:14" x14ac:dyDescent="0.3">
      <c r="A1487" s="42"/>
      <c r="C1487" s="52"/>
      <c r="D1487"/>
      <c r="E1487"/>
      <c r="F1487"/>
      <c r="N1487" s="44"/>
    </row>
    <row r="1488" spans="1:14" x14ac:dyDescent="0.3">
      <c r="A1488" s="42"/>
      <c r="C1488" s="52"/>
      <c r="D1488"/>
      <c r="E1488"/>
      <c r="F1488"/>
      <c r="N1488" s="44"/>
    </row>
    <row r="1489" spans="1:14" x14ac:dyDescent="0.3">
      <c r="A1489" s="42"/>
      <c r="C1489" s="52"/>
      <c r="D1489"/>
      <c r="E1489"/>
      <c r="F1489"/>
      <c r="N1489" s="44"/>
    </row>
    <row r="1490" spans="1:14" x14ac:dyDescent="0.3">
      <c r="A1490" s="42"/>
      <c r="C1490" s="52"/>
      <c r="D1490"/>
      <c r="E1490"/>
      <c r="F1490"/>
      <c r="N1490" s="44"/>
    </row>
    <row r="1491" spans="1:14" x14ac:dyDescent="0.3">
      <c r="A1491" s="42"/>
      <c r="C1491" s="52"/>
      <c r="D1491"/>
      <c r="E1491"/>
      <c r="F1491"/>
      <c r="N1491" s="44"/>
    </row>
    <row r="1492" spans="1:14" x14ac:dyDescent="0.3">
      <c r="A1492" s="42"/>
      <c r="C1492" s="52"/>
      <c r="D1492"/>
      <c r="E1492"/>
      <c r="F1492"/>
      <c r="N1492" s="44"/>
    </row>
    <row r="1493" spans="1:14" x14ac:dyDescent="0.3">
      <c r="A1493" s="42"/>
      <c r="C1493" s="52"/>
      <c r="D1493"/>
      <c r="E1493"/>
      <c r="F1493"/>
      <c r="N1493" s="44"/>
    </row>
    <row r="1494" spans="1:14" x14ac:dyDescent="0.3">
      <c r="A1494" s="42"/>
      <c r="C1494" s="52"/>
      <c r="D1494"/>
      <c r="E1494"/>
      <c r="F1494"/>
      <c r="N1494" s="44"/>
    </row>
    <row r="1495" spans="1:14" x14ac:dyDescent="0.3">
      <c r="A1495" s="42"/>
      <c r="C1495" s="52"/>
      <c r="D1495"/>
      <c r="E1495"/>
      <c r="F1495"/>
      <c r="N1495" s="44"/>
    </row>
    <row r="1496" spans="1:14" x14ac:dyDescent="0.3">
      <c r="A1496" s="42"/>
      <c r="C1496" s="52"/>
      <c r="D1496"/>
      <c r="E1496"/>
      <c r="F1496"/>
      <c r="N1496" s="44"/>
    </row>
    <row r="1497" spans="1:14" x14ac:dyDescent="0.3">
      <c r="A1497" s="42"/>
      <c r="C1497" s="52"/>
      <c r="D1497"/>
      <c r="E1497"/>
      <c r="F1497"/>
      <c r="N1497" s="44"/>
    </row>
    <row r="1498" spans="1:14" x14ac:dyDescent="0.3">
      <c r="A1498" s="42"/>
      <c r="C1498" s="52"/>
      <c r="D1498"/>
      <c r="E1498"/>
      <c r="F1498"/>
      <c r="N1498" s="44"/>
    </row>
    <row r="1499" spans="1:14" x14ac:dyDescent="0.3">
      <c r="A1499" s="42"/>
      <c r="C1499" s="52"/>
      <c r="D1499"/>
      <c r="E1499"/>
      <c r="F1499"/>
      <c r="N1499" s="44"/>
    </row>
    <row r="1500" spans="1:14" x14ac:dyDescent="0.3">
      <c r="A1500" s="42"/>
      <c r="C1500" s="52"/>
      <c r="D1500"/>
      <c r="E1500"/>
      <c r="F1500"/>
      <c r="N1500" s="44"/>
    </row>
    <row r="1501" spans="1:14" x14ac:dyDescent="0.3">
      <c r="A1501" s="42"/>
      <c r="C1501" s="52"/>
      <c r="D1501"/>
      <c r="E1501"/>
      <c r="F1501"/>
      <c r="N1501" s="44"/>
    </row>
    <row r="1502" spans="1:14" x14ac:dyDescent="0.3">
      <c r="A1502" s="42"/>
      <c r="C1502" s="52"/>
      <c r="D1502"/>
      <c r="E1502"/>
      <c r="F1502"/>
      <c r="N1502" s="44"/>
    </row>
    <row r="1503" spans="1:14" x14ac:dyDescent="0.3">
      <c r="A1503" s="42"/>
      <c r="C1503" s="52"/>
      <c r="D1503"/>
      <c r="E1503"/>
      <c r="F1503"/>
      <c r="N1503" s="44"/>
    </row>
    <row r="1504" spans="1:14" x14ac:dyDescent="0.3">
      <c r="A1504" s="42"/>
      <c r="C1504" s="52"/>
      <c r="D1504"/>
      <c r="E1504"/>
      <c r="F1504"/>
      <c r="N1504" s="44"/>
    </row>
    <row r="1505" spans="1:14" x14ac:dyDescent="0.3">
      <c r="A1505" s="42"/>
      <c r="C1505" s="52"/>
      <c r="D1505"/>
      <c r="E1505"/>
      <c r="F1505"/>
      <c r="N1505" s="44"/>
    </row>
    <row r="1506" spans="1:14" x14ac:dyDescent="0.3">
      <c r="A1506" s="42"/>
      <c r="C1506" s="52"/>
      <c r="D1506"/>
      <c r="E1506"/>
      <c r="F1506"/>
      <c r="M1506" s="45"/>
      <c r="N1506" s="44"/>
    </row>
    <row r="1507" spans="1:14" x14ac:dyDescent="0.3">
      <c r="A1507" s="42"/>
      <c r="C1507" s="52"/>
      <c r="D1507"/>
      <c r="E1507"/>
      <c r="F1507"/>
      <c r="N1507" s="44"/>
    </row>
    <row r="1508" spans="1:14" x14ac:dyDescent="0.3">
      <c r="A1508" s="42"/>
      <c r="C1508" s="52"/>
      <c r="D1508"/>
      <c r="E1508"/>
      <c r="F1508"/>
      <c r="N1508" s="44"/>
    </row>
    <row r="1509" spans="1:14" x14ac:dyDescent="0.3">
      <c r="A1509" s="42"/>
      <c r="C1509" s="52"/>
      <c r="D1509"/>
      <c r="E1509"/>
      <c r="F1509"/>
      <c r="N1509" s="44"/>
    </row>
    <row r="1510" spans="1:14" x14ac:dyDescent="0.3">
      <c r="A1510" s="42"/>
      <c r="C1510" s="52"/>
      <c r="D1510"/>
      <c r="E1510"/>
      <c r="F1510"/>
      <c r="N1510" s="44"/>
    </row>
    <row r="1511" spans="1:14" x14ac:dyDescent="0.3">
      <c r="A1511" s="42"/>
      <c r="C1511" s="52"/>
      <c r="D1511"/>
      <c r="E1511"/>
      <c r="F1511"/>
      <c r="N1511" s="44"/>
    </row>
    <row r="1512" spans="1:14" x14ac:dyDescent="0.3">
      <c r="A1512" s="42"/>
      <c r="C1512" s="52"/>
      <c r="D1512"/>
      <c r="E1512"/>
      <c r="F1512"/>
      <c r="N1512" s="44"/>
    </row>
    <row r="1513" spans="1:14" x14ac:dyDescent="0.3">
      <c r="A1513" s="42"/>
      <c r="C1513" s="52"/>
      <c r="D1513"/>
      <c r="E1513"/>
      <c r="F1513"/>
      <c r="N1513" s="44"/>
    </row>
    <row r="1514" spans="1:14" x14ac:dyDescent="0.3">
      <c r="A1514" s="42"/>
      <c r="C1514" s="52"/>
      <c r="D1514"/>
      <c r="E1514"/>
      <c r="F1514"/>
      <c r="N1514" s="44"/>
    </row>
    <row r="1515" spans="1:14" x14ac:dyDescent="0.3">
      <c r="A1515" s="42"/>
      <c r="C1515" s="52"/>
      <c r="D1515"/>
      <c r="E1515"/>
      <c r="F1515"/>
      <c r="N1515" s="44"/>
    </row>
    <row r="1516" spans="1:14" x14ac:dyDescent="0.3">
      <c r="A1516" s="42"/>
      <c r="C1516" s="52"/>
      <c r="D1516"/>
      <c r="E1516"/>
      <c r="F1516"/>
      <c r="N1516" s="44"/>
    </row>
    <row r="1517" spans="1:14" x14ac:dyDescent="0.3">
      <c r="A1517" s="42"/>
      <c r="C1517" s="52"/>
      <c r="D1517"/>
      <c r="E1517"/>
      <c r="F1517"/>
      <c r="N1517" s="44"/>
    </row>
    <row r="1518" spans="1:14" x14ac:dyDescent="0.3">
      <c r="A1518" s="42"/>
      <c r="C1518" s="52"/>
      <c r="D1518"/>
      <c r="E1518"/>
      <c r="F1518"/>
      <c r="N1518" s="44"/>
    </row>
    <row r="1519" spans="1:14" x14ac:dyDescent="0.3">
      <c r="A1519" s="42"/>
      <c r="C1519" s="52"/>
      <c r="D1519"/>
      <c r="E1519"/>
      <c r="F1519"/>
      <c r="N1519" s="44"/>
    </row>
    <row r="1520" spans="1:14" x14ac:dyDescent="0.3">
      <c r="A1520" s="42"/>
      <c r="C1520" s="52"/>
      <c r="D1520"/>
      <c r="E1520"/>
      <c r="F1520"/>
      <c r="N1520" s="44"/>
    </row>
    <row r="1521" spans="1:14" x14ac:dyDescent="0.3">
      <c r="A1521" s="42"/>
      <c r="C1521" s="52"/>
      <c r="D1521"/>
      <c r="E1521"/>
      <c r="F1521"/>
      <c r="N1521" s="44"/>
    </row>
    <row r="1522" spans="1:14" x14ac:dyDescent="0.3">
      <c r="A1522" s="42"/>
      <c r="C1522" s="52"/>
      <c r="D1522"/>
      <c r="E1522"/>
      <c r="F1522"/>
      <c r="N1522" s="44"/>
    </row>
    <row r="1523" spans="1:14" x14ac:dyDescent="0.3">
      <c r="A1523" s="42"/>
      <c r="C1523" s="52"/>
      <c r="D1523"/>
      <c r="E1523"/>
      <c r="F1523"/>
      <c r="N1523" s="44"/>
    </row>
    <row r="1524" spans="1:14" x14ac:dyDescent="0.3">
      <c r="A1524" s="42"/>
      <c r="C1524" s="52"/>
      <c r="D1524"/>
      <c r="E1524"/>
      <c r="F1524"/>
      <c r="N1524" s="44"/>
    </row>
    <row r="1525" spans="1:14" x14ac:dyDescent="0.3">
      <c r="A1525" s="42"/>
      <c r="C1525" s="52"/>
      <c r="D1525"/>
      <c r="E1525"/>
      <c r="F1525"/>
      <c r="N1525" s="44"/>
    </row>
    <row r="1526" spans="1:14" x14ac:dyDescent="0.3">
      <c r="A1526" s="42"/>
      <c r="C1526" s="52"/>
      <c r="D1526"/>
      <c r="E1526"/>
      <c r="F1526"/>
      <c r="N1526" s="44"/>
    </row>
    <row r="1527" spans="1:14" x14ac:dyDescent="0.3">
      <c r="A1527" s="42"/>
      <c r="C1527" s="52"/>
      <c r="D1527"/>
      <c r="E1527"/>
      <c r="F1527"/>
      <c r="N1527" s="44"/>
    </row>
    <row r="1528" spans="1:14" x14ac:dyDescent="0.3">
      <c r="A1528" s="42"/>
      <c r="C1528" s="52"/>
      <c r="D1528"/>
      <c r="E1528"/>
      <c r="F1528"/>
      <c r="N1528" s="44"/>
    </row>
    <row r="1529" spans="1:14" x14ac:dyDescent="0.3">
      <c r="A1529" s="42"/>
      <c r="C1529" s="52"/>
      <c r="D1529"/>
      <c r="E1529"/>
      <c r="F1529"/>
      <c r="N1529" s="44"/>
    </row>
    <row r="1530" spans="1:14" x14ac:dyDescent="0.3">
      <c r="A1530" s="42"/>
      <c r="C1530" s="52"/>
      <c r="D1530"/>
      <c r="E1530"/>
      <c r="F1530"/>
      <c r="N1530" s="44"/>
    </row>
    <row r="1531" spans="1:14" x14ac:dyDescent="0.3">
      <c r="A1531" s="42"/>
      <c r="C1531" s="52"/>
      <c r="D1531"/>
      <c r="E1531"/>
      <c r="F1531"/>
      <c r="N1531" s="44"/>
    </row>
    <row r="1532" spans="1:14" x14ac:dyDescent="0.3">
      <c r="A1532" s="42"/>
      <c r="C1532" s="52"/>
      <c r="D1532"/>
      <c r="E1532"/>
      <c r="F1532"/>
      <c r="N1532" s="44"/>
    </row>
    <row r="1533" spans="1:14" x14ac:dyDescent="0.3">
      <c r="A1533" s="42"/>
      <c r="C1533" s="52"/>
      <c r="D1533"/>
      <c r="E1533"/>
      <c r="F1533"/>
      <c r="N1533" s="44"/>
    </row>
    <row r="1534" spans="1:14" x14ac:dyDescent="0.3">
      <c r="A1534" s="42"/>
      <c r="C1534" s="52"/>
      <c r="D1534"/>
      <c r="E1534"/>
      <c r="F1534"/>
      <c r="N1534" s="44"/>
    </row>
    <row r="1535" spans="1:14" x14ac:dyDescent="0.3">
      <c r="A1535" s="42"/>
      <c r="C1535" s="52"/>
      <c r="D1535"/>
      <c r="E1535"/>
      <c r="F1535"/>
      <c r="N1535" s="44"/>
    </row>
    <row r="1536" spans="1:14" x14ac:dyDescent="0.3">
      <c r="A1536" s="42"/>
      <c r="C1536" s="52"/>
      <c r="D1536"/>
      <c r="E1536"/>
      <c r="F1536"/>
      <c r="M1536" s="45"/>
      <c r="N1536" s="44"/>
    </row>
    <row r="1537" spans="1:14" x14ac:dyDescent="0.3">
      <c r="A1537" s="42"/>
      <c r="C1537" s="52"/>
      <c r="D1537"/>
      <c r="E1537"/>
      <c r="F1537"/>
      <c r="N1537" s="44"/>
    </row>
    <row r="1538" spans="1:14" x14ac:dyDescent="0.3">
      <c r="A1538" s="42"/>
      <c r="C1538" s="52"/>
      <c r="D1538"/>
      <c r="E1538"/>
      <c r="F1538"/>
      <c r="N1538" s="44"/>
    </row>
    <row r="1539" spans="1:14" x14ac:dyDescent="0.3">
      <c r="A1539" s="42"/>
      <c r="C1539" s="52"/>
      <c r="D1539"/>
      <c r="E1539"/>
      <c r="F1539"/>
      <c r="N1539" s="44"/>
    </row>
    <row r="1540" spans="1:14" x14ac:dyDescent="0.3">
      <c r="A1540" s="42"/>
      <c r="C1540" s="52"/>
      <c r="D1540"/>
      <c r="E1540"/>
      <c r="F1540"/>
      <c r="N1540" s="44"/>
    </row>
    <row r="1541" spans="1:14" x14ac:dyDescent="0.3">
      <c r="A1541" s="42"/>
      <c r="C1541" s="52"/>
      <c r="D1541"/>
      <c r="E1541"/>
      <c r="F1541"/>
      <c r="N1541" s="44"/>
    </row>
    <row r="1542" spans="1:14" x14ac:dyDescent="0.3">
      <c r="A1542" s="42"/>
      <c r="C1542" s="52"/>
      <c r="D1542"/>
      <c r="E1542"/>
      <c r="F1542"/>
      <c r="N1542" s="44"/>
    </row>
    <row r="1543" spans="1:14" x14ac:dyDescent="0.3">
      <c r="A1543" s="42"/>
      <c r="C1543" s="52"/>
      <c r="D1543"/>
      <c r="E1543"/>
      <c r="F1543"/>
      <c r="N1543" s="44"/>
    </row>
    <row r="1544" spans="1:14" x14ac:dyDescent="0.3">
      <c r="A1544" s="42"/>
      <c r="C1544" s="52"/>
      <c r="D1544"/>
      <c r="E1544"/>
      <c r="F1544"/>
      <c r="N1544" s="44"/>
    </row>
    <row r="1545" spans="1:14" x14ac:dyDescent="0.3">
      <c r="A1545" s="42"/>
      <c r="C1545" s="52"/>
      <c r="D1545"/>
      <c r="E1545"/>
      <c r="F1545"/>
      <c r="N1545" s="44"/>
    </row>
    <row r="1546" spans="1:14" x14ac:dyDescent="0.3">
      <c r="A1546" s="42"/>
      <c r="C1546" s="52"/>
      <c r="D1546"/>
      <c r="E1546"/>
      <c r="F1546"/>
      <c r="N1546" s="44"/>
    </row>
    <row r="1547" spans="1:14" x14ac:dyDescent="0.3">
      <c r="A1547" s="42"/>
      <c r="C1547" s="52"/>
      <c r="D1547"/>
      <c r="E1547"/>
      <c r="F1547"/>
      <c r="N1547" s="44"/>
    </row>
    <row r="1548" spans="1:14" x14ac:dyDescent="0.3">
      <c r="A1548" s="42"/>
      <c r="C1548" s="52"/>
      <c r="D1548"/>
      <c r="E1548"/>
      <c r="F1548"/>
      <c r="N1548" s="44"/>
    </row>
    <row r="1549" spans="1:14" x14ac:dyDescent="0.3">
      <c r="A1549" s="42"/>
      <c r="C1549" s="52"/>
      <c r="D1549"/>
      <c r="E1549"/>
      <c r="F1549"/>
      <c r="N1549" s="44"/>
    </row>
    <row r="1550" spans="1:14" x14ac:dyDescent="0.3">
      <c r="A1550" s="42"/>
      <c r="C1550" s="52"/>
      <c r="D1550"/>
      <c r="E1550"/>
      <c r="F1550"/>
      <c r="N1550" s="44"/>
    </row>
    <row r="1551" spans="1:14" x14ac:dyDescent="0.3">
      <c r="A1551" s="42"/>
      <c r="C1551" s="52"/>
      <c r="D1551"/>
      <c r="E1551"/>
      <c r="F1551"/>
      <c r="N1551" s="44"/>
    </row>
    <row r="1552" spans="1:14" x14ac:dyDescent="0.3">
      <c r="A1552" s="42"/>
      <c r="C1552" s="52"/>
      <c r="D1552"/>
      <c r="E1552"/>
      <c r="F1552"/>
      <c r="M1552" s="45"/>
      <c r="N1552" s="44"/>
    </row>
    <row r="1553" spans="1:14" x14ac:dyDescent="0.3">
      <c r="A1553" s="42"/>
      <c r="C1553" s="52"/>
      <c r="D1553"/>
      <c r="E1553"/>
      <c r="F1553"/>
      <c r="N1553" s="44"/>
    </row>
    <row r="1554" spans="1:14" x14ac:dyDescent="0.3">
      <c r="A1554" s="42"/>
      <c r="C1554" s="52"/>
      <c r="D1554"/>
      <c r="E1554"/>
      <c r="F1554"/>
      <c r="N1554" s="44"/>
    </row>
    <row r="1555" spans="1:14" x14ac:dyDescent="0.3">
      <c r="A1555" s="42"/>
      <c r="C1555" s="52"/>
      <c r="D1555"/>
      <c r="E1555"/>
      <c r="F1555"/>
      <c r="N1555" s="44"/>
    </row>
    <row r="1556" spans="1:14" x14ac:dyDescent="0.3">
      <c r="A1556" s="42"/>
      <c r="C1556" s="52"/>
      <c r="D1556"/>
      <c r="E1556"/>
      <c r="F1556"/>
      <c r="N1556" s="44"/>
    </row>
    <row r="1557" spans="1:14" x14ac:dyDescent="0.3">
      <c r="A1557" s="42"/>
      <c r="C1557" s="52"/>
      <c r="D1557"/>
      <c r="E1557"/>
      <c r="F1557"/>
      <c r="N1557" s="44"/>
    </row>
    <row r="1558" spans="1:14" x14ac:dyDescent="0.3">
      <c r="A1558" s="42"/>
      <c r="C1558" s="52"/>
      <c r="D1558"/>
      <c r="E1558"/>
      <c r="F1558"/>
      <c r="N1558" s="44"/>
    </row>
    <row r="1559" spans="1:14" x14ac:dyDescent="0.3">
      <c r="A1559" s="42"/>
      <c r="C1559" s="52"/>
      <c r="D1559"/>
      <c r="E1559"/>
      <c r="F1559"/>
      <c r="N1559" s="44"/>
    </row>
    <row r="1560" spans="1:14" x14ac:dyDescent="0.3">
      <c r="A1560" s="42"/>
      <c r="C1560" s="52"/>
      <c r="D1560"/>
      <c r="E1560"/>
      <c r="F1560"/>
      <c r="M1560" s="45"/>
      <c r="N1560" s="44"/>
    </row>
    <row r="1561" spans="1:14" x14ac:dyDescent="0.3">
      <c r="A1561" s="42"/>
      <c r="C1561" s="52"/>
      <c r="D1561"/>
      <c r="E1561"/>
      <c r="F1561"/>
      <c r="N1561" s="44"/>
    </row>
    <row r="1562" spans="1:14" x14ac:dyDescent="0.3">
      <c r="A1562" s="42"/>
      <c r="C1562" s="52"/>
      <c r="D1562"/>
      <c r="E1562"/>
      <c r="F1562"/>
      <c r="N1562" s="44"/>
    </row>
    <row r="1563" spans="1:14" x14ac:dyDescent="0.3">
      <c r="A1563" s="42"/>
      <c r="C1563" s="52"/>
      <c r="D1563"/>
      <c r="E1563"/>
      <c r="F1563"/>
      <c r="M1563" s="45"/>
      <c r="N1563" s="44"/>
    </row>
    <row r="1564" spans="1:14" x14ac:dyDescent="0.3">
      <c r="A1564" s="42"/>
      <c r="C1564" s="52"/>
      <c r="D1564"/>
      <c r="E1564"/>
      <c r="F1564"/>
      <c r="N1564" s="44"/>
    </row>
    <row r="1565" spans="1:14" x14ac:dyDescent="0.3">
      <c r="A1565" s="42"/>
      <c r="C1565" s="52"/>
      <c r="D1565"/>
      <c r="E1565"/>
      <c r="F1565"/>
      <c r="N1565" s="44"/>
    </row>
    <row r="1566" spans="1:14" x14ac:dyDescent="0.3">
      <c r="A1566" s="42"/>
      <c r="C1566" s="52"/>
      <c r="D1566"/>
      <c r="E1566"/>
      <c r="F1566"/>
      <c r="N1566" s="44"/>
    </row>
    <row r="1567" spans="1:14" x14ac:dyDescent="0.3">
      <c r="A1567" s="42"/>
      <c r="C1567" s="52"/>
      <c r="D1567"/>
      <c r="E1567"/>
      <c r="F1567"/>
      <c r="N1567" s="44"/>
    </row>
    <row r="1568" spans="1:14" x14ac:dyDescent="0.3">
      <c r="A1568" s="42"/>
      <c r="C1568" s="52"/>
      <c r="D1568"/>
      <c r="E1568"/>
      <c r="F1568"/>
      <c r="N1568" s="44"/>
    </row>
    <row r="1569" spans="1:14" x14ac:dyDescent="0.3">
      <c r="A1569" s="42"/>
      <c r="C1569" s="52"/>
      <c r="D1569"/>
      <c r="E1569"/>
      <c r="F1569"/>
      <c r="N1569" s="44"/>
    </row>
    <row r="1570" spans="1:14" x14ac:dyDescent="0.3">
      <c r="A1570" s="42"/>
      <c r="C1570" s="52"/>
      <c r="D1570"/>
      <c r="E1570"/>
      <c r="F1570"/>
      <c r="N1570" s="44"/>
    </row>
    <row r="1571" spans="1:14" x14ac:dyDescent="0.3">
      <c r="A1571" s="42"/>
      <c r="C1571" s="52"/>
      <c r="D1571"/>
      <c r="E1571"/>
      <c r="F1571"/>
      <c r="N1571" s="44"/>
    </row>
    <row r="1572" spans="1:14" x14ac:dyDescent="0.3">
      <c r="A1572" s="42"/>
      <c r="C1572" s="52"/>
      <c r="D1572"/>
      <c r="E1572"/>
      <c r="F1572"/>
      <c r="N1572" s="44"/>
    </row>
    <row r="1573" spans="1:14" x14ac:dyDescent="0.3">
      <c r="A1573" s="42"/>
      <c r="C1573" s="52"/>
      <c r="D1573"/>
      <c r="E1573"/>
      <c r="F1573"/>
      <c r="N1573" s="44"/>
    </row>
    <row r="1574" spans="1:14" x14ac:dyDescent="0.3">
      <c r="A1574" s="42"/>
      <c r="C1574" s="52"/>
      <c r="D1574"/>
      <c r="E1574"/>
      <c r="F1574"/>
      <c r="N1574" s="44"/>
    </row>
    <row r="1575" spans="1:14" x14ac:dyDescent="0.3">
      <c r="A1575" s="42"/>
      <c r="C1575" s="52"/>
      <c r="D1575"/>
      <c r="E1575"/>
      <c r="F1575"/>
      <c r="N1575" s="44"/>
    </row>
    <row r="1576" spans="1:14" x14ac:dyDescent="0.3">
      <c r="A1576" s="42"/>
      <c r="C1576" s="52"/>
      <c r="D1576"/>
      <c r="E1576"/>
      <c r="F1576"/>
      <c r="N1576" s="44"/>
    </row>
    <row r="1577" spans="1:14" x14ac:dyDescent="0.3">
      <c r="A1577" s="42"/>
      <c r="C1577" s="52"/>
      <c r="D1577"/>
      <c r="E1577"/>
      <c r="F1577"/>
      <c r="N1577" s="44"/>
    </row>
    <row r="1578" spans="1:14" x14ac:dyDescent="0.3">
      <c r="A1578" s="42"/>
      <c r="C1578" s="52"/>
      <c r="D1578"/>
      <c r="E1578"/>
      <c r="F1578"/>
      <c r="N1578" s="44"/>
    </row>
    <row r="1579" spans="1:14" x14ac:dyDescent="0.3">
      <c r="A1579" s="42"/>
      <c r="C1579" s="52"/>
      <c r="D1579"/>
      <c r="E1579"/>
      <c r="F1579"/>
      <c r="N1579" s="44"/>
    </row>
    <row r="1580" spans="1:14" x14ac:dyDescent="0.3">
      <c r="A1580" s="42"/>
      <c r="C1580" s="52"/>
      <c r="D1580"/>
      <c r="E1580"/>
      <c r="F1580"/>
      <c r="N1580" s="44"/>
    </row>
    <row r="1581" spans="1:14" x14ac:dyDescent="0.3">
      <c r="A1581" s="42"/>
      <c r="C1581" s="52"/>
      <c r="D1581"/>
      <c r="E1581"/>
      <c r="F1581"/>
      <c r="N1581" s="44"/>
    </row>
    <row r="1582" spans="1:14" x14ac:dyDescent="0.3">
      <c r="A1582" s="42"/>
      <c r="C1582" s="52"/>
      <c r="D1582"/>
      <c r="E1582"/>
      <c r="F1582"/>
      <c r="N1582" s="44"/>
    </row>
    <row r="1583" spans="1:14" x14ac:dyDescent="0.3">
      <c r="A1583" s="42"/>
      <c r="C1583" s="52"/>
      <c r="D1583"/>
      <c r="E1583"/>
      <c r="F1583"/>
      <c r="N1583" s="44"/>
    </row>
    <row r="1584" spans="1:14" x14ac:dyDescent="0.3">
      <c r="A1584" s="42"/>
      <c r="C1584" s="52"/>
      <c r="D1584"/>
      <c r="E1584"/>
      <c r="F1584"/>
      <c r="N1584" s="44"/>
    </row>
    <row r="1585" spans="1:14" x14ac:dyDescent="0.3">
      <c r="A1585" s="42"/>
      <c r="C1585" s="52"/>
      <c r="D1585"/>
      <c r="E1585"/>
      <c r="F1585"/>
      <c r="N1585" s="44"/>
    </row>
    <row r="1586" spans="1:14" x14ac:dyDescent="0.3">
      <c r="A1586" s="42"/>
      <c r="C1586" s="52"/>
      <c r="D1586"/>
      <c r="E1586"/>
      <c r="F1586"/>
      <c r="N1586" s="44"/>
    </row>
    <row r="1587" spans="1:14" x14ac:dyDescent="0.3">
      <c r="A1587" s="42"/>
      <c r="C1587" s="52"/>
      <c r="D1587"/>
      <c r="E1587"/>
      <c r="F1587"/>
      <c r="N1587" s="44"/>
    </row>
    <row r="1588" spans="1:14" x14ac:dyDescent="0.3">
      <c r="A1588" s="42"/>
      <c r="C1588" s="52"/>
      <c r="D1588"/>
      <c r="E1588"/>
      <c r="F1588"/>
      <c r="N1588" s="44"/>
    </row>
    <row r="1589" spans="1:14" x14ac:dyDescent="0.3">
      <c r="A1589" s="42"/>
      <c r="C1589" s="52"/>
      <c r="D1589"/>
      <c r="E1589"/>
      <c r="F1589"/>
      <c r="N1589" s="44"/>
    </row>
    <row r="1590" spans="1:14" x14ac:dyDescent="0.3">
      <c r="A1590" s="42"/>
      <c r="C1590" s="52"/>
      <c r="D1590"/>
      <c r="E1590"/>
      <c r="F1590"/>
      <c r="N1590" s="44"/>
    </row>
    <row r="1591" spans="1:14" x14ac:dyDescent="0.3">
      <c r="A1591" s="42"/>
      <c r="C1591" s="52"/>
      <c r="D1591"/>
      <c r="E1591"/>
      <c r="F1591"/>
      <c r="N1591" s="44"/>
    </row>
    <row r="1592" spans="1:14" x14ac:dyDescent="0.3">
      <c r="A1592" s="42"/>
      <c r="C1592" s="52"/>
      <c r="D1592"/>
      <c r="E1592"/>
      <c r="F1592"/>
      <c r="N1592" s="44"/>
    </row>
    <row r="1593" spans="1:14" x14ac:dyDescent="0.3">
      <c r="A1593" s="42"/>
      <c r="C1593" s="52"/>
      <c r="D1593"/>
      <c r="E1593"/>
      <c r="F1593"/>
      <c r="N1593" s="44"/>
    </row>
    <row r="1594" spans="1:14" x14ac:dyDescent="0.3">
      <c r="A1594" s="42"/>
      <c r="C1594" s="52"/>
      <c r="D1594"/>
      <c r="E1594"/>
      <c r="F1594"/>
      <c r="N1594" s="44"/>
    </row>
    <row r="1595" spans="1:14" x14ac:dyDescent="0.3">
      <c r="A1595" s="42"/>
      <c r="C1595" s="52"/>
      <c r="D1595"/>
      <c r="E1595"/>
      <c r="F1595"/>
      <c r="N1595" s="44"/>
    </row>
    <row r="1596" spans="1:14" x14ac:dyDescent="0.3">
      <c r="A1596" s="42"/>
      <c r="C1596" s="52"/>
      <c r="D1596"/>
      <c r="E1596"/>
      <c r="F1596"/>
      <c r="N1596" s="44"/>
    </row>
    <row r="1597" spans="1:14" x14ac:dyDescent="0.3">
      <c r="A1597" s="42"/>
      <c r="C1597" s="52"/>
      <c r="D1597"/>
      <c r="E1597"/>
      <c r="F1597"/>
      <c r="N1597" s="44"/>
    </row>
    <row r="1598" spans="1:14" x14ac:dyDescent="0.3">
      <c r="A1598" s="42"/>
      <c r="C1598" s="52"/>
      <c r="D1598"/>
      <c r="E1598"/>
      <c r="F1598"/>
      <c r="N1598" s="44"/>
    </row>
    <row r="1599" spans="1:14" x14ac:dyDescent="0.3">
      <c r="A1599" s="42"/>
      <c r="C1599" s="52"/>
      <c r="D1599"/>
      <c r="E1599"/>
      <c r="F1599"/>
      <c r="N1599" s="44"/>
    </row>
    <row r="1600" spans="1:14" x14ac:dyDescent="0.3">
      <c r="A1600" s="42"/>
      <c r="C1600" s="52"/>
      <c r="D1600"/>
      <c r="E1600"/>
      <c r="F1600"/>
      <c r="N1600" s="44"/>
    </row>
    <row r="1601" spans="1:14" x14ac:dyDescent="0.3">
      <c r="A1601" s="42"/>
      <c r="C1601" s="52"/>
      <c r="D1601"/>
      <c r="E1601"/>
      <c r="F1601"/>
      <c r="N1601" s="44"/>
    </row>
    <row r="1602" spans="1:14" x14ac:dyDescent="0.3">
      <c r="A1602" s="42"/>
      <c r="C1602" s="52"/>
      <c r="D1602"/>
      <c r="E1602"/>
      <c r="F1602"/>
      <c r="N1602" s="44"/>
    </row>
    <row r="1603" spans="1:14" x14ac:dyDescent="0.3">
      <c r="A1603" s="42"/>
      <c r="C1603" s="52"/>
      <c r="D1603"/>
      <c r="E1603"/>
      <c r="F1603"/>
      <c r="N1603" s="44"/>
    </row>
    <row r="1604" spans="1:14" x14ac:dyDescent="0.3">
      <c r="A1604" s="42"/>
      <c r="C1604" s="52"/>
      <c r="D1604"/>
      <c r="E1604"/>
      <c r="F1604"/>
      <c r="N1604" s="44"/>
    </row>
    <row r="1605" spans="1:14" x14ac:dyDescent="0.3">
      <c r="A1605" s="42"/>
      <c r="C1605" s="52"/>
      <c r="D1605"/>
      <c r="E1605"/>
      <c r="F1605"/>
      <c r="N1605" s="44"/>
    </row>
    <row r="1606" spans="1:14" x14ac:dyDescent="0.3">
      <c r="A1606" s="42"/>
      <c r="C1606" s="52"/>
      <c r="D1606"/>
      <c r="E1606"/>
      <c r="F1606"/>
      <c r="N1606" s="44"/>
    </row>
    <row r="1607" spans="1:14" x14ac:dyDescent="0.3">
      <c r="A1607" s="42"/>
      <c r="C1607" s="52"/>
      <c r="D1607"/>
      <c r="E1607"/>
      <c r="F1607"/>
      <c r="N1607" s="44"/>
    </row>
    <row r="1608" spans="1:14" x14ac:dyDescent="0.3">
      <c r="A1608" s="42"/>
      <c r="C1608" s="52"/>
      <c r="D1608"/>
      <c r="E1608"/>
      <c r="F1608"/>
      <c r="N1608" s="44"/>
    </row>
    <row r="1609" spans="1:14" x14ac:dyDescent="0.3">
      <c r="A1609" s="42"/>
      <c r="C1609" s="52"/>
      <c r="D1609"/>
      <c r="E1609"/>
      <c r="F1609"/>
      <c r="N1609" s="44"/>
    </row>
    <row r="1610" spans="1:14" x14ac:dyDescent="0.3">
      <c r="A1610" s="42"/>
      <c r="C1610" s="52"/>
      <c r="D1610"/>
      <c r="E1610"/>
      <c r="F1610"/>
      <c r="N1610" s="44"/>
    </row>
    <row r="1611" spans="1:14" x14ac:dyDescent="0.3">
      <c r="A1611" s="42"/>
      <c r="C1611" s="52"/>
      <c r="D1611"/>
      <c r="E1611"/>
      <c r="F1611"/>
      <c r="N1611" s="44"/>
    </row>
    <row r="1612" spans="1:14" x14ac:dyDescent="0.3">
      <c r="A1612" s="42"/>
      <c r="C1612" s="52"/>
      <c r="D1612"/>
      <c r="E1612"/>
      <c r="F1612"/>
      <c r="N1612" s="44"/>
    </row>
    <row r="1613" spans="1:14" x14ac:dyDescent="0.3">
      <c r="A1613" s="42"/>
      <c r="C1613" s="52"/>
      <c r="D1613"/>
      <c r="E1613"/>
      <c r="F1613"/>
      <c r="N1613" s="44"/>
    </row>
    <row r="1614" spans="1:14" x14ac:dyDescent="0.3">
      <c r="A1614" s="42"/>
      <c r="C1614" s="52"/>
      <c r="D1614"/>
      <c r="E1614"/>
      <c r="F1614"/>
      <c r="N1614" s="44"/>
    </row>
    <row r="1615" spans="1:14" x14ac:dyDescent="0.3">
      <c r="A1615" s="42"/>
      <c r="C1615" s="52"/>
      <c r="D1615"/>
      <c r="E1615"/>
      <c r="F1615"/>
      <c r="N1615" s="44"/>
    </row>
    <row r="1616" spans="1:14" x14ac:dyDescent="0.3">
      <c r="A1616" s="42"/>
      <c r="C1616" s="52"/>
      <c r="D1616"/>
      <c r="E1616"/>
      <c r="F1616"/>
      <c r="N1616" s="44"/>
    </row>
    <row r="1617" spans="1:14" x14ac:dyDescent="0.3">
      <c r="A1617" s="42"/>
      <c r="C1617" s="52"/>
      <c r="D1617"/>
      <c r="E1617"/>
      <c r="F1617"/>
      <c r="N1617" s="44"/>
    </row>
    <row r="1618" spans="1:14" x14ac:dyDescent="0.3">
      <c r="A1618" s="42"/>
      <c r="C1618" s="52"/>
      <c r="D1618"/>
      <c r="E1618"/>
      <c r="F1618"/>
      <c r="N1618" s="44"/>
    </row>
    <row r="1619" spans="1:14" x14ac:dyDescent="0.3">
      <c r="A1619" s="42"/>
      <c r="C1619" s="52"/>
      <c r="D1619"/>
      <c r="E1619"/>
      <c r="F1619"/>
      <c r="M1619" s="45"/>
      <c r="N1619" s="44"/>
    </row>
    <row r="1620" spans="1:14" x14ac:dyDescent="0.3">
      <c r="A1620" s="42"/>
      <c r="C1620" s="52"/>
      <c r="D1620"/>
      <c r="E1620"/>
      <c r="F1620"/>
      <c r="N1620" s="44"/>
    </row>
    <row r="1621" spans="1:14" x14ac:dyDescent="0.3">
      <c r="A1621" s="42"/>
      <c r="C1621" s="52"/>
      <c r="D1621"/>
      <c r="E1621"/>
      <c r="F1621"/>
      <c r="N1621" s="44"/>
    </row>
    <row r="1622" spans="1:14" x14ac:dyDescent="0.3">
      <c r="A1622" s="42"/>
      <c r="C1622" s="52"/>
      <c r="D1622"/>
      <c r="E1622"/>
      <c r="F1622"/>
      <c r="N1622" s="44"/>
    </row>
    <row r="1623" spans="1:14" x14ac:dyDescent="0.3">
      <c r="A1623" s="42"/>
      <c r="C1623" s="52"/>
      <c r="D1623"/>
      <c r="E1623"/>
      <c r="F1623"/>
      <c r="N1623" s="44"/>
    </row>
    <row r="1624" spans="1:14" x14ac:dyDescent="0.3">
      <c r="A1624" s="42"/>
      <c r="C1624" s="52"/>
      <c r="D1624"/>
      <c r="E1624"/>
      <c r="F1624"/>
      <c r="N1624" s="44"/>
    </row>
    <row r="1625" spans="1:14" x14ac:dyDescent="0.3">
      <c r="A1625" s="42"/>
      <c r="C1625" s="52"/>
      <c r="D1625"/>
      <c r="E1625"/>
      <c r="F1625"/>
      <c r="N1625" s="44"/>
    </row>
    <row r="1626" spans="1:14" x14ac:dyDescent="0.3">
      <c r="A1626" s="42"/>
      <c r="C1626" s="52"/>
      <c r="D1626"/>
      <c r="E1626"/>
      <c r="F1626"/>
      <c r="N1626" s="44"/>
    </row>
    <row r="1627" spans="1:14" x14ac:dyDescent="0.3">
      <c r="A1627" s="42"/>
      <c r="C1627" s="52"/>
      <c r="D1627"/>
      <c r="E1627"/>
      <c r="F1627"/>
      <c r="N1627" s="44"/>
    </row>
    <row r="1628" spans="1:14" x14ac:dyDescent="0.3">
      <c r="A1628" s="42"/>
      <c r="C1628" s="52"/>
      <c r="D1628"/>
      <c r="E1628"/>
      <c r="F1628"/>
      <c r="N1628" s="44"/>
    </row>
    <row r="1629" spans="1:14" x14ac:dyDescent="0.3">
      <c r="A1629" s="42"/>
      <c r="C1629" s="52"/>
      <c r="D1629"/>
      <c r="E1629"/>
      <c r="F1629"/>
      <c r="N1629" s="44"/>
    </row>
    <row r="1630" spans="1:14" x14ac:dyDescent="0.3">
      <c r="A1630" s="42"/>
      <c r="C1630" s="52"/>
      <c r="D1630"/>
      <c r="E1630"/>
      <c r="F1630"/>
      <c r="N1630" s="44"/>
    </row>
    <row r="1631" spans="1:14" x14ac:dyDescent="0.3">
      <c r="A1631" s="42"/>
      <c r="C1631" s="52"/>
      <c r="D1631"/>
      <c r="E1631"/>
      <c r="F1631"/>
      <c r="N1631" s="44"/>
    </row>
    <row r="1632" spans="1:14" x14ac:dyDescent="0.3">
      <c r="A1632" s="42"/>
      <c r="C1632" s="52"/>
      <c r="D1632"/>
      <c r="E1632"/>
      <c r="F1632"/>
      <c r="N1632" s="44"/>
    </row>
    <row r="1633" spans="1:14" x14ac:dyDescent="0.3">
      <c r="A1633" s="42"/>
      <c r="C1633" s="52"/>
      <c r="D1633"/>
      <c r="E1633"/>
      <c r="F1633"/>
      <c r="N1633" s="44"/>
    </row>
    <row r="1634" spans="1:14" x14ac:dyDescent="0.3">
      <c r="A1634" s="42"/>
      <c r="C1634" s="52"/>
      <c r="D1634"/>
      <c r="E1634"/>
      <c r="F1634"/>
      <c r="N1634" s="44"/>
    </row>
    <row r="1635" spans="1:14" x14ac:dyDescent="0.3">
      <c r="A1635" s="42"/>
      <c r="C1635" s="52"/>
      <c r="D1635"/>
      <c r="E1635"/>
      <c r="F1635"/>
      <c r="N1635" s="44"/>
    </row>
    <row r="1636" spans="1:14" x14ac:dyDescent="0.3">
      <c r="A1636" s="42"/>
      <c r="C1636" s="52"/>
      <c r="D1636"/>
      <c r="E1636"/>
      <c r="F1636"/>
      <c r="N1636" s="44"/>
    </row>
    <row r="1637" spans="1:14" x14ac:dyDescent="0.3">
      <c r="A1637" s="42"/>
      <c r="C1637" s="52"/>
      <c r="D1637"/>
      <c r="E1637"/>
      <c r="F1637"/>
      <c r="N1637" s="44"/>
    </row>
    <row r="1638" spans="1:14" x14ac:dyDescent="0.3">
      <c r="A1638" s="42"/>
      <c r="C1638" s="52"/>
      <c r="D1638"/>
      <c r="E1638"/>
      <c r="F1638"/>
      <c r="N1638" s="44"/>
    </row>
    <row r="1639" spans="1:14" x14ac:dyDescent="0.3">
      <c r="A1639" s="42"/>
      <c r="C1639" s="52"/>
      <c r="D1639"/>
      <c r="E1639"/>
      <c r="F1639"/>
      <c r="N1639" s="44"/>
    </row>
    <row r="1640" spans="1:14" x14ac:dyDescent="0.3">
      <c r="A1640" s="42"/>
      <c r="C1640" s="52"/>
      <c r="D1640"/>
      <c r="E1640"/>
      <c r="F1640"/>
      <c r="N1640" s="44"/>
    </row>
    <row r="1641" spans="1:14" x14ac:dyDescent="0.3">
      <c r="A1641" s="42"/>
      <c r="C1641" s="52"/>
      <c r="D1641"/>
      <c r="E1641"/>
      <c r="F1641"/>
      <c r="N1641" s="44"/>
    </row>
    <row r="1642" spans="1:14" x14ac:dyDescent="0.3">
      <c r="A1642" s="42"/>
      <c r="C1642" s="52"/>
      <c r="D1642"/>
      <c r="E1642"/>
      <c r="F1642"/>
      <c r="N1642" s="44"/>
    </row>
    <row r="1643" spans="1:14" x14ac:dyDescent="0.3">
      <c r="A1643" s="42"/>
      <c r="C1643" s="52"/>
      <c r="D1643"/>
      <c r="E1643"/>
      <c r="F1643"/>
      <c r="N1643" s="44"/>
    </row>
    <row r="1644" spans="1:14" x14ac:dyDescent="0.3">
      <c r="A1644" s="42"/>
      <c r="C1644" s="52"/>
      <c r="D1644"/>
      <c r="E1644"/>
      <c r="F1644"/>
      <c r="N1644" s="44"/>
    </row>
    <row r="1645" spans="1:14" x14ac:dyDescent="0.3">
      <c r="A1645" s="42"/>
      <c r="C1645" s="52"/>
      <c r="D1645"/>
      <c r="E1645"/>
      <c r="F1645"/>
      <c r="N1645" s="44"/>
    </row>
    <row r="1646" spans="1:14" x14ac:dyDescent="0.3">
      <c r="A1646" s="42"/>
      <c r="C1646" s="52"/>
      <c r="D1646"/>
      <c r="E1646"/>
      <c r="F1646"/>
      <c r="N1646" s="44"/>
    </row>
    <row r="1647" spans="1:14" x14ac:dyDescent="0.3">
      <c r="A1647" s="42"/>
      <c r="C1647" s="52"/>
      <c r="D1647"/>
      <c r="E1647"/>
      <c r="F1647"/>
      <c r="N1647" s="44"/>
    </row>
    <row r="1648" spans="1:14" x14ac:dyDescent="0.3">
      <c r="A1648" s="42"/>
      <c r="C1648" s="52"/>
      <c r="D1648"/>
      <c r="E1648"/>
      <c r="F1648"/>
      <c r="N1648" s="44"/>
    </row>
    <row r="1649" spans="1:14" x14ac:dyDescent="0.3">
      <c r="A1649" s="42"/>
      <c r="C1649" s="52"/>
      <c r="D1649"/>
      <c r="E1649"/>
      <c r="F1649"/>
      <c r="N1649" s="44"/>
    </row>
    <row r="1650" spans="1:14" x14ac:dyDescent="0.3">
      <c r="A1650" s="42"/>
      <c r="C1650" s="52"/>
      <c r="D1650"/>
      <c r="E1650"/>
      <c r="F1650"/>
      <c r="N1650" s="44"/>
    </row>
    <row r="1651" spans="1:14" x14ac:dyDescent="0.3">
      <c r="A1651" s="42"/>
      <c r="C1651" s="52"/>
      <c r="D1651"/>
      <c r="E1651"/>
      <c r="F1651"/>
      <c r="N1651" s="44"/>
    </row>
    <row r="1652" spans="1:14" x14ac:dyDescent="0.3">
      <c r="A1652" s="42"/>
      <c r="C1652" s="52"/>
      <c r="D1652"/>
      <c r="E1652"/>
      <c r="F1652"/>
      <c r="N1652" s="44"/>
    </row>
    <row r="1653" spans="1:14" x14ac:dyDescent="0.3">
      <c r="A1653" s="42"/>
      <c r="C1653" s="52"/>
      <c r="D1653"/>
      <c r="E1653"/>
      <c r="F1653"/>
      <c r="N1653" s="44"/>
    </row>
    <row r="1654" spans="1:14" x14ac:dyDescent="0.3">
      <c r="A1654" s="42"/>
      <c r="C1654" s="52"/>
      <c r="D1654"/>
      <c r="E1654"/>
      <c r="F1654"/>
      <c r="N1654" s="44"/>
    </row>
    <row r="1655" spans="1:14" x14ac:dyDescent="0.3">
      <c r="A1655" s="42"/>
      <c r="C1655" s="52"/>
      <c r="D1655"/>
      <c r="E1655"/>
      <c r="F1655"/>
      <c r="N1655" s="44"/>
    </row>
    <row r="1656" spans="1:14" x14ac:dyDescent="0.3">
      <c r="A1656" s="42"/>
      <c r="C1656" s="52"/>
      <c r="D1656"/>
      <c r="E1656"/>
      <c r="F1656"/>
      <c r="N1656" s="44"/>
    </row>
    <row r="1657" spans="1:14" x14ac:dyDescent="0.3">
      <c r="A1657" s="42"/>
      <c r="C1657" s="52"/>
      <c r="D1657"/>
      <c r="E1657"/>
      <c r="F1657"/>
      <c r="N1657" s="44"/>
    </row>
    <row r="1658" spans="1:14" x14ac:dyDescent="0.3">
      <c r="A1658" s="42"/>
      <c r="C1658" s="52"/>
      <c r="D1658"/>
      <c r="E1658"/>
      <c r="F1658"/>
      <c r="N1658" s="44"/>
    </row>
    <row r="1659" spans="1:14" x14ac:dyDescent="0.3">
      <c r="A1659" s="42"/>
      <c r="C1659" s="52"/>
      <c r="D1659"/>
      <c r="E1659"/>
      <c r="F1659"/>
      <c r="N1659" s="44"/>
    </row>
    <row r="1660" spans="1:14" x14ac:dyDescent="0.3">
      <c r="A1660" s="42"/>
      <c r="C1660" s="52"/>
      <c r="D1660"/>
      <c r="E1660"/>
      <c r="F1660"/>
      <c r="N1660" s="44"/>
    </row>
    <row r="1661" spans="1:14" x14ac:dyDescent="0.3">
      <c r="A1661" s="42"/>
      <c r="C1661" s="52"/>
      <c r="D1661"/>
      <c r="E1661"/>
      <c r="F1661"/>
      <c r="N1661" s="44"/>
    </row>
    <row r="1662" spans="1:14" x14ac:dyDescent="0.3">
      <c r="A1662" s="42"/>
      <c r="C1662" s="52"/>
      <c r="D1662"/>
      <c r="E1662"/>
      <c r="F1662"/>
      <c r="N1662" s="44"/>
    </row>
    <row r="1663" spans="1:14" x14ac:dyDescent="0.3">
      <c r="A1663" s="42"/>
      <c r="C1663" s="52"/>
      <c r="D1663"/>
      <c r="E1663"/>
      <c r="F1663"/>
      <c r="N1663" s="44"/>
    </row>
    <row r="1664" spans="1:14" x14ac:dyDescent="0.3">
      <c r="A1664" s="42"/>
      <c r="C1664" s="52"/>
      <c r="D1664"/>
      <c r="E1664"/>
      <c r="F1664"/>
      <c r="N1664" s="44"/>
    </row>
    <row r="1665" spans="1:14" x14ac:dyDescent="0.3">
      <c r="A1665" s="42"/>
      <c r="C1665" s="52"/>
      <c r="D1665"/>
      <c r="E1665"/>
      <c r="F1665"/>
      <c r="N1665" s="44"/>
    </row>
    <row r="1666" spans="1:14" x14ac:dyDescent="0.3">
      <c r="A1666" s="42"/>
      <c r="C1666" s="52"/>
      <c r="D1666"/>
      <c r="E1666"/>
      <c r="F1666"/>
      <c r="N1666" s="44"/>
    </row>
    <row r="1667" spans="1:14" x14ac:dyDescent="0.3">
      <c r="A1667" s="42"/>
      <c r="C1667" s="52"/>
      <c r="D1667"/>
      <c r="E1667"/>
      <c r="F1667"/>
      <c r="N1667" s="44"/>
    </row>
    <row r="1668" spans="1:14" x14ac:dyDescent="0.3">
      <c r="A1668" s="42"/>
      <c r="C1668" s="52"/>
      <c r="D1668"/>
      <c r="E1668"/>
      <c r="F1668"/>
      <c r="N1668" s="44"/>
    </row>
    <row r="1669" spans="1:14" x14ac:dyDescent="0.3">
      <c r="A1669" s="42"/>
      <c r="C1669" s="52"/>
      <c r="D1669"/>
      <c r="E1669"/>
      <c r="F1669"/>
      <c r="N1669" s="44"/>
    </row>
    <row r="1670" spans="1:14" x14ac:dyDescent="0.3">
      <c r="A1670" s="42"/>
      <c r="C1670" s="52"/>
      <c r="D1670"/>
      <c r="E1670"/>
      <c r="F1670"/>
      <c r="N1670" s="44"/>
    </row>
    <row r="1671" spans="1:14" x14ac:dyDescent="0.3">
      <c r="A1671" s="42"/>
      <c r="C1671" s="52"/>
      <c r="D1671"/>
      <c r="E1671"/>
      <c r="F1671"/>
      <c r="N1671" s="44"/>
    </row>
    <row r="1672" spans="1:14" x14ac:dyDescent="0.3">
      <c r="A1672" s="42"/>
      <c r="C1672" s="52"/>
      <c r="D1672"/>
      <c r="E1672"/>
      <c r="F1672"/>
      <c r="N1672" s="44"/>
    </row>
    <row r="1673" spans="1:14" x14ac:dyDescent="0.3">
      <c r="A1673" s="42"/>
      <c r="C1673" s="52"/>
      <c r="D1673"/>
      <c r="E1673"/>
      <c r="F1673"/>
      <c r="N1673" s="44"/>
    </row>
    <row r="1674" spans="1:14" x14ac:dyDescent="0.3">
      <c r="A1674" s="42"/>
      <c r="C1674" s="52"/>
      <c r="D1674"/>
      <c r="E1674"/>
      <c r="F1674"/>
      <c r="N1674" s="44"/>
    </row>
    <row r="1675" spans="1:14" x14ac:dyDescent="0.3">
      <c r="A1675" s="42"/>
      <c r="C1675" s="52"/>
      <c r="D1675"/>
      <c r="E1675"/>
      <c r="F1675"/>
      <c r="N1675" s="44"/>
    </row>
    <row r="1676" spans="1:14" x14ac:dyDescent="0.3">
      <c r="A1676" s="42"/>
      <c r="C1676" s="52"/>
      <c r="D1676"/>
      <c r="E1676"/>
      <c r="F1676"/>
      <c r="N1676" s="44"/>
    </row>
    <row r="1677" spans="1:14" x14ac:dyDescent="0.3">
      <c r="A1677" s="42"/>
      <c r="C1677" s="52"/>
      <c r="D1677"/>
      <c r="E1677"/>
      <c r="F1677"/>
      <c r="N1677" s="44"/>
    </row>
    <row r="1678" spans="1:14" x14ac:dyDescent="0.3">
      <c r="A1678" s="42"/>
      <c r="C1678" s="52"/>
      <c r="D1678"/>
      <c r="E1678"/>
      <c r="F1678"/>
      <c r="N1678" s="44"/>
    </row>
    <row r="1679" spans="1:14" x14ac:dyDescent="0.3">
      <c r="A1679" s="42"/>
      <c r="C1679" s="52"/>
      <c r="D1679"/>
      <c r="E1679"/>
      <c r="F1679"/>
      <c r="N1679" s="44"/>
    </row>
    <row r="1680" spans="1:14" x14ac:dyDescent="0.3">
      <c r="A1680" s="42"/>
      <c r="C1680" s="52"/>
      <c r="D1680"/>
      <c r="E1680"/>
      <c r="F1680"/>
      <c r="N1680" s="44"/>
    </row>
    <row r="1681" spans="1:14" x14ac:dyDescent="0.3">
      <c r="A1681" s="42"/>
      <c r="C1681" s="52"/>
      <c r="D1681"/>
      <c r="E1681"/>
      <c r="F1681"/>
      <c r="N1681" s="44"/>
    </row>
    <row r="1682" spans="1:14" x14ac:dyDescent="0.3">
      <c r="A1682" s="42"/>
      <c r="C1682" s="52"/>
      <c r="D1682"/>
      <c r="E1682"/>
      <c r="F1682"/>
      <c r="N1682" s="44"/>
    </row>
    <row r="1683" spans="1:14" x14ac:dyDescent="0.3">
      <c r="A1683" s="42"/>
      <c r="C1683" s="52"/>
      <c r="D1683"/>
      <c r="E1683"/>
      <c r="F1683"/>
      <c r="N1683" s="44"/>
    </row>
    <row r="1684" spans="1:14" x14ac:dyDescent="0.3">
      <c r="A1684" s="42"/>
      <c r="C1684" s="52"/>
      <c r="D1684"/>
      <c r="E1684"/>
      <c r="F1684"/>
      <c r="N1684" s="44"/>
    </row>
    <row r="1685" spans="1:14" x14ac:dyDescent="0.3">
      <c r="A1685" s="42"/>
      <c r="C1685" s="52"/>
      <c r="D1685"/>
      <c r="E1685"/>
      <c r="F1685"/>
      <c r="N1685" s="44"/>
    </row>
    <row r="1686" spans="1:14" x14ac:dyDescent="0.3">
      <c r="A1686" s="42"/>
      <c r="C1686" s="52"/>
      <c r="D1686"/>
      <c r="E1686"/>
      <c r="F1686"/>
      <c r="N1686" s="44"/>
    </row>
    <row r="1687" spans="1:14" x14ac:dyDescent="0.3">
      <c r="A1687" s="42"/>
      <c r="C1687" s="52"/>
      <c r="D1687"/>
      <c r="E1687"/>
      <c r="F1687"/>
      <c r="N1687" s="44"/>
    </row>
    <row r="1688" spans="1:14" x14ac:dyDescent="0.3">
      <c r="A1688" s="42"/>
      <c r="C1688" s="52"/>
      <c r="D1688"/>
      <c r="E1688"/>
      <c r="F1688"/>
      <c r="M1688" s="45"/>
      <c r="N1688" s="44"/>
    </row>
    <row r="1689" spans="1:14" x14ac:dyDescent="0.3">
      <c r="A1689" s="42"/>
      <c r="C1689" s="52"/>
      <c r="D1689"/>
      <c r="E1689"/>
      <c r="F1689"/>
      <c r="N1689" s="44"/>
    </row>
    <row r="1690" spans="1:14" x14ac:dyDescent="0.3">
      <c r="A1690" s="42"/>
      <c r="C1690" s="52"/>
      <c r="D1690"/>
      <c r="E1690"/>
      <c r="F1690"/>
      <c r="M1690" s="45"/>
      <c r="N1690" s="44"/>
    </row>
    <row r="1691" spans="1:14" x14ac:dyDescent="0.3">
      <c r="A1691" s="42"/>
      <c r="C1691" s="52"/>
      <c r="D1691"/>
      <c r="E1691"/>
      <c r="F1691"/>
      <c r="N1691" s="44"/>
    </row>
    <row r="1692" spans="1:14" x14ac:dyDescent="0.3">
      <c r="A1692" s="42"/>
      <c r="C1692" s="52"/>
      <c r="D1692"/>
      <c r="E1692"/>
      <c r="F1692"/>
      <c r="N1692" s="44"/>
    </row>
    <row r="1693" spans="1:14" x14ac:dyDescent="0.3">
      <c r="A1693" s="42"/>
      <c r="C1693" s="52"/>
      <c r="D1693"/>
      <c r="E1693"/>
      <c r="F1693"/>
      <c r="N1693" s="44"/>
    </row>
    <row r="1694" spans="1:14" x14ac:dyDescent="0.3">
      <c r="A1694" s="42"/>
      <c r="C1694" s="52"/>
      <c r="D1694"/>
      <c r="E1694"/>
      <c r="F1694"/>
      <c r="N1694" s="44"/>
    </row>
    <row r="1695" spans="1:14" x14ac:dyDescent="0.3">
      <c r="A1695" s="42"/>
      <c r="C1695" s="52"/>
      <c r="D1695"/>
      <c r="E1695"/>
      <c r="F1695"/>
      <c r="N1695" s="44"/>
    </row>
    <row r="1696" spans="1:14" x14ac:dyDescent="0.3">
      <c r="A1696" s="42"/>
      <c r="C1696" s="52"/>
      <c r="D1696"/>
      <c r="E1696"/>
      <c r="F1696"/>
      <c r="N1696" s="44"/>
    </row>
    <row r="1697" spans="1:14" x14ac:dyDescent="0.3">
      <c r="A1697" s="42"/>
      <c r="C1697" s="52"/>
      <c r="D1697"/>
      <c r="E1697"/>
      <c r="F1697"/>
      <c r="N1697" s="44"/>
    </row>
    <row r="1698" spans="1:14" x14ac:dyDescent="0.3">
      <c r="A1698" s="42"/>
      <c r="C1698" s="52"/>
      <c r="D1698"/>
      <c r="E1698"/>
      <c r="F1698"/>
      <c r="N1698" s="44"/>
    </row>
    <row r="1699" spans="1:14" x14ac:dyDescent="0.3">
      <c r="A1699" s="42"/>
      <c r="C1699" s="52"/>
      <c r="D1699"/>
      <c r="E1699"/>
      <c r="F1699"/>
      <c r="N1699" s="44"/>
    </row>
    <row r="1700" spans="1:14" x14ac:dyDescent="0.3">
      <c r="A1700" s="42"/>
      <c r="C1700" s="52"/>
      <c r="D1700"/>
      <c r="E1700"/>
      <c r="F1700"/>
      <c r="N1700" s="44"/>
    </row>
    <row r="1701" spans="1:14" x14ac:dyDescent="0.3">
      <c r="A1701" s="42"/>
      <c r="C1701" s="52"/>
      <c r="D1701"/>
      <c r="E1701"/>
      <c r="F1701"/>
      <c r="N1701" s="44"/>
    </row>
    <row r="1702" spans="1:14" x14ac:dyDescent="0.3">
      <c r="A1702" s="42"/>
      <c r="C1702" s="52"/>
      <c r="D1702"/>
      <c r="E1702"/>
      <c r="F1702"/>
      <c r="N1702" s="44"/>
    </row>
    <row r="1703" spans="1:14" x14ac:dyDescent="0.3">
      <c r="A1703" s="42"/>
      <c r="C1703" s="52"/>
      <c r="D1703"/>
      <c r="E1703"/>
      <c r="F1703"/>
      <c r="N1703" s="44"/>
    </row>
    <row r="1704" spans="1:14" x14ac:dyDescent="0.3">
      <c r="A1704" s="42"/>
      <c r="C1704" s="52"/>
      <c r="D1704"/>
      <c r="E1704"/>
      <c r="F1704"/>
      <c r="N1704" s="44"/>
    </row>
    <row r="1705" spans="1:14" x14ac:dyDescent="0.3">
      <c r="A1705" s="42"/>
      <c r="C1705" s="52"/>
      <c r="D1705"/>
      <c r="E1705"/>
      <c r="F1705"/>
      <c r="N1705" s="44"/>
    </row>
    <row r="1706" spans="1:14" x14ac:dyDescent="0.3">
      <c r="A1706" s="42"/>
      <c r="C1706" s="52"/>
      <c r="D1706"/>
      <c r="E1706"/>
      <c r="F1706"/>
      <c r="N1706" s="44"/>
    </row>
    <row r="1707" spans="1:14" x14ac:dyDescent="0.3">
      <c r="A1707" s="42"/>
      <c r="C1707" s="52"/>
      <c r="D1707"/>
      <c r="E1707"/>
      <c r="F1707"/>
      <c r="N1707" s="44"/>
    </row>
    <row r="1708" spans="1:14" x14ac:dyDescent="0.3">
      <c r="A1708" s="42"/>
      <c r="C1708" s="52"/>
      <c r="D1708"/>
      <c r="E1708"/>
      <c r="F1708"/>
      <c r="N1708" s="44"/>
    </row>
    <row r="1709" spans="1:14" x14ac:dyDescent="0.3">
      <c r="A1709" s="42"/>
      <c r="C1709" s="52"/>
      <c r="D1709"/>
      <c r="E1709"/>
      <c r="F1709"/>
      <c r="N1709" s="44"/>
    </row>
    <row r="1710" spans="1:14" x14ac:dyDescent="0.3">
      <c r="A1710" s="42"/>
      <c r="C1710" s="52"/>
      <c r="D1710"/>
      <c r="E1710"/>
      <c r="F1710"/>
      <c r="N1710" s="44"/>
    </row>
    <row r="1711" spans="1:14" x14ac:dyDescent="0.3">
      <c r="A1711" s="42"/>
      <c r="C1711" s="52"/>
      <c r="D1711"/>
      <c r="E1711"/>
      <c r="F1711"/>
      <c r="N1711" s="44"/>
    </row>
    <row r="1712" spans="1:14" x14ac:dyDescent="0.3">
      <c r="A1712" s="42"/>
      <c r="C1712" s="52"/>
      <c r="D1712"/>
      <c r="E1712"/>
      <c r="F1712"/>
      <c r="N1712" s="44"/>
    </row>
    <row r="1713" spans="1:14" x14ac:dyDescent="0.3">
      <c r="A1713" s="42"/>
      <c r="C1713" s="52"/>
      <c r="D1713"/>
      <c r="E1713"/>
      <c r="F1713"/>
      <c r="N1713" s="44"/>
    </row>
    <row r="1714" spans="1:14" x14ac:dyDescent="0.3">
      <c r="A1714" s="42"/>
      <c r="C1714" s="52"/>
      <c r="D1714"/>
      <c r="E1714"/>
      <c r="F1714"/>
      <c r="N1714" s="44"/>
    </row>
    <row r="1715" spans="1:14" x14ac:dyDescent="0.3">
      <c r="A1715" s="42"/>
      <c r="C1715" s="52"/>
      <c r="D1715"/>
      <c r="E1715"/>
      <c r="F1715"/>
      <c r="N1715" s="44"/>
    </row>
    <row r="1716" spans="1:14" x14ac:dyDescent="0.3">
      <c r="A1716" s="42"/>
      <c r="C1716" s="52"/>
      <c r="D1716"/>
      <c r="E1716"/>
      <c r="F1716"/>
      <c r="N1716" s="44"/>
    </row>
    <row r="1717" spans="1:14" x14ac:dyDescent="0.3">
      <c r="A1717" s="42"/>
      <c r="C1717" s="52"/>
      <c r="D1717"/>
      <c r="E1717"/>
      <c r="F1717"/>
      <c r="N1717" s="44"/>
    </row>
    <row r="1718" spans="1:14" x14ac:dyDescent="0.3">
      <c r="A1718" s="42"/>
      <c r="C1718" s="52"/>
      <c r="D1718"/>
      <c r="E1718"/>
      <c r="F1718"/>
      <c r="N1718" s="44"/>
    </row>
    <row r="1719" spans="1:14" x14ac:dyDescent="0.3">
      <c r="A1719" s="42"/>
      <c r="C1719" s="52"/>
      <c r="D1719"/>
      <c r="E1719"/>
      <c r="F1719"/>
      <c r="N1719" s="44"/>
    </row>
    <row r="1720" spans="1:14" x14ac:dyDescent="0.3">
      <c r="A1720" s="42"/>
      <c r="C1720" s="52"/>
      <c r="D1720"/>
      <c r="E1720"/>
      <c r="F1720"/>
      <c r="N1720" s="44"/>
    </row>
    <row r="1721" spans="1:14" x14ac:dyDescent="0.3">
      <c r="A1721" s="42"/>
      <c r="C1721" s="52"/>
      <c r="D1721"/>
      <c r="E1721"/>
      <c r="F1721"/>
      <c r="N1721" s="44"/>
    </row>
    <row r="1722" spans="1:14" x14ac:dyDescent="0.3">
      <c r="A1722" s="42"/>
      <c r="C1722" s="52"/>
      <c r="D1722"/>
      <c r="E1722"/>
      <c r="F1722"/>
      <c r="N1722" s="44"/>
    </row>
    <row r="1723" spans="1:14" x14ac:dyDescent="0.3">
      <c r="A1723" s="42"/>
      <c r="C1723" s="52"/>
      <c r="D1723"/>
      <c r="E1723"/>
      <c r="F1723"/>
      <c r="N1723" s="44"/>
    </row>
    <row r="1724" spans="1:14" x14ac:dyDescent="0.3">
      <c r="A1724" s="42"/>
      <c r="C1724" s="52"/>
      <c r="D1724"/>
      <c r="E1724"/>
      <c r="F1724"/>
      <c r="N1724" s="44"/>
    </row>
    <row r="1725" spans="1:14" x14ac:dyDescent="0.3">
      <c r="A1725" s="42"/>
      <c r="C1725" s="52"/>
      <c r="D1725"/>
      <c r="E1725"/>
      <c r="F1725"/>
      <c r="N1725" s="44"/>
    </row>
    <row r="1726" spans="1:14" x14ac:dyDescent="0.3">
      <c r="A1726" s="42"/>
      <c r="C1726" s="52"/>
      <c r="D1726"/>
      <c r="E1726"/>
      <c r="F1726"/>
      <c r="N1726" s="44"/>
    </row>
    <row r="1727" spans="1:14" x14ac:dyDescent="0.3">
      <c r="A1727" s="42"/>
      <c r="C1727" s="52"/>
      <c r="D1727"/>
      <c r="E1727"/>
      <c r="F1727"/>
      <c r="N1727" s="44"/>
    </row>
    <row r="1728" spans="1:14" x14ac:dyDescent="0.3">
      <c r="A1728" s="42"/>
      <c r="C1728" s="52"/>
      <c r="D1728"/>
      <c r="E1728"/>
      <c r="F1728"/>
      <c r="N1728" s="44"/>
    </row>
    <row r="1729" spans="1:14" x14ac:dyDescent="0.3">
      <c r="A1729" s="42"/>
      <c r="C1729" s="52"/>
      <c r="D1729"/>
      <c r="E1729"/>
      <c r="F1729"/>
      <c r="N1729" s="44"/>
    </row>
    <row r="1730" spans="1:14" x14ac:dyDescent="0.3">
      <c r="A1730" s="42"/>
      <c r="C1730" s="52"/>
      <c r="D1730"/>
      <c r="E1730"/>
      <c r="F1730"/>
      <c r="N1730" s="44"/>
    </row>
    <row r="1731" spans="1:14" x14ac:dyDescent="0.3">
      <c r="A1731" s="42"/>
      <c r="C1731" s="52"/>
      <c r="D1731"/>
      <c r="E1731"/>
      <c r="F1731"/>
      <c r="N1731" s="44"/>
    </row>
    <row r="1732" spans="1:14" x14ac:dyDescent="0.3">
      <c r="A1732" s="42"/>
      <c r="C1732" s="52"/>
      <c r="D1732"/>
      <c r="E1732"/>
      <c r="F1732"/>
      <c r="N1732" s="44"/>
    </row>
    <row r="1733" spans="1:14" x14ac:dyDescent="0.3">
      <c r="A1733" s="42"/>
      <c r="C1733" s="52"/>
      <c r="D1733"/>
      <c r="E1733"/>
      <c r="F1733"/>
      <c r="N1733" s="44"/>
    </row>
    <row r="1734" spans="1:14" x14ac:dyDescent="0.3">
      <c r="A1734" s="42"/>
      <c r="C1734" s="52"/>
      <c r="D1734"/>
      <c r="E1734"/>
      <c r="F1734"/>
      <c r="N1734" s="44"/>
    </row>
    <row r="1735" spans="1:14" x14ac:dyDescent="0.3">
      <c r="A1735" s="42"/>
      <c r="C1735" s="52"/>
      <c r="D1735"/>
      <c r="E1735"/>
      <c r="F1735"/>
      <c r="N1735" s="44"/>
    </row>
    <row r="1736" spans="1:14" x14ac:dyDescent="0.3">
      <c r="A1736" s="42"/>
      <c r="C1736" s="52"/>
      <c r="D1736"/>
      <c r="E1736"/>
      <c r="F1736"/>
      <c r="N1736" s="44"/>
    </row>
    <row r="1737" spans="1:14" x14ac:dyDescent="0.3">
      <c r="A1737" s="42"/>
      <c r="C1737" s="52"/>
      <c r="D1737"/>
      <c r="E1737"/>
      <c r="F1737"/>
      <c r="N1737" s="44"/>
    </row>
    <row r="1738" spans="1:14" x14ac:dyDescent="0.3">
      <c r="A1738" s="42"/>
      <c r="C1738" s="52"/>
      <c r="D1738"/>
      <c r="E1738"/>
      <c r="F1738"/>
      <c r="M1738" s="45"/>
      <c r="N1738" s="44"/>
    </row>
    <row r="1739" spans="1:14" x14ac:dyDescent="0.3">
      <c r="A1739" s="42"/>
      <c r="C1739" s="52"/>
      <c r="D1739"/>
      <c r="E1739"/>
      <c r="F1739"/>
      <c r="N1739" s="44"/>
    </row>
    <row r="1740" spans="1:14" x14ac:dyDescent="0.3">
      <c r="A1740" s="42"/>
      <c r="C1740" s="52"/>
      <c r="D1740"/>
      <c r="E1740"/>
      <c r="F1740"/>
      <c r="N1740" s="44"/>
    </row>
    <row r="1741" spans="1:14" x14ac:dyDescent="0.3">
      <c r="A1741" s="42"/>
      <c r="C1741" s="52"/>
      <c r="D1741"/>
      <c r="E1741"/>
      <c r="F1741"/>
      <c r="N1741" s="44"/>
    </row>
    <row r="1742" spans="1:14" x14ac:dyDescent="0.3">
      <c r="A1742" s="42"/>
      <c r="C1742" s="52"/>
      <c r="D1742"/>
      <c r="E1742"/>
      <c r="F1742"/>
      <c r="N1742" s="44"/>
    </row>
    <row r="1743" spans="1:14" x14ac:dyDescent="0.3">
      <c r="A1743" s="42"/>
      <c r="C1743" s="52"/>
      <c r="D1743"/>
      <c r="E1743"/>
      <c r="F1743"/>
      <c r="N1743" s="44"/>
    </row>
    <row r="1744" spans="1:14" x14ac:dyDescent="0.3">
      <c r="A1744" s="42"/>
      <c r="C1744" s="52"/>
      <c r="D1744"/>
      <c r="E1744"/>
      <c r="F1744"/>
      <c r="N1744" s="44"/>
    </row>
    <row r="1745" spans="1:14" x14ac:dyDescent="0.3">
      <c r="A1745" s="42"/>
      <c r="C1745" s="52"/>
      <c r="D1745"/>
      <c r="E1745"/>
      <c r="F1745"/>
      <c r="N1745" s="44"/>
    </row>
    <row r="1746" spans="1:14" x14ac:dyDescent="0.3">
      <c r="A1746" s="42"/>
      <c r="C1746" s="52"/>
      <c r="D1746"/>
      <c r="E1746"/>
      <c r="F1746"/>
      <c r="N1746" s="44"/>
    </row>
    <row r="1747" spans="1:14" x14ac:dyDescent="0.3">
      <c r="A1747" s="42"/>
      <c r="C1747" s="52"/>
      <c r="D1747"/>
      <c r="E1747"/>
      <c r="F1747"/>
      <c r="N1747" s="44"/>
    </row>
    <row r="1748" spans="1:14" x14ac:dyDescent="0.3">
      <c r="A1748" s="42"/>
      <c r="C1748" s="52"/>
      <c r="D1748"/>
      <c r="E1748"/>
      <c r="F1748"/>
      <c r="N1748" s="44"/>
    </row>
    <row r="1749" spans="1:14" x14ac:dyDescent="0.3">
      <c r="A1749" s="42"/>
      <c r="C1749" s="52"/>
      <c r="D1749"/>
      <c r="E1749"/>
      <c r="F1749"/>
      <c r="N1749" s="44"/>
    </row>
    <row r="1750" spans="1:14" x14ac:dyDescent="0.3">
      <c r="A1750" s="42"/>
      <c r="C1750" s="52"/>
      <c r="D1750"/>
      <c r="E1750"/>
      <c r="F1750"/>
      <c r="N1750" s="44"/>
    </row>
    <row r="1751" spans="1:14" x14ac:dyDescent="0.3">
      <c r="A1751" s="42"/>
      <c r="C1751" s="52"/>
      <c r="D1751"/>
      <c r="E1751"/>
      <c r="F1751"/>
      <c r="N1751" s="44"/>
    </row>
    <row r="1752" spans="1:14" x14ac:dyDescent="0.3">
      <c r="A1752" s="42"/>
      <c r="C1752" s="52"/>
      <c r="D1752"/>
      <c r="E1752"/>
      <c r="F1752"/>
      <c r="N1752" s="44"/>
    </row>
    <row r="1753" spans="1:14" x14ac:dyDescent="0.3">
      <c r="A1753" s="42"/>
      <c r="C1753" s="52"/>
      <c r="D1753"/>
      <c r="E1753"/>
      <c r="F1753"/>
      <c r="N1753" s="44"/>
    </row>
    <row r="1754" spans="1:14" x14ac:dyDescent="0.3">
      <c r="A1754" s="42"/>
      <c r="C1754" s="52"/>
      <c r="D1754"/>
      <c r="E1754"/>
      <c r="F1754"/>
      <c r="N1754" s="44"/>
    </row>
    <row r="1755" spans="1:14" x14ac:dyDescent="0.3">
      <c r="A1755" s="42"/>
      <c r="C1755" s="52"/>
      <c r="D1755"/>
      <c r="E1755"/>
      <c r="F1755"/>
      <c r="N1755" s="44"/>
    </row>
    <row r="1756" spans="1:14" x14ac:dyDescent="0.3">
      <c r="A1756" s="42"/>
      <c r="C1756" s="52"/>
      <c r="D1756"/>
      <c r="E1756"/>
      <c r="F1756"/>
      <c r="N1756" s="44"/>
    </row>
    <row r="1757" spans="1:14" x14ac:dyDescent="0.3">
      <c r="A1757" s="42"/>
      <c r="C1757" s="52"/>
      <c r="D1757"/>
      <c r="E1757"/>
      <c r="F1757"/>
      <c r="N1757" s="44"/>
    </row>
    <row r="1758" spans="1:14" x14ac:dyDescent="0.3">
      <c r="A1758" s="42"/>
      <c r="C1758" s="52"/>
      <c r="D1758"/>
      <c r="E1758"/>
      <c r="F1758"/>
      <c r="N1758" s="44"/>
    </row>
    <row r="1759" spans="1:14" x14ac:dyDescent="0.3">
      <c r="A1759" s="42"/>
      <c r="C1759" s="52"/>
      <c r="D1759"/>
      <c r="E1759"/>
      <c r="F1759"/>
      <c r="N1759" s="44"/>
    </row>
    <row r="1760" spans="1:14" x14ac:dyDescent="0.3">
      <c r="A1760" s="42"/>
      <c r="C1760" s="52"/>
      <c r="D1760"/>
      <c r="E1760"/>
      <c r="F1760"/>
      <c r="N1760" s="44"/>
    </row>
    <row r="1761" spans="1:14" x14ac:dyDescent="0.3">
      <c r="A1761" s="42"/>
      <c r="C1761" s="52"/>
      <c r="D1761"/>
      <c r="E1761"/>
      <c r="F1761"/>
      <c r="N1761" s="44"/>
    </row>
    <row r="1762" spans="1:14" x14ac:dyDescent="0.3">
      <c r="A1762" s="42"/>
      <c r="C1762" s="52"/>
      <c r="D1762"/>
      <c r="E1762"/>
      <c r="F1762"/>
      <c r="N1762" s="44"/>
    </row>
    <row r="1763" spans="1:14" x14ac:dyDescent="0.3">
      <c r="A1763" s="42"/>
      <c r="C1763" s="52"/>
      <c r="D1763"/>
      <c r="E1763"/>
      <c r="F1763"/>
      <c r="N1763" s="44"/>
    </row>
    <row r="1764" spans="1:14" x14ac:dyDescent="0.3">
      <c r="A1764" s="42"/>
      <c r="C1764" s="52"/>
      <c r="D1764"/>
      <c r="E1764"/>
      <c r="F1764"/>
      <c r="N1764" s="44"/>
    </row>
    <row r="1765" spans="1:14" x14ac:dyDescent="0.3">
      <c r="A1765" s="42"/>
      <c r="C1765" s="52"/>
      <c r="D1765"/>
      <c r="E1765"/>
      <c r="F1765"/>
      <c r="N1765" s="44"/>
    </row>
    <row r="1766" spans="1:14" x14ac:dyDescent="0.3">
      <c r="A1766" s="42"/>
      <c r="C1766" s="52"/>
      <c r="D1766"/>
      <c r="E1766"/>
      <c r="F1766"/>
      <c r="N1766" s="44"/>
    </row>
    <row r="1767" spans="1:14" x14ac:dyDescent="0.3">
      <c r="A1767" s="42"/>
      <c r="C1767" s="52"/>
      <c r="D1767"/>
      <c r="E1767"/>
      <c r="F1767"/>
      <c r="N1767" s="44"/>
    </row>
    <row r="1768" spans="1:14" x14ac:dyDescent="0.3">
      <c r="A1768" s="42"/>
      <c r="C1768" s="52"/>
      <c r="D1768"/>
      <c r="E1768"/>
      <c r="F1768"/>
      <c r="N1768" s="44"/>
    </row>
    <row r="1769" spans="1:14" x14ac:dyDescent="0.3">
      <c r="A1769" s="42"/>
      <c r="C1769" s="52"/>
      <c r="D1769"/>
      <c r="E1769"/>
      <c r="F1769"/>
      <c r="N1769" s="44"/>
    </row>
    <row r="1770" spans="1:14" x14ac:dyDescent="0.3">
      <c r="A1770" s="42"/>
      <c r="C1770" s="52"/>
      <c r="D1770"/>
      <c r="E1770"/>
      <c r="F1770"/>
      <c r="N1770" s="44"/>
    </row>
    <row r="1771" spans="1:14" x14ac:dyDescent="0.3">
      <c r="A1771" s="42"/>
      <c r="C1771" s="52"/>
      <c r="D1771"/>
      <c r="E1771"/>
      <c r="F1771"/>
      <c r="N1771" s="44"/>
    </row>
    <row r="1772" spans="1:14" x14ac:dyDescent="0.3">
      <c r="A1772" s="42"/>
      <c r="C1772" s="52"/>
      <c r="D1772"/>
      <c r="E1772"/>
      <c r="F1772"/>
      <c r="N1772" s="44"/>
    </row>
    <row r="1773" spans="1:14" x14ac:dyDescent="0.3">
      <c r="A1773" s="42"/>
      <c r="C1773" s="52"/>
      <c r="D1773"/>
      <c r="E1773"/>
      <c r="F1773"/>
      <c r="N1773" s="44"/>
    </row>
    <row r="1774" spans="1:14" x14ac:dyDescent="0.3">
      <c r="A1774" s="42"/>
      <c r="C1774" s="52"/>
      <c r="D1774"/>
      <c r="E1774"/>
      <c r="F1774"/>
      <c r="N1774" s="44"/>
    </row>
    <row r="1775" spans="1:14" x14ac:dyDescent="0.3">
      <c r="A1775" s="42"/>
      <c r="C1775" s="52"/>
      <c r="D1775"/>
      <c r="E1775"/>
      <c r="F1775"/>
      <c r="N1775" s="44"/>
    </row>
    <row r="1776" spans="1:14" x14ac:dyDescent="0.3">
      <c r="A1776" s="42"/>
      <c r="C1776" s="52"/>
      <c r="D1776"/>
      <c r="E1776"/>
      <c r="F1776"/>
      <c r="N1776" s="44"/>
    </row>
    <row r="1777" spans="1:14" x14ac:dyDescent="0.3">
      <c r="A1777" s="42"/>
      <c r="C1777" s="52"/>
      <c r="D1777"/>
      <c r="E1777"/>
      <c r="F1777"/>
      <c r="N1777" s="44"/>
    </row>
    <row r="1778" spans="1:14" x14ac:dyDescent="0.3">
      <c r="A1778" s="42"/>
      <c r="C1778" s="52"/>
      <c r="D1778"/>
      <c r="E1778"/>
      <c r="F1778"/>
      <c r="N1778" s="44"/>
    </row>
    <row r="1779" spans="1:14" x14ac:dyDescent="0.3">
      <c r="A1779" s="42"/>
      <c r="C1779" s="52"/>
      <c r="D1779"/>
      <c r="E1779"/>
      <c r="F1779"/>
      <c r="N1779" s="44"/>
    </row>
    <row r="1780" spans="1:14" x14ac:dyDescent="0.3">
      <c r="A1780" s="42"/>
      <c r="C1780" s="52"/>
      <c r="D1780"/>
      <c r="E1780"/>
      <c r="F1780"/>
      <c r="N1780" s="44"/>
    </row>
    <row r="1781" spans="1:14" x14ac:dyDescent="0.3">
      <c r="A1781" s="42"/>
      <c r="C1781" s="52"/>
      <c r="D1781"/>
      <c r="E1781"/>
      <c r="F1781"/>
      <c r="N1781" s="44"/>
    </row>
    <row r="1782" spans="1:14" x14ac:dyDescent="0.3">
      <c r="A1782" s="42"/>
      <c r="C1782" s="52"/>
      <c r="D1782"/>
      <c r="E1782"/>
      <c r="F1782"/>
      <c r="N1782" s="44"/>
    </row>
    <row r="1783" spans="1:14" x14ac:dyDescent="0.3">
      <c r="A1783" s="42"/>
      <c r="C1783" s="52"/>
      <c r="D1783"/>
      <c r="E1783"/>
      <c r="F1783"/>
      <c r="N1783" s="44"/>
    </row>
    <row r="1784" spans="1:14" x14ac:dyDescent="0.3">
      <c r="A1784" s="42"/>
      <c r="C1784" s="52"/>
      <c r="D1784"/>
      <c r="E1784"/>
      <c r="F1784"/>
      <c r="N1784" s="44"/>
    </row>
    <row r="1785" spans="1:14" x14ac:dyDescent="0.3">
      <c r="A1785" s="42"/>
      <c r="C1785" s="52"/>
      <c r="D1785"/>
      <c r="E1785"/>
      <c r="F1785"/>
      <c r="N1785" s="44"/>
    </row>
    <row r="1786" spans="1:14" x14ac:dyDescent="0.3">
      <c r="A1786" s="42"/>
      <c r="C1786" s="52"/>
      <c r="D1786"/>
      <c r="E1786"/>
      <c r="F1786"/>
      <c r="N1786" s="44"/>
    </row>
    <row r="1787" spans="1:14" x14ac:dyDescent="0.3">
      <c r="A1787" s="42"/>
      <c r="C1787" s="52"/>
      <c r="D1787"/>
      <c r="E1787"/>
      <c r="F1787"/>
      <c r="N1787" s="44"/>
    </row>
    <row r="1788" spans="1:14" x14ac:dyDescent="0.3">
      <c r="A1788" s="42"/>
      <c r="C1788" s="52"/>
      <c r="D1788"/>
      <c r="E1788"/>
      <c r="F1788"/>
      <c r="N1788" s="44"/>
    </row>
    <row r="1789" spans="1:14" x14ac:dyDescent="0.3">
      <c r="A1789" s="42"/>
      <c r="C1789" s="52"/>
      <c r="D1789"/>
      <c r="E1789"/>
      <c r="F1789"/>
      <c r="N1789" s="44"/>
    </row>
    <row r="1790" spans="1:14" x14ac:dyDescent="0.3">
      <c r="A1790" s="42"/>
      <c r="C1790" s="52"/>
      <c r="D1790"/>
      <c r="E1790"/>
      <c r="F1790"/>
      <c r="N1790" s="44"/>
    </row>
    <row r="1791" spans="1:14" x14ac:dyDescent="0.3">
      <c r="A1791" s="42"/>
      <c r="C1791" s="52"/>
      <c r="D1791"/>
      <c r="E1791"/>
      <c r="F1791"/>
      <c r="N1791" s="44"/>
    </row>
    <row r="1792" spans="1:14" x14ac:dyDescent="0.3">
      <c r="A1792" s="42"/>
      <c r="C1792" s="52"/>
      <c r="D1792"/>
      <c r="E1792"/>
      <c r="F1792"/>
      <c r="N1792" s="44"/>
    </row>
    <row r="1793" spans="1:14" x14ac:dyDescent="0.3">
      <c r="A1793" s="42"/>
      <c r="C1793" s="52"/>
      <c r="D1793"/>
      <c r="E1793"/>
      <c r="F1793"/>
      <c r="N1793" s="44"/>
    </row>
    <row r="1794" spans="1:14" x14ac:dyDescent="0.3">
      <c r="A1794" s="42"/>
      <c r="C1794" s="52"/>
      <c r="D1794"/>
      <c r="E1794"/>
      <c r="F1794"/>
      <c r="N1794" s="44"/>
    </row>
    <row r="1795" spans="1:14" x14ac:dyDescent="0.3">
      <c r="A1795" s="42"/>
      <c r="C1795" s="52"/>
      <c r="D1795"/>
      <c r="E1795"/>
      <c r="F1795"/>
      <c r="N1795" s="44"/>
    </row>
    <row r="1796" spans="1:14" x14ac:dyDescent="0.3">
      <c r="A1796" s="42"/>
      <c r="C1796" s="52"/>
      <c r="D1796"/>
      <c r="E1796"/>
      <c r="F1796"/>
      <c r="N1796" s="44"/>
    </row>
    <row r="1797" spans="1:14" x14ac:dyDescent="0.3">
      <c r="A1797" s="42"/>
      <c r="C1797" s="52"/>
      <c r="D1797"/>
      <c r="E1797"/>
      <c r="F1797"/>
      <c r="N1797" s="44"/>
    </row>
    <row r="1798" spans="1:14" x14ac:dyDescent="0.3">
      <c r="A1798" s="42"/>
      <c r="C1798" s="52"/>
      <c r="D1798"/>
      <c r="E1798"/>
      <c r="F1798"/>
      <c r="N1798" s="44"/>
    </row>
    <row r="1799" spans="1:14" x14ac:dyDescent="0.3">
      <c r="A1799" s="42"/>
      <c r="C1799" s="52"/>
      <c r="D1799"/>
      <c r="E1799"/>
      <c r="F1799"/>
      <c r="N1799" s="44"/>
    </row>
    <row r="1800" spans="1:14" x14ac:dyDescent="0.3">
      <c r="A1800" s="42"/>
      <c r="C1800" s="52"/>
      <c r="D1800"/>
      <c r="E1800"/>
      <c r="F1800"/>
      <c r="N1800" s="44"/>
    </row>
    <row r="1801" spans="1:14" x14ac:dyDescent="0.3">
      <c r="A1801" s="42"/>
      <c r="C1801" s="52"/>
      <c r="D1801"/>
      <c r="E1801"/>
      <c r="F1801"/>
      <c r="N1801" s="44"/>
    </row>
    <row r="1802" spans="1:14" x14ac:dyDescent="0.3">
      <c r="A1802" s="42"/>
      <c r="C1802" s="52"/>
      <c r="D1802"/>
      <c r="E1802"/>
      <c r="F1802"/>
      <c r="N1802" s="44"/>
    </row>
    <row r="1803" spans="1:14" x14ac:dyDescent="0.3">
      <c r="A1803" s="42"/>
      <c r="C1803" s="52"/>
      <c r="D1803"/>
      <c r="E1803"/>
      <c r="F1803"/>
      <c r="M1803" s="45"/>
      <c r="N1803" s="44"/>
    </row>
    <row r="1804" spans="1:14" x14ac:dyDescent="0.3">
      <c r="A1804" s="42"/>
      <c r="C1804" s="52"/>
      <c r="D1804"/>
      <c r="E1804"/>
      <c r="F1804"/>
      <c r="N1804" s="44"/>
    </row>
    <row r="1805" spans="1:14" x14ac:dyDescent="0.3">
      <c r="A1805" s="42"/>
      <c r="C1805" s="52"/>
      <c r="D1805"/>
      <c r="E1805"/>
      <c r="F1805"/>
      <c r="N1805" s="44"/>
    </row>
    <row r="1806" spans="1:14" x14ac:dyDescent="0.3">
      <c r="A1806" s="42"/>
      <c r="C1806" s="52"/>
      <c r="D1806"/>
      <c r="E1806"/>
      <c r="F1806"/>
      <c r="N1806" s="44"/>
    </row>
    <row r="1807" spans="1:14" x14ac:dyDescent="0.3">
      <c r="A1807" s="42"/>
      <c r="C1807" s="52"/>
      <c r="D1807"/>
      <c r="E1807"/>
      <c r="F1807"/>
      <c r="N1807" s="44"/>
    </row>
    <row r="1808" spans="1:14" x14ac:dyDescent="0.3">
      <c r="A1808" s="42"/>
      <c r="C1808" s="52"/>
      <c r="D1808"/>
      <c r="E1808"/>
      <c r="F1808"/>
      <c r="N1808" s="44"/>
    </row>
    <row r="1809" spans="1:14" x14ac:dyDescent="0.3">
      <c r="A1809" s="42"/>
      <c r="C1809" s="52"/>
      <c r="D1809"/>
      <c r="E1809"/>
      <c r="F1809"/>
      <c r="N1809" s="44"/>
    </row>
    <row r="1810" spans="1:14" x14ac:dyDescent="0.3">
      <c r="A1810" s="42"/>
      <c r="C1810" s="52"/>
      <c r="D1810"/>
      <c r="E1810"/>
      <c r="F1810"/>
      <c r="N1810" s="44"/>
    </row>
    <row r="1811" spans="1:14" x14ac:dyDescent="0.3">
      <c r="A1811" s="42"/>
      <c r="C1811" s="52"/>
      <c r="D1811"/>
      <c r="E1811"/>
      <c r="F1811"/>
      <c r="N1811" s="44"/>
    </row>
    <row r="1812" spans="1:14" x14ac:dyDescent="0.3">
      <c r="A1812" s="42"/>
      <c r="C1812" s="52"/>
      <c r="D1812"/>
      <c r="E1812"/>
      <c r="F1812"/>
      <c r="N1812" s="44"/>
    </row>
    <row r="1813" spans="1:14" x14ac:dyDescent="0.3">
      <c r="A1813" s="42"/>
      <c r="C1813" s="52"/>
      <c r="D1813"/>
      <c r="E1813"/>
      <c r="F1813"/>
      <c r="N1813" s="44"/>
    </row>
    <row r="1814" spans="1:14" x14ac:dyDescent="0.3">
      <c r="A1814" s="42"/>
      <c r="C1814" s="52"/>
      <c r="D1814"/>
      <c r="E1814"/>
      <c r="F1814"/>
      <c r="N1814" s="44"/>
    </row>
    <row r="1815" spans="1:14" x14ac:dyDescent="0.3">
      <c r="A1815" s="42"/>
      <c r="C1815" s="52"/>
      <c r="D1815"/>
      <c r="E1815"/>
      <c r="F1815"/>
      <c r="N1815" s="44"/>
    </row>
    <row r="1816" spans="1:14" x14ac:dyDescent="0.3">
      <c r="A1816" s="42"/>
      <c r="C1816" s="52"/>
      <c r="D1816"/>
      <c r="E1816"/>
      <c r="F1816"/>
      <c r="N1816" s="44"/>
    </row>
    <row r="1817" spans="1:14" x14ac:dyDescent="0.3">
      <c r="A1817" s="42"/>
      <c r="C1817" s="52"/>
      <c r="D1817"/>
      <c r="E1817"/>
      <c r="F1817"/>
      <c r="N1817" s="44"/>
    </row>
    <row r="1818" spans="1:14" x14ac:dyDescent="0.3">
      <c r="A1818" s="42"/>
      <c r="C1818" s="52"/>
      <c r="D1818"/>
      <c r="E1818"/>
      <c r="F1818"/>
      <c r="N1818" s="44"/>
    </row>
    <row r="1819" spans="1:14" x14ac:dyDescent="0.3">
      <c r="A1819" s="42"/>
      <c r="C1819" s="52"/>
      <c r="D1819"/>
      <c r="E1819"/>
      <c r="F1819"/>
      <c r="N1819" s="44"/>
    </row>
    <row r="1820" spans="1:14" x14ac:dyDescent="0.3">
      <c r="A1820" s="42"/>
      <c r="C1820" s="52"/>
      <c r="D1820"/>
      <c r="E1820"/>
      <c r="F1820"/>
      <c r="N1820" s="44"/>
    </row>
    <row r="1821" spans="1:14" x14ac:dyDescent="0.3">
      <c r="A1821" s="42"/>
      <c r="C1821" s="52"/>
      <c r="D1821"/>
      <c r="E1821"/>
      <c r="F1821"/>
      <c r="N1821" s="44"/>
    </row>
    <row r="1822" spans="1:14" x14ac:dyDescent="0.3">
      <c r="A1822" s="42"/>
      <c r="C1822" s="52"/>
      <c r="D1822"/>
      <c r="E1822"/>
      <c r="F1822"/>
      <c r="N1822" s="44"/>
    </row>
    <row r="1823" spans="1:14" x14ac:dyDescent="0.3">
      <c r="A1823" s="42"/>
      <c r="C1823" s="52"/>
      <c r="D1823"/>
      <c r="E1823"/>
      <c r="F1823"/>
      <c r="N1823" s="44"/>
    </row>
    <row r="1824" spans="1:14" x14ac:dyDescent="0.3">
      <c r="A1824" s="42"/>
      <c r="C1824" s="52"/>
      <c r="D1824"/>
      <c r="E1824"/>
      <c r="F1824"/>
      <c r="N1824" s="44"/>
    </row>
    <row r="1825" spans="1:14" x14ac:dyDescent="0.3">
      <c r="A1825" s="42"/>
      <c r="C1825" s="52"/>
      <c r="D1825"/>
      <c r="E1825"/>
      <c r="F1825"/>
      <c r="N1825" s="44"/>
    </row>
    <row r="1826" spans="1:14" x14ac:dyDescent="0.3">
      <c r="A1826" s="42"/>
      <c r="C1826" s="52"/>
      <c r="D1826"/>
      <c r="E1826"/>
      <c r="F1826"/>
      <c r="N1826" s="44"/>
    </row>
    <row r="1827" spans="1:14" x14ac:dyDescent="0.3">
      <c r="A1827" s="42"/>
      <c r="C1827" s="52"/>
      <c r="D1827"/>
      <c r="E1827"/>
      <c r="F1827"/>
      <c r="N1827" s="44"/>
    </row>
    <row r="1828" spans="1:14" x14ac:dyDescent="0.3">
      <c r="A1828" s="42"/>
      <c r="C1828" s="52"/>
      <c r="D1828"/>
      <c r="E1828"/>
      <c r="F1828"/>
      <c r="N1828" s="44"/>
    </row>
    <row r="1829" spans="1:14" x14ac:dyDescent="0.3">
      <c r="A1829" s="42"/>
      <c r="C1829" s="52"/>
      <c r="D1829"/>
      <c r="E1829"/>
      <c r="F1829"/>
      <c r="N1829" s="44"/>
    </row>
    <row r="1830" spans="1:14" x14ac:dyDescent="0.3">
      <c r="A1830" s="42"/>
      <c r="C1830" s="52"/>
      <c r="D1830"/>
      <c r="E1830"/>
      <c r="F1830"/>
      <c r="N1830" s="44"/>
    </row>
    <row r="1831" spans="1:14" x14ac:dyDescent="0.3">
      <c r="A1831" s="42"/>
      <c r="C1831" s="52"/>
      <c r="D1831"/>
      <c r="E1831"/>
      <c r="F1831"/>
      <c r="N1831" s="44"/>
    </row>
    <row r="1832" spans="1:14" x14ac:dyDescent="0.3">
      <c r="A1832" s="42"/>
      <c r="C1832" s="52"/>
      <c r="D1832"/>
      <c r="E1832"/>
      <c r="F1832"/>
      <c r="N1832" s="44"/>
    </row>
    <row r="1833" spans="1:14" x14ac:dyDescent="0.3">
      <c r="A1833" s="42"/>
      <c r="C1833" s="52"/>
      <c r="D1833"/>
      <c r="E1833"/>
      <c r="F1833"/>
      <c r="N1833" s="44"/>
    </row>
    <row r="1834" spans="1:14" x14ac:dyDescent="0.3">
      <c r="A1834" s="42"/>
      <c r="C1834" s="52"/>
      <c r="D1834"/>
      <c r="E1834"/>
      <c r="F1834"/>
      <c r="N1834" s="44"/>
    </row>
    <row r="1835" spans="1:14" x14ac:dyDescent="0.3">
      <c r="A1835" s="42"/>
      <c r="C1835" s="52"/>
      <c r="D1835"/>
      <c r="E1835"/>
      <c r="F1835"/>
      <c r="N1835" s="44"/>
    </row>
    <row r="1836" spans="1:14" x14ac:dyDescent="0.3">
      <c r="A1836" s="42"/>
      <c r="C1836" s="52"/>
      <c r="D1836"/>
      <c r="E1836"/>
      <c r="F1836"/>
      <c r="N1836" s="44"/>
    </row>
    <row r="1837" spans="1:14" x14ac:dyDescent="0.3">
      <c r="A1837" s="42"/>
      <c r="C1837" s="52"/>
      <c r="D1837"/>
      <c r="E1837"/>
      <c r="F1837"/>
      <c r="N1837" s="44"/>
    </row>
    <row r="1838" spans="1:14" x14ac:dyDescent="0.3">
      <c r="A1838" s="42"/>
      <c r="C1838" s="52"/>
      <c r="D1838"/>
      <c r="E1838"/>
      <c r="F1838"/>
      <c r="N1838" s="44"/>
    </row>
    <row r="1839" spans="1:14" x14ac:dyDescent="0.3">
      <c r="A1839" s="42"/>
      <c r="C1839" s="52"/>
      <c r="D1839"/>
      <c r="E1839"/>
      <c r="F1839"/>
      <c r="N1839" s="44"/>
    </row>
    <row r="1840" spans="1:14" x14ac:dyDescent="0.3">
      <c r="A1840" s="42"/>
      <c r="C1840" s="52"/>
      <c r="D1840"/>
      <c r="E1840"/>
      <c r="F1840"/>
      <c r="N1840" s="44"/>
    </row>
    <row r="1841" spans="1:14" x14ac:dyDescent="0.3">
      <c r="A1841" s="42"/>
      <c r="C1841" s="52"/>
      <c r="D1841"/>
      <c r="E1841"/>
      <c r="F1841"/>
      <c r="N1841" s="44"/>
    </row>
    <row r="1842" spans="1:14" x14ac:dyDescent="0.3">
      <c r="A1842" s="42"/>
      <c r="C1842" s="52"/>
      <c r="D1842"/>
      <c r="E1842"/>
      <c r="F1842"/>
      <c r="N1842" s="44"/>
    </row>
    <row r="1843" spans="1:14" x14ac:dyDescent="0.3">
      <c r="A1843" s="42"/>
      <c r="C1843" s="52"/>
      <c r="D1843"/>
      <c r="E1843"/>
      <c r="F1843"/>
      <c r="N1843" s="44"/>
    </row>
    <row r="1844" spans="1:14" x14ac:dyDescent="0.3">
      <c r="A1844" s="42"/>
      <c r="C1844" s="52"/>
      <c r="D1844"/>
      <c r="E1844"/>
      <c r="F1844"/>
      <c r="N1844" s="44"/>
    </row>
    <row r="1845" spans="1:14" x14ac:dyDescent="0.3">
      <c r="A1845" s="42"/>
      <c r="C1845" s="52"/>
      <c r="D1845"/>
      <c r="E1845"/>
      <c r="F1845"/>
      <c r="N1845" s="44"/>
    </row>
    <row r="1846" spans="1:14" x14ac:dyDescent="0.3">
      <c r="A1846" s="42"/>
      <c r="C1846" s="52"/>
      <c r="D1846"/>
      <c r="E1846"/>
      <c r="F1846"/>
      <c r="N1846" s="44"/>
    </row>
    <row r="1847" spans="1:14" x14ac:dyDescent="0.3">
      <c r="A1847" s="42"/>
      <c r="C1847" s="52"/>
      <c r="D1847"/>
      <c r="E1847"/>
      <c r="F1847"/>
      <c r="N1847" s="44"/>
    </row>
    <row r="1848" spans="1:14" x14ac:dyDescent="0.3">
      <c r="A1848" s="42"/>
      <c r="C1848" s="52"/>
      <c r="D1848"/>
      <c r="E1848"/>
      <c r="F1848"/>
      <c r="N1848" s="44"/>
    </row>
    <row r="1849" spans="1:14" x14ac:dyDescent="0.3">
      <c r="A1849" s="42"/>
      <c r="C1849" s="52"/>
      <c r="D1849"/>
      <c r="E1849"/>
      <c r="F1849"/>
      <c r="N1849" s="44"/>
    </row>
    <row r="1850" spans="1:14" x14ac:dyDescent="0.3">
      <c r="A1850" s="42"/>
      <c r="C1850" s="52"/>
      <c r="D1850"/>
      <c r="E1850"/>
      <c r="F1850"/>
      <c r="N1850" s="44"/>
    </row>
    <row r="1851" spans="1:14" x14ac:dyDescent="0.3">
      <c r="A1851" s="42"/>
      <c r="C1851" s="52"/>
      <c r="D1851"/>
      <c r="E1851"/>
      <c r="F1851"/>
      <c r="N1851" s="44"/>
    </row>
    <row r="1852" spans="1:14" x14ac:dyDescent="0.3">
      <c r="A1852" s="42"/>
      <c r="C1852" s="52"/>
      <c r="D1852"/>
      <c r="E1852"/>
      <c r="F1852"/>
      <c r="N1852" s="44"/>
    </row>
    <row r="1853" spans="1:14" x14ac:dyDescent="0.3">
      <c r="A1853" s="42"/>
      <c r="C1853" s="52"/>
      <c r="D1853"/>
      <c r="E1853"/>
      <c r="F1853"/>
      <c r="N1853" s="44"/>
    </row>
    <row r="1854" spans="1:14" x14ac:dyDescent="0.3">
      <c r="A1854" s="42"/>
      <c r="C1854" s="52"/>
      <c r="D1854"/>
      <c r="E1854"/>
      <c r="F1854"/>
      <c r="N1854" s="44"/>
    </row>
    <row r="1855" spans="1:14" x14ac:dyDescent="0.3">
      <c r="A1855" s="42"/>
      <c r="C1855" s="52"/>
      <c r="D1855"/>
      <c r="E1855"/>
      <c r="F1855"/>
      <c r="N1855" s="44"/>
    </row>
    <row r="1856" spans="1:14" x14ac:dyDescent="0.3">
      <c r="A1856" s="42"/>
      <c r="C1856" s="52"/>
      <c r="D1856"/>
      <c r="E1856"/>
      <c r="F1856"/>
      <c r="N1856" s="44"/>
    </row>
    <row r="1857" spans="1:14" x14ac:dyDescent="0.3">
      <c r="A1857" s="42"/>
      <c r="C1857" s="52"/>
      <c r="D1857"/>
      <c r="E1857"/>
      <c r="F1857"/>
      <c r="N1857" s="44"/>
    </row>
    <row r="1858" spans="1:14" x14ac:dyDescent="0.3">
      <c r="A1858" s="42"/>
      <c r="C1858" s="52"/>
      <c r="D1858"/>
      <c r="E1858"/>
      <c r="F1858"/>
      <c r="N1858" s="44"/>
    </row>
    <row r="1859" spans="1:14" x14ac:dyDescent="0.3">
      <c r="A1859" s="42"/>
      <c r="C1859" s="52"/>
      <c r="D1859"/>
      <c r="E1859"/>
      <c r="F1859"/>
      <c r="N1859" s="44"/>
    </row>
    <row r="1860" spans="1:14" x14ac:dyDescent="0.3">
      <c r="A1860" s="42"/>
      <c r="C1860" s="52"/>
      <c r="D1860"/>
      <c r="E1860"/>
      <c r="F1860"/>
      <c r="N1860" s="44"/>
    </row>
    <row r="1861" spans="1:14" x14ac:dyDescent="0.3">
      <c r="A1861" s="42"/>
      <c r="C1861" s="52"/>
      <c r="D1861"/>
      <c r="E1861"/>
      <c r="F1861"/>
      <c r="N1861" s="44"/>
    </row>
    <row r="1862" spans="1:14" x14ac:dyDescent="0.3">
      <c r="A1862" s="42"/>
      <c r="C1862" s="52"/>
      <c r="D1862"/>
      <c r="E1862"/>
      <c r="F1862"/>
      <c r="N1862" s="44"/>
    </row>
    <row r="1863" spans="1:14" x14ac:dyDescent="0.3">
      <c r="A1863" s="42"/>
      <c r="C1863" s="52"/>
      <c r="D1863"/>
      <c r="E1863"/>
      <c r="F1863"/>
      <c r="N1863" s="44"/>
    </row>
    <row r="1864" spans="1:14" x14ac:dyDescent="0.3">
      <c r="A1864" s="42"/>
      <c r="C1864" s="52"/>
      <c r="D1864"/>
      <c r="E1864"/>
      <c r="F1864"/>
      <c r="N1864" s="44"/>
    </row>
    <row r="1865" spans="1:14" x14ac:dyDescent="0.3">
      <c r="A1865" s="42"/>
      <c r="C1865" s="52"/>
      <c r="D1865"/>
      <c r="E1865"/>
      <c r="F1865"/>
      <c r="N1865" s="44"/>
    </row>
    <row r="1866" spans="1:14" x14ac:dyDescent="0.3">
      <c r="A1866" s="42"/>
      <c r="C1866" s="52"/>
      <c r="D1866"/>
      <c r="E1866"/>
      <c r="F1866"/>
      <c r="N1866" s="44"/>
    </row>
    <row r="1867" spans="1:14" x14ac:dyDescent="0.3">
      <c r="A1867" s="42"/>
      <c r="C1867" s="52"/>
      <c r="D1867"/>
      <c r="E1867"/>
      <c r="F1867"/>
      <c r="N1867" s="44"/>
    </row>
    <row r="1868" spans="1:14" x14ac:dyDescent="0.3">
      <c r="A1868" s="42"/>
      <c r="C1868" s="52"/>
      <c r="D1868"/>
      <c r="E1868"/>
      <c r="F1868"/>
      <c r="N1868" s="44"/>
    </row>
    <row r="1869" spans="1:14" x14ac:dyDescent="0.3">
      <c r="A1869" s="42"/>
      <c r="C1869" s="52"/>
      <c r="D1869"/>
      <c r="E1869"/>
      <c r="F1869"/>
      <c r="N1869" s="44"/>
    </row>
    <row r="1870" spans="1:14" x14ac:dyDescent="0.3">
      <c r="A1870" s="42"/>
      <c r="C1870" s="52"/>
      <c r="D1870"/>
      <c r="E1870"/>
      <c r="F1870"/>
      <c r="N1870" s="44"/>
    </row>
    <row r="1871" spans="1:14" x14ac:dyDescent="0.3">
      <c r="A1871" s="42"/>
      <c r="C1871" s="52"/>
      <c r="D1871"/>
      <c r="E1871"/>
      <c r="F1871"/>
      <c r="N1871" s="44"/>
    </row>
    <row r="1872" spans="1:14" x14ac:dyDescent="0.3">
      <c r="A1872" s="42"/>
      <c r="C1872" s="52"/>
      <c r="D1872"/>
      <c r="E1872"/>
      <c r="F1872"/>
      <c r="N1872" s="44"/>
    </row>
    <row r="1873" spans="1:14" x14ac:dyDescent="0.3">
      <c r="A1873" s="42"/>
      <c r="C1873" s="52"/>
      <c r="D1873"/>
      <c r="E1873"/>
      <c r="F1873"/>
      <c r="N1873" s="44"/>
    </row>
    <row r="1874" spans="1:14" x14ac:dyDescent="0.3">
      <c r="A1874" s="42"/>
      <c r="C1874" s="52"/>
      <c r="D1874"/>
      <c r="E1874"/>
      <c r="F1874"/>
      <c r="N1874" s="44"/>
    </row>
    <row r="1875" spans="1:14" x14ac:dyDescent="0.3">
      <c r="A1875" s="42"/>
      <c r="C1875" s="52"/>
      <c r="D1875"/>
      <c r="E1875"/>
      <c r="F1875"/>
      <c r="N1875" s="44"/>
    </row>
    <row r="1876" spans="1:14" x14ac:dyDescent="0.3">
      <c r="A1876" s="42"/>
      <c r="C1876" s="52"/>
      <c r="D1876"/>
      <c r="E1876"/>
      <c r="F1876"/>
      <c r="N1876" s="44"/>
    </row>
    <row r="1877" spans="1:14" x14ac:dyDescent="0.3">
      <c r="A1877" s="42"/>
      <c r="C1877" s="52"/>
      <c r="D1877"/>
      <c r="E1877"/>
      <c r="F1877"/>
      <c r="N1877" s="44"/>
    </row>
    <row r="1878" spans="1:14" x14ac:dyDescent="0.3">
      <c r="A1878" s="42"/>
      <c r="C1878" s="52"/>
      <c r="D1878"/>
      <c r="E1878"/>
      <c r="F1878"/>
      <c r="N1878" s="44"/>
    </row>
    <row r="1879" spans="1:14" x14ac:dyDescent="0.3">
      <c r="A1879" s="42"/>
      <c r="C1879" s="52"/>
      <c r="D1879"/>
      <c r="E1879"/>
      <c r="F1879"/>
      <c r="N1879" s="44"/>
    </row>
    <row r="1880" spans="1:14" x14ac:dyDescent="0.3">
      <c r="A1880" s="42"/>
      <c r="C1880" s="52"/>
      <c r="D1880"/>
      <c r="E1880"/>
      <c r="F1880"/>
      <c r="N1880" s="44"/>
    </row>
    <row r="1881" spans="1:14" x14ac:dyDescent="0.3">
      <c r="A1881" s="42"/>
      <c r="C1881" s="52"/>
      <c r="D1881"/>
      <c r="E1881"/>
      <c r="F1881"/>
      <c r="N1881" s="44"/>
    </row>
    <row r="1882" spans="1:14" x14ac:dyDescent="0.3">
      <c r="A1882" s="42"/>
      <c r="C1882" s="52"/>
      <c r="D1882"/>
      <c r="E1882"/>
      <c r="F1882"/>
      <c r="N1882" s="44"/>
    </row>
    <row r="1883" spans="1:14" x14ac:dyDescent="0.3">
      <c r="A1883" s="42"/>
      <c r="C1883" s="52"/>
      <c r="D1883"/>
      <c r="E1883"/>
      <c r="F1883"/>
      <c r="N1883" s="44"/>
    </row>
    <row r="1884" spans="1:14" x14ac:dyDescent="0.3">
      <c r="A1884" s="42"/>
      <c r="C1884" s="52"/>
      <c r="D1884"/>
      <c r="E1884"/>
      <c r="F1884"/>
      <c r="N1884" s="44"/>
    </row>
    <row r="1885" spans="1:14" x14ac:dyDescent="0.3">
      <c r="A1885" s="42"/>
      <c r="C1885" s="52"/>
      <c r="D1885"/>
      <c r="E1885"/>
      <c r="F1885"/>
      <c r="N1885" s="44"/>
    </row>
    <row r="1886" spans="1:14" x14ac:dyDescent="0.3">
      <c r="A1886" s="42"/>
      <c r="C1886" s="52"/>
      <c r="D1886"/>
      <c r="E1886"/>
      <c r="F1886"/>
      <c r="N1886" s="44"/>
    </row>
    <row r="1887" spans="1:14" x14ac:dyDescent="0.3">
      <c r="A1887" s="42"/>
      <c r="C1887" s="52"/>
      <c r="D1887"/>
      <c r="E1887"/>
      <c r="F1887"/>
      <c r="N1887" s="44"/>
    </row>
    <row r="1888" spans="1:14" x14ac:dyDescent="0.3">
      <c r="A1888" s="42"/>
      <c r="C1888" s="52"/>
      <c r="D1888"/>
      <c r="E1888"/>
      <c r="F1888"/>
      <c r="N1888" s="44"/>
    </row>
    <row r="1889" spans="1:14" x14ac:dyDescent="0.3">
      <c r="A1889" s="42"/>
      <c r="C1889" s="52"/>
      <c r="D1889"/>
      <c r="E1889"/>
      <c r="F1889"/>
      <c r="N1889" s="44"/>
    </row>
    <row r="1890" spans="1:14" x14ac:dyDescent="0.3">
      <c r="A1890" s="42"/>
      <c r="C1890" s="52"/>
      <c r="D1890"/>
      <c r="E1890"/>
      <c r="F1890"/>
      <c r="N1890" s="44"/>
    </row>
    <row r="1891" spans="1:14" x14ac:dyDescent="0.3">
      <c r="A1891" s="42"/>
      <c r="C1891" s="52"/>
      <c r="D1891"/>
      <c r="E1891"/>
      <c r="F1891"/>
      <c r="N1891" s="44"/>
    </row>
    <row r="1892" spans="1:14" x14ac:dyDescent="0.3">
      <c r="A1892" s="42"/>
      <c r="C1892" s="52"/>
      <c r="D1892"/>
      <c r="E1892"/>
      <c r="F1892"/>
      <c r="N1892" s="44"/>
    </row>
    <row r="1893" spans="1:14" x14ac:dyDescent="0.3">
      <c r="A1893" s="42"/>
      <c r="C1893" s="52"/>
      <c r="D1893"/>
      <c r="E1893"/>
      <c r="F1893"/>
      <c r="N1893" s="44"/>
    </row>
    <row r="1894" spans="1:14" x14ac:dyDescent="0.3">
      <c r="A1894" s="42"/>
      <c r="C1894" s="52"/>
      <c r="D1894"/>
      <c r="E1894"/>
      <c r="F1894"/>
      <c r="N1894" s="44"/>
    </row>
    <row r="1895" spans="1:14" x14ac:dyDescent="0.3">
      <c r="A1895" s="42"/>
      <c r="C1895" s="52"/>
      <c r="D1895"/>
      <c r="E1895"/>
      <c r="F1895"/>
      <c r="N1895" s="44"/>
    </row>
    <row r="1896" spans="1:14" x14ac:dyDescent="0.3">
      <c r="A1896" s="42"/>
      <c r="C1896" s="52"/>
      <c r="D1896"/>
      <c r="E1896"/>
      <c r="F1896"/>
      <c r="N1896" s="44"/>
    </row>
    <row r="1897" spans="1:14" x14ac:dyDescent="0.3">
      <c r="A1897" s="42"/>
      <c r="C1897" s="52"/>
      <c r="D1897"/>
      <c r="E1897"/>
      <c r="F1897"/>
      <c r="N1897" s="44"/>
    </row>
    <row r="1898" spans="1:14" x14ac:dyDescent="0.3">
      <c r="A1898" s="42"/>
      <c r="C1898" s="52"/>
      <c r="D1898"/>
      <c r="E1898"/>
      <c r="F1898"/>
      <c r="N1898" s="44"/>
    </row>
    <row r="1899" spans="1:14" x14ac:dyDescent="0.3">
      <c r="A1899" s="42"/>
      <c r="C1899" s="52"/>
      <c r="D1899"/>
      <c r="E1899"/>
      <c r="F1899"/>
      <c r="N1899" s="44"/>
    </row>
    <row r="1900" spans="1:14" x14ac:dyDescent="0.3">
      <c r="A1900" s="42"/>
      <c r="C1900" s="52"/>
      <c r="D1900"/>
      <c r="E1900"/>
      <c r="F1900"/>
      <c r="N1900" s="44"/>
    </row>
    <row r="1901" spans="1:14" x14ac:dyDescent="0.3">
      <c r="A1901" s="42"/>
      <c r="C1901" s="52"/>
      <c r="D1901"/>
      <c r="E1901"/>
      <c r="F1901"/>
      <c r="N1901" s="44"/>
    </row>
    <row r="1902" spans="1:14" x14ac:dyDescent="0.3">
      <c r="A1902" s="42"/>
      <c r="C1902" s="52"/>
      <c r="D1902"/>
      <c r="E1902"/>
      <c r="F1902"/>
      <c r="N1902" s="44"/>
    </row>
    <row r="1903" spans="1:14" x14ac:dyDescent="0.3">
      <c r="A1903" s="42"/>
      <c r="C1903" s="52"/>
      <c r="D1903"/>
      <c r="E1903"/>
      <c r="F1903"/>
      <c r="N1903" s="44"/>
    </row>
    <row r="1904" spans="1:14" x14ac:dyDescent="0.3">
      <c r="A1904" s="42"/>
      <c r="C1904" s="52"/>
      <c r="D1904"/>
      <c r="E1904"/>
      <c r="F1904"/>
      <c r="N1904" s="44"/>
    </row>
    <row r="1905" spans="1:14" x14ac:dyDescent="0.3">
      <c r="A1905" s="42"/>
      <c r="C1905" s="52"/>
      <c r="D1905"/>
      <c r="E1905"/>
      <c r="F1905"/>
      <c r="N1905" s="44"/>
    </row>
    <row r="1906" spans="1:14" x14ac:dyDescent="0.3">
      <c r="A1906" s="42"/>
      <c r="C1906" s="52"/>
      <c r="D1906"/>
      <c r="E1906"/>
      <c r="F1906"/>
      <c r="N1906" s="44"/>
    </row>
    <row r="1907" spans="1:14" x14ac:dyDescent="0.3">
      <c r="A1907" s="42"/>
      <c r="C1907" s="52"/>
      <c r="D1907"/>
      <c r="E1907"/>
      <c r="F1907"/>
      <c r="N1907" s="44"/>
    </row>
    <row r="1908" spans="1:14" x14ac:dyDescent="0.3">
      <c r="A1908" s="42"/>
      <c r="C1908" s="52"/>
      <c r="D1908"/>
      <c r="E1908"/>
      <c r="F1908"/>
      <c r="N1908" s="44"/>
    </row>
    <row r="1909" spans="1:14" x14ac:dyDescent="0.3">
      <c r="A1909" s="42"/>
      <c r="C1909" s="52"/>
      <c r="D1909"/>
      <c r="E1909"/>
      <c r="F1909"/>
      <c r="N1909" s="44"/>
    </row>
    <row r="1910" spans="1:14" x14ac:dyDescent="0.3">
      <c r="A1910" s="42"/>
      <c r="C1910" s="52"/>
      <c r="D1910"/>
      <c r="E1910"/>
      <c r="F1910"/>
      <c r="N1910" s="44"/>
    </row>
    <row r="1911" spans="1:14" x14ac:dyDescent="0.3">
      <c r="A1911" s="42"/>
      <c r="C1911" s="52"/>
      <c r="D1911"/>
      <c r="E1911"/>
      <c r="F1911"/>
      <c r="N1911" s="44"/>
    </row>
    <row r="1912" spans="1:14" x14ac:dyDescent="0.3">
      <c r="A1912" s="42"/>
      <c r="C1912" s="52"/>
      <c r="D1912"/>
      <c r="E1912"/>
      <c r="F1912"/>
      <c r="N1912" s="44"/>
    </row>
    <row r="1913" spans="1:14" x14ac:dyDescent="0.3">
      <c r="A1913" s="42"/>
      <c r="C1913" s="52"/>
      <c r="D1913"/>
      <c r="E1913"/>
      <c r="F1913"/>
      <c r="N1913" s="44"/>
    </row>
    <row r="1914" spans="1:14" x14ac:dyDescent="0.3">
      <c r="A1914" s="42"/>
      <c r="C1914" s="52"/>
      <c r="D1914"/>
      <c r="E1914"/>
      <c r="F1914"/>
      <c r="M1914" s="45"/>
      <c r="N1914" s="44"/>
    </row>
    <row r="1915" spans="1:14" x14ac:dyDescent="0.3">
      <c r="A1915" s="42"/>
      <c r="C1915" s="52"/>
      <c r="D1915"/>
      <c r="E1915"/>
      <c r="F1915"/>
      <c r="N1915" s="44"/>
    </row>
    <row r="1916" spans="1:14" x14ac:dyDescent="0.3">
      <c r="A1916" s="42"/>
      <c r="C1916" s="52"/>
      <c r="D1916"/>
      <c r="E1916"/>
      <c r="F1916"/>
      <c r="N1916" s="44"/>
    </row>
    <row r="1917" spans="1:14" x14ac:dyDescent="0.3">
      <c r="A1917" s="42"/>
      <c r="C1917" s="52"/>
      <c r="D1917"/>
      <c r="E1917"/>
      <c r="F1917"/>
      <c r="N1917" s="44"/>
    </row>
    <row r="1918" spans="1:14" x14ac:dyDescent="0.3">
      <c r="A1918" s="42"/>
      <c r="C1918" s="52"/>
      <c r="D1918"/>
      <c r="E1918"/>
      <c r="F1918"/>
      <c r="N1918" s="44"/>
    </row>
    <row r="1919" spans="1:14" x14ac:dyDescent="0.3">
      <c r="A1919" s="42"/>
      <c r="C1919" s="52"/>
      <c r="D1919"/>
      <c r="E1919"/>
      <c r="F1919"/>
      <c r="N1919" s="44"/>
    </row>
    <row r="1920" spans="1:14" x14ac:dyDescent="0.3">
      <c r="A1920" s="42"/>
      <c r="C1920" s="52"/>
      <c r="D1920"/>
      <c r="E1920"/>
      <c r="F1920"/>
      <c r="N1920" s="44"/>
    </row>
    <row r="1921" spans="1:14" x14ac:dyDescent="0.3">
      <c r="A1921" s="42"/>
      <c r="C1921" s="52"/>
      <c r="D1921"/>
      <c r="E1921"/>
      <c r="F1921"/>
      <c r="M1921" s="45"/>
      <c r="N1921" s="44"/>
    </row>
    <row r="1922" spans="1:14" x14ac:dyDescent="0.3">
      <c r="A1922" s="42"/>
      <c r="C1922" s="52"/>
      <c r="D1922"/>
      <c r="E1922"/>
      <c r="F1922"/>
      <c r="N1922" s="44"/>
    </row>
    <row r="1923" spans="1:14" x14ac:dyDescent="0.3">
      <c r="A1923" s="42"/>
      <c r="C1923" s="52"/>
      <c r="D1923"/>
      <c r="E1923"/>
      <c r="F1923"/>
      <c r="N1923" s="44"/>
    </row>
    <row r="1924" spans="1:14" x14ac:dyDescent="0.3">
      <c r="A1924" s="42"/>
      <c r="C1924" s="52"/>
      <c r="D1924"/>
      <c r="E1924"/>
      <c r="F1924"/>
      <c r="N1924" s="44"/>
    </row>
    <row r="1925" spans="1:14" x14ac:dyDescent="0.3">
      <c r="A1925" s="42"/>
      <c r="C1925" s="52"/>
      <c r="D1925"/>
      <c r="E1925"/>
      <c r="F1925"/>
      <c r="N1925" s="44"/>
    </row>
    <row r="1926" spans="1:14" x14ac:dyDescent="0.3">
      <c r="A1926" s="42"/>
      <c r="C1926" s="52"/>
      <c r="D1926"/>
      <c r="E1926"/>
      <c r="F1926"/>
      <c r="N1926" s="44"/>
    </row>
    <row r="1927" spans="1:14" x14ac:dyDescent="0.3">
      <c r="A1927" s="42"/>
      <c r="C1927" s="52"/>
      <c r="D1927"/>
      <c r="E1927"/>
      <c r="F1927"/>
      <c r="N1927" s="44"/>
    </row>
    <row r="1928" spans="1:14" x14ac:dyDescent="0.3">
      <c r="A1928" s="42"/>
      <c r="C1928" s="52"/>
      <c r="D1928"/>
      <c r="E1928"/>
      <c r="F1928"/>
      <c r="N1928" s="44"/>
    </row>
    <row r="1929" spans="1:14" x14ac:dyDescent="0.3">
      <c r="A1929" s="42"/>
      <c r="C1929" s="52"/>
      <c r="D1929"/>
      <c r="E1929"/>
      <c r="F1929"/>
      <c r="N1929" s="44"/>
    </row>
    <row r="1930" spans="1:14" x14ac:dyDescent="0.3">
      <c r="A1930" s="42"/>
      <c r="C1930" s="52"/>
      <c r="D1930"/>
      <c r="E1930"/>
      <c r="F1930"/>
      <c r="N1930" s="44"/>
    </row>
    <row r="1931" spans="1:14" x14ac:dyDescent="0.3">
      <c r="A1931" s="42"/>
      <c r="C1931" s="52"/>
      <c r="D1931"/>
      <c r="E1931"/>
      <c r="F1931"/>
      <c r="N1931" s="44"/>
    </row>
    <row r="1932" spans="1:14" x14ac:dyDescent="0.3">
      <c r="A1932" s="42"/>
      <c r="C1932" s="52"/>
      <c r="D1932"/>
      <c r="E1932"/>
      <c r="F1932"/>
      <c r="N1932" s="44"/>
    </row>
    <row r="1933" spans="1:14" x14ac:dyDescent="0.3">
      <c r="A1933" s="42"/>
      <c r="C1933" s="52"/>
      <c r="D1933"/>
      <c r="E1933"/>
      <c r="F1933"/>
      <c r="N1933" s="44"/>
    </row>
    <row r="1934" spans="1:14" x14ac:dyDescent="0.3">
      <c r="A1934" s="42"/>
      <c r="C1934" s="52"/>
      <c r="D1934"/>
      <c r="E1934"/>
      <c r="F1934"/>
      <c r="N1934" s="44"/>
    </row>
    <row r="1935" spans="1:14" x14ac:dyDescent="0.3">
      <c r="A1935" s="42"/>
      <c r="C1935" s="52"/>
      <c r="D1935"/>
      <c r="E1935"/>
      <c r="F1935"/>
      <c r="N1935" s="44"/>
    </row>
    <row r="1936" spans="1:14" x14ac:dyDescent="0.3">
      <c r="A1936" s="42"/>
      <c r="C1936" s="52"/>
      <c r="D1936"/>
      <c r="E1936"/>
      <c r="F1936"/>
      <c r="N1936" s="44"/>
    </row>
    <row r="1937" spans="1:14" x14ac:dyDescent="0.3">
      <c r="A1937" s="42"/>
      <c r="C1937" s="52"/>
      <c r="D1937"/>
      <c r="E1937"/>
      <c r="F1937"/>
      <c r="N1937" s="44"/>
    </row>
    <row r="1938" spans="1:14" x14ac:dyDescent="0.3">
      <c r="A1938" s="42"/>
      <c r="C1938" s="52"/>
      <c r="D1938"/>
      <c r="E1938"/>
      <c r="F1938"/>
      <c r="N1938" s="44"/>
    </row>
    <row r="1939" spans="1:14" x14ac:dyDescent="0.3">
      <c r="A1939" s="42"/>
      <c r="C1939" s="52"/>
      <c r="D1939"/>
      <c r="E1939"/>
      <c r="F1939"/>
      <c r="N1939" s="44"/>
    </row>
    <row r="1940" spans="1:14" x14ac:dyDescent="0.3">
      <c r="A1940" s="42"/>
      <c r="C1940" s="52"/>
      <c r="D1940"/>
      <c r="E1940"/>
      <c r="F1940"/>
      <c r="N1940" s="44"/>
    </row>
    <row r="1941" spans="1:14" x14ac:dyDescent="0.3">
      <c r="A1941" s="42"/>
      <c r="C1941" s="52"/>
      <c r="D1941"/>
      <c r="E1941"/>
      <c r="F1941"/>
      <c r="N1941" s="44"/>
    </row>
    <row r="1942" spans="1:14" x14ac:dyDescent="0.3">
      <c r="A1942" s="42"/>
      <c r="C1942" s="52"/>
      <c r="D1942"/>
      <c r="E1942"/>
      <c r="F1942"/>
      <c r="N1942" s="44"/>
    </row>
    <row r="1943" spans="1:14" x14ac:dyDescent="0.3">
      <c r="A1943" s="42"/>
      <c r="C1943" s="52"/>
      <c r="D1943"/>
      <c r="E1943"/>
      <c r="F1943"/>
      <c r="N1943" s="44"/>
    </row>
    <row r="1944" spans="1:14" x14ac:dyDescent="0.3">
      <c r="A1944" s="42"/>
      <c r="C1944" s="52"/>
      <c r="D1944"/>
      <c r="E1944"/>
      <c r="F1944"/>
      <c r="N1944" s="44"/>
    </row>
    <row r="1945" spans="1:14" x14ac:dyDescent="0.3">
      <c r="A1945" s="42"/>
      <c r="C1945" s="52"/>
      <c r="D1945"/>
      <c r="E1945"/>
      <c r="F1945"/>
      <c r="N1945" s="44"/>
    </row>
    <row r="1946" spans="1:14" x14ac:dyDescent="0.3">
      <c r="A1946" s="42"/>
      <c r="C1946" s="52"/>
      <c r="D1946"/>
      <c r="E1946"/>
      <c r="F1946"/>
      <c r="N1946" s="44"/>
    </row>
    <row r="1947" spans="1:14" x14ac:dyDescent="0.3">
      <c r="A1947" s="42"/>
      <c r="C1947" s="52"/>
      <c r="D1947"/>
      <c r="E1947"/>
      <c r="F1947"/>
      <c r="N1947" s="44"/>
    </row>
    <row r="1948" spans="1:14" x14ac:dyDescent="0.3">
      <c r="A1948" s="42"/>
      <c r="C1948" s="52"/>
      <c r="D1948"/>
      <c r="E1948"/>
      <c r="F1948"/>
      <c r="N1948" s="44"/>
    </row>
    <row r="1949" spans="1:14" x14ac:dyDescent="0.3">
      <c r="A1949" s="42"/>
      <c r="C1949" s="52"/>
      <c r="D1949"/>
      <c r="E1949"/>
      <c r="F1949"/>
      <c r="N1949" s="44"/>
    </row>
    <row r="1950" spans="1:14" x14ac:dyDescent="0.3">
      <c r="A1950" s="42"/>
      <c r="C1950" s="52"/>
      <c r="D1950"/>
      <c r="E1950"/>
      <c r="F1950"/>
      <c r="N1950" s="44"/>
    </row>
    <row r="1951" spans="1:14" x14ac:dyDescent="0.3">
      <c r="A1951" s="42"/>
      <c r="C1951" s="52"/>
      <c r="D1951"/>
      <c r="E1951"/>
      <c r="F1951"/>
      <c r="N1951" s="44"/>
    </row>
    <row r="1952" spans="1:14" x14ac:dyDescent="0.3">
      <c r="A1952" s="42"/>
      <c r="C1952" s="52"/>
      <c r="D1952"/>
      <c r="E1952"/>
      <c r="F1952"/>
      <c r="N1952" s="44"/>
    </row>
    <row r="1953" spans="1:14" x14ac:dyDescent="0.3">
      <c r="A1953" s="42"/>
      <c r="C1953" s="52"/>
      <c r="D1953"/>
      <c r="E1953"/>
      <c r="F1953"/>
      <c r="N1953" s="44"/>
    </row>
    <row r="1954" spans="1:14" x14ac:dyDescent="0.3">
      <c r="A1954" s="42"/>
      <c r="C1954" s="52"/>
      <c r="D1954"/>
      <c r="E1954"/>
      <c r="F1954"/>
      <c r="N1954" s="44"/>
    </row>
    <row r="1955" spans="1:14" x14ac:dyDescent="0.3">
      <c r="A1955" s="42"/>
      <c r="C1955" s="52"/>
      <c r="D1955"/>
      <c r="E1955"/>
      <c r="F1955"/>
      <c r="N1955" s="44"/>
    </row>
    <row r="1956" spans="1:14" x14ac:dyDescent="0.3">
      <c r="A1956" s="42"/>
      <c r="C1956" s="52"/>
      <c r="D1956"/>
      <c r="E1956"/>
      <c r="F1956"/>
      <c r="N1956" s="44"/>
    </row>
    <row r="1957" spans="1:14" x14ac:dyDescent="0.3">
      <c r="A1957" s="42"/>
      <c r="C1957" s="52"/>
      <c r="D1957"/>
      <c r="E1957"/>
      <c r="F1957"/>
      <c r="N1957" s="44"/>
    </row>
    <row r="1958" spans="1:14" x14ac:dyDescent="0.3">
      <c r="A1958" s="42"/>
      <c r="C1958" s="52"/>
      <c r="D1958"/>
      <c r="E1958"/>
      <c r="F1958"/>
      <c r="N1958" s="44"/>
    </row>
    <row r="1959" spans="1:14" x14ac:dyDescent="0.3">
      <c r="A1959" s="42"/>
      <c r="C1959" s="52"/>
      <c r="D1959"/>
      <c r="E1959"/>
      <c r="F1959"/>
      <c r="N1959" s="44"/>
    </row>
    <row r="1960" spans="1:14" x14ac:dyDescent="0.3">
      <c r="A1960" s="42"/>
      <c r="C1960" s="52"/>
      <c r="D1960"/>
      <c r="E1960"/>
      <c r="F1960"/>
      <c r="N1960" s="44"/>
    </row>
    <row r="1961" spans="1:14" x14ac:dyDescent="0.3">
      <c r="A1961" s="42"/>
      <c r="C1961" s="52"/>
      <c r="D1961"/>
      <c r="E1961"/>
      <c r="F1961"/>
      <c r="N1961" s="44"/>
    </row>
    <row r="1962" spans="1:14" x14ac:dyDescent="0.3">
      <c r="A1962" s="42"/>
      <c r="C1962" s="52"/>
      <c r="D1962"/>
      <c r="E1962"/>
      <c r="F1962"/>
      <c r="N1962" s="44"/>
    </row>
    <row r="1963" spans="1:14" x14ac:dyDescent="0.3">
      <c r="A1963" s="42"/>
      <c r="C1963" s="52"/>
      <c r="D1963"/>
      <c r="E1963"/>
      <c r="F1963"/>
      <c r="N1963" s="44"/>
    </row>
    <row r="1964" spans="1:14" x14ac:dyDescent="0.3">
      <c r="A1964" s="42"/>
      <c r="C1964" s="52"/>
      <c r="D1964"/>
      <c r="E1964"/>
      <c r="F1964"/>
      <c r="N1964" s="44"/>
    </row>
    <row r="1965" spans="1:14" x14ac:dyDescent="0.3">
      <c r="A1965" s="42"/>
      <c r="C1965" s="52"/>
      <c r="D1965"/>
      <c r="E1965"/>
      <c r="F1965"/>
      <c r="N1965" s="44"/>
    </row>
    <row r="1966" spans="1:14" x14ac:dyDescent="0.3">
      <c r="A1966" s="42"/>
      <c r="C1966" s="52"/>
      <c r="D1966"/>
      <c r="E1966"/>
      <c r="F1966"/>
      <c r="N1966" s="44"/>
    </row>
    <row r="1967" spans="1:14" x14ac:dyDescent="0.3">
      <c r="A1967" s="42"/>
      <c r="C1967" s="52"/>
      <c r="D1967"/>
      <c r="E1967"/>
      <c r="F1967"/>
      <c r="N1967" s="44"/>
    </row>
    <row r="1968" spans="1:14" x14ac:dyDescent="0.3">
      <c r="A1968" s="42"/>
      <c r="C1968" s="52"/>
      <c r="D1968"/>
      <c r="E1968"/>
      <c r="F1968"/>
      <c r="N1968" s="44"/>
    </row>
    <row r="1969" spans="1:14" x14ac:dyDescent="0.3">
      <c r="A1969" s="42"/>
      <c r="C1969" s="52"/>
      <c r="D1969"/>
      <c r="E1969"/>
      <c r="F1969"/>
      <c r="N1969" s="44"/>
    </row>
    <row r="1970" spans="1:14" x14ac:dyDescent="0.3">
      <c r="A1970" s="42"/>
      <c r="C1970" s="52"/>
      <c r="D1970"/>
      <c r="E1970"/>
      <c r="F1970"/>
      <c r="N1970" s="44"/>
    </row>
    <row r="1971" spans="1:14" x14ac:dyDescent="0.3">
      <c r="A1971" s="42"/>
      <c r="C1971" s="52"/>
      <c r="D1971"/>
      <c r="E1971"/>
      <c r="F1971"/>
      <c r="N1971" s="44"/>
    </row>
    <row r="1972" spans="1:14" x14ac:dyDescent="0.3">
      <c r="A1972" s="42"/>
      <c r="C1972" s="52"/>
      <c r="D1972"/>
      <c r="E1972"/>
      <c r="F1972"/>
      <c r="N1972" s="44"/>
    </row>
    <row r="1973" spans="1:14" x14ac:dyDescent="0.3">
      <c r="A1973" s="42"/>
      <c r="C1973" s="52"/>
      <c r="D1973"/>
      <c r="E1973"/>
      <c r="F1973"/>
      <c r="N1973" s="44"/>
    </row>
    <row r="1974" spans="1:14" x14ac:dyDescent="0.3">
      <c r="A1974" s="42"/>
      <c r="C1974" s="52"/>
      <c r="D1974"/>
      <c r="E1974"/>
      <c r="F1974"/>
      <c r="N1974" s="44"/>
    </row>
    <row r="1975" spans="1:14" x14ac:dyDescent="0.3">
      <c r="A1975" s="42"/>
      <c r="C1975" s="52"/>
      <c r="D1975"/>
      <c r="E1975"/>
      <c r="F1975"/>
      <c r="N1975" s="44"/>
    </row>
    <row r="1976" spans="1:14" x14ac:dyDescent="0.3">
      <c r="A1976" s="42"/>
      <c r="C1976" s="52"/>
      <c r="D1976"/>
      <c r="E1976"/>
      <c r="F1976"/>
      <c r="N1976" s="44"/>
    </row>
    <row r="1977" spans="1:14" x14ac:dyDescent="0.3">
      <c r="A1977" s="42"/>
      <c r="C1977" s="52"/>
      <c r="D1977"/>
      <c r="E1977"/>
      <c r="F1977"/>
      <c r="N1977" s="44"/>
    </row>
    <row r="1978" spans="1:14" x14ac:dyDescent="0.3">
      <c r="A1978" s="42"/>
      <c r="C1978" s="52"/>
      <c r="D1978"/>
      <c r="E1978"/>
      <c r="F1978"/>
      <c r="N1978" s="44"/>
    </row>
    <row r="1979" spans="1:14" x14ac:dyDescent="0.3">
      <c r="A1979" s="42"/>
      <c r="C1979" s="52"/>
      <c r="D1979"/>
      <c r="E1979"/>
      <c r="F1979"/>
      <c r="N1979" s="44"/>
    </row>
    <row r="1980" spans="1:14" x14ac:dyDescent="0.3">
      <c r="A1980" s="42"/>
      <c r="C1980" s="52"/>
      <c r="D1980"/>
      <c r="E1980"/>
      <c r="F1980"/>
      <c r="N1980" s="44"/>
    </row>
    <row r="1981" spans="1:14" x14ac:dyDescent="0.3">
      <c r="A1981" s="42"/>
      <c r="C1981" s="52"/>
      <c r="D1981"/>
      <c r="E1981"/>
      <c r="F1981"/>
      <c r="N1981" s="44"/>
    </row>
    <row r="1982" spans="1:14" x14ac:dyDescent="0.3">
      <c r="A1982" s="42"/>
      <c r="C1982" s="52"/>
      <c r="D1982"/>
      <c r="E1982"/>
      <c r="F1982"/>
      <c r="N1982" s="44"/>
    </row>
    <row r="1983" spans="1:14" x14ac:dyDescent="0.3">
      <c r="A1983" s="42"/>
      <c r="C1983" s="52"/>
      <c r="D1983"/>
      <c r="E1983"/>
      <c r="F1983"/>
      <c r="N1983" s="44"/>
    </row>
    <row r="1984" spans="1:14" x14ac:dyDescent="0.3">
      <c r="A1984" s="42"/>
      <c r="C1984" s="52"/>
      <c r="D1984"/>
      <c r="E1984"/>
      <c r="F1984"/>
      <c r="N1984" s="44"/>
    </row>
    <row r="1985" spans="1:14" x14ac:dyDescent="0.3">
      <c r="A1985" s="42"/>
      <c r="C1985" s="52"/>
      <c r="D1985"/>
      <c r="E1985"/>
      <c r="F1985"/>
      <c r="N1985" s="44"/>
    </row>
    <row r="1986" spans="1:14" x14ac:dyDescent="0.3">
      <c r="A1986" s="42"/>
      <c r="C1986" s="52"/>
      <c r="D1986"/>
      <c r="E1986"/>
      <c r="F1986"/>
      <c r="N1986" s="44"/>
    </row>
    <row r="1987" spans="1:14" x14ac:dyDescent="0.3">
      <c r="A1987" s="42"/>
      <c r="C1987" s="52"/>
      <c r="D1987"/>
      <c r="E1987"/>
      <c r="F1987"/>
      <c r="N1987" s="44"/>
    </row>
    <row r="1988" spans="1:14" x14ac:dyDescent="0.3">
      <c r="A1988" s="42"/>
      <c r="C1988" s="52"/>
      <c r="D1988"/>
      <c r="E1988"/>
      <c r="F1988"/>
      <c r="N1988" s="44"/>
    </row>
    <row r="1989" spans="1:14" x14ac:dyDescent="0.3">
      <c r="A1989" s="42"/>
      <c r="C1989" s="52"/>
      <c r="D1989"/>
      <c r="E1989"/>
      <c r="F1989"/>
      <c r="N1989" s="44"/>
    </row>
    <row r="1990" spans="1:14" x14ac:dyDescent="0.3">
      <c r="A1990" s="42"/>
      <c r="C1990" s="52"/>
      <c r="D1990"/>
      <c r="E1990"/>
      <c r="F1990"/>
      <c r="N1990" s="44"/>
    </row>
    <row r="1991" spans="1:14" x14ac:dyDescent="0.3">
      <c r="A1991" s="42"/>
      <c r="C1991" s="52"/>
      <c r="D1991"/>
      <c r="E1991"/>
      <c r="F1991"/>
      <c r="N1991" s="44"/>
    </row>
    <row r="1992" spans="1:14" x14ac:dyDescent="0.3">
      <c r="A1992" s="42"/>
      <c r="C1992" s="52"/>
      <c r="D1992"/>
      <c r="E1992"/>
      <c r="F1992"/>
      <c r="N1992" s="44"/>
    </row>
    <row r="1993" spans="1:14" x14ac:dyDescent="0.3">
      <c r="A1993" s="42"/>
      <c r="C1993" s="52"/>
      <c r="D1993"/>
      <c r="E1993"/>
      <c r="F1993"/>
      <c r="N1993" s="44"/>
    </row>
    <row r="1994" spans="1:14" x14ac:dyDescent="0.3">
      <c r="A1994" s="42"/>
      <c r="C1994" s="52"/>
      <c r="D1994"/>
      <c r="E1994"/>
      <c r="F1994"/>
      <c r="N1994" s="44"/>
    </row>
    <row r="1995" spans="1:14" x14ac:dyDescent="0.3">
      <c r="A1995" s="42"/>
      <c r="C1995" s="52"/>
      <c r="D1995"/>
      <c r="E1995"/>
      <c r="F1995"/>
      <c r="N1995" s="44"/>
    </row>
    <row r="1996" spans="1:14" x14ac:dyDescent="0.3">
      <c r="A1996" s="42"/>
      <c r="C1996" s="52"/>
      <c r="D1996"/>
      <c r="E1996"/>
      <c r="F1996"/>
      <c r="N1996" s="44"/>
    </row>
    <row r="1997" spans="1:14" x14ac:dyDescent="0.3">
      <c r="A1997" s="42"/>
      <c r="C1997" s="52"/>
      <c r="D1997"/>
      <c r="E1997"/>
      <c r="F1997"/>
      <c r="N1997" s="44"/>
    </row>
    <row r="1998" spans="1:14" x14ac:dyDescent="0.3">
      <c r="A1998" s="42"/>
      <c r="C1998" s="52"/>
      <c r="D1998"/>
      <c r="E1998"/>
      <c r="F1998"/>
      <c r="N1998" s="44"/>
    </row>
    <row r="1999" spans="1:14" x14ac:dyDescent="0.3">
      <c r="A1999" s="42"/>
      <c r="C1999" s="52"/>
      <c r="D1999"/>
      <c r="E1999"/>
      <c r="F1999"/>
      <c r="N1999" s="44"/>
    </row>
    <row r="2000" spans="1:14" x14ac:dyDescent="0.3">
      <c r="A2000" s="42"/>
      <c r="C2000" s="52"/>
      <c r="D2000"/>
      <c r="E2000"/>
      <c r="F2000"/>
      <c r="N2000" s="44"/>
    </row>
    <row r="2001" spans="1:14" x14ac:dyDescent="0.3">
      <c r="A2001" s="42"/>
      <c r="C2001" s="52"/>
      <c r="D2001"/>
      <c r="E2001"/>
      <c r="F2001"/>
      <c r="N2001" s="44"/>
    </row>
    <row r="2002" spans="1:14" x14ac:dyDescent="0.3">
      <c r="A2002" s="42"/>
      <c r="C2002" s="52"/>
      <c r="D2002"/>
      <c r="E2002"/>
      <c r="F2002"/>
      <c r="N2002" s="44"/>
    </row>
    <row r="2003" spans="1:14" x14ac:dyDescent="0.3">
      <c r="A2003" s="42"/>
      <c r="C2003" s="52"/>
      <c r="D2003"/>
      <c r="E2003"/>
      <c r="F2003"/>
      <c r="N2003" s="44"/>
    </row>
    <row r="2004" spans="1:14" x14ac:dyDescent="0.3">
      <c r="A2004" s="42"/>
      <c r="C2004" s="52"/>
      <c r="D2004"/>
      <c r="E2004"/>
      <c r="F2004"/>
      <c r="N2004" s="44"/>
    </row>
    <row r="2005" spans="1:14" x14ac:dyDescent="0.3">
      <c r="A2005" s="42"/>
      <c r="C2005" s="52"/>
      <c r="D2005"/>
      <c r="E2005"/>
      <c r="F2005"/>
      <c r="N2005" s="44"/>
    </row>
    <row r="2006" spans="1:14" x14ac:dyDescent="0.3">
      <c r="A2006" s="42"/>
      <c r="C2006" s="52"/>
      <c r="D2006"/>
      <c r="E2006"/>
      <c r="F2006"/>
      <c r="N2006" s="44"/>
    </row>
    <row r="2007" spans="1:14" x14ac:dyDescent="0.3">
      <c r="A2007" s="42"/>
      <c r="C2007" s="52"/>
      <c r="D2007"/>
      <c r="E2007"/>
      <c r="F2007"/>
      <c r="N2007" s="44"/>
    </row>
    <row r="2008" spans="1:14" x14ac:dyDescent="0.3">
      <c r="A2008" s="42"/>
      <c r="C2008" s="52"/>
      <c r="D2008"/>
      <c r="E2008"/>
      <c r="F2008"/>
      <c r="N2008" s="44"/>
    </row>
    <row r="2009" spans="1:14" x14ac:dyDescent="0.3">
      <c r="A2009" s="42"/>
      <c r="C2009" s="52"/>
      <c r="D2009"/>
      <c r="E2009"/>
      <c r="F2009"/>
      <c r="N2009" s="44"/>
    </row>
    <row r="2010" spans="1:14" x14ac:dyDescent="0.3">
      <c r="A2010" s="42"/>
      <c r="C2010" s="52"/>
      <c r="D2010"/>
      <c r="E2010"/>
      <c r="F2010"/>
      <c r="N2010" s="44"/>
    </row>
    <row r="2011" spans="1:14" x14ac:dyDescent="0.3">
      <c r="A2011" s="42"/>
      <c r="C2011" s="52"/>
      <c r="D2011"/>
      <c r="E2011"/>
      <c r="F2011"/>
      <c r="N2011" s="44"/>
    </row>
    <row r="2012" spans="1:14" x14ac:dyDescent="0.3">
      <c r="A2012" s="42"/>
      <c r="C2012" s="52"/>
      <c r="D2012"/>
      <c r="E2012"/>
      <c r="F2012"/>
      <c r="N2012" s="44"/>
    </row>
    <row r="2013" spans="1:14" x14ac:dyDescent="0.3">
      <c r="A2013" s="42"/>
      <c r="C2013" s="52"/>
      <c r="D2013"/>
      <c r="E2013"/>
      <c r="F2013"/>
      <c r="N2013" s="44"/>
    </row>
    <row r="2014" spans="1:14" x14ac:dyDescent="0.3">
      <c r="A2014" s="42"/>
      <c r="C2014" s="52"/>
      <c r="D2014"/>
      <c r="E2014"/>
      <c r="F2014"/>
      <c r="N2014" s="44"/>
    </row>
    <row r="2015" spans="1:14" x14ac:dyDescent="0.3">
      <c r="A2015" s="42"/>
      <c r="C2015" s="52"/>
      <c r="D2015"/>
      <c r="E2015"/>
      <c r="F2015"/>
      <c r="N2015" s="44"/>
    </row>
    <row r="2016" spans="1:14" x14ac:dyDescent="0.3">
      <c r="A2016" s="42"/>
      <c r="C2016" s="52"/>
      <c r="D2016"/>
      <c r="E2016"/>
      <c r="F2016"/>
      <c r="M2016" s="45"/>
      <c r="N2016" s="44"/>
    </row>
    <row r="2017" spans="1:14" x14ac:dyDescent="0.3">
      <c r="A2017" s="42"/>
      <c r="C2017" s="52"/>
      <c r="D2017"/>
      <c r="E2017"/>
      <c r="F2017"/>
      <c r="N2017" s="44"/>
    </row>
    <row r="2018" spans="1:14" x14ac:dyDescent="0.3">
      <c r="A2018" s="42"/>
      <c r="C2018" s="52"/>
      <c r="D2018"/>
      <c r="E2018"/>
      <c r="F2018"/>
      <c r="N2018" s="44"/>
    </row>
    <row r="2019" spans="1:14" x14ac:dyDescent="0.3">
      <c r="A2019" s="42"/>
      <c r="C2019" s="52"/>
      <c r="D2019"/>
      <c r="E2019"/>
      <c r="F2019"/>
      <c r="N2019" s="44"/>
    </row>
    <row r="2020" spans="1:14" x14ac:dyDescent="0.3">
      <c r="A2020" s="42"/>
      <c r="C2020" s="52"/>
      <c r="D2020"/>
      <c r="E2020"/>
      <c r="F2020"/>
      <c r="N2020" s="44"/>
    </row>
    <row r="2021" spans="1:14" x14ac:dyDescent="0.3">
      <c r="A2021" s="42"/>
      <c r="C2021" s="52"/>
      <c r="D2021"/>
      <c r="E2021"/>
      <c r="F2021"/>
      <c r="N2021" s="44"/>
    </row>
    <row r="2022" spans="1:14" x14ac:dyDescent="0.3">
      <c r="A2022" s="42"/>
      <c r="C2022" s="52"/>
      <c r="D2022"/>
      <c r="E2022"/>
      <c r="F2022"/>
      <c r="N2022" s="44"/>
    </row>
    <row r="2023" spans="1:14" x14ac:dyDescent="0.3">
      <c r="A2023" s="42"/>
      <c r="C2023" s="52"/>
      <c r="D2023"/>
      <c r="E2023"/>
      <c r="F2023"/>
      <c r="N2023" s="44"/>
    </row>
    <row r="2024" spans="1:14" x14ac:dyDescent="0.3">
      <c r="A2024" s="42"/>
      <c r="C2024" s="52"/>
      <c r="D2024"/>
      <c r="E2024"/>
      <c r="F2024"/>
      <c r="N2024" s="44"/>
    </row>
    <row r="2025" spans="1:14" x14ac:dyDescent="0.3">
      <c r="A2025" s="42"/>
      <c r="C2025" s="52"/>
      <c r="D2025"/>
      <c r="E2025"/>
      <c r="F2025"/>
      <c r="N2025" s="44"/>
    </row>
    <row r="2026" spans="1:14" x14ac:dyDescent="0.3">
      <c r="A2026" s="42"/>
      <c r="C2026" s="52"/>
      <c r="D2026"/>
      <c r="E2026"/>
      <c r="F2026"/>
      <c r="N2026" s="44"/>
    </row>
    <row r="2027" spans="1:14" x14ac:dyDescent="0.3">
      <c r="A2027" s="42"/>
      <c r="C2027" s="52"/>
      <c r="D2027"/>
      <c r="E2027"/>
      <c r="F2027"/>
      <c r="N2027" s="44"/>
    </row>
    <row r="2028" spans="1:14" x14ac:dyDescent="0.3">
      <c r="A2028" s="42"/>
      <c r="C2028" s="52"/>
      <c r="D2028"/>
      <c r="E2028"/>
      <c r="F2028"/>
      <c r="N2028" s="44"/>
    </row>
    <row r="2029" spans="1:14" x14ac:dyDescent="0.3">
      <c r="A2029" s="42"/>
      <c r="C2029" s="52"/>
      <c r="D2029"/>
      <c r="E2029"/>
      <c r="F2029"/>
      <c r="N2029" s="44"/>
    </row>
    <row r="2030" spans="1:14" x14ac:dyDescent="0.3">
      <c r="A2030" s="42"/>
      <c r="C2030" s="52"/>
      <c r="D2030"/>
      <c r="E2030"/>
      <c r="F2030"/>
      <c r="N2030" s="44"/>
    </row>
    <row r="2031" spans="1:14" x14ac:dyDescent="0.3">
      <c r="A2031" s="42"/>
      <c r="C2031" s="52"/>
      <c r="D2031"/>
      <c r="E2031"/>
      <c r="F2031"/>
      <c r="N2031" s="44"/>
    </row>
    <row r="2032" spans="1:14" x14ac:dyDescent="0.3">
      <c r="A2032" s="42"/>
      <c r="C2032" s="52"/>
      <c r="D2032"/>
      <c r="E2032"/>
      <c r="F2032"/>
      <c r="N2032" s="44"/>
    </row>
    <row r="2033" spans="1:14" x14ac:dyDescent="0.3">
      <c r="A2033" s="42"/>
      <c r="C2033" s="52"/>
      <c r="D2033"/>
      <c r="E2033"/>
      <c r="F2033"/>
      <c r="N2033" s="44"/>
    </row>
    <row r="2034" spans="1:14" x14ac:dyDescent="0.3">
      <c r="A2034" s="42"/>
      <c r="C2034" s="52"/>
      <c r="D2034"/>
      <c r="E2034"/>
      <c r="F2034"/>
      <c r="N2034" s="44"/>
    </row>
    <row r="2035" spans="1:14" x14ac:dyDescent="0.3">
      <c r="A2035" s="42"/>
      <c r="C2035" s="52"/>
      <c r="D2035"/>
      <c r="E2035"/>
      <c r="F2035"/>
      <c r="N2035" s="44"/>
    </row>
    <row r="2036" spans="1:14" x14ac:dyDescent="0.3">
      <c r="A2036" s="42"/>
      <c r="C2036" s="52"/>
      <c r="D2036"/>
      <c r="E2036"/>
      <c r="F2036"/>
      <c r="N2036" s="44"/>
    </row>
    <row r="2037" spans="1:14" x14ac:dyDescent="0.3">
      <c r="A2037" s="42"/>
      <c r="C2037" s="52"/>
      <c r="D2037"/>
      <c r="E2037"/>
      <c r="F2037"/>
      <c r="N2037" s="44"/>
    </row>
    <row r="2038" spans="1:14" x14ac:dyDescent="0.3">
      <c r="A2038" s="42"/>
      <c r="C2038" s="52"/>
      <c r="D2038"/>
      <c r="E2038"/>
      <c r="F2038"/>
      <c r="N2038" s="44"/>
    </row>
    <row r="2039" spans="1:14" x14ac:dyDescent="0.3">
      <c r="A2039" s="42"/>
      <c r="C2039" s="52"/>
      <c r="D2039"/>
      <c r="E2039"/>
      <c r="F2039"/>
      <c r="N2039" s="44"/>
    </row>
    <row r="2040" spans="1:14" x14ac:dyDescent="0.3">
      <c r="A2040" s="42"/>
      <c r="C2040" s="52"/>
      <c r="D2040"/>
      <c r="E2040"/>
      <c r="F2040"/>
      <c r="N2040" s="44"/>
    </row>
    <row r="2041" spans="1:14" x14ac:dyDescent="0.3">
      <c r="A2041" s="42"/>
      <c r="C2041" s="52"/>
      <c r="D2041"/>
      <c r="E2041"/>
      <c r="F2041"/>
      <c r="N2041" s="44"/>
    </row>
    <row r="2042" spans="1:14" x14ac:dyDescent="0.3">
      <c r="A2042" s="42"/>
      <c r="C2042" s="52"/>
      <c r="D2042"/>
      <c r="E2042"/>
      <c r="F2042"/>
      <c r="N2042" s="44"/>
    </row>
    <row r="2043" spans="1:14" x14ac:dyDescent="0.3">
      <c r="A2043" s="42"/>
      <c r="C2043" s="52"/>
      <c r="D2043"/>
      <c r="E2043"/>
      <c r="F2043"/>
      <c r="N2043" s="44"/>
    </row>
    <row r="2044" spans="1:14" x14ac:dyDescent="0.3">
      <c r="A2044" s="42"/>
      <c r="C2044" s="52"/>
      <c r="D2044"/>
      <c r="E2044"/>
      <c r="F2044"/>
      <c r="N2044" s="44"/>
    </row>
    <row r="2045" spans="1:14" x14ac:dyDescent="0.3">
      <c r="A2045" s="42"/>
      <c r="C2045" s="52"/>
      <c r="D2045"/>
      <c r="E2045"/>
      <c r="F2045"/>
      <c r="N2045" s="44"/>
    </row>
    <row r="2046" spans="1:14" x14ac:dyDescent="0.3">
      <c r="A2046" s="42"/>
      <c r="C2046" s="52"/>
      <c r="D2046"/>
      <c r="E2046"/>
      <c r="F2046"/>
      <c r="L2046" s="45"/>
      <c r="N2046" s="44"/>
    </row>
    <row r="2047" spans="1:14" x14ac:dyDescent="0.3">
      <c r="A2047" s="42"/>
      <c r="C2047" s="52"/>
      <c r="D2047"/>
      <c r="E2047"/>
      <c r="F2047"/>
      <c r="N2047" s="44"/>
    </row>
    <row r="2048" spans="1:14" x14ac:dyDescent="0.3">
      <c r="A2048" s="42"/>
      <c r="C2048" s="52"/>
      <c r="D2048"/>
      <c r="E2048"/>
      <c r="F2048"/>
      <c r="N2048" s="44"/>
    </row>
    <row r="2049" spans="1:14" x14ac:dyDescent="0.3">
      <c r="A2049" s="42"/>
      <c r="C2049" s="52"/>
      <c r="D2049"/>
      <c r="E2049"/>
      <c r="F2049"/>
      <c r="N2049" s="44"/>
    </row>
    <row r="2050" spans="1:14" x14ac:dyDescent="0.3">
      <c r="A2050" s="42"/>
      <c r="C2050" s="52"/>
      <c r="D2050"/>
      <c r="E2050"/>
      <c r="F2050"/>
      <c r="L2050" s="45"/>
      <c r="N2050" s="44"/>
    </row>
    <row r="2051" spans="1:14" x14ac:dyDescent="0.3">
      <c r="A2051" s="42"/>
      <c r="C2051" s="52"/>
      <c r="D2051"/>
      <c r="E2051"/>
      <c r="F2051"/>
      <c r="N2051" s="44"/>
    </row>
    <row r="2052" spans="1:14" x14ac:dyDescent="0.3">
      <c r="A2052" s="42"/>
      <c r="C2052" s="52"/>
      <c r="D2052"/>
      <c r="E2052"/>
      <c r="F2052"/>
      <c r="N2052" s="44"/>
    </row>
    <row r="2053" spans="1:14" x14ac:dyDescent="0.3">
      <c r="A2053" s="42"/>
      <c r="C2053" s="52"/>
      <c r="D2053"/>
      <c r="E2053"/>
      <c r="F2053"/>
      <c r="N2053" s="44"/>
    </row>
    <row r="2054" spans="1:14" x14ac:dyDescent="0.3">
      <c r="A2054" s="42"/>
      <c r="C2054" s="52"/>
      <c r="D2054"/>
      <c r="E2054"/>
      <c r="F2054"/>
      <c r="N2054" s="44"/>
    </row>
    <row r="2055" spans="1:14" x14ac:dyDescent="0.3">
      <c r="A2055" s="42"/>
      <c r="C2055" s="52"/>
      <c r="D2055"/>
      <c r="E2055"/>
      <c r="F2055"/>
      <c r="N2055" s="44"/>
    </row>
    <row r="2056" spans="1:14" x14ac:dyDescent="0.3">
      <c r="A2056" s="42"/>
      <c r="C2056" s="52"/>
      <c r="D2056"/>
      <c r="E2056"/>
      <c r="F2056"/>
      <c r="N2056" s="44"/>
    </row>
    <row r="2057" spans="1:14" x14ac:dyDescent="0.3">
      <c r="A2057" s="42"/>
      <c r="C2057" s="52"/>
      <c r="D2057"/>
      <c r="E2057"/>
      <c r="F2057"/>
      <c r="L2057" s="45"/>
      <c r="N2057" s="44"/>
    </row>
    <row r="2058" spans="1:14" x14ac:dyDescent="0.3">
      <c r="A2058" s="42"/>
      <c r="C2058" s="52"/>
      <c r="D2058"/>
      <c r="E2058"/>
      <c r="F2058"/>
      <c r="N2058" s="44"/>
    </row>
    <row r="2059" spans="1:14" x14ac:dyDescent="0.3">
      <c r="A2059" s="42"/>
      <c r="C2059" s="52"/>
      <c r="D2059"/>
      <c r="E2059"/>
      <c r="F2059"/>
      <c r="L2059" s="45"/>
      <c r="N2059" s="44"/>
    </row>
    <row r="2060" spans="1:14" x14ac:dyDescent="0.3">
      <c r="A2060" s="42"/>
      <c r="C2060" s="52"/>
      <c r="D2060"/>
      <c r="E2060"/>
      <c r="F2060"/>
      <c r="N2060" s="44"/>
    </row>
    <row r="2061" spans="1:14" x14ac:dyDescent="0.3">
      <c r="A2061" s="42"/>
      <c r="C2061" s="52"/>
      <c r="D2061"/>
      <c r="E2061"/>
      <c r="F2061"/>
      <c r="N2061" s="44"/>
    </row>
    <row r="2062" spans="1:14" x14ac:dyDescent="0.3">
      <c r="A2062" s="42"/>
      <c r="C2062" s="52"/>
      <c r="D2062"/>
      <c r="E2062"/>
      <c r="F2062"/>
      <c r="N2062" s="44"/>
    </row>
    <row r="2063" spans="1:14" x14ac:dyDescent="0.3">
      <c r="A2063" s="42"/>
      <c r="C2063" s="52"/>
      <c r="D2063"/>
      <c r="E2063"/>
      <c r="F2063"/>
      <c r="N2063" s="44"/>
    </row>
    <row r="2064" spans="1:14" x14ac:dyDescent="0.3">
      <c r="A2064" s="42"/>
      <c r="C2064" s="52"/>
      <c r="D2064"/>
      <c r="E2064"/>
      <c r="F2064"/>
      <c r="N2064" s="44"/>
    </row>
    <row r="2065" spans="1:14" x14ac:dyDescent="0.3">
      <c r="A2065" s="42"/>
      <c r="C2065" s="52"/>
      <c r="D2065"/>
      <c r="E2065"/>
      <c r="F2065"/>
      <c r="N2065" s="44"/>
    </row>
    <row r="2066" spans="1:14" x14ac:dyDescent="0.3">
      <c r="A2066" s="42"/>
      <c r="C2066" s="52"/>
      <c r="D2066"/>
      <c r="E2066"/>
      <c r="F2066"/>
      <c r="N2066" s="44"/>
    </row>
    <row r="2067" spans="1:14" x14ac:dyDescent="0.3">
      <c r="A2067" s="42"/>
      <c r="C2067" s="52"/>
      <c r="D2067"/>
      <c r="E2067"/>
      <c r="F2067"/>
      <c r="L2067" s="45"/>
      <c r="N2067" s="44"/>
    </row>
    <row r="2068" spans="1:14" x14ac:dyDescent="0.3">
      <c r="A2068" s="42"/>
      <c r="C2068" s="52"/>
      <c r="D2068"/>
      <c r="E2068"/>
      <c r="F2068"/>
      <c r="N2068" s="44"/>
    </row>
    <row r="2069" spans="1:14" x14ac:dyDescent="0.3">
      <c r="A2069" s="42"/>
      <c r="C2069" s="52"/>
      <c r="D2069"/>
      <c r="E2069"/>
      <c r="F2069"/>
      <c r="N2069" s="44"/>
    </row>
    <row r="2070" spans="1:14" x14ac:dyDescent="0.3">
      <c r="A2070" s="42"/>
      <c r="C2070" s="52"/>
      <c r="D2070"/>
      <c r="E2070"/>
      <c r="F2070"/>
      <c r="N2070" s="44"/>
    </row>
    <row r="2071" spans="1:14" x14ac:dyDescent="0.3">
      <c r="A2071" s="42"/>
      <c r="C2071" s="52"/>
      <c r="D2071"/>
      <c r="E2071"/>
      <c r="F2071"/>
      <c r="N2071" s="44"/>
    </row>
    <row r="2072" spans="1:14" x14ac:dyDescent="0.3">
      <c r="A2072" s="42"/>
      <c r="C2072" s="52"/>
      <c r="D2072"/>
      <c r="E2072"/>
      <c r="F2072"/>
      <c r="N2072" s="44"/>
    </row>
    <row r="2073" spans="1:14" x14ac:dyDescent="0.3">
      <c r="A2073" s="42"/>
      <c r="C2073" s="52"/>
      <c r="D2073"/>
      <c r="E2073"/>
      <c r="F2073"/>
      <c r="L2073" s="45"/>
      <c r="N2073" s="44"/>
    </row>
    <row r="2074" spans="1:14" x14ac:dyDescent="0.3">
      <c r="A2074" s="42"/>
      <c r="C2074" s="52"/>
      <c r="D2074"/>
      <c r="E2074"/>
      <c r="F2074"/>
      <c r="N2074" s="44"/>
    </row>
    <row r="2075" spans="1:14" x14ac:dyDescent="0.3">
      <c r="A2075" s="42"/>
      <c r="C2075" s="52"/>
      <c r="D2075"/>
      <c r="E2075"/>
      <c r="F2075"/>
      <c r="L2075" s="45"/>
      <c r="N2075" s="44"/>
    </row>
    <row r="2076" spans="1:14" x14ac:dyDescent="0.3">
      <c r="A2076" s="42"/>
      <c r="C2076" s="52"/>
      <c r="D2076"/>
      <c r="E2076"/>
      <c r="F2076"/>
      <c r="L2076" s="45"/>
      <c r="N2076" s="44"/>
    </row>
    <row r="2077" spans="1:14" x14ac:dyDescent="0.3">
      <c r="A2077" s="42"/>
      <c r="C2077" s="52"/>
      <c r="D2077"/>
      <c r="E2077"/>
      <c r="F2077"/>
      <c r="L2077" s="45"/>
      <c r="N2077" s="44"/>
    </row>
    <row r="2078" spans="1:14" x14ac:dyDescent="0.3">
      <c r="A2078" s="42"/>
      <c r="C2078" s="52"/>
      <c r="D2078"/>
      <c r="E2078"/>
      <c r="F2078"/>
      <c r="L2078" s="45"/>
      <c r="N2078" s="44"/>
    </row>
    <row r="2079" spans="1:14" x14ac:dyDescent="0.3">
      <c r="A2079" s="42"/>
      <c r="C2079" s="52"/>
      <c r="D2079"/>
      <c r="E2079"/>
      <c r="F2079"/>
      <c r="N2079" s="44"/>
    </row>
    <row r="2080" spans="1:14" x14ac:dyDescent="0.3">
      <c r="A2080" s="42"/>
      <c r="C2080" s="52"/>
      <c r="D2080"/>
      <c r="E2080"/>
      <c r="F2080"/>
      <c r="L2080" s="45"/>
      <c r="N2080" s="44"/>
    </row>
    <row r="2081" spans="1:14" x14ac:dyDescent="0.3">
      <c r="A2081" s="42"/>
      <c r="C2081" s="52"/>
      <c r="D2081"/>
      <c r="E2081"/>
      <c r="F2081"/>
      <c r="L2081" s="45"/>
      <c r="N2081" s="44"/>
    </row>
    <row r="2082" spans="1:14" x14ac:dyDescent="0.3">
      <c r="A2082" s="42"/>
      <c r="C2082" s="52"/>
      <c r="D2082"/>
      <c r="E2082"/>
      <c r="F2082"/>
      <c r="L2082" s="45"/>
      <c r="N2082" s="44"/>
    </row>
    <row r="2083" spans="1:14" x14ac:dyDescent="0.3">
      <c r="A2083" s="42"/>
      <c r="C2083" s="52"/>
      <c r="D2083"/>
      <c r="E2083"/>
      <c r="F2083"/>
      <c r="L2083" s="45"/>
      <c r="N2083" s="44"/>
    </row>
    <row r="2084" spans="1:14" x14ac:dyDescent="0.3">
      <c r="A2084" s="42"/>
      <c r="C2084" s="52"/>
      <c r="D2084"/>
      <c r="E2084"/>
      <c r="F2084"/>
      <c r="L2084" s="45"/>
      <c r="N2084" s="44"/>
    </row>
    <row r="2085" spans="1:14" x14ac:dyDescent="0.3">
      <c r="A2085" s="42"/>
      <c r="C2085" s="52"/>
      <c r="D2085"/>
      <c r="E2085"/>
      <c r="F2085"/>
      <c r="L2085" s="45"/>
      <c r="N2085" s="44"/>
    </row>
    <row r="2086" spans="1:14" x14ac:dyDescent="0.3">
      <c r="A2086" s="42"/>
      <c r="C2086" s="52"/>
      <c r="D2086"/>
      <c r="E2086"/>
      <c r="F2086"/>
      <c r="L2086" s="45"/>
      <c r="N2086" s="44"/>
    </row>
    <row r="2087" spans="1:14" x14ac:dyDescent="0.3">
      <c r="A2087" s="42"/>
      <c r="C2087" s="52"/>
      <c r="D2087"/>
      <c r="E2087"/>
      <c r="F2087"/>
      <c r="L2087" s="45"/>
      <c r="N2087" s="44"/>
    </row>
    <row r="2088" spans="1:14" x14ac:dyDescent="0.3">
      <c r="A2088" s="42"/>
      <c r="C2088" s="52"/>
      <c r="D2088"/>
      <c r="E2088"/>
      <c r="F2088"/>
      <c r="N2088" s="44"/>
    </row>
    <row r="2089" spans="1:14" x14ac:dyDescent="0.3">
      <c r="A2089" s="42"/>
      <c r="C2089" s="52"/>
      <c r="D2089"/>
      <c r="E2089"/>
      <c r="F2089"/>
      <c r="L2089" s="45"/>
      <c r="N2089" s="44"/>
    </row>
    <row r="2090" spans="1:14" x14ac:dyDescent="0.3">
      <c r="A2090" s="42"/>
      <c r="C2090" s="52"/>
      <c r="D2090"/>
      <c r="E2090"/>
      <c r="F2090"/>
      <c r="L2090" s="45"/>
      <c r="N2090" s="44"/>
    </row>
    <row r="2091" spans="1:14" x14ac:dyDescent="0.3">
      <c r="A2091" s="42"/>
      <c r="C2091" s="52"/>
      <c r="D2091"/>
      <c r="E2091"/>
      <c r="F2091"/>
      <c r="L2091" s="45"/>
      <c r="N2091" s="44"/>
    </row>
    <row r="2092" spans="1:14" x14ac:dyDescent="0.3">
      <c r="A2092" s="42"/>
      <c r="C2092" s="52"/>
      <c r="D2092"/>
      <c r="E2092"/>
      <c r="F2092"/>
      <c r="L2092" s="45"/>
      <c r="N2092" s="44"/>
    </row>
    <row r="2093" spans="1:14" x14ac:dyDescent="0.3">
      <c r="A2093" s="42"/>
      <c r="C2093" s="52"/>
      <c r="D2093"/>
      <c r="E2093"/>
      <c r="F2093"/>
      <c r="N2093" s="44"/>
    </row>
    <row r="2094" spans="1:14" x14ac:dyDescent="0.3">
      <c r="A2094" s="42"/>
      <c r="C2094" s="52"/>
      <c r="D2094"/>
      <c r="E2094"/>
      <c r="F2094"/>
      <c r="N2094" s="44"/>
    </row>
    <row r="2095" spans="1:14" x14ac:dyDescent="0.3">
      <c r="A2095" s="42"/>
      <c r="C2095" s="52"/>
      <c r="D2095"/>
      <c r="E2095"/>
      <c r="F2095"/>
      <c r="N2095" s="44"/>
    </row>
    <row r="2096" spans="1:14" x14ac:dyDescent="0.3">
      <c r="A2096" s="42"/>
      <c r="C2096" s="52"/>
      <c r="D2096"/>
      <c r="E2096"/>
      <c r="F2096"/>
      <c r="N2096" s="44"/>
    </row>
    <row r="2097" spans="1:14" x14ac:dyDescent="0.3">
      <c r="A2097" s="42"/>
      <c r="C2097" s="52"/>
      <c r="D2097"/>
      <c r="E2097"/>
      <c r="F2097"/>
      <c r="N2097" s="44"/>
    </row>
    <row r="2098" spans="1:14" x14ac:dyDescent="0.3">
      <c r="A2098" s="42"/>
      <c r="C2098" s="52"/>
      <c r="D2098"/>
      <c r="E2098"/>
      <c r="F2098"/>
      <c r="N2098" s="44"/>
    </row>
    <row r="2099" spans="1:14" x14ac:dyDescent="0.3">
      <c r="A2099" s="42"/>
      <c r="C2099" s="52"/>
      <c r="D2099"/>
      <c r="E2099"/>
      <c r="F2099"/>
      <c r="N2099" s="44"/>
    </row>
    <row r="2100" spans="1:14" x14ac:dyDescent="0.3">
      <c r="A2100" s="42"/>
      <c r="C2100" s="52"/>
      <c r="D2100"/>
      <c r="E2100"/>
      <c r="F2100"/>
      <c r="N2100" s="44"/>
    </row>
    <row r="2101" spans="1:14" x14ac:dyDescent="0.3">
      <c r="A2101" s="42"/>
      <c r="C2101" s="52"/>
      <c r="D2101"/>
      <c r="E2101"/>
      <c r="F2101"/>
      <c r="N2101" s="44"/>
    </row>
    <row r="2102" spans="1:14" x14ac:dyDescent="0.3">
      <c r="A2102" s="42"/>
      <c r="C2102" s="52"/>
      <c r="D2102"/>
      <c r="E2102"/>
      <c r="F2102"/>
      <c r="N2102" s="44"/>
    </row>
    <row r="2103" spans="1:14" x14ac:dyDescent="0.3">
      <c r="A2103" s="42"/>
      <c r="C2103" s="52"/>
      <c r="D2103"/>
      <c r="E2103"/>
      <c r="F2103"/>
      <c r="N2103" s="44"/>
    </row>
    <row r="2104" spans="1:14" x14ac:dyDescent="0.3">
      <c r="A2104" s="42"/>
      <c r="C2104" s="52"/>
      <c r="D2104"/>
      <c r="E2104"/>
      <c r="F2104"/>
      <c r="N2104" s="44"/>
    </row>
    <row r="2105" spans="1:14" x14ac:dyDescent="0.3">
      <c r="A2105" s="42"/>
      <c r="C2105" s="52"/>
      <c r="D2105"/>
      <c r="E2105"/>
      <c r="F2105"/>
      <c r="N2105" s="44"/>
    </row>
    <row r="2106" spans="1:14" x14ac:dyDescent="0.3">
      <c r="A2106" s="42"/>
      <c r="C2106" s="52"/>
      <c r="D2106"/>
      <c r="E2106"/>
      <c r="F2106"/>
      <c r="N2106" s="44"/>
    </row>
    <row r="2107" spans="1:14" x14ac:dyDescent="0.3">
      <c r="A2107" s="42"/>
      <c r="C2107" s="52"/>
      <c r="D2107"/>
      <c r="E2107"/>
      <c r="F2107"/>
      <c r="N2107" s="44"/>
    </row>
    <row r="2108" spans="1:14" x14ac:dyDescent="0.3">
      <c r="A2108" s="42"/>
      <c r="C2108" s="52"/>
      <c r="D2108"/>
      <c r="E2108"/>
      <c r="F2108"/>
      <c r="N2108" s="44"/>
    </row>
    <row r="2109" spans="1:14" x14ac:dyDescent="0.3">
      <c r="A2109" s="42"/>
      <c r="C2109" s="52"/>
      <c r="D2109"/>
      <c r="E2109"/>
      <c r="F2109"/>
      <c r="N2109" s="44"/>
    </row>
    <row r="2110" spans="1:14" x14ac:dyDescent="0.3">
      <c r="A2110" s="42"/>
      <c r="C2110" s="52"/>
      <c r="D2110"/>
      <c r="E2110"/>
      <c r="F2110"/>
      <c r="N2110" s="44"/>
    </row>
    <row r="2111" spans="1:14" x14ac:dyDescent="0.3">
      <c r="A2111" s="42"/>
      <c r="C2111" s="52"/>
      <c r="D2111"/>
      <c r="E2111"/>
      <c r="F2111"/>
      <c r="N2111" s="44"/>
    </row>
    <row r="2112" spans="1:14" x14ac:dyDescent="0.3">
      <c r="A2112" s="42"/>
      <c r="C2112" s="52"/>
      <c r="D2112"/>
      <c r="E2112"/>
      <c r="F2112"/>
      <c r="N2112" s="44"/>
    </row>
    <row r="2113" spans="1:14" x14ac:dyDescent="0.3">
      <c r="A2113" s="42"/>
      <c r="C2113" s="52"/>
      <c r="D2113"/>
      <c r="E2113"/>
      <c r="F2113"/>
      <c r="L2113" s="45"/>
      <c r="N2113" s="44"/>
    </row>
    <row r="2114" spans="1:14" x14ac:dyDescent="0.3">
      <c r="A2114" s="42"/>
      <c r="C2114" s="52"/>
      <c r="D2114"/>
      <c r="E2114"/>
      <c r="F2114"/>
      <c r="L2114" s="45"/>
      <c r="N2114" s="44"/>
    </row>
    <row r="2115" spans="1:14" x14ac:dyDescent="0.3">
      <c r="A2115" s="42"/>
      <c r="C2115" s="52"/>
      <c r="D2115"/>
      <c r="E2115"/>
      <c r="F2115"/>
      <c r="L2115" s="45"/>
      <c r="N2115" s="44"/>
    </row>
    <row r="2116" spans="1:14" x14ac:dyDescent="0.3">
      <c r="A2116" s="42"/>
      <c r="C2116" s="52"/>
      <c r="D2116"/>
      <c r="E2116"/>
      <c r="F2116"/>
      <c r="N2116" s="44"/>
    </row>
    <row r="2117" spans="1:14" x14ac:dyDescent="0.3">
      <c r="A2117" s="42"/>
      <c r="C2117" s="52"/>
      <c r="D2117"/>
      <c r="E2117"/>
      <c r="F2117"/>
      <c r="L2117" s="45"/>
      <c r="N2117" s="44"/>
    </row>
    <row r="2118" spans="1:14" x14ac:dyDescent="0.3">
      <c r="A2118" s="42"/>
      <c r="C2118" s="52"/>
      <c r="D2118"/>
      <c r="E2118"/>
      <c r="F2118"/>
      <c r="N2118" s="44"/>
    </row>
    <row r="2119" spans="1:14" x14ac:dyDescent="0.3">
      <c r="A2119" s="42"/>
      <c r="C2119" s="52"/>
      <c r="D2119"/>
      <c r="E2119"/>
      <c r="F2119"/>
      <c r="N2119" s="44"/>
    </row>
    <row r="2120" spans="1:14" x14ac:dyDescent="0.3">
      <c r="A2120" s="42"/>
      <c r="C2120" s="52"/>
      <c r="D2120"/>
      <c r="E2120"/>
      <c r="F2120"/>
      <c r="N2120" s="44"/>
    </row>
    <row r="2121" spans="1:14" x14ac:dyDescent="0.3">
      <c r="A2121" s="42"/>
      <c r="C2121" s="52"/>
      <c r="D2121"/>
      <c r="E2121"/>
      <c r="F2121"/>
      <c r="M2121" s="45"/>
      <c r="N2121" s="44"/>
    </row>
    <row r="2122" spans="1:14" x14ac:dyDescent="0.3">
      <c r="A2122" s="42"/>
      <c r="C2122" s="52"/>
      <c r="D2122"/>
      <c r="E2122"/>
      <c r="F2122"/>
      <c r="L2122" s="45"/>
      <c r="N2122" s="44"/>
    </row>
    <row r="2123" spans="1:14" x14ac:dyDescent="0.3">
      <c r="A2123" s="42"/>
      <c r="C2123" s="52"/>
      <c r="D2123"/>
      <c r="E2123"/>
      <c r="F2123"/>
      <c r="N2123" s="44"/>
    </row>
    <row r="2124" spans="1:14" x14ac:dyDescent="0.3">
      <c r="A2124" s="42"/>
      <c r="C2124" s="52"/>
      <c r="D2124"/>
      <c r="E2124"/>
      <c r="F2124"/>
      <c r="N2124" s="44"/>
    </row>
    <row r="2125" spans="1:14" x14ac:dyDescent="0.3">
      <c r="A2125" s="42"/>
      <c r="C2125" s="52"/>
      <c r="D2125"/>
      <c r="E2125"/>
      <c r="F2125"/>
      <c r="N2125" s="44"/>
    </row>
    <row r="2126" spans="1:14" x14ac:dyDescent="0.3">
      <c r="A2126" s="42"/>
      <c r="C2126" s="52"/>
      <c r="D2126"/>
      <c r="E2126"/>
      <c r="F2126"/>
      <c r="L2126" s="45"/>
      <c r="N2126" s="44"/>
    </row>
    <row r="2127" spans="1:14" x14ac:dyDescent="0.3">
      <c r="A2127" s="42"/>
      <c r="C2127" s="52"/>
      <c r="D2127"/>
      <c r="E2127"/>
      <c r="F2127"/>
      <c r="N2127" s="44"/>
    </row>
    <row r="2128" spans="1:14" x14ac:dyDescent="0.3">
      <c r="A2128" s="42"/>
      <c r="C2128" s="52"/>
      <c r="D2128"/>
      <c r="E2128"/>
      <c r="F2128"/>
      <c r="M2128" s="45"/>
      <c r="N2128" s="44"/>
    </row>
    <row r="2129" spans="1:14" x14ac:dyDescent="0.3">
      <c r="A2129" s="42"/>
      <c r="C2129" s="52"/>
      <c r="D2129"/>
      <c r="E2129"/>
      <c r="F2129"/>
      <c r="N2129" s="44"/>
    </row>
    <row r="2130" spans="1:14" x14ac:dyDescent="0.3">
      <c r="A2130" s="42"/>
      <c r="C2130" s="52"/>
      <c r="D2130"/>
      <c r="E2130"/>
      <c r="F2130"/>
      <c r="N2130" s="44"/>
    </row>
    <row r="2131" spans="1:14" x14ac:dyDescent="0.3">
      <c r="A2131" s="42"/>
      <c r="C2131" s="52"/>
      <c r="D2131"/>
      <c r="E2131"/>
      <c r="F2131"/>
      <c r="N2131" s="44"/>
    </row>
    <row r="2132" spans="1:14" x14ac:dyDescent="0.3">
      <c r="A2132" s="42"/>
      <c r="C2132" s="52"/>
      <c r="D2132"/>
      <c r="E2132"/>
      <c r="F2132"/>
      <c r="L2132" s="45"/>
      <c r="N2132" s="44"/>
    </row>
    <row r="2133" spans="1:14" x14ac:dyDescent="0.3">
      <c r="A2133" s="42"/>
      <c r="C2133" s="52"/>
      <c r="D2133"/>
      <c r="E2133"/>
      <c r="F2133"/>
      <c r="N2133" s="44"/>
    </row>
    <row r="2134" spans="1:14" x14ac:dyDescent="0.3">
      <c r="A2134" s="42"/>
      <c r="C2134" s="52"/>
      <c r="D2134"/>
      <c r="E2134"/>
      <c r="F2134"/>
      <c r="N2134" s="44"/>
    </row>
    <row r="2135" spans="1:14" x14ac:dyDescent="0.3">
      <c r="A2135" s="42"/>
      <c r="C2135" s="52"/>
      <c r="D2135"/>
      <c r="E2135"/>
      <c r="F2135"/>
      <c r="N2135" s="44"/>
    </row>
    <row r="2136" spans="1:14" x14ac:dyDescent="0.3">
      <c r="A2136" s="42"/>
      <c r="C2136" s="52"/>
      <c r="D2136"/>
      <c r="E2136"/>
      <c r="F2136"/>
      <c r="M2136" s="45"/>
      <c r="N2136" s="44"/>
    </row>
    <row r="2137" spans="1:14" x14ac:dyDescent="0.3">
      <c r="A2137" s="42"/>
      <c r="C2137" s="52"/>
      <c r="D2137"/>
      <c r="E2137"/>
      <c r="F2137"/>
      <c r="N2137" s="44"/>
    </row>
    <row r="2138" spans="1:14" x14ac:dyDescent="0.3">
      <c r="A2138" s="42"/>
      <c r="C2138" s="52"/>
      <c r="D2138"/>
      <c r="E2138"/>
      <c r="F2138"/>
      <c r="L2138" s="45"/>
      <c r="N2138" s="44"/>
    </row>
    <row r="2139" spans="1:14" x14ac:dyDescent="0.3">
      <c r="A2139" s="42"/>
      <c r="C2139" s="52"/>
      <c r="D2139"/>
      <c r="E2139"/>
      <c r="F2139"/>
      <c r="N2139" s="44"/>
    </row>
    <row r="2140" spans="1:14" x14ac:dyDescent="0.3">
      <c r="A2140" s="42"/>
      <c r="C2140" s="52"/>
      <c r="D2140"/>
      <c r="E2140"/>
      <c r="F2140"/>
      <c r="N2140" s="44"/>
    </row>
    <row r="2141" spans="1:14" x14ac:dyDescent="0.3">
      <c r="A2141" s="42"/>
      <c r="C2141" s="52"/>
      <c r="D2141"/>
      <c r="E2141"/>
      <c r="F2141"/>
      <c r="L2141" s="45"/>
      <c r="N2141" s="44"/>
    </row>
    <row r="2142" spans="1:14" x14ac:dyDescent="0.3">
      <c r="A2142" s="42"/>
      <c r="C2142" s="52"/>
      <c r="D2142"/>
      <c r="E2142"/>
      <c r="F2142"/>
      <c r="N2142" s="44"/>
    </row>
    <row r="2143" spans="1:14" x14ac:dyDescent="0.3">
      <c r="A2143" s="42"/>
      <c r="C2143" s="52"/>
      <c r="D2143"/>
      <c r="E2143"/>
      <c r="F2143"/>
      <c r="N2143" s="44"/>
    </row>
    <row r="2144" spans="1:14" x14ac:dyDescent="0.3">
      <c r="A2144" s="42"/>
      <c r="C2144" s="52"/>
      <c r="D2144"/>
      <c r="E2144"/>
      <c r="F2144"/>
      <c r="N2144" s="44"/>
    </row>
    <row r="2145" spans="1:14" x14ac:dyDescent="0.3">
      <c r="A2145" s="42"/>
      <c r="C2145" s="52"/>
      <c r="D2145"/>
      <c r="E2145"/>
      <c r="F2145"/>
      <c r="N2145" s="44"/>
    </row>
    <row r="2146" spans="1:14" x14ac:dyDescent="0.3">
      <c r="A2146" s="42"/>
      <c r="C2146" s="52"/>
      <c r="D2146"/>
      <c r="E2146"/>
      <c r="F2146"/>
      <c r="N2146" s="44"/>
    </row>
    <row r="2147" spans="1:14" x14ac:dyDescent="0.3">
      <c r="A2147" s="42"/>
      <c r="C2147" s="52"/>
      <c r="D2147"/>
      <c r="E2147"/>
      <c r="F2147"/>
      <c r="N2147" s="44"/>
    </row>
    <row r="2148" spans="1:14" x14ac:dyDescent="0.3">
      <c r="A2148" s="42"/>
      <c r="C2148" s="52"/>
      <c r="D2148"/>
      <c r="E2148"/>
      <c r="F2148"/>
      <c r="L2148" s="45"/>
      <c r="N2148" s="44"/>
    </row>
    <row r="2149" spans="1:14" x14ac:dyDescent="0.3">
      <c r="A2149" s="42"/>
      <c r="C2149" s="52"/>
      <c r="D2149"/>
      <c r="E2149"/>
      <c r="F2149"/>
      <c r="N2149" s="44"/>
    </row>
    <row r="2150" spans="1:14" x14ac:dyDescent="0.3">
      <c r="A2150" s="42"/>
      <c r="C2150" s="52"/>
      <c r="D2150"/>
      <c r="E2150"/>
      <c r="F2150"/>
      <c r="N2150" s="44"/>
    </row>
    <row r="2151" spans="1:14" x14ac:dyDescent="0.3">
      <c r="A2151" s="42"/>
      <c r="C2151" s="52"/>
      <c r="D2151"/>
      <c r="E2151"/>
      <c r="F2151"/>
      <c r="N2151" s="44"/>
    </row>
    <row r="2152" spans="1:14" x14ac:dyDescent="0.3">
      <c r="A2152" s="42"/>
      <c r="C2152" s="52"/>
      <c r="D2152"/>
      <c r="E2152"/>
      <c r="F2152"/>
      <c r="N2152" s="44"/>
    </row>
    <row r="2153" spans="1:14" x14ac:dyDescent="0.3">
      <c r="A2153" s="42"/>
      <c r="C2153" s="52"/>
      <c r="D2153"/>
      <c r="E2153"/>
      <c r="F2153"/>
      <c r="N2153" s="44"/>
    </row>
    <row r="2154" spans="1:14" x14ac:dyDescent="0.3">
      <c r="A2154" s="42"/>
      <c r="C2154" s="52"/>
      <c r="D2154"/>
      <c r="E2154"/>
      <c r="F2154"/>
      <c r="N2154" s="44"/>
    </row>
    <row r="2155" spans="1:14" x14ac:dyDescent="0.3">
      <c r="A2155" s="42"/>
      <c r="C2155" s="52"/>
      <c r="D2155"/>
      <c r="E2155"/>
      <c r="F2155"/>
      <c r="N2155" s="44"/>
    </row>
    <row r="2156" spans="1:14" x14ac:dyDescent="0.3">
      <c r="A2156" s="42"/>
      <c r="C2156" s="52"/>
      <c r="D2156"/>
      <c r="E2156"/>
      <c r="F2156"/>
      <c r="N2156" s="44"/>
    </row>
    <row r="2157" spans="1:14" x14ac:dyDescent="0.3">
      <c r="A2157" s="42"/>
      <c r="C2157" s="52"/>
      <c r="D2157"/>
      <c r="E2157"/>
      <c r="F2157"/>
      <c r="N2157" s="44"/>
    </row>
    <row r="2158" spans="1:14" x14ac:dyDescent="0.3">
      <c r="A2158" s="42"/>
      <c r="C2158" s="52"/>
      <c r="D2158"/>
      <c r="E2158"/>
      <c r="F2158"/>
      <c r="N2158" s="44"/>
    </row>
    <row r="2159" spans="1:14" x14ac:dyDescent="0.3">
      <c r="A2159" s="42"/>
      <c r="C2159" s="52"/>
      <c r="D2159"/>
      <c r="E2159"/>
      <c r="F2159"/>
      <c r="N2159" s="44"/>
    </row>
    <row r="2160" spans="1:14" x14ac:dyDescent="0.3">
      <c r="A2160" s="42"/>
      <c r="C2160" s="52"/>
      <c r="D2160"/>
      <c r="E2160"/>
      <c r="F2160"/>
      <c r="M2160" s="45"/>
      <c r="N2160" s="44"/>
    </row>
    <row r="2161" spans="1:14" x14ac:dyDescent="0.3">
      <c r="A2161" s="42"/>
      <c r="C2161" s="52"/>
      <c r="D2161"/>
      <c r="E2161"/>
      <c r="F2161"/>
      <c r="N2161" s="44"/>
    </row>
    <row r="2162" spans="1:14" x14ac:dyDescent="0.3">
      <c r="A2162" s="42"/>
      <c r="C2162" s="52"/>
      <c r="D2162"/>
      <c r="E2162"/>
      <c r="F2162"/>
      <c r="N2162" s="44"/>
    </row>
    <row r="2163" spans="1:14" x14ac:dyDescent="0.3">
      <c r="A2163" s="42"/>
      <c r="C2163" s="52"/>
      <c r="D2163"/>
      <c r="E2163"/>
      <c r="F2163"/>
      <c r="M2163" s="45"/>
      <c r="N2163" s="44"/>
    </row>
    <row r="2164" spans="1:14" x14ac:dyDescent="0.3">
      <c r="A2164" s="42"/>
      <c r="C2164" s="52"/>
      <c r="D2164"/>
      <c r="E2164"/>
      <c r="F2164"/>
      <c r="N2164" s="44"/>
    </row>
    <row r="2165" spans="1:14" x14ac:dyDescent="0.3">
      <c r="A2165" s="42"/>
      <c r="C2165" s="52"/>
      <c r="D2165"/>
      <c r="E2165"/>
      <c r="F2165"/>
      <c r="N2165" s="44"/>
    </row>
    <row r="2166" spans="1:14" x14ac:dyDescent="0.3">
      <c r="A2166" s="42"/>
      <c r="C2166" s="52"/>
      <c r="D2166"/>
      <c r="E2166"/>
      <c r="F2166"/>
      <c r="L2166" s="45"/>
      <c r="N2166" s="44"/>
    </row>
    <row r="2167" spans="1:14" x14ac:dyDescent="0.3">
      <c r="A2167" s="42"/>
      <c r="C2167" s="52"/>
      <c r="D2167"/>
      <c r="E2167"/>
      <c r="F2167"/>
      <c r="L2167" s="45"/>
      <c r="N2167" s="44"/>
    </row>
    <row r="2168" spans="1:14" x14ac:dyDescent="0.3">
      <c r="A2168" s="42"/>
      <c r="C2168" s="52"/>
      <c r="D2168"/>
      <c r="E2168"/>
      <c r="F2168"/>
      <c r="N2168" s="44"/>
    </row>
    <row r="2169" spans="1:14" x14ac:dyDescent="0.3">
      <c r="A2169" s="42"/>
      <c r="C2169" s="52"/>
      <c r="D2169"/>
      <c r="E2169"/>
      <c r="F2169"/>
      <c r="L2169" s="45"/>
      <c r="N2169" s="44"/>
    </row>
    <row r="2170" spans="1:14" x14ac:dyDescent="0.3">
      <c r="A2170" s="42"/>
      <c r="C2170" s="52"/>
      <c r="D2170"/>
      <c r="E2170"/>
      <c r="F2170"/>
      <c r="N2170" s="44"/>
    </row>
    <row r="2171" spans="1:14" x14ac:dyDescent="0.3">
      <c r="A2171" s="42"/>
      <c r="C2171" s="52"/>
      <c r="D2171"/>
      <c r="E2171"/>
      <c r="F2171"/>
      <c r="N2171" s="44"/>
    </row>
    <row r="2172" spans="1:14" x14ac:dyDescent="0.3">
      <c r="A2172" s="42"/>
      <c r="C2172" s="52"/>
      <c r="D2172"/>
      <c r="E2172"/>
      <c r="F2172"/>
      <c r="N2172" s="44"/>
    </row>
    <row r="2173" spans="1:14" x14ac:dyDescent="0.3">
      <c r="A2173" s="42"/>
      <c r="C2173" s="52"/>
      <c r="D2173"/>
      <c r="E2173"/>
      <c r="F2173"/>
      <c r="N2173" s="44"/>
    </row>
    <row r="2174" spans="1:14" x14ac:dyDescent="0.3">
      <c r="A2174" s="42"/>
      <c r="C2174" s="52"/>
      <c r="D2174"/>
      <c r="E2174"/>
      <c r="F2174"/>
      <c r="N2174" s="44"/>
    </row>
    <row r="2175" spans="1:14" x14ac:dyDescent="0.3">
      <c r="A2175" s="42"/>
      <c r="C2175" s="52"/>
      <c r="D2175"/>
      <c r="E2175"/>
      <c r="F2175"/>
      <c r="L2175" s="45"/>
      <c r="N2175" s="44"/>
    </row>
    <row r="2176" spans="1:14" x14ac:dyDescent="0.3">
      <c r="A2176" s="42"/>
      <c r="C2176" s="52"/>
      <c r="D2176"/>
      <c r="E2176"/>
      <c r="F2176"/>
      <c r="N2176" s="44"/>
    </row>
    <row r="2177" spans="1:14" x14ac:dyDescent="0.3">
      <c r="A2177" s="42"/>
      <c r="C2177" s="52"/>
      <c r="D2177"/>
      <c r="E2177"/>
      <c r="F2177"/>
      <c r="N2177" s="44"/>
    </row>
    <row r="2178" spans="1:14" x14ac:dyDescent="0.3">
      <c r="A2178" s="42"/>
      <c r="C2178" s="52"/>
      <c r="D2178"/>
      <c r="E2178"/>
      <c r="F2178"/>
      <c r="L2178" s="45"/>
      <c r="N2178" s="44"/>
    </row>
    <row r="2179" spans="1:14" x14ac:dyDescent="0.3">
      <c r="A2179" s="42"/>
      <c r="C2179" s="52"/>
      <c r="D2179"/>
      <c r="E2179"/>
      <c r="F2179"/>
      <c r="N2179" s="44"/>
    </row>
    <row r="2180" spans="1:14" x14ac:dyDescent="0.3">
      <c r="A2180" s="42"/>
      <c r="C2180" s="52"/>
      <c r="D2180"/>
      <c r="E2180"/>
      <c r="F2180"/>
      <c r="N2180" s="44"/>
    </row>
    <row r="2181" spans="1:14" x14ac:dyDescent="0.3">
      <c r="A2181" s="42"/>
      <c r="C2181" s="52"/>
      <c r="D2181"/>
      <c r="E2181"/>
      <c r="F2181"/>
      <c r="N2181" s="44"/>
    </row>
    <row r="2182" spans="1:14" x14ac:dyDescent="0.3">
      <c r="A2182" s="42"/>
      <c r="C2182" s="52"/>
      <c r="D2182"/>
      <c r="E2182"/>
      <c r="F2182"/>
      <c r="N2182" s="44"/>
    </row>
    <row r="2183" spans="1:14" x14ac:dyDescent="0.3">
      <c r="A2183" s="42"/>
      <c r="C2183" s="52"/>
      <c r="D2183"/>
      <c r="E2183"/>
      <c r="F2183"/>
      <c r="N2183" s="44"/>
    </row>
    <row r="2184" spans="1:14" x14ac:dyDescent="0.3">
      <c r="A2184" s="42"/>
      <c r="C2184" s="52"/>
      <c r="D2184"/>
      <c r="E2184"/>
      <c r="F2184"/>
      <c r="L2184" s="45"/>
      <c r="M2184" s="45"/>
      <c r="N2184" s="44"/>
    </row>
    <row r="2185" spans="1:14" x14ac:dyDescent="0.3">
      <c r="A2185" s="42"/>
      <c r="C2185" s="52"/>
      <c r="D2185"/>
      <c r="E2185"/>
      <c r="F2185"/>
      <c r="N2185" s="44"/>
    </row>
    <row r="2186" spans="1:14" x14ac:dyDescent="0.3">
      <c r="A2186" s="42"/>
      <c r="C2186" s="52"/>
      <c r="D2186"/>
      <c r="E2186"/>
      <c r="F2186"/>
      <c r="N2186" s="44"/>
    </row>
    <row r="2187" spans="1:14" x14ac:dyDescent="0.3">
      <c r="A2187" s="42"/>
      <c r="C2187" s="52"/>
      <c r="D2187"/>
      <c r="E2187"/>
      <c r="F2187"/>
      <c r="N2187" s="44"/>
    </row>
    <row r="2188" spans="1:14" x14ac:dyDescent="0.3">
      <c r="A2188" s="42"/>
      <c r="C2188" s="52"/>
      <c r="D2188"/>
      <c r="E2188"/>
      <c r="F2188"/>
      <c r="N2188" s="44"/>
    </row>
    <row r="2189" spans="1:14" x14ac:dyDescent="0.3">
      <c r="A2189" s="42"/>
      <c r="C2189" s="52"/>
      <c r="D2189"/>
      <c r="E2189"/>
      <c r="F2189"/>
      <c r="L2189" s="45"/>
      <c r="N2189" s="44"/>
    </row>
    <row r="2190" spans="1:14" x14ac:dyDescent="0.3">
      <c r="A2190" s="42"/>
      <c r="C2190" s="52"/>
      <c r="D2190"/>
      <c r="E2190"/>
      <c r="F2190"/>
      <c r="N2190" s="44"/>
    </row>
    <row r="2191" spans="1:14" x14ac:dyDescent="0.3">
      <c r="A2191" s="42"/>
      <c r="C2191" s="52"/>
      <c r="D2191"/>
      <c r="E2191"/>
      <c r="F2191"/>
      <c r="L2191" s="45"/>
      <c r="N2191" s="44"/>
    </row>
    <row r="2192" spans="1:14" x14ac:dyDescent="0.3">
      <c r="A2192" s="42"/>
      <c r="C2192" s="52"/>
      <c r="D2192"/>
      <c r="E2192"/>
      <c r="F2192"/>
      <c r="L2192" s="45"/>
      <c r="N2192" s="44"/>
    </row>
    <row r="2193" spans="1:14" x14ac:dyDescent="0.3">
      <c r="A2193" s="42"/>
      <c r="C2193" s="52"/>
      <c r="D2193"/>
      <c r="E2193"/>
      <c r="F2193"/>
      <c r="L2193" s="45"/>
      <c r="N2193" s="44"/>
    </row>
    <row r="2194" spans="1:14" x14ac:dyDescent="0.3">
      <c r="A2194" s="42"/>
      <c r="C2194" s="52"/>
      <c r="D2194"/>
      <c r="E2194"/>
      <c r="F2194"/>
      <c r="L2194" s="45"/>
      <c r="N2194" s="44"/>
    </row>
    <row r="2195" spans="1:14" x14ac:dyDescent="0.3">
      <c r="A2195" s="42"/>
      <c r="C2195" s="52"/>
      <c r="D2195"/>
      <c r="E2195"/>
      <c r="F2195"/>
      <c r="N2195" s="44"/>
    </row>
    <row r="2196" spans="1:14" x14ac:dyDescent="0.3">
      <c r="A2196" s="42"/>
      <c r="C2196" s="52"/>
      <c r="D2196"/>
      <c r="E2196"/>
      <c r="F2196"/>
      <c r="N2196" s="44"/>
    </row>
    <row r="2197" spans="1:14" x14ac:dyDescent="0.3">
      <c r="A2197" s="42"/>
      <c r="C2197" s="52"/>
      <c r="D2197"/>
      <c r="E2197"/>
      <c r="F2197"/>
      <c r="N2197" s="44"/>
    </row>
    <row r="2198" spans="1:14" x14ac:dyDescent="0.3">
      <c r="A2198" s="42"/>
      <c r="C2198" s="52"/>
      <c r="D2198"/>
      <c r="E2198"/>
      <c r="F2198"/>
      <c r="L2198" s="45"/>
      <c r="N2198" s="44"/>
    </row>
    <row r="2199" spans="1:14" x14ac:dyDescent="0.3">
      <c r="A2199" s="42"/>
      <c r="C2199" s="52"/>
      <c r="D2199"/>
      <c r="E2199"/>
      <c r="F2199"/>
      <c r="M2199" s="45"/>
      <c r="N2199" s="44"/>
    </row>
    <row r="2200" spans="1:14" x14ac:dyDescent="0.3">
      <c r="A2200" s="42"/>
      <c r="C2200" s="52"/>
      <c r="D2200"/>
      <c r="E2200"/>
      <c r="F2200"/>
      <c r="N2200" s="44"/>
    </row>
    <row r="2201" spans="1:14" x14ac:dyDescent="0.3">
      <c r="A2201" s="42"/>
      <c r="C2201" s="52"/>
      <c r="D2201"/>
      <c r="E2201"/>
      <c r="F2201"/>
      <c r="L2201" s="45"/>
      <c r="M2201" s="45"/>
      <c r="N2201" s="44"/>
    </row>
    <row r="2202" spans="1:14" x14ac:dyDescent="0.3">
      <c r="A2202" s="42"/>
      <c r="C2202" s="52"/>
      <c r="D2202"/>
      <c r="E2202"/>
      <c r="F2202"/>
      <c r="N2202" s="44"/>
    </row>
    <row r="2203" spans="1:14" x14ac:dyDescent="0.3">
      <c r="A2203" s="42"/>
      <c r="C2203" s="52"/>
      <c r="D2203"/>
      <c r="E2203"/>
      <c r="F2203"/>
      <c r="N2203" s="44"/>
    </row>
    <row r="2204" spans="1:14" x14ac:dyDescent="0.3">
      <c r="A2204" s="42"/>
      <c r="C2204" s="52"/>
      <c r="D2204"/>
      <c r="E2204"/>
      <c r="F2204"/>
      <c r="N2204" s="44"/>
    </row>
    <row r="2205" spans="1:14" x14ac:dyDescent="0.3">
      <c r="A2205" s="42"/>
      <c r="C2205" s="52"/>
      <c r="D2205"/>
      <c r="E2205"/>
      <c r="F2205"/>
      <c r="N2205" s="44"/>
    </row>
    <row r="2206" spans="1:14" x14ac:dyDescent="0.3">
      <c r="A2206" s="42"/>
      <c r="C2206" s="52"/>
      <c r="D2206"/>
      <c r="E2206"/>
      <c r="F2206"/>
      <c r="N2206" s="44"/>
    </row>
    <row r="2207" spans="1:14" x14ac:dyDescent="0.3">
      <c r="A2207" s="42"/>
      <c r="C2207" s="52"/>
      <c r="D2207"/>
      <c r="E2207"/>
      <c r="F2207"/>
      <c r="N2207" s="44"/>
    </row>
    <row r="2208" spans="1:14" x14ac:dyDescent="0.3">
      <c r="A2208" s="42"/>
      <c r="C2208" s="52"/>
      <c r="D2208"/>
      <c r="E2208"/>
      <c r="F2208"/>
      <c r="N2208" s="44"/>
    </row>
    <row r="2209" spans="1:14" x14ac:dyDescent="0.3">
      <c r="A2209" s="42"/>
      <c r="C2209" s="52"/>
      <c r="D2209"/>
      <c r="E2209"/>
      <c r="F2209"/>
      <c r="N2209" s="44"/>
    </row>
    <row r="2210" spans="1:14" x14ac:dyDescent="0.3">
      <c r="A2210" s="42"/>
      <c r="C2210" s="52"/>
      <c r="D2210"/>
      <c r="E2210"/>
      <c r="F2210"/>
      <c r="N2210" s="44"/>
    </row>
    <row r="2211" spans="1:14" x14ac:dyDescent="0.3">
      <c r="A2211" s="42"/>
      <c r="C2211" s="52"/>
      <c r="D2211"/>
      <c r="E2211"/>
      <c r="F2211"/>
      <c r="N2211" s="44"/>
    </row>
    <row r="2212" spans="1:14" x14ac:dyDescent="0.3">
      <c r="A2212" s="42"/>
      <c r="C2212" s="52"/>
      <c r="D2212"/>
      <c r="E2212"/>
      <c r="F2212"/>
      <c r="N2212" s="44"/>
    </row>
    <row r="2213" spans="1:14" x14ac:dyDescent="0.3">
      <c r="A2213" s="42"/>
      <c r="C2213" s="52"/>
      <c r="D2213"/>
      <c r="E2213"/>
      <c r="F2213"/>
      <c r="N2213" s="44"/>
    </row>
    <row r="2214" spans="1:14" x14ac:dyDescent="0.3">
      <c r="A2214" s="42"/>
      <c r="C2214" s="52"/>
      <c r="D2214"/>
      <c r="E2214"/>
      <c r="F2214"/>
      <c r="N2214" s="44"/>
    </row>
    <row r="2215" spans="1:14" x14ac:dyDescent="0.3">
      <c r="A2215" s="42"/>
      <c r="C2215" s="52"/>
      <c r="D2215"/>
      <c r="E2215"/>
      <c r="F2215"/>
      <c r="N2215" s="44"/>
    </row>
    <row r="2216" spans="1:14" x14ac:dyDescent="0.3">
      <c r="A2216" s="42"/>
      <c r="C2216" s="52"/>
      <c r="D2216"/>
      <c r="E2216"/>
      <c r="F2216"/>
      <c r="N2216" s="44"/>
    </row>
    <row r="2217" spans="1:14" x14ac:dyDescent="0.3">
      <c r="A2217" s="42"/>
      <c r="C2217" s="52"/>
      <c r="D2217"/>
      <c r="E2217"/>
      <c r="F2217"/>
      <c r="N2217" s="44"/>
    </row>
    <row r="2218" spans="1:14" x14ac:dyDescent="0.3">
      <c r="A2218" s="42"/>
      <c r="C2218" s="52"/>
      <c r="D2218"/>
      <c r="E2218"/>
      <c r="F2218"/>
      <c r="N2218" s="44"/>
    </row>
    <row r="2219" spans="1:14" x14ac:dyDescent="0.3">
      <c r="A2219" s="42"/>
      <c r="C2219" s="52"/>
      <c r="D2219"/>
      <c r="E2219"/>
      <c r="F2219"/>
      <c r="N2219" s="44"/>
    </row>
    <row r="2220" spans="1:14" x14ac:dyDescent="0.3">
      <c r="A2220" s="42"/>
      <c r="C2220" s="52"/>
      <c r="D2220"/>
      <c r="E2220"/>
      <c r="F2220"/>
      <c r="L2220" s="45"/>
      <c r="N2220" s="44"/>
    </row>
    <row r="2221" spans="1:14" x14ac:dyDescent="0.3">
      <c r="A2221" s="42"/>
      <c r="C2221" s="52"/>
      <c r="D2221"/>
      <c r="E2221"/>
      <c r="F2221"/>
      <c r="L2221" s="45"/>
      <c r="N2221" s="44"/>
    </row>
    <row r="2222" spans="1:14" x14ac:dyDescent="0.3">
      <c r="A2222" s="42"/>
      <c r="C2222" s="52"/>
      <c r="D2222"/>
      <c r="E2222"/>
      <c r="F2222"/>
      <c r="N2222" s="44"/>
    </row>
    <row r="2223" spans="1:14" x14ac:dyDescent="0.3">
      <c r="A2223" s="42"/>
      <c r="C2223" s="52"/>
      <c r="D2223"/>
      <c r="E2223"/>
      <c r="F2223"/>
      <c r="N2223" s="44"/>
    </row>
    <row r="2224" spans="1:14" x14ac:dyDescent="0.3">
      <c r="A2224" s="42"/>
      <c r="C2224" s="52"/>
      <c r="D2224"/>
      <c r="E2224"/>
      <c r="F2224"/>
      <c r="N2224" s="44"/>
    </row>
    <row r="2225" spans="1:14" x14ac:dyDescent="0.3">
      <c r="A2225" s="42"/>
      <c r="C2225" s="52"/>
      <c r="D2225"/>
      <c r="E2225"/>
      <c r="F2225"/>
      <c r="M2225" s="45"/>
      <c r="N2225" s="44"/>
    </row>
    <row r="2226" spans="1:14" x14ac:dyDescent="0.3">
      <c r="A2226" s="42"/>
      <c r="C2226" s="52"/>
      <c r="D2226"/>
      <c r="E2226"/>
      <c r="F2226"/>
      <c r="N2226" s="44"/>
    </row>
    <row r="2227" spans="1:14" x14ac:dyDescent="0.3">
      <c r="A2227" s="42"/>
      <c r="C2227" s="52"/>
      <c r="D2227"/>
      <c r="E2227"/>
      <c r="F2227"/>
      <c r="N2227" s="44"/>
    </row>
    <row r="2228" spans="1:14" x14ac:dyDescent="0.3">
      <c r="A2228" s="42"/>
      <c r="C2228" s="52"/>
      <c r="D2228"/>
      <c r="E2228"/>
      <c r="F2228"/>
      <c r="N2228" s="44"/>
    </row>
    <row r="2229" spans="1:14" x14ac:dyDescent="0.3">
      <c r="A2229" s="42"/>
      <c r="C2229" s="52"/>
      <c r="D2229"/>
      <c r="E2229"/>
      <c r="F2229"/>
      <c r="N2229" s="44"/>
    </row>
    <row r="2230" spans="1:14" x14ac:dyDescent="0.3">
      <c r="A2230" s="42"/>
      <c r="C2230" s="52"/>
      <c r="D2230"/>
      <c r="E2230"/>
      <c r="F2230"/>
      <c r="N2230" s="44"/>
    </row>
    <row r="2231" spans="1:14" x14ac:dyDescent="0.3">
      <c r="A2231" s="42"/>
      <c r="C2231" s="52"/>
      <c r="D2231"/>
      <c r="E2231"/>
      <c r="F2231"/>
      <c r="N2231" s="44"/>
    </row>
    <row r="2232" spans="1:14" x14ac:dyDescent="0.3">
      <c r="A2232" s="42"/>
      <c r="C2232" s="52"/>
      <c r="D2232"/>
      <c r="E2232"/>
      <c r="F2232"/>
      <c r="N2232" s="44"/>
    </row>
    <row r="2233" spans="1:14" x14ac:dyDescent="0.3">
      <c r="A2233" s="42"/>
      <c r="C2233" s="52"/>
      <c r="D2233"/>
      <c r="E2233"/>
      <c r="F2233"/>
      <c r="N2233" s="44"/>
    </row>
    <row r="2234" spans="1:14" x14ac:dyDescent="0.3">
      <c r="A2234" s="42"/>
      <c r="C2234" s="52"/>
      <c r="D2234"/>
      <c r="E2234"/>
      <c r="F2234"/>
      <c r="L2234" s="45"/>
      <c r="N2234" s="44"/>
    </row>
    <row r="2235" spans="1:14" x14ac:dyDescent="0.3">
      <c r="A2235" s="42"/>
      <c r="C2235" s="52"/>
      <c r="D2235"/>
      <c r="E2235"/>
      <c r="F2235"/>
      <c r="N2235" s="44"/>
    </row>
    <row r="2236" spans="1:14" x14ac:dyDescent="0.3">
      <c r="A2236" s="42"/>
      <c r="C2236" s="52"/>
      <c r="D2236"/>
      <c r="E2236"/>
      <c r="F2236"/>
      <c r="N2236" s="44"/>
    </row>
    <row r="2237" spans="1:14" x14ac:dyDescent="0.3">
      <c r="A2237" s="42"/>
      <c r="C2237" s="52"/>
      <c r="D2237"/>
      <c r="E2237"/>
      <c r="F2237"/>
      <c r="N2237" s="44"/>
    </row>
    <row r="2238" spans="1:14" x14ac:dyDescent="0.3">
      <c r="A2238" s="42"/>
      <c r="C2238" s="52"/>
      <c r="D2238"/>
      <c r="E2238"/>
      <c r="F2238"/>
      <c r="N2238" s="44"/>
    </row>
    <row r="2239" spans="1:14" x14ac:dyDescent="0.3">
      <c r="A2239" s="42"/>
      <c r="C2239" s="52"/>
      <c r="D2239"/>
      <c r="E2239"/>
      <c r="F2239"/>
      <c r="N2239" s="44"/>
    </row>
    <row r="2240" spans="1:14" x14ac:dyDescent="0.3">
      <c r="A2240" s="42"/>
      <c r="C2240" s="52"/>
      <c r="D2240"/>
      <c r="E2240"/>
      <c r="F2240"/>
      <c r="N2240" s="44"/>
    </row>
    <row r="2241" spans="1:14" x14ac:dyDescent="0.3">
      <c r="A2241" s="42"/>
      <c r="C2241" s="52"/>
      <c r="D2241"/>
      <c r="E2241"/>
      <c r="F2241"/>
      <c r="M2241" s="45"/>
      <c r="N2241" s="44"/>
    </row>
    <row r="2242" spans="1:14" x14ac:dyDescent="0.3">
      <c r="A2242" s="42"/>
      <c r="C2242" s="52"/>
      <c r="D2242"/>
      <c r="E2242"/>
      <c r="F2242"/>
      <c r="N2242" s="44"/>
    </row>
    <row r="2243" spans="1:14" x14ac:dyDescent="0.3">
      <c r="A2243" s="42"/>
      <c r="C2243" s="52"/>
      <c r="D2243"/>
      <c r="E2243"/>
      <c r="F2243"/>
      <c r="L2243" s="45"/>
      <c r="N2243" s="44"/>
    </row>
    <row r="2244" spans="1:14" x14ac:dyDescent="0.3">
      <c r="A2244" s="42"/>
      <c r="C2244" s="52"/>
      <c r="D2244"/>
      <c r="E2244"/>
      <c r="F2244"/>
      <c r="N2244" s="44"/>
    </row>
    <row r="2245" spans="1:14" x14ac:dyDescent="0.3">
      <c r="A2245" s="42"/>
      <c r="C2245" s="52"/>
      <c r="D2245"/>
      <c r="E2245"/>
      <c r="F2245"/>
      <c r="N2245" s="44"/>
    </row>
    <row r="2246" spans="1:14" x14ac:dyDescent="0.3">
      <c r="A2246" s="42"/>
      <c r="C2246" s="52"/>
      <c r="D2246"/>
      <c r="E2246"/>
      <c r="F2246"/>
      <c r="N2246" s="44"/>
    </row>
    <row r="2247" spans="1:14" x14ac:dyDescent="0.3">
      <c r="A2247" s="42"/>
      <c r="C2247" s="52"/>
      <c r="D2247"/>
      <c r="E2247"/>
      <c r="F2247"/>
      <c r="N2247" s="44"/>
    </row>
    <row r="2248" spans="1:14" x14ac:dyDescent="0.3">
      <c r="A2248" s="42"/>
      <c r="C2248" s="52"/>
      <c r="D2248"/>
      <c r="E2248"/>
      <c r="F2248"/>
      <c r="N2248" s="44"/>
    </row>
    <row r="2249" spans="1:14" x14ac:dyDescent="0.3">
      <c r="A2249" s="42"/>
      <c r="C2249" s="52"/>
      <c r="D2249"/>
      <c r="E2249"/>
      <c r="F2249"/>
      <c r="N2249" s="44"/>
    </row>
    <row r="2250" spans="1:14" x14ac:dyDescent="0.3">
      <c r="A2250" s="42"/>
      <c r="C2250" s="52"/>
      <c r="D2250"/>
      <c r="E2250"/>
      <c r="F2250"/>
      <c r="N2250" s="44"/>
    </row>
    <row r="2251" spans="1:14" x14ac:dyDescent="0.3">
      <c r="A2251" s="42"/>
      <c r="C2251" s="52"/>
      <c r="D2251"/>
      <c r="E2251"/>
      <c r="F2251"/>
      <c r="N2251" s="44"/>
    </row>
    <row r="2252" spans="1:14" x14ac:dyDescent="0.3">
      <c r="A2252" s="42"/>
      <c r="C2252" s="52"/>
      <c r="D2252"/>
      <c r="E2252"/>
      <c r="F2252"/>
      <c r="N2252" s="44"/>
    </row>
    <row r="2253" spans="1:14" x14ac:dyDescent="0.3">
      <c r="A2253" s="42"/>
      <c r="C2253" s="52"/>
      <c r="D2253"/>
      <c r="E2253"/>
      <c r="F2253"/>
      <c r="N2253" s="44"/>
    </row>
    <row r="2254" spans="1:14" x14ac:dyDescent="0.3">
      <c r="A2254" s="42"/>
      <c r="C2254" s="52"/>
      <c r="D2254"/>
      <c r="E2254"/>
      <c r="F2254"/>
      <c r="N2254" s="44"/>
    </row>
    <row r="2255" spans="1:14" x14ac:dyDescent="0.3">
      <c r="A2255" s="42"/>
      <c r="C2255" s="52"/>
      <c r="D2255"/>
      <c r="E2255"/>
      <c r="F2255"/>
      <c r="N2255" s="44"/>
    </row>
    <row r="2256" spans="1:14" x14ac:dyDescent="0.3">
      <c r="A2256" s="42"/>
      <c r="C2256" s="52"/>
      <c r="D2256"/>
      <c r="E2256"/>
      <c r="F2256"/>
      <c r="N2256" s="44"/>
    </row>
    <row r="2257" spans="1:14" x14ac:dyDescent="0.3">
      <c r="A2257" s="42"/>
      <c r="C2257" s="52"/>
      <c r="D2257"/>
      <c r="E2257"/>
      <c r="F2257"/>
      <c r="N2257" s="44"/>
    </row>
    <row r="2258" spans="1:14" x14ac:dyDescent="0.3">
      <c r="A2258" s="42"/>
      <c r="C2258" s="52"/>
      <c r="D2258"/>
      <c r="E2258"/>
      <c r="F2258"/>
      <c r="L2258" s="45"/>
      <c r="N2258" s="44"/>
    </row>
    <row r="2259" spans="1:14" x14ac:dyDescent="0.3">
      <c r="A2259" s="42"/>
      <c r="C2259" s="52"/>
      <c r="D2259"/>
      <c r="E2259"/>
      <c r="F2259"/>
      <c r="N2259" s="44"/>
    </row>
    <row r="2260" spans="1:14" x14ac:dyDescent="0.3">
      <c r="A2260" s="42"/>
      <c r="C2260" s="52"/>
      <c r="D2260"/>
      <c r="E2260"/>
      <c r="F2260"/>
      <c r="L2260" s="45"/>
      <c r="N2260" s="44"/>
    </row>
    <row r="2261" spans="1:14" x14ac:dyDescent="0.3">
      <c r="A2261" s="42"/>
      <c r="C2261" s="52"/>
      <c r="D2261"/>
      <c r="E2261"/>
      <c r="F2261"/>
      <c r="N2261" s="44"/>
    </row>
    <row r="2262" spans="1:14" x14ac:dyDescent="0.3">
      <c r="A2262" s="42"/>
      <c r="C2262" s="52"/>
      <c r="D2262"/>
      <c r="E2262"/>
      <c r="F2262"/>
      <c r="L2262" s="45"/>
      <c r="N2262" s="44"/>
    </row>
    <row r="2263" spans="1:14" x14ac:dyDescent="0.3">
      <c r="A2263" s="42"/>
      <c r="C2263" s="52"/>
      <c r="D2263"/>
      <c r="E2263"/>
      <c r="F2263"/>
      <c r="L2263" s="45"/>
      <c r="N2263" s="44"/>
    </row>
    <row r="2264" spans="1:14" x14ac:dyDescent="0.3">
      <c r="A2264" s="42"/>
      <c r="C2264" s="52"/>
      <c r="D2264"/>
      <c r="E2264"/>
      <c r="F2264"/>
      <c r="N2264" s="44"/>
    </row>
    <row r="2265" spans="1:14" x14ac:dyDescent="0.3">
      <c r="A2265" s="42"/>
      <c r="C2265" s="52"/>
      <c r="D2265"/>
      <c r="E2265"/>
      <c r="F2265"/>
      <c r="N2265" s="44"/>
    </row>
    <row r="2266" spans="1:14" x14ac:dyDescent="0.3">
      <c r="A2266" s="42"/>
      <c r="C2266" s="52"/>
      <c r="D2266"/>
      <c r="E2266"/>
      <c r="F2266"/>
      <c r="N2266" s="44"/>
    </row>
    <row r="2267" spans="1:14" x14ac:dyDescent="0.3">
      <c r="A2267" s="42"/>
      <c r="C2267" s="52"/>
      <c r="D2267"/>
      <c r="E2267"/>
      <c r="F2267"/>
      <c r="N2267" s="44"/>
    </row>
    <row r="2268" spans="1:14" x14ac:dyDescent="0.3">
      <c r="A2268" s="42"/>
      <c r="C2268" s="52"/>
      <c r="D2268"/>
      <c r="E2268"/>
      <c r="F2268"/>
      <c r="N2268" s="44"/>
    </row>
    <row r="2269" spans="1:14" x14ac:dyDescent="0.3">
      <c r="A2269" s="42"/>
      <c r="C2269" s="52"/>
      <c r="D2269"/>
      <c r="E2269"/>
      <c r="F2269"/>
      <c r="L2269" s="45"/>
      <c r="N2269" s="44"/>
    </row>
    <row r="2270" spans="1:14" x14ac:dyDescent="0.3">
      <c r="A2270" s="42"/>
      <c r="C2270" s="52"/>
      <c r="D2270"/>
      <c r="E2270"/>
      <c r="F2270"/>
      <c r="N2270" s="44"/>
    </row>
    <row r="2271" spans="1:14" x14ac:dyDescent="0.3">
      <c r="A2271" s="42"/>
      <c r="C2271" s="52"/>
      <c r="D2271"/>
      <c r="E2271"/>
      <c r="F2271"/>
      <c r="N2271" s="44"/>
    </row>
    <row r="2272" spans="1:14" x14ac:dyDescent="0.3">
      <c r="A2272" s="42"/>
      <c r="C2272" s="52"/>
      <c r="D2272"/>
      <c r="E2272"/>
      <c r="F2272"/>
      <c r="N2272" s="44"/>
    </row>
    <row r="2273" spans="1:14" x14ac:dyDescent="0.3">
      <c r="A2273" s="42"/>
      <c r="C2273" s="52"/>
      <c r="D2273"/>
      <c r="E2273"/>
      <c r="F2273"/>
      <c r="L2273" s="45"/>
      <c r="N2273" s="44"/>
    </row>
    <row r="2274" spans="1:14" x14ac:dyDescent="0.3">
      <c r="A2274" s="42"/>
      <c r="C2274" s="52"/>
      <c r="D2274"/>
      <c r="E2274"/>
      <c r="F2274"/>
      <c r="N2274" s="44"/>
    </row>
    <row r="2275" spans="1:14" x14ac:dyDescent="0.3">
      <c r="A2275" s="42"/>
      <c r="C2275" s="52"/>
      <c r="D2275"/>
      <c r="E2275"/>
      <c r="F2275"/>
      <c r="N2275" s="44"/>
    </row>
    <row r="2276" spans="1:14" x14ac:dyDescent="0.3">
      <c r="A2276" s="42"/>
      <c r="C2276" s="52"/>
      <c r="D2276"/>
      <c r="E2276"/>
      <c r="F2276"/>
      <c r="N2276" s="44"/>
    </row>
    <row r="2277" spans="1:14" x14ac:dyDescent="0.3">
      <c r="A2277" s="42"/>
      <c r="C2277" s="52"/>
      <c r="D2277"/>
      <c r="E2277"/>
      <c r="F2277"/>
      <c r="N2277" s="44"/>
    </row>
    <row r="2278" spans="1:14" x14ac:dyDescent="0.3">
      <c r="A2278" s="42"/>
      <c r="C2278" s="52"/>
      <c r="D2278"/>
      <c r="E2278"/>
      <c r="F2278"/>
      <c r="N2278" s="44"/>
    </row>
    <row r="2279" spans="1:14" x14ac:dyDescent="0.3">
      <c r="A2279" s="42"/>
      <c r="C2279" s="52"/>
      <c r="D2279"/>
      <c r="E2279"/>
      <c r="F2279"/>
      <c r="N2279" s="44"/>
    </row>
    <row r="2280" spans="1:14" x14ac:dyDescent="0.3">
      <c r="A2280" s="42"/>
      <c r="C2280" s="52"/>
      <c r="D2280"/>
      <c r="E2280"/>
      <c r="F2280"/>
      <c r="L2280" s="45"/>
      <c r="N2280" s="44"/>
    </row>
    <row r="2281" spans="1:14" x14ac:dyDescent="0.3">
      <c r="A2281" s="42"/>
      <c r="C2281" s="52"/>
      <c r="D2281"/>
      <c r="E2281"/>
      <c r="F2281"/>
      <c r="N2281" s="44"/>
    </row>
    <row r="2282" spans="1:14" x14ac:dyDescent="0.3">
      <c r="A2282" s="42"/>
      <c r="C2282" s="52"/>
      <c r="D2282"/>
      <c r="E2282"/>
      <c r="F2282"/>
      <c r="L2282" s="45"/>
      <c r="N2282" s="44"/>
    </row>
    <row r="2283" spans="1:14" x14ac:dyDescent="0.3">
      <c r="A2283" s="42"/>
      <c r="C2283" s="52"/>
      <c r="D2283"/>
      <c r="E2283"/>
      <c r="F2283"/>
      <c r="N2283" s="44"/>
    </row>
    <row r="2284" spans="1:14" x14ac:dyDescent="0.3">
      <c r="A2284" s="42"/>
      <c r="C2284" s="52"/>
      <c r="D2284"/>
      <c r="E2284"/>
      <c r="F2284"/>
      <c r="N2284" s="44"/>
    </row>
    <row r="2285" spans="1:14" x14ac:dyDescent="0.3">
      <c r="A2285" s="42"/>
      <c r="C2285" s="52"/>
      <c r="D2285"/>
      <c r="E2285"/>
      <c r="F2285"/>
      <c r="N2285" s="44"/>
    </row>
    <row r="2286" spans="1:14" x14ac:dyDescent="0.3">
      <c r="A2286" s="42"/>
      <c r="C2286" s="52"/>
      <c r="D2286"/>
      <c r="E2286"/>
      <c r="F2286"/>
      <c r="N2286" s="44"/>
    </row>
    <row r="2287" spans="1:14" x14ac:dyDescent="0.3">
      <c r="A2287" s="42"/>
      <c r="C2287" s="52"/>
      <c r="D2287"/>
      <c r="E2287"/>
      <c r="F2287"/>
      <c r="N2287" s="44"/>
    </row>
    <row r="2288" spans="1:14" x14ac:dyDescent="0.3">
      <c r="A2288" s="42"/>
      <c r="C2288" s="52"/>
      <c r="D2288"/>
      <c r="E2288"/>
      <c r="F2288"/>
      <c r="N2288" s="44"/>
    </row>
    <row r="2289" spans="1:14" x14ac:dyDescent="0.3">
      <c r="A2289" s="42"/>
      <c r="C2289" s="52"/>
      <c r="D2289"/>
      <c r="E2289"/>
      <c r="F2289"/>
      <c r="N2289" s="44"/>
    </row>
    <row r="2290" spans="1:14" x14ac:dyDescent="0.3">
      <c r="A2290" s="42"/>
      <c r="C2290" s="52"/>
      <c r="D2290"/>
      <c r="E2290"/>
      <c r="F2290"/>
      <c r="N2290" s="44"/>
    </row>
    <row r="2291" spans="1:14" x14ac:dyDescent="0.3">
      <c r="A2291" s="42"/>
      <c r="C2291" s="52"/>
      <c r="D2291"/>
      <c r="E2291"/>
      <c r="F2291"/>
      <c r="N2291" s="44"/>
    </row>
    <row r="2292" spans="1:14" x14ac:dyDescent="0.3">
      <c r="A2292" s="42"/>
      <c r="C2292" s="52"/>
      <c r="D2292"/>
      <c r="E2292"/>
      <c r="F2292"/>
      <c r="N2292" s="44"/>
    </row>
    <row r="2293" spans="1:14" x14ac:dyDescent="0.3">
      <c r="A2293" s="42"/>
      <c r="C2293" s="52"/>
      <c r="D2293"/>
      <c r="E2293"/>
      <c r="F2293"/>
      <c r="N2293" s="44"/>
    </row>
    <row r="2294" spans="1:14" x14ac:dyDescent="0.3">
      <c r="A2294" s="42"/>
      <c r="C2294" s="52"/>
      <c r="D2294"/>
      <c r="E2294"/>
      <c r="F2294"/>
      <c r="L2294" s="45"/>
      <c r="N2294" s="44"/>
    </row>
    <row r="2295" spans="1:14" x14ac:dyDescent="0.3">
      <c r="A2295" s="42"/>
      <c r="C2295" s="52"/>
      <c r="D2295"/>
      <c r="E2295"/>
      <c r="F2295"/>
      <c r="N2295" s="44"/>
    </row>
    <row r="2296" spans="1:14" x14ac:dyDescent="0.3">
      <c r="A2296" s="42"/>
      <c r="C2296" s="52"/>
      <c r="D2296"/>
      <c r="E2296"/>
      <c r="F2296"/>
      <c r="N2296" s="44"/>
    </row>
    <row r="2297" spans="1:14" x14ac:dyDescent="0.3">
      <c r="A2297" s="42"/>
      <c r="C2297" s="52"/>
      <c r="D2297"/>
      <c r="E2297"/>
      <c r="F2297"/>
      <c r="L2297" s="45"/>
      <c r="N2297" s="44"/>
    </row>
    <row r="2298" spans="1:14" x14ac:dyDescent="0.3">
      <c r="A2298" s="42"/>
      <c r="C2298" s="52"/>
      <c r="D2298"/>
      <c r="E2298"/>
      <c r="F2298"/>
      <c r="N2298" s="44"/>
    </row>
    <row r="2299" spans="1:14" x14ac:dyDescent="0.3">
      <c r="A2299" s="42"/>
      <c r="C2299" s="52"/>
      <c r="D2299"/>
      <c r="E2299"/>
      <c r="F2299"/>
      <c r="N2299" s="44"/>
    </row>
    <row r="2300" spans="1:14" x14ac:dyDescent="0.3">
      <c r="A2300" s="42"/>
      <c r="C2300" s="52"/>
      <c r="D2300"/>
      <c r="E2300"/>
      <c r="F2300"/>
      <c r="N2300" s="44"/>
    </row>
    <row r="2301" spans="1:14" x14ac:dyDescent="0.3">
      <c r="A2301" s="42"/>
      <c r="C2301" s="52"/>
      <c r="D2301"/>
      <c r="E2301"/>
      <c r="F2301"/>
      <c r="N2301" s="44"/>
    </row>
    <row r="2302" spans="1:14" x14ac:dyDescent="0.3">
      <c r="A2302" s="42"/>
      <c r="C2302" s="52"/>
      <c r="D2302"/>
      <c r="E2302"/>
      <c r="F2302"/>
      <c r="N2302" s="44"/>
    </row>
    <row r="2303" spans="1:14" x14ac:dyDescent="0.3">
      <c r="A2303" s="42"/>
      <c r="C2303" s="52"/>
      <c r="D2303"/>
      <c r="E2303"/>
      <c r="F2303"/>
      <c r="N2303" s="44"/>
    </row>
    <row r="2304" spans="1:14" x14ac:dyDescent="0.3">
      <c r="A2304" s="42"/>
      <c r="C2304" s="52"/>
      <c r="D2304"/>
      <c r="E2304"/>
      <c r="F2304"/>
      <c r="N2304" s="44"/>
    </row>
    <row r="2305" spans="1:14" x14ac:dyDescent="0.3">
      <c r="A2305" s="42"/>
      <c r="C2305" s="52"/>
      <c r="D2305"/>
      <c r="E2305"/>
      <c r="F2305"/>
      <c r="N2305" s="44"/>
    </row>
    <row r="2306" spans="1:14" x14ac:dyDescent="0.3">
      <c r="A2306" s="42"/>
      <c r="C2306" s="52"/>
      <c r="D2306"/>
      <c r="E2306"/>
      <c r="F2306"/>
      <c r="N2306" s="44"/>
    </row>
    <row r="2307" spans="1:14" x14ac:dyDescent="0.3">
      <c r="A2307" s="42"/>
      <c r="C2307" s="52"/>
      <c r="D2307"/>
      <c r="E2307"/>
      <c r="F2307"/>
      <c r="N2307" s="44"/>
    </row>
    <row r="2308" spans="1:14" x14ac:dyDescent="0.3">
      <c r="A2308" s="42"/>
      <c r="C2308" s="52"/>
      <c r="D2308"/>
      <c r="E2308"/>
      <c r="F2308"/>
      <c r="L2308" s="45"/>
      <c r="N2308" s="44"/>
    </row>
    <row r="2309" spans="1:14" x14ac:dyDescent="0.3">
      <c r="A2309" s="42"/>
      <c r="C2309" s="52"/>
      <c r="D2309"/>
      <c r="E2309"/>
      <c r="F2309"/>
      <c r="N2309" s="44"/>
    </row>
    <row r="2310" spans="1:14" x14ac:dyDescent="0.3">
      <c r="A2310" s="42"/>
      <c r="C2310" s="52"/>
      <c r="D2310"/>
      <c r="E2310"/>
      <c r="F2310"/>
      <c r="N2310" s="44"/>
    </row>
    <row r="2311" spans="1:14" x14ac:dyDescent="0.3">
      <c r="A2311" s="42"/>
      <c r="C2311" s="52"/>
      <c r="D2311"/>
      <c r="E2311"/>
      <c r="F2311"/>
      <c r="N2311" s="44"/>
    </row>
    <row r="2312" spans="1:14" x14ac:dyDescent="0.3">
      <c r="A2312" s="42"/>
      <c r="C2312" s="52"/>
      <c r="D2312"/>
      <c r="E2312"/>
      <c r="F2312"/>
      <c r="N2312" s="44"/>
    </row>
    <row r="2313" spans="1:14" x14ac:dyDescent="0.3">
      <c r="A2313" s="42"/>
      <c r="C2313" s="52"/>
      <c r="D2313"/>
      <c r="E2313"/>
      <c r="F2313"/>
      <c r="N2313" s="44"/>
    </row>
    <row r="2314" spans="1:14" x14ac:dyDescent="0.3">
      <c r="A2314" s="42"/>
      <c r="C2314" s="52"/>
      <c r="D2314"/>
      <c r="E2314"/>
      <c r="F2314"/>
      <c r="L2314" s="45"/>
      <c r="N2314" s="44"/>
    </row>
    <row r="2315" spans="1:14" x14ac:dyDescent="0.3">
      <c r="A2315" s="42"/>
      <c r="C2315" s="52"/>
      <c r="D2315"/>
      <c r="E2315"/>
      <c r="F2315"/>
      <c r="N2315" s="44"/>
    </row>
    <row r="2316" spans="1:14" x14ac:dyDescent="0.3">
      <c r="A2316" s="42"/>
      <c r="C2316" s="52"/>
      <c r="D2316"/>
      <c r="E2316"/>
      <c r="F2316"/>
      <c r="N2316" s="44"/>
    </row>
    <row r="2317" spans="1:14" x14ac:dyDescent="0.3">
      <c r="A2317" s="42"/>
      <c r="C2317" s="52"/>
      <c r="D2317"/>
      <c r="E2317"/>
      <c r="F2317"/>
      <c r="N2317" s="44"/>
    </row>
    <row r="2318" spans="1:14" x14ac:dyDescent="0.3">
      <c r="A2318" s="42"/>
      <c r="C2318" s="52"/>
      <c r="D2318"/>
      <c r="E2318"/>
      <c r="F2318"/>
      <c r="N2318" s="44"/>
    </row>
    <row r="2319" spans="1:14" x14ac:dyDescent="0.3">
      <c r="A2319" s="42"/>
      <c r="C2319" s="52"/>
      <c r="D2319"/>
      <c r="E2319"/>
      <c r="F2319"/>
      <c r="L2319" s="45"/>
      <c r="N2319" s="44"/>
    </row>
    <row r="2320" spans="1:14" x14ac:dyDescent="0.3">
      <c r="A2320" s="42"/>
      <c r="C2320" s="52"/>
      <c r="D2320"/>
      <c r="E2320"/>
      <c r="F2320"/>
      <c r="N2320" s="44"/>
    </row>
    <row r="2321" spans="1:14" x14ac:dyDescent="0.3">
      <c r="A2321" s="42"/>
      <c r="C2321" s="52"/>
      <c r="D2321"/>
      <c r="E2321"/>
      <c r="F2321"/>
      <c r="N2321" s="44"/>
    </row>
    <row r="2322" spans="1:14" x14ac:dyDescent="0.3">
      <c r="A2322" s="42"/>
      <c r="C2322" s="52"/>
      <c r="D2322"/>
      <c r="E2322"/>
      <c r="F2322"/>
      <c r="N2322" s="44"/>
    </row>
    <row r="2323" spans="1:14" x14ac:dyDescent="0.3">
      <c r="A2323" s="42"/>
      <c r="C2323" s="52"/>
      <c r="D2323"/>
      <c r="E2323"/>
      <c r="F2323"/>
      <c r="N2323" s="44"/>
    </row>
    <row r="2324" spans="1:14" x14ac:dyDescent="0.3">
      <c r="A2324" s="42"/>
      <c r="C2324" s="52"/>
      <c r="D2324"/>
      <c r="E2324"/>
      <c r="F2324"/>
      <c r="N2324" s="44"/>
    </row>
    <row r="2325" spans="1:14" x14ac:dyDescent="0.3">
      <c r="A2325" s="42"/>
      <c r="C2325" s="52"/>
      <c r="D2325"/>
      <c r="E2325"/>
      <c r="F2325"/>
      <c r="N2325" s="44"/>
    </row>
    <row r="2326" spans="1:14" x14ac:dyDescent="0.3">
      <c r="A2326" s="42"/>
      <c r="C2326" s="52"/>
      <c r="D2326"/>
      <c r="E2326"/>
      <c r="F2326"/>
      <c r="N2326" s="44"/>
    </row>
    <row r="2327" spans="1:14" x14ac:dyDescent="0.3">
      <c r="A2327" s="42"/>
      <c r="C2327" s="52"/>
      <c r="D2327"/>
      <c r="E2327"/>
      <c r="F2327"/>
      <c r="N2327" s="44"/>
    </row>
    <row r="2328" spans="1:14" x14ac:dyDescent="0.3">
      <c r="A2328" s="42"/>
      <c r="C2328" s="52"/>
      <c r="D2328"/>
      <c r="E2328"/>
      <c r="F2328"/>
      <c r="N2328" s="44"/>
    </row>
    <row r="2329" spans="1:14" x14ac:dyDescent="0.3">
      <c r="A2329" s="42"/>
      <c r="C2329" s="52"/>
      <c r="D2329"/>
      <c r="E2329"/>
      <c r="F2329"/>
      <c r="L2329" s="45"/>
      <c r="N2329" s="44"/>
    </row>
    <row r="2330" spans="1:14" x14ac:dyDescent="0.3">
      <c r="A2330" s="42"/>
      <c r="C2330" s="52"/>
      <c r="D2330"/>
      <c r="E2330"/>
      <c r="F2330"/>
      <c r="L2330" s="45"/>
      <c r="N2330" s="44"/>
    </row>
    <row r="2331" spans="1:14" x14ac:dyDescent="0.3">
      <c r="A2331" s="42"/>
      <c r="C2331" s="52"/>
      <c r="D2331"/>
      <c r="E2331"/>
      <c r="F2331"/>
      <c r="L2331" s="45"/>
      <c r="N2331" s="44"/>
    </row>
    <row r="2332" spans="1:14" x14ac:dyDescent="0.3">
      <c r="A2332" s="42"/>
      <c r="C2332" s="52"/>
      <c r="D2332"/>
      <c r="E2332"/>
      <c r="F2332"/>
      <c r="N2332" s="44"/>
    </row>
    <row r="2333" spans="1:14" x14ac:dyDescent="0.3">
      <c r="A2333" s="42"/>
      <c r="C2333" s="52"/>
      <c r="D2333"/>
      <c r="E2333"/>
      <c r="F2333"/>
      <c r="N2333" s="44"/>
    </row>
    <row r="2334" spans="1:14" x14ac:dyDescent="0.3">
      <c r="A2334" s="42"/>
      <c r="C2334" s="52"/>
      <c r="D2334"/>
      <c r="E2334"/>
      <c r="F2334"/>
      <c r="L2334" s="45"/>
      <c r="N2334" s="44"/>
    </row>
    <row r="2335" spans="1:14" x14ac:dyDescent="0.3">
      <c r="A2335" s="42"/>
      <c r="C2335" s="52"/>
      <c r="D2335"/>
      <c r="E2335"/>
      <c r="F2335"/>
      <c r="L2335" s="45"/>
      <c r="N2335" s="44"/>
    </row>
    <row r="2336" spans="1:14" x14ac:dyDescent="0.3">
      <c r="A2336" s="42"/>
      <c r="C2336" s="52"/>
      <c r="D2336"/>
      <c r="E2336"/>
      <c r="F2336"/>
      <c r="L2336" s="45"/>
      <c r="N2336" s="44"/>
    </row>
    <row r="2337" spans="1:14" x14ac:dyDescent="0.3">
      <c r="A2337" s="42"/>
      <c r="C2337" s="52"/>
      <c r="D2337"/>
      <c r="E2337"/>
      <c r="F2337"/>
      <c r="L2337" s="45"/>
      <c r="N2337" s="44"/>
    </row>
    <row r="2338" spans="1:14" x14ac:dyDescent="0.3">
      <c r="A2338" s="42"/>
      <c r="C2338" s="52"/>
      <c r="D2338"/>
      <c r="E2338"/>
      <c r="F2338"/>
      <c r="L2338" s="45"/>
      <c r="N2338" s="44"/>
    </row>
    <row r="2339" spans="1:14" x14ac:dyDescent="0.3">
      <c r="A2339" s="42"/>
      <c r="C2339" s="52"/>
      <c r="D2339"/>
      <c r="E2339"/>
      <c r="F2339"/>
      <c r="L2339" s="45"/>
      <c r="N2339" s="44"/>
    </row>
    <row r="2340" spans="1:14" x14ac:dyDescent="0.3">
      <c r="A2340" s="42"/>
      <c r="C2340" s="52"/>
      <c r="D2340"/>
      <c r="E2340"/>
      <c r="F2340"/>
      <c r="L2340" s="45"/>
      <c r="N2340" s="44"/>
    </row>
    <row r="2341" spans="1:14" x14ac:dyDescent="0.3">
      <c r="A2341" s="42"/>
      <c r="C2341" s="52"/>
      <c r="D2341"/>
      <c r="E2341"/>
      <c r="F2341"/>
      <c r="L2341" s="45"/>
      <c r="N2341" s="44"/>
    </row>
    <row r="2342" spans="1:14" x14ac:dyDescent="0.3">
      <c r="A2342" s="42"/>
      <c r="C2342" s="52"/>
      <c r="D2342"/>
      <c r="E2342"/>
      <c r="F2342"/>
      <c r="L2342" s="45"/>
      <c r="N2342" s="44"/>
    </row>
    <row r="2343" spans="1:14" x14ac:dyDescent="0.3">
      <c r="A2343" s="42"/>
      <c r="C2343" s="52"/>
      <c r="D2343"/>
      <c r="E2343"/>
      <c r="F2343"/>
      <c r="N2343" s="44"/>
    </row>
    <row r="2344" spans="1:14" x14ac:dyDescent="0.3">
      <c r="A2344" s="42"/>
      <c r="C2344" s="52"/>
      <c r="D2344"/>
      <c r="E2344"/>
      <c r="F2344"/>
      <c r="L2344" s="45"/>
      <c r="N2344" s="44"/>
    </row>
    <row r="2345" spans="1:14" x14ac:dyDescent="0.3">
      <c r="A2345" s="42"/>
      <c r="C2345" s="52"/>
      <c r="D2345"/>
      <c r="E2345"/>
      <c r="F2345"/>
      <c r="L2345" s="45"/>
      <c r="N2345" s="44"/>
    </row>
    <row r="2346" spans="1:14" x14ac:dyDescent="0.3">
      <c r="A2346" s="42"/>
      <c r="C2346" s="52"/>
      <c r="D2346"/>
      <c r="E2346"/>
      <c r="F2346"/>
      <c r="L2346" s="45"/>
      <c r="N2346" s="44"/>
    </row>
    <row r="2347" spans="1:14" x14ac:dyDescent="0.3">
      <c r="A2347" s="42"/>
      <c r="C2347" s="52"/>
      <c r="D2347"/>
      <c r="E2347"/>
      <c r="F2347"/>
      <c r="N2347" s="44"/>
    </row>
    <row r="2348" spans="1:14" x14ac:dyDescent="0.3">
      <c r="A2348" s="42"/>
      <c r="C2348" s="52"/>
      <c r="D2348"/>
      <c r="E2348"/>
      <c r="F2348"/>
      <c r="L2348" s="45"/>
      <c r="N2348" s="44"/>
    </row>
    <row r="2349" spans="1:14" x14ac:dyDescent="0.3">
      <c r="A2349" s="42"/>
      <c r="C2349" s="52"/>
      <c r="D2349"/>
      <c r="E2349"/>
      <c r="F2349"/>
      <c r="L2349" s="45"/>
      <c r="N2349" s="44"/>
    </row>
    <row r="2350" spans="1:14" x14ac:dyDescent="0.3">
      <c r="A2350" s="42"/>
      <c r="C2350" s="52"/>
      <c r="D2350"/>
      <c r="E2350"/>
      <c r="F2350"/>
      <c r="L2350" s="45"/>
      <c r="N2350" s="44"/>
    </row>
    <row r="2351" spans="1:14" x14ac:dyDescent="0.3">
      <c r="A2351" s="42"/>
      <c r="C2351" s="52"/>
      <c r="D2351"/>
      <c r="E2351"/>
      <c r="F2351"/>
      <c r="L2351" s="45"/>
      <c r="N2351" s="44"/>
    </row>
    <row r="2352" spans="1:14" x14ac:dyDescent="0.3">
      <c r="A2352" s="42"/>
      <c r="C2352" s="52"/>
      <c r="D2352"/>
      <c r="E2352"/>
      <c r="F2352"/>
      <c r="L2352" s="45"/>
      <c r="N2352" s="44"/>
    </row>
    <row r="2353" spans="1:14" x14ac:dyDescent="0.3">
      <c r="A2353" s="42"/>
      <c r="C2353" s="52"/>
      <c r="D2353"/>
      <c r="E2353"/>
      <c r="F2353"/>
      <c r="N2353" s="44"/>
    </row>
    <row r="2354" spans="1:14" x14ac:dyDescent="0.3">
      <c r="A2354" s="42"/>
      <c r="C2354" s="52"/>
      <c r="D2354"/>
      <c r="E2354"/>
      <c r="F2354"/>
      <c r="N2354" s="44"/>
    </row>
    <row r="2355" spans="1:14" x14ac:dyDescent="0.3">
      <c r="A2355" s="42"/>
      <c r="C2355" s="52"/>
      <c r="D2355"/>
      <c r="E2355"/>
      <c r="F2355"/>
      <c r="N2355" s="44"/>
    </row>
    <row r="2356" spans="1:14" x14ac:dyDescent="0.3">
      <c r="A2356" s="42"/>
      <c r="C2356" s="52"/>
      <c r="D2356"/>
      <c r="E2356"/>
      <c r="F2356"/>
      <c r="N2356" s="44"/>
    </row>
    <row r="2357" spans="1:14" x14ac:dyDescent="0.3">
      <c r="A2357" s="42"/>
      <c r="C2357" s="52"/>
      <c r="D2357"/>
      <c r="E2357"/>
      <c r="F2357"/>
      <c r="N2357" s="44"/>
    </row>
    <row r="2358" spans="1:14" x14ac:dyDescent="0.3">
      <c r="A2358" s="42"/>
      <c r="C2358" s="52"/>
      <c r="D2358"/>
      <c r="E2358"/>
      <c r="F2358"/>
      <c r="L2358" s="45"/>
      <c r="N2358" s="44"/>
    </row>
    <row r="2359" spans="1:14" x14ac:dyDescent="0.3">
      <c r="A2359" s="42"/>
      <c r="C2359" s="52"/>
      <c r="D2359"/>
      <c r="E2359"/>
      <c r="F2359"/>
      <c r="N2359" s="44"/>
    </row>
    <row r="2360" spans="1:14" x14ac:dyDescent="0.3">
      <c r="A2360" s="42"/>
      <c r="C2360" s="52"/>
      <c r="D2360"/>
      <c r="E2360"/>
      <c r="F2360"/>
      <c r="N2360" s="44"/>
    </row>
    <row r="2361" spans="1:14" x14ac:dyDescent="0.3">
      <c r="A2361" s="42"/>
      <c r="C2361" s="52"/>
      <c r="D2361"/>
      <c r="E2361"/>
      <c r="F2361"/>
      <c r="N2361" s="44"/>
    </row>
    <row r="2362" spans="1:14" x14ac:dyDescent="0.3">
      <c r="A2362" s="42"/>
      <c r="C2362" s="52"/>
      <c r="D2362"/>
      <c r="E2362"/>
      <c r="F2362"/>
      <c r="N2362" s="44"/>
    </row>
    <row r="2363" spans="1:14" x14ac:dyDescent="0.3">
      <c r="A2363" s="42"/>
      <c r="C2363" s="52"/>
      <c r="D2363"/>
      <c r="E2363"/>
      <c r="F2363"/>
      <c r="N2363" s="44"/>
    </row>
    <row r="2364" spans="1:14" x14ac:dyDescent="0.3">
      <c r="A2364" s="42"/>
      <c r="C2364" s="52"/>
      <c r="D2364"/>
      <c r="E2364"/>
      <c r="F2364"/>
      <c r="N2364" s="44"/>
    </row>
    <row r="2365" spans="1:14" x14ac:dyDescent="0.3">
      <c r="A2365" s="42"/>
      <c r="C2365" s="52"/>
      <c r="D2365"/>
      <c r="E2365"/>
      <c r="F2365"/>
      <c r="N2365" s="44"/>
    </row>
    <row r="2366" spans="1:14" x14ac:dyDescent="0.3">
      <c r="A2366" s="42"/>
      <c r="C2366" s="52"/>
      <c r="D2366"/>
      <c r="E2366"/>
      <c r="F2366"/>
      <c r="N2366" s="44"/>
    </row>
    <row r="2367" spans="1:14" x14ac:dyDescent="0.3">
      <c r="A2367" s="42"/>
      <c r="C2367" s="52"/>
      <c r="D2367"/>
      <c r="E2367"/>
      <c r="F2367"/>
      <c r="N2367" s="44"/>
    </row>
    <row r="2368" spans="1:14" x14ac:dyDescent="0.3">
      <c r="A2368" s="42"/>
      <c r="C2368" s="52"/>
      <c r="D2368"/>
      <c r="E2368"/>
      <c r="F2368"/>
      <c r="N2368" s="44"/>
    </row>
    <row r="2369" spans="1:14" x14ac:dyDescent="0.3">
      <c r="A2369" s="42"/>
      <c r="C2369" s="52"/>
      <c r="D2369"/>
      <c r="E2369"/>
      <c r="F2369"/>
      <c r="N2369" s="44"/>
    </row>
    <row r="2370" spans="1:14" x14ac:dyDescent="0.3">
      <c r="A2370" s="42"/>
      <c r="C2370" s="52"/>
      <c r="D2370"/>
      <c r="E2370"/>
      <c r="F2370"/>
      <c r="N2370" s="44"/>
    </row>
    <row r="2371" spans="1:14" x14ac:dyDescent="0.3">
      <c r="A2371" s="42"/>
      <c r="C2371" s="52"/>
      <c r="D2371"/>
      <c r="E2371"/>
      <c r="F2371"/>
      <c r="N2371" s="44"/>
    </row>
    <row r="2372" spans="1:14" x14ac:dyDescent="0.3">
      <c r="A2372" s="42"/>
      <c r="C2372" s="52"/>
      <c r="D2372"/>
      <c r="E2372"/>
      <c r="F2372"/>
      <c r="N2372" s="44"/>
    </row>
    <row r="2373" spans="1:14" x14ac:dyDescent="0.3">
      <c r="A2373" s="42"/>
      <c r="C2373" s="52"/>
      <c r="D2373"/>
      <c r="E2373"/>
      <c r="F2373"/>
      <c r="N2373" s="44"/>
    </row>
    <row r="2374" spans="1:14" x14ac:dyDescent="0.3">
      <c r="A2374" s="42"/>
      <c r="C2374" s="52"/>
      <c r="D2374"/>
      <c r="E2374"/>
      <c r="F2374"/>
      <c r="N2374" s="44"/>
    </row>
    <row r="2375" spans="1:14" x14ac:dyDescent="0.3">
      <c r="A2375" s="42"/>
      <c r="C2375" s="52"/>
      <c r="D2375"/>
      <c r="E2375"/>
      <c r="F2375"/>
      <c r="N2375" s="44"/>
    </row>
    <row r="2376" spans="1:14" x14ac:dyDescent="0.3">
      <c r="A2376" s="42"/>
      <c r="C2376" s="52"/>
      <c r="D2376"/>
      <c r="E2376"/>
      <c r="F2376"/>
      <c r="N2376" s="44"/>
    </row>
    <row r="2377" spans="1:14" x14ac:dyDescent="0.3">
      <c r="A2377" s="42"/>
      <c r="C2377" s="52"/>
      <c r="D2377"/>
      <c r="E2377"/>
      <c r="F2377"/>
      <c r="N2377" s="44"/>
    </row>
    <row r="2378" spans="1:14" x14ac:dyDescent="0.3">
      <c r="A2378" s="42"/>
      <c r="C2378" s="52"/>
      <c r="D2378"/>
      <c r="E2378"/>
      <c r="F2378"/>
      <c r="N2378" s="44"/>
    </row>
    <row r="2379" spans="1:14" x14ac:dyDescent="0.3">
      <c r="A2379" s="42"/>
      <c r="C2379" s="52"/>
      <c r="D2379"/>
      <c r="E2379"/>
      <c r="F2379"/>
      <c r="N2379" s="44"/>
    </row>
    <row r="2380" spans="1:14" x14ac:dyDescent="0.3">
      <c r="A2380" s="42"/>
      <c r="C2380" s="52"/>
      <c r="D2380"/>
      <c r="E2380"/>
      <c r="F2380"/>
      <c r="N2380" s="44"/>
    </row>
    <row r="2381" spans="1:14" x14ac:dyDescent="0.3">
      <c r="A2381" s="42"/>
      <c r="C2381" s="52"/>
      <c r="D2381"/>
      <c r="E2381"/>
      <c r="F2381"/>
      <c r="N2381" s="44"/>
    </row>
    <row r="2382" spans="1:14" x14ac:dyDescent="0.3">
      <c r="A2382" s="42"/>
      <c r="C2382" s="52"/>
      <c r="D2382"/>
      <c r="E2382"/>
      <c r="F2382"/>
      <c r="N2382" s="44"/>
    </row>
    <row r="2383" spans="1:14" x14ac:dyDescent="0.3">
      <c r="A2383" s="42"/>
      <c r="C2383" s="52"/>
      <c r="D2383"/>
      <c r="E2383"/>
      <c r="F2383"/>
      <c r="N2383" s="44"/>
    </row>
    <row r="2384" spans="1:14" x14ac:dyDescent="0.3">
      <c r="A2384" s="42"/>
      <c r="C2384" s="52"/>
      <c r="D2384"/>
      <c r="E2384"/>
      <c r="F2384"/>
      <c r="N2384" s="44"/>
    </row>
    <row r="2385" spans="1:14" x14ac:dyDescent="0.3">
      <c r="A2385" s="42"/>
      <c r="C2385" s="52"/>
      <c r="D2385"/>
      <c r="E2385"/>
      <c r="F2385"/>
      <c r="N2385" s="44"/>
    </row>
    <row r="2386" spans="1:14" x14ac:dyDescent="0.3">
      <c r="A2386" s="42"/>
      <c r="C2386" s="52"/>
      <c r="D2386"/>
      <c r="E2386"/>
      <c r="F2386"/>
      <c r="N2386" s="44"/>
    </row>
    <row r="2387" spans="1:14" x14ac:dyDescent="0.3">
      <c r="A2387" s="42"/>
      <c r="C2387" s="52"/>
      <c r="D2387"/>
      <c r="E2387"/>
      <c r="F2387"/>
      <c r="N2387" s="44"/>
    </row>
    <row r="2388" spans="1:14" x14ac:dyDescent="0.3">
      <c r="A2388" s="42"/>
      <c r="C2388" s="52"/>
      <c r="D2388"/>
      <c r="E2388"/>
      <c r="F2388"/>
      <c r="N2388" s="44"/>
    </row>
    <row r="2389" spans="1:14" x14ac:dyDescent="0.3">
      <c r="A2389" s="42"/>
      <c r="C2389" s="52"/>
      <c r="D2389"/>
      <c r="E2389"/>
      <c r="F2389"/>
      <c r="N2389" s="44"/>
    </row>
    <row r="2390" spans="1:14" x14ac:dyDescent="0.3">
      <c r="A2390" s="42"/>
      <c r="C2390" s="52"/>
      <c r="D2390"/>
      <c r="E2390"/>
      <c r="F2390"/>
      <c r="N2390" s="44"/>
    </row>
    <row r="2391" spans="1:14" x14ac:dyDescent="0.3">
      <c r="A2391" s="42"/>
      <c r="C2391" s="52"/>
      <c r="D2391"/>
      <c r="E2391"/>
      <c r="F2391"/>
      <c r="N2391" s="44"/>
    </row>
    <row r="2392" spans="1:14" x14ac:dyDescent="0.3">
      <c r="A2392" s="42"/>
      <c r="C2392" s="52"/>
      <c r="D2392"/>
      <c r="E2392"/>
      <c r="F2392"/>
      <c r="N2392" s="44"/>
    </row>
    <row r="2393" spans="1:14" x14ac:dyDescent="0.3">
      <c r="A2393" s="42"/>
      <c r="C2393" s="52"/>
      <c r="D2393"/>
      <c r="E2393"/>
      <c r="F2393"/>
      <c r="N2393" s="44"/>
    </row>
    <row r="2394" spans="1:14" x14ac:dyDescent="0.3">
      <c r="A2394" s="42"/>
      <c r="C2394" s="52"/>
      <c r="D2394"/>
      <c r="E2394"/>
      <c r="F2394"/>
      <c r="N2394" s="44"/>
    </row>
    <row r="2395" spans="1:14" x14ac:dyDescent="0.3">
      <c r="A2395" s="42"/>
      <c r="C2395" s="52"/>
      <c r="D2395"/>
      <c r="E2395"/>
      <c r="F2395"/>
      <c r="M2395" s="45"/>
      <c r="N2395" s="44"/>
    </row>
    <row r="2396" spans="1:14" x14ac:dyDescent="0.3">
      <c r="A2396" s="42"/>
      <c r="C2396" s="52"/>
      <c r="D2396"/>
      <c r="E2396"/>
      <c r="F2396"/>
      <c r="N2396" s="44"/>
    </row>
    <row r="2397" spans="1:14" x14ac:dyDescent="0.3">
      <c r="A2397" s="42"/>
      <c r="C2397" s="52"/>
      <c r="D2397"/>
      <c r="E2397"/>
      <c r="F2397"/>
      <c r="N2397" s="44"/>
    </row>
    <row r="2398" spans="1:14" x14ac:dyDescent="0.3">
      <c r="A2398" s="42"/>
      <c r="C2398" s="52"/>
      <c r="D2398"/>
      <c r="E2398"/>
      <c r="F2398"/>
      <c r="N2398" s="44"/>
    </row>
    <row r="2399" spans="1:14" x14ac:dyDescent="0.3">
      <c r="A2399" s="42"/>
      <c r="C2399" s="52"/>
      <c r="D2399"/>
      <c r="E2399"/>
      <c r="F2399"/>
      <c r="N2399" s="44"/>
    </row>
    <row r="2400" spans="1:14" x14ac:dyDescent="0.3">
      <c r="A2400" s="42"/>
      <c r="C2400" s="52"/>
      <c r="D2400"/>
      <c r="E2400"/>
      <c r="F2400"/>
      <c r="N2400" s="44"/>
    </row>
    <row r="2401" spans="1:14" x14ac:dyDescent="0.3">
      <c r="A2401" s="42"/>
      <c r="C2401" s="52"/>
      <c r="D2401"/>
      <c r="E2401"/>
      <c r="F2401"/>
      <c r="N2401" s="44"/>
    </row>
    <row r="2402" spans="1:14" x14ac:dyDescent="0.3">
      <c r="A2402" s="42"/>
      <c r="C2402" s="52"/>
      <c r="D2402"/>
      <c r="E2402"/>
      <c r="F2402"/>
      <c r="N2402" s="44"/>
    </row>
    <row r="2403" spans="1:14" x14ac:dyDescent="0.3">
      <c r="A2403" s="42"/>
      <c r="C2403" s="52"/>
      <c r="D2403"/>
      <c r="E2403"/>
      <c r="F2403"/>
      <c r="N2403" s="44"/>
    </row>
    <row r="2404" spans="1:14" x14ac:dyDescent="0.3">
      <c r="A2404" s="42"/>
      <c r="C2404" s="52"/>
      <c r="D2404"/>
      <c r="E2404"/>
      <c r="F2404"/>
      <c r="N2404" s="44"/>
    </row>
    <row r="2405" spans="1:14" x14ac:dyDescent="0.3">
      <c r="A2405" s="42"/>
      <c r="C2405" s="52"/>
      <c r="D2405"/>
      <c r="E2405"/>
      <c r="F2405"/>
      <c r="N2405" s="44"/>
    </row>
    <row r="2406" spans="1:14" x14ac:dyDescent="0.3">
      <c r="A2406" s="42"/>
      <c r="C2406" s="52"/>
      <c r="D2406"/>
      <c r="E2406"/>
      <c r="F2406"/>
      <c r="N2406" s="44"/>
    </row>
    <row r="2407" spans="1:14" x14ac:dyDescent="0.3">
      <c r="A2407" s="42"/>
      <c r="C2407" s="52"/>
      <c r="D2407"/>
      <c r="E2407"/>
      <c r="F2407"/>
      <c r="M2407" s="45"/>
      <c r="N2407" s="44"/>
    </row>
    <row r="2408" spans="1:14" x14ac:dyDescent="0.3">
      <c r="A2408" s="42"/>
      <c r="C2408" s="52"/>
      <c r="D2408"/>
      <c r="E2408"/>
      <c r="F2408"/>
      <c r="N2408" s="44"/>
    </row>
    <row r="2409" spans="1:14" x14ac:dyDescent="0.3">
      <c r="A2409" s="42"/>
      <c r="C2409" s="52"/>
      <c r="D2409"/>
      <c r="E2409"/>
      <c r="F2409"/>
      <c r="N2409" s="44"/>
    </row>
    <row r="2410" spans="1:14" x14ac:dyDescent="0.3">
      <c r="A2410" s="42"/>
      <c r="C2410" s="52"/>
      <c r="D2410"/>
      <c r="E2410"/>
      <c r="F2410"/>
      <c r="N2410" s="44"/>
    </row>
    <row r="2411" spans="1:14" x14ac:dyDescent="0.3">
      <c r="A2411" s="42"/>
      <c r="C2411" s="52"/>
      <c r="D2411"/>
      <c r="E2411"/>
      <c r="F2411"/>
      <c r="N2411" s="44"/>
    </row>
    <row r="2412" spans="1:14" x14ac:dyDescent="0.3">
      <c r="A2412" s="42"/>
      <c r="C2412" s="52"/>
      <c r="D2412"/>
      <c r="E2412"/>
      <c r="F2412"/>
      <c r="N2412" s="44"/>
    </row>
    <row r="2413" spans="1:14" x14ac:dyDescent="0.3">
      <c r="A2413" s="42"/>
      <c r="C2413" s="52"/>
      <c r="D2413"/>
      <c r="E2413"/>
      <c r="F2413"/>
      <c r="N2413" s="44"/>
    </row>
    <row r="2414" spans="1:14" x14ac:dyDescent="0.3">
      <c r="A2414" s="42"/>
      <c r="C2414" s="52"/>
      <c r="D2414"/>
      <c r="E2414"/>
      <c r="F2414"/>
      <c r="N2414" s="44"/>
    </row>
    <row r="2415" spans="1:14" x14ac:dyDescent="0.3">
      <c r="A2415" s="42"/>
      <c r="C2415" s="52"/>
      <c r="D2415"/>
      <c r="E2415"/>
      <c r="F2415"/>
      <c r="N2415" s="44"/>
    </row>
    <row r="2416" spans="1:14" x14ac:dyDescent="0.3">
      <c r="A2416" s="42"/>
      <c r="C2416" s="52"/>
      <c r="D2416"/>
      <c r="E2416"/>
      <c r="F2416"/>
      <c r="N2416" s="44"/>
    </row>
    <row r="2417" spans="1:14" x14ac:dyDescent="0.3">
      <c r="A2417" s="42"/>
      <c r="C2417" s="52"/>
      <c r="D2417"/>
      <c r="E2417"/>
      <c r="F2417"/>
      <c r="N2417" s="44"/>
    </row>
    <row r="2418" spans="1:14" x14ac:dyDescent="0.3">
      <c r="A2418" s="42"/>
      <c r="C2418" s="52"/>
      <c r="D2418"/>
      <c r="E2418"/>
      <c r="F2418"/>
      <c r="N2418" s="44"/>
    </row>
    <row r="2419" spans="1:14" x14ac:dyDescent="0.3">
      <c r="A2419" s="42"/>
      <c r="C2419" s="52"/>
      <c r="D2419"/>
      <c r="E2419"/>
      <c r="F2419"/>
      <c r="N2419" s="44"/>
    </row>
    <row r="2420" spans="1:14" x14ac:dyDescent="0.3">
      <c r="A2420" s="42"/>
      <c r="C2420" s="52"/>
      <c r="D2420"/>
      <c r="E2420"/>
      <c r="F2420"/>
      <c r="N2420" s="44"/>
    </row>
    <row r="2421" spans="1:14" x14ac:dyDescent="0.3">
      <c r="A2421" s="42"/>
      <c r="C2421" s="52"/>
      <c r="D2421"/>
      <c r="E2421"/>
      <c r="F2421"/>
      <c r="N2421" s="44"/>
    </row>
    <row r="2422" spans="1:14" x14ac:dyDescent="0.3">
      <c r="A2422" s="42"/>
      <c r="C2422" s="52"/>
      <c r="D2422"/>
      <c r="E2422"/>
      <c r="F2422"/>
      <c r="N2422" s="44"/>
    </row>
    <row r="2423" spans="1:14" x14ac:dyDescent="0.3">
      <c r="A2423" s="42"/>
      <c r="C2423" s="52"/>
      <c r="D2423"/>
      <c r="E2423"/>
      <c r="F2423"/>
      <c r="N2423" s="44"/>
    </row>
    <row r="2424" spans="1:14" x14ac:dyDescent="0.3">
      <c r="A2424" s="42"/>
      <c r="C2424" s="52"/>
      <c r="D2424"/>
      <c r="E2424"/>
      <c r="F2424"/>
      <c r="N2424" s="44"/>
    </row>
    <row r="2425" spans="1:14" x14ac:dyDescent="0.3">
      <c r="A2425" s="42"/>
      <c r="C2425" s="52"/>
      <c r="D2425"/>
      <c r="E2425"/>
      <c r="F2425"/>
      <c r="N2425" s="44"/>
    </row>
    <row r="2426" spans="1:14" x14ac:dyDescent="0.3">
      <c r="A2426" s="42"/>
      <c r="C2426" s="52"/>
      <c r="D2426"/>
      <c r="E2426"/>
      <c r="F2426"/>
      <c r="N2426" s="44"/>
    </row>
    <row r="2427" spans="1:14" x14ac:dyDescent="0.3">
      <c r="A2427" s="42"/>
      <c r="C2427" s="52"/>
      <c r="D2427"/>
      <c r="E2427"/>
      <c r="F2427"/>
      <c r="N2427" s="44"/>
    </row>
    <row r="2428" spans="1:14" x14ac:dyDescent="0.3">
      <c r="A2428" s="42"/>
      <c r="C2428" s="52"/>
      <c r="D2428"/>
      <c r="E2428"/>
      <c r="F2428"/>
      <c r="N2428" s="44"/>
    </row>
    <row r="2429" spans="1:14" x14ac:dyDescent="0.3">
      <c r="A2429" s="42"/>
      <c r="C2429" s="52"/>
      <c r="D2429"/>
      <c r="E2429"/>
      <c r="F2429"/>
      <c r="N2429" s="44"/>
    </row>
    <row r="2430" spans="1:14" x14ac:dyDescent="0.3">
      <c r="A2430" s="42"/>
      <c r="C2430" s="52"/>
      <c r="D2430"/>
      <c r="E2430"/>
      <c r="F2430"/>
      <c r="N2430" s="44"/>
    </row>
    <row r="2431" spans="1:14" x14ac:dyDescent="0.3">
      <c r="A2431" s="42"/>
      <c r="C2431" s="52"/>
      <c r="D2431"/>
      <c r="E2431"/>
      <c r="F2431"/>
      <c r="N2431" s="44"/>
    </row>
    <row r="2432" spans="1:14" x14ac:dyDescent="0.3">
      <c r="A2432" s="42"/>
      <c r="C2432" s="52"/>
      <c r="D2432"/>
      <c r="E2432"/>
      <c r="F2432"/>
      <c r="N2432" s="44"/>
    </row>
    <row r="2433" spans="1:14" x14ac:dyDescent="0.3">
      <c r="A2433" s="42"/>
      <c r="C2433" s="52"/>
      <c r="D2433"/>
      <c r="E2433"/>
      <c r="F2433"/>
      <c r="N2433" s="44"/>
    </row>
    <row r="2434" spans="1:14" x14ac:dyDescent="0.3">
      <c r="A2434" s="42"/>
      <c r="C2434" s="52"/>
      <c r="D2434"/>
      <c r="E2434"/>
      <c r="F2434"/>
      <c r="N2434" s="44"/>
    </row>
    <row r="2435" spans="1:14" x14ac:dyDescent="0.3">
      <c r="A2435" s="42"/>
      <c r="C2435" s="52"/>
      <c r="D2435"/>
      <c r="E2435"/>
      <c r="F2435"/>
      <c r="N2435" s="44"/>
    </row>
    <row r="2436" spans="1:14" x14ac:dyDescent="0.3">
      <c r="A2436" s="42"/>
      <c r="C2436" s="52"/>
      <c r="D2436"/>
      <c r="E2436"/>
      <c r="F2436"/>
      <c r="N2436" s="44"/>
    </row>
    <row r="2437" spans="1:14" x14ac:dyDescent="0.3">
      <c r="A2437" s="42"/>
      <c r="C2437" s="52"/>
      <c r="D2437"/>
      <c r="E2437"/>
      <c r="F2437"/>
      <c r="N2437" s="44"/>
    </row>
    <row r="2438" spans="1:14" x14ac:dyDescent="0.3">
      <c r="A2438" s="42"/>
      <c r="C2438" s="52"/>
      <c r="D2438"/>
      <c r="E2438"/>
      <c r="F2438"/>
      <c r="N2438" s="44"/>
    </row>
    <row r="2439" spans="1:14" x14ac:dyDescent="0.3">
      <c r="A2439" s="42"/>
      <c r="C2439" s="52"/>
      <c r="D2439"/>
      <c r="E2439"/>
      <c r="F2439"/>
      <c r="N2439" s="44"/>
    </row>
    <row r="2440" spans="1:14" x14ac:dyDescent="0.3">
      <c r="A2440" s="42"/>
      <c r="C2440" s="52"/>
      <c r="D2440"/>
      <c r="E2440"/>
      <c r="F2440"/>
      <c r="N2440" s="44"/>
    </row>
    <row r="2441" spans="1:14" x14ac:dyDescent="0.3">
      <c r="A2441" s="42"/>
      <c r="C2441" s="52"/>
      <c r="D2441"/>
      <c r="E2441"/>
      <c r="F2441"/>
      <c r="N2441" s="44"/>
    </row>
    <row r="2442" spans="1:14" x14ac:dyDescent="0.3">
      <c r="A2442" s="42"/>
      <c r="C2442" s="52"/>
      <c r="D2442"/>
      <c r="E2442"/>
      <c r="F2442"/>
      <c r="N2442" s="44"/>
    </row>
    <row r="2443" spans="1:14" x14ac:dyDescent="0.3">
      <c r="A2443" s="42"/>
      <c r="C2443" s="52"/>
      <c r="D2443"/>
      <c r="E2443"/>
      <c r="F2443"/>
      <c r="N2443" s="44"/>
    </row>
    <row r="2444" spans="1:14" x14ac:dyDescent="0.3">
      <c r="A2444" s="42"/>
      <c r="C2444" s="52"/>
      <c r="D2444"/>
      <c r="E2444"/>
      <c r="F2444"/>
      <c r="N2444" s="44"/>
    </row>
    <row r="2445" spans="1:14" x14ac:dyDescent="0.3">
      <c r="A2445" s="42"/>
      <c r="C2445" s="52"/>
      <c r="D2445"/>
      <c r="E2445"/>
      <c r="F2445"/>
      <c r="N2445" s="44"/>
    </row>
    <row r="2446" spans="1:14" x14ac:dyDescent="0.3">
      <c r="A2446" s="42"/>
      <c r="C2446" s="52"/>
      <c r="D2446"/>
      <c r="E2446"/>
      <c r="F2446"/>
      <c r="N2446" s="44"/>
    </row>
    <row r="2447" spans="1:14" x14ac:dyDescent="0.3">
      <c r="A2447" s="42"/>
      <c r="C2447" s="52"/>
      <c r="D2447"/>
      <c r="E2447"/>
      <c r="F2447"/>
      <c r="N2447" s="44"/>
    </row>
    <row r="2448" spans="1:14" x14ac:dyDescent="0.3">
      <c r="A2448" s="42"/>
      <c r="C2448" s="52"/>
      <c r="D2448"/>
      <c r="E2448"/>
      <c r="F2448"/>
      <c r="N2448" s="44"/>
    </row>
    <row r="2449" spans="1:14" x14ac:dyDescent="0.3">
      <c r="A2449" s="42"/>
      <c r="C2449" s="52"/>
      <c r="D2449"/>
      <c r="E2449"/>
      <c r="F2449"/>
      <c r="N2449" s="44"/>
    </row>
    <row r="2450" spans="1:14" x14ac:dyDescent="0.3">
      <c r="A2450" s="42"/>
      <c r="C2450" s="52"/>
      <c r="D2450"/>
      <c r="E2450"/>
      <c r="F2450"/>
      <c r="N2450" s="44"/>
    </row>
    <row r="2451" spans="1:14" x14ac:dyDescent="0.3">
      <c r="A2451" s="42"/>
      <c r="C2451" s="52"/>
      <c r="D2451"/>
      <c r="E2451"/>
      <c r="F2451"/>
      <c r="N2451" s="44"/>
    </row>
    <row r="2452" spans="1:14" x14ac:dyDescent="0.3">
      <c r="A2452" s="42"/>
      <c r="C2452" s="52"/>
      <c r="D2452"/>
      <c r="E2452"/>
      <c r="F2452"/>
      <c r="N2452" s="44"/>
    </row>
    <row r="2453" spans="1:14" x14ac:dyDescent="0.3">
      <c r="A2453" s="42"/>
      <c r="C2453" s="52"/>
      <c r="D2453"/>
      <c r="E2453"/>
      <c r="F2453"/>
      <c r="N2453" s="44"/>
    </row>
    <row r="2454" spans="1:14" x14ac:dyDescent="0.3">
      <c r="A2454" s="42"/>
      <c r="C2454" s="52"/>
      <c r="D2454"/>
      <c r="E2454"/>
      <c r="F2454"/>
      <c r="N2454" s="44"/>
    </row>
    <row r="2455" spans="1:14" x14ac:dyDescent="0.3">
      <c r="A2455" s="42"/>
      <c r="C2455" s="52"/>
      <c r="D2455"/>
      <c r="E2455"/>
      <c r="F2455"/>
      <c r="N2455" s="44"/>
    </row>
    <row r="2456" spans="1:14" x14ac:dyDescent="0.3">
      <c r="A2456" s="42"/>
      <c r="C2456" s="52"/>
      <c r="D2456"/>
      <c r="E2456"/>
      <c r="F2456"/>
      <c r="N2456" s="44"/>
    </row>
    <row r="2457" spans="1:14" x14ac:dyDescent="0.3">
      <c r="A2457" s="42"/>
      <c r="C2457" s="52"/>
      <c r="D2457"/>
      <c r="E2457"/>
      <c r="F2457"/>
      <c r="N2457" s="44"/>
    </row>
    <row r="2458" spans="1:14" x14ac:dyDescent="0.3">
      <c r="A2458" s="42"/>
      <c r="C2458" s="52"/>
      <c r="D2458"/>
      <c r="E2458"/>
      <c r="F2458"/>
      <c r="N2458" s="44"/>
    </row>
    <row r="2459" spans="1:14" x14ac:dyDescent="0.3">
      <c r="A2459" s="42"/>
      <c r="C2459" s="52"/>
      <c r="D2459"/>
      <c r="E2459"/>
      <c r="F2459"/>
      <c r="N2459" s="44"/>
    </row>
    <row r="2460" spans="1:14" x14ac:dyDescent="0.3">
      <c r="A2460" s="42"/>
      <c r="C2460" s="52"/>
      <c r="D2460"/>
      <c r="E2460"/>
      <c r="F2460"/>
      <c r="N2460" s="44"/>
    </row>
    <row r="2461" spans="1:14" x14ac:dyDescent="0.3">
      <c r="A2461" s="42"/>
      <c r="C2461" s="52"/>
      <c r="D2461"/>
      <c r="E2461"/>
      <c r="F2461"/>
      <c r="N2461" s="44"/>
    </row>
    <row r="2462" spans="1:14" x14ac:dyDescent="0.3">
      <c r="A2462" s="42"/>
      <c r="C2462" s="52"/>
      <c r="D2462"/>
      <c r="E2462"/>
      <c r="F2462"/>
      <c r="N2462" s="44"/>
    </row>
    <row r="2463" spans="1:14" x14ac:dyDescent="0.3">
      <c r="A2463" s="42"/>
      <c r="C2463" s="52"/>
      <c r="D2463"/>
      <c r="E2463"/>
      <c r="F2463"/>
      <c r="N2463" s="44"/>
    </row>
    <row r="2464" spans="1:14" x14ac:dyDescent="0.3">
      <c r="A2464" s="42"/>
      <c r="C2464" s="52"/>
      <c r="D2464"/>
      <c r="E2464"/>
      <c r="F2464"/>
      <c r="N2464" s="44"/>
    </row>
    <row r="2465" spans="1:14" x14ac:dyDescent="0.3">
      <c r="A2465" s="42"/>
      <c r="C2465" s="52"/>
      <c r="D2465"/>
      <c r="E2465"/>
      <c r="F2465"/>
      <c r="N2465" s="44"/>
    </row>
    <row r="2466" spans="1:14" x14ac:dyDescent="0.3">
      <c r="A2466" s="42"/>
      <c r="C2466" s="52"/>
      <c r="D2466"/>
      <c r="E2466"/>
      <c r="F2466"/>
      <c r="N2466" s="44"/>
    </row>
    <row r="2467" spans="1:14" x14ac:dyDescent="0.3">
      <c r="A2467" s="42"/>
      <c r="C2467" s="52"/>
      <c r="D2467"/>
      <c r="E2467"/>
      <c r="F2467"/>
      <c r="N2467" s="44"/>
    </row>
    <row r="2468" spans="1:14" x14ac:dyDescent="0.3">
      <c r="A2468" s="42"/>
      <c r="C2468" s="52"/>
      <c r="D2468"/>
      <c r="E2468"/>
      <c r="F2468"/>
      <c r="N2468" s="44"/>
    </row>
    <row r="2469" spans="1:14" x14ac:dyDescent="0.3">
      <c r="A2469" s="42"/>
      <c r="C2469" s="52"/>
      <c r="D2469"/>
      <c r="E2469"/>
      <c r="F2469"/>
      <c r="N2469" s="44"/>
    </row>
    <row r="2470" spans="1:14" x14ac:dyDescent="0.3">
      <c r="A2470" s="42"/>
      <c r="C2470" s="52"/>
      <c r="D2470"/>
      <c r="E2470"/>
      <c r="F2470"/>
      <c r="N2470" s="44"/>
    </row>
    <row r="2471" spans="1:14" x14ac:dyDescent="0.3">
      <c r="A2471" s="42"/>
      <c r="C2471" s="52"/>
      <c r="D2471"/>
      <c r="E2471"/>
      <c r="F2471"/>
      <c r="N2471" s="44"/>
    </row>
    <row r="2472" spans="1:14" x14ac:dyDescent="0.3">
      <c r="A2472" s="42"/>
      <c r="C2472" s="52"/>
      <c r="D2472"/>
      <c r="E2472"/>
      <c r="F2472"/>
      <c r="N2472" s="44"/>
    </row>
    <row r="2473" spans="1:14" x14ac:dyDescent="0.3">
      <c r="A2473" s="42"/>
      <c r="C2473" s="52"/>
      <c r="D2473"/>
      <c r="E2473"/>
      <c r="F2473"/>
      <c r="N2473" s="44"/>
    </row>
    <row r="2474" spans="1:14" x14ac:dyDescent="0.3">
      <c r="A2474" s="42"/>
      <c r="C2474" s="52"/>
      <c r="D2474"/>
      <c r="E2474"/>
      <c r="F2474"/>
      <c r="N2474" s="44"/>
    </row>
    <row r="2475" spans="1:14" x14ac:dyDescent="0.3">
      <c r="A2475" s="42"/>
      <c r="C2475" s="52"/>
      <c r="D2475"/>
      <c r="E2475"/>
      <c r="F2475"/>
      <c r="N2475" s="44"/>
    </row>
    <row r="2476" spans="1:14" x14ac:dyDescent="0.3">
      <c r="A2476" s="42"/>
      <c r="C2476" s="52"/>
      <c r="D2476"/>
      <c r="E2476"/>
      <c r="F2476"/>
      <c r="N2476" s="44"/>
    </row>
    <row r="2477" spans="1:14" x14ac:dyDescent="0.3">
      <c r="A2477" s="42"/>
      <c r="C2477" s="52"/>
      <c r="D2477"/>
      <c r="E2477"/>
      <c r="F2477"/>
      <c r="N2477" s="44"/>
    </row>
    <row r="2478" spans="1:14" x14ac:dyDescent="0.3">
      <c r="A2478" s="42"/>
      <c r="C2478" s="52"/>
      <c r="D2478"/>
      <c r="E2478"/>
      <c r="F2478"/>
      <c r="N2478" s="44"/>
    </row>
    <row r="2479" spans="1:14" x14ac:dyDescent="0.3">
      <c r="A2479" s="42"/>
      <c r="C2479" s="52"/>
      <c r="D2479"/>
      <c r="E2479"/>
      <c r="F2479"/>
      <c r="N2479" s="44"/>
    </row>
    <row r="2480" spans="1:14" x14ac:dyDescent="0.3">
      <c r="A2480" s="42"/>
      <c r="C2480" s="52"/>
      <c r="D2480"/>
      <c r="E2480"/>
      <c r="F2480"/>
      <c r="N2480" s="44"/>
    </row>
    <row r="2481" spans="1:14" x14ac:dyDescent="0.3">
      <c r="A2481" s="42"/>
      <c r="C2481" s="52"/>
      <c r="D2481"/>
      <c r="E2481"/>
      <c r="F2481"/>
      <c r="N2481" s="44"/>
    </row>
    <row r="2482" spans="1:14" x14ac:dyDescent="0.3">
      <c r="A2482" s="42"/>
      <c r="C2482" s="52"/>
      <c r="D2482"/>
      <c r="E2482"/>
      <c r="F2482"/>
      <c r="N2482" s="44"/>
    </row>
    <row r="2483" spans="1:14" x14ac:dyDescent="0.3">
      <c r="A2483" s="42"/>
      <c r="C2483" s="52"/>
      <c r="D2483"/>
      <c r="E2483"/>
      <c r="F2483"/>
      <c r="N2483" s="44"/>
    </row>
    <row r="2484" spans="1:14" x14ac:dyDescent="0.3">
      <c r="A2484" s="42"/>
      <c r="C2484" s="52"/>
      <c r="D2484"/>
      <c r="E2484"/>
      <c r="F2484"/>
      <c r="N2484" s="44"/>
    </row>
    <row r="2485" spans="1:14" x14ac:dyDescent="0.3">
      <c r="A2485" s="42"/>
      <c r="C2485" s="52"/>
      <c r="D2485"/>
      <c r="E2485"/>
      <c r="F2485"/>
      <c r="N2485" s="44"/>
    </row>
    <row r="2486" spans="1:14" x14ac:dyDescent="0.3">
      <c r="A2486" s="42"/>
      <c r="C2486" s="52"/>
      <c r="D2486"/>
      <c r="E2486"/>
      <c r="F2486"/>
      <c r="N2486" s="44"/>
    </row>
    <row r="2487" spans="1:14" x14ac:dyDescent="0.3">
      <c r="A2487" s="42"/>
      <c r="C2487" s="52"/>
      <c r="D2487"/>
      <c r="E2487"/>
      <c r="F2487"/>
      <c r="N2487" s="44"/>
    </row>
    <row r="2488" spans="1:14" x14ac:dyDescent="0.3">
      <c r="A2488" s="42"/>
      <c r="C2488" s="52"/>
      <c r="D2488"/>
      <c r="E2488"/>
      <c r="F2488"/>
      <c r="N2488" s="44"/>
    </row>
    <row r="2489" spans="1:14" x14ac:dyDescent="0.3">
      <c r="A2489" s="42"/>
      <c r="C2489" s="52"/>
      <c r="D2489"/>
      <c r="E2489"/>
      <c r="F2489"/>
      <c r="N2489" s="44"/>
    </row>
    <row r="2490" spans="1:14" x14ac:dyDescent="0.3">
      <c r="A2490" s="42"/>
      <c r="C2490" s="52"/>
      <c r="D2490"/>
      <c r="E2490"/>
      <c r="F2490"/>
      <c r="N2490" s="44"/>
    </row>
    <row r="2491" spans="1:14" x14ac:dyDescent="0.3">
      <c r="A2491" s="42"/>
      <c r="C2491" s="52"/>
      <c r="D2491"/>
      <c r="E2491"/>
      <c r="F2491"/>
      <c r="N2491" s="44"/>
    </row>
    <row r="2492" spans="1:14" x14ac:dyDescent="0.3">
      <c r="A2492" s="42"/>
      <c r="C2492" s="52"/>
      <c r="D2492"/>
      <c r="E2492"/>
      <c r="F2492"/>
      <c r="N2492" s="44"/>
    </row>
    <row r="2493" spans="1:14" x14ac:dyDescent="0.3">
      <c r="A2493" s="42"/>
      <c r="C2493" s="52"/>
      <c r="D2493"/>
      <c r="E2493"/>
      <c r="F2493"/>
      <c r="N2493" s="44"/>
    </row>
    <row r="2494" spans="1:14" x14ac:dyDescent="0.3">
      <c r="A2494" s="42"/>
      <c r="C2494" s="52"/>
      <c r="D2494"/>
      <c r="E2494"/>
      <c r="F2494"/>
      <c r="N2494" s="44"/>
    </row>
    <row r="2495" spans="1:14" x14ac:dyDescent="0.3">
      <c r="A2495" s="42"/>
      <c r="C2495" s="52"/>
      <c r="D2495"/>
      <c r="E2495"/>
      <c r="F2495"/>
      <c r="N2495" s="44"/>
    </row>
    <row r="2496" spans="1:14" x14ac:dyDescent="0.3">
      <c r="A2496" s="42"/>
      <c r="C2496" s="52"/>
      <c r="D2496"/>
      <c r="E2496"/>
      <c r="F2496"/>
      <c r="N2496" s="44"/>
    </row>
    <row r="2497" spans="1:14" x14ac:dyDescent="0.3">
      <c r="A2497" s="42"/>
      <c r="C2497" s="52"/>
      <c r="D2497"/>
      <c r="E2497"/>
      <c r="F2497"/>
      <c r="N2497" s="44"/>
    </row>
    <row r="2498" spans="1:14" x14ac:dyDescent="0.3">
      <c r="A2498" s="42"/>
      <c r="C2498" s="52"/>
      <c r="D2498"/>
      <c r="E2498"/>
      <c r="F2498"/>
      <c r="N2498" s="44"/>
    </row>
    <row r="2499" spans="1:14" x14ac:dyDescent="0.3">
      <c r="A2499" s="42"/>
      <c r="C2499" s="52"/>
      <c r="D2499"/>
      <c r="E2499"/>
      <c r="F2499"/>
      <c r="N2499" s="44"/>
    </row>
    <row r="2500" spans="1:14" x14ac:dyDescent="0.3">
      <c r="A2500" s="42"/>
      <c r="C2500" s="52"/>
      <c r="D2500"/>
      <c r="E2500"/>
      <c r="F2500"/>
      <c r="N2500" s="44"/>
    </row>
    <row r="2501" spans="1:14" x14ac:dyDescent="0.3">
      <c r="A2501" s="42"/>
      <c r="C2501" s="52"/>
      <c r="D2501"/>
      <c r="E2501"/>
      <c r="F2501"/>
      <c r="N2501" s="44"/>
    </row>
    <row r="2502" spans="1:14" x14ac:dyDescent="0.3">
      <c r="A2502" s="42"/>
      <c r="C2502" s="52"/>
      <c r="D2502"/>
      <c r="E2502"/>
      <c r="F2502"/>
      <c r="N2502" s="44"/>
    </row>
    <row r="2503" spans="1:14" x14ac:dyDescent="0.3">
      <c r="A2503" s="42"/>
      <c r="C2503" s="52"/>
      <c r="D2503"/>
      <c r="E2503"/>
      <c r="F2503"/>
      <c r="M2503" s="45"/>
      <c r="N2503" s="44"/>
    </row>
    <row r="2504" spans="1:14" x14ac:dyDescent="0.3">
      <c r="A2504" s="42"/>
      <c r="C2504" s="52"/>
      <c r="D2504"/>
      <c r="E2504"/>
      <c r="F2504"/>
      <c r="N2504" s="44"/>
    </row>
    <row r="2505" spans="1:14" x14ac:dyDescent="0.3">
      <c r="A2505" s="42"/>
      <c r="C2505" s="52"/>
      <c r="D2505"/>
      <c r="E2505"/>
      <c r="F2505"/>
      <c r="N2505" s="44"/>
    </row>
    <row r="2506" spans="1:14" x14ac:dyDescent="0.3">
      <c r="A2506" s="42"/>
      <c r="C2506" s="52"/>
      <c r="D2506"/>
      <c r="E2506"/>
      <c r="F2506"/>
      <c r="N2506" s="44"/>
    </row>
    <row r="2507" spans="1:14" x14ac:dyDescent="0.3">
      <c r="A2507" s="42"/>
      <c r="C2507" s="52"/>
      <c r="D2507"/>
      <c r="E2507"/>
      <c r="F2507"/>
      <c r="N2507" s="44"/>
    </row>
    <row r="2508" spans="1:14" x14ac:dyDescent="0.3">
      <c r="A2508" s="42"/>
      <c r="C2508" s="52"/>
      <c r="D2508"/>
      <c r="E2508"/>
      <c r="F2508"/>
      <c r="N2508" s="44"/>
    </row>
    <row r="2509" spans="1:14" x14ac:dyDescent="0.3">
      <c r="A2509" s="42"/>
      <c r="C2509" s="52"/>
      <c r="D2509"/>
      <c r="E2509"/>
      <c r="F2509"/>
      <c r="N2509" s="44"/>
    </row>
    <row r="2510" spans="1:14" x14ac:dyDescent="0.3">
      <c r="A2510" s="42"/>
      <c r="C2510" s="52"/>
      <c r="D2510"/>
      <c r="E2510"/>
      <c r="F2510"/>
      <c r="N2510" s="44"/>
    </row>
    <row r="2511" spans="1:14" x14ac:dyDescent="0.3">
      <c r="A2511" s="42"/>
      <c r="C2511" s="52"/>
      <c r="D2511"/>
      <c r="E2511"/>
      <c r="F2511"/>
      <c r="N2511" s="44"/>
    </row>
    <row r="2512" spans="1:14" x14ac:dyDescent="0.3">
      <c r="A2512" s="42"/>
      <c r="C2512" s="52"/>
      <c r="D2512"/>
      <c r="E2512"/>
      <c r="F2512"/>
      <c r="N2512" s="44"/>
    </row>
    <row r="2513" spans="1:14" x14ac:dyDescent="0.3">
      <c r="A2513" s="42"/>
      <c r="C2513" s="52"/>
      <c r="D2513"/>
      <c r="E2513"/>
      <c r="F2513"/>
      <c r="N2513" s="44"/>
    </row>
    <row r="2514" spans="1:14" x14ac:dyDescent="0.3">
      <c r="A2514" s="42"/>
      <c r="C2514" s="52"/>
      <c r="D2514"/>
      <c r="E2514"/>
      <c r="F2514"/>
      <c r="N2514" s="44"/>
    </row>
    <row r="2515" spans="1:14" x14ac:dyDescent="0.3">
      <c r="A2515" s="42"/>
      <c r="C2515" s="52"/>
      <c r="D2515"/>
      <c r="E2515"/>
      <c r="F2515"/>
      <c r="N2515" s="44"/>
    </row>
    <row r="2516" spans="1:14" x14ac:dyDescent="0.3">
      <c r="A2516" s="42"/>
      <c r="C2516" s="52"/>
      <c r="D2516"/>
      <c r="E2516"/>
      <c r="F2516"/>
      <c r="N2516" s="44"/>
    </row>
    <row r="2517" spans="1:14" x14ac:dyDescent="0.3">
      <c r="A2517" s="42"/>
      <c r="C2517" s="52"/>
      <c r="D2517"/>
      <c r="E2517"/>
      <c r="F2517"/>
      <c r="N2517" s="44"/>
    </row>
    <row r="2518" spans="1:14" x14ac:dyDescent="0.3">
      <c r="A2518" s="42"/>
      <c r="C2518" s="52"/>
      <c r="D2518"/>
      <c r="E2518"/>
      <c r="F2518"/>
      <c r="N2518" s="44"/>
    </row>
    <row r="2519" spans="1:14" x14ac:dyDescent="0.3">
      <c r="A2519" s="42"/>
      <c r="C2519" s="52"/>
      <c r="D2519"/>
      <c r="E2519"/>
      <c r="F2519"/>
      <c r="N2519" s="44"/>
    </row>
    <row r="2520" spans="1:14" x14ac:dyDescent="0.3">
      <c r="A2520" s="42"/>
      <c r="C2520" s="52"/>
      <c r="D2520"/>
      <c r="E2520"/>
      <c r="F2520"/>
      <c r="N2520" s="44"/>
    </row>
    <row r="2521" spans="1:14" x14ac:dyDescent="0.3">
      <c r="A2521" s="42"/>
      <c r="C2521" s="52"/>
      <c r="D2521"/>
      <c r="E2521"/>
      <c r="F2521"/>
      <c r="N2521" s="44"/>
    </row>
    <row r="2522" spans="1:14" x14ac:dyDescent="0.3">
      <c r="A2522" s="42"/>
      <c r="C2522" s="52"/>
      <c r="D2522"/>
      <c r="E2522"/>
      <c r="F2522"/>
      <c r="N2522" s="44"/>
    </row>
    <row r="2523" spans="1:14" x14ac:dyDescent="0.3">
      <c r="A2523" s="42"/>
      <c r="C2523" s="52"/>
      <c r="D2523"/>
      <c r="E2523"/>
      <c r="F2523"/>
      <c r="N2523" s="44"/>
    </row>
    <row r="2524" spans="1:14" x14ac:dyDescent="0.3">
      <c r="A2524" s="42"/>
      <c r="C2524" s="52"/>
      <c r="D2524"/>
      <c r="E2524"/>
      <c r="F2524"/>
      <c r="N2524" s="44"/>
    </row>
    <row r="2525" spans="1:14" x14ac:dyDescent="0.3">
      <c r="A2525" s="42"/>
      <c r="C2525" s="52"/>
      <c r="D2525"/>
      <c r="E2525"/>
      <c r="F2525"/>
      <c r="N2525" s="44"/>
    </row>
    <row r="2526" spans="1:14" x14ac:dyDescent="0.3">
      <c r="A2526" s="42"/>
      <c r="C2526" s="52"/>
      <c r="D2526"/>
      <c r="E2526"/>
      <c r="F2526"/>
      <c r="N2526" s="44"/>
    </row>
    <row r="2527" spans="1:14" x14ac:dyDescent="0.3">
      <c r="A2527" s="42"/>
      <c r="C2527" s="52"/>
      <c r="D2527"/>
      <c r="E2527"/>
      <c r="F2527"/>
      <c r="N2527" s="44"/>
    </row>
    <row r="2528" spans="1:14" x14ac:dyDescent="0.3">
      <c r="A2528" s="42"/>
      <c r="C2528" s="52"/>
      <c r="D2528"/>
      <c r="E2528"/>
      <c r="F2528"/>
      <c r="N2528" s="44"/>
    </row>
    <row r="2529" spans="1:14" x14ac:dyDescent="0.3">
      <c r="A2529" s="42"/>
      <c r="C2529" s="52"/>
      <c r="D2529"/>
      <c r="E2529"/>
      <c r="F2529"/>
      <c r="N2529" s="44"/>
    </row>
    <row r="2530" spans="1:14" x14ac:dyDescent="0.3">
      <c r="A2530" s="42"/>
      <c r="C2530" s="52"/>
      <c r="D2530"/>
      <c r="E2530"/>
      <c r="F2530"/>
      <c r="N2530" s="44"/>
    </row>
    <row r="2531" spans="1:14" x14ac:dyDescent="0.3">
      <c r="A2531" s="42"/>
      <c r="C2531" s="52"/>
      <c r="D2531"/>
      <c r="E2531"/>
      <c r="F2531"/>
      <c r="N2531" s="44"/>
    </row>
    <row r="2532" spans="1:14" x14ac:dyDescent="0.3">
      <c r="A2532" s="42"/>
      <c r="C2532" s="52"/>
      <c r="D2532"/>
      <c r="E2532"/>
      <c r="F2532"/>
      <c r="N2532" s="44"/>
    </row>
    <row r="2533" spans="1:14" x14ac:dyDescent="0.3">
      <c r="A2533" s="42"/>
      <c r="C2533" s="52"/>
      <c r="D2533"/>
      <c r="E2533"/>
      <c r="F2533"/>
      <c r="N2533" s="44"/>
    </row>
    <row r="2534" spans="1:14" x14ac:dyDescent="0.3">
      <c r="A2534" s="42"/>
      <c r="C2534" s="52"/>
      <c r="D2534"/>
      <c r="E2534"/>
      <c r="F2534"/>
      <c r="N2534" s="44"/>
    </row>
    <row r="2535" spans="1:14" x14ac:dyDescent="0.3">
      <c r="A2535" s="42"/>
      <c r="C2535" s="52"/>
      <c r="D2535"/>
      <c r="E2535"/>
      <c r="F2535"/>
      <c r="N2535" s="44"/>
    </row>
    <row r="2536" spans="1:14" x14ac:dyDescent="0.3">
      <c r="A2536" s="42"/>
      <c r="C2536" s="52"/>
      <c r="D2536"/>
      <c r="E2536"/>
      <c r="F2536"/>
      <c r="N2536" s="44"/>
    </row>
    <row r="2537" spans="1:14" x14ac:dyDescent="0.3">
      <c r="A2537" s="42"/>
      <c r="C2537" s="52"/>
      <c r="D2537"/>
      <c r="E2537"/>
      <c r="F2537"/>
      <c r="N2537" s="44"/>
    </row>
    <row r="2538" spans="1:14" x14ac:dyDescent="0.3">
      <c r="A2538" s="42"/>
      <c r="C2538" s="52"/>
      <c r="D2538"/>
      <c r="E2538"/>
      <c r="F2538"/>
      <c r="N2538" s="44"/>
    </row>
    <row r="2539" spans="1:14" x14ac:dyDescent="0.3">
      <c r="A2539" s="42"/>
      <c r="C2539" s="52"/>
      <c r="D2539"/>
      <c r="E2539"/>
      <c r="F2539"/>
      <c r="N2539" s="44"/>
    </row>
    <row r="2540" spans="1:14" x14ac:dyDescent="0.3">
      <c r="A2540" s="42"/>
      <c r="C2540" s="52"/>
      <c r="D2540"/>
      <c r="E2540"/>
      <c r="F2540"/>
      <c r="N2540" s="44"/>
    </row>
    <row r="2541" spans="1:14" x14ac:dyDescent="0.3">
      <c r="A2541" s="42"/>
      <c r="C2541" s="52"/>
      <c r="D2541"/>
      <c r="E2541"/>
      <c r="F2541"/>
      <c r="N2541" s="44"/>
    </row>
    <row r="2542" spans="1:14" x14ac:dyDescent="0.3">
      <c r="A2542" s="42"/>
      <c r="C2542" s="52"/>
      <c r="D2542"/>
      <c r="E2542"/>
      <c r="F2542"/>
      <c r="N2542" s="44"/>
    </row>
    <row r="2543" spans="1:14" x14ac:dyDescent="0.3">
      <c r="A2543" s="42"/>
      <c r="C2543" s="52"/>
      <c r="D2543"/>
      <c r="E2543"/>
      <c r="F2543"/>
      <c r="N2543" s="44"/>
    </row>
    <row r="2544" spans="1:14" x14ac:dyDescent="0.3">
      <c r="A2544" s="42"/>
      <c r="C2544" s="52"/>
      <c r="D2544"/>
      <c r="E2544"/>
      <c r="F2544"/>
      <c r="N2544" s="44"/>
    </row>
    <row r="2545" spans="1:14" x14ac:dyDescent="0.3">
      <c r="A2545" s="42"/>
      <c r="C2545" s="52"/>
      <c r="D2545"/>
      <c r="E2545"/>
      <c r="F2545"/>
      <c r="N2545" s="44"/>
    </row>
    <row r="2546" spans="1:14" x14ac:dyDescent="0.3">
      <c r="A2546" s="42"/>
      <c r="C2546" s="52"/>
      <c r="D2546"/>
      <c r="E2546"/>
      <c r="F2546"/>
      <c r="N2546" s="44"/>
    </row>
    <row r="2547" spans="1:14" x14ac:dyDescent="0.3">
      <c r="A2547" s="42"/>
      <c r="C2547" s="52"/>
      <c r="D2547"/>
      <c r="E2547"/>
      <c r="F2547"/>
      <c r="N2547" s="44"/>
    </row>
    <row r="2548" spans="1:14" x14ac:dyDescent="0.3">
      <c r="A2548" s="42"/>
      <c r="C2548" s="52"/>
      <c r="D2548"/>
      <c r="E2548"/>
      <c r="F2548"/>
      <c r="N2548" s="44"/>
    </row>
    <row r="2549" spans="1:14" x14ac:dyDescent="0.3">
      <c r="A2549" s="42"/>
      <c r="C2549" s="52"/>
      <c r="D2549"/>
      <c r="E2549"/>
      <c r="F2549"/>
      <c r="N2549" s="44"/>
    </row>
    <row r="2550" spans="1:14" x14ac:dyDescent="0.3">
      <c r="A2550" s="42"/>
      <c r="C2550" s="52"/>
      <c r="D2550"/>
      <c r="E2550"/>
      <c r="F2550"/>
      <c r="N2550" s="44"/>
    </row>
    <row r="2551" spans="1:14" x14ac:dyDescent="0.3">
      <c r="A2551" s="42"/>
      <c r="C2551" s="52"/>
      <c r="D2551"/>
      <c r="E2551"/>
      <c r="F2551"/>
      <c r="N2551" s="44"/>
    </row>
    <row r="2552" spans="1:14" x14ac:dyDescent="0.3">
      <c r="A2552" s="42"/>
      <c r="C2552" s="52"/>
      <c r="D2552"/>
      <c r="E2552"/>
      <c r="F2552"/>
      <c r="N2552" s="44"/>
    </row>
    <row r="2553" spans="1:14" x14ac:dyDescent="0.3">
      <c r="A2553" s="42"/>
      <c r="C2553" s="52"/>
      <c r="D2553"/>
      <c r="E2553"/>
      <c r="F2553"/>
      <c r="N2553" s="44"/>
    </row>
    <row r="2554" spans="1:14" x14ac:dyDescent="0.3">
      <c r="A2554" s="42"/>
      <c r="C2554" s="52"/>
      <c r="D2554"/>
      <c r="E2554"/>
      <c r="F2554"/>
      <c r="N2554" s="44"/>
    </row>
    <row r="2555" spans="1:14" x14ac:dyDescent="0.3">
      <c r="A2555" s="42"/>
      <c r="C2555" s="52"/>
      <c r="D2555"/>
      <c r="E2555"/>
      <c r="F2555"/>
      <c r="N2555" s="44"/>
    </row>
    <row r="2556" spans="1:14" x14ac:dyDescent="0.3">
      <c r="A2556" s="42"/>
      <c r="C2556" s="52"/>
      <c r="D2556"/>
      <c r="E2556"/>
      <c r="F2556"/>
      <c r="N2556" s="44"/>
    </row>
    <row r="2557" spans="1:14" x14ac:dyDescent="0.3">
      <c r="A2557" s="42"/>
      <c r="C2557" s="52"/>
      <c r="D2557"/>
      <c r="E2557"/>
      <c r="F2557"/>
      <c r="N2557" s="44"/>
    </row>
    <row r="2558" spans="1:14" x14ac:dyDescent="0.3">
      <c r="A2558" s="42"/>
      <c r="C2558" s="52"/>
      <c r="D2558"/>
      <c r="E2558"/>
      <c r="F2558"/>
      <c r="N2558" s="44"/>
    </row>
    <row r="2559" spans="1:14" x14ac:dyDescent="0.3">
      <c r="A2559" s="42"/>
      <c r="C2559" s="52"/>
      <c r="D2559"/>
      <c r="E2559"/>
      <c r="F2559"/>
      <c r="N2559" s="44"/>
    </row>
    <row r="2560" spans="1:14" x14ac:dyDescent="0.3">
      <c r="A2560" s="42"/>
      <c r="C2560" s="52"/>
      <c r="D2560"/>
      <c r="E2560"/>
      <c r="F2560"/>
      <c r="M2560" s="45"/>
      <c r="N2560" s="44"/>
    </row>
    <row r="2561" spans="1:14" x14ac:dyDescent="0.3">
      <c r="A2561" s="42"/>
      <c r="C2561" s="52"/>
      <c r="D2561"/>
      <c r="E2561"/>
      <c r="F2561"/>
      <c r="N2561" s="44"/>
    </row>
    <row r="2562" spans="1:14" x14ac:dyDescent="0.3">
      <c r="A2562" s="42"/>
      <c r="C2562" s="52"/>
      <c r="D2562"/>
      <c r="E2562"/>
      <c r="F2562"/>
      <c r="N2562" s="44"/>
    </row>
    <row r="2563" spans="1:14" x14ac:dyDescent="0.3">
      <c r="A2563" s="42"/>
      <c r="C2563" s="52"/>
      <c r="D2563"/>
      <c r="E2563"/>
      <c r="F2563"/>
      <c r="N2563" s="44"/>
    </row>
    <row r="2564" spans="1:14" x14ac:dyDescent="0.3">
      <c r="A2564" s="42"/>
      <c r="C2564" s="52"/>
      <c r="D2564"/>
      <c r="E2564"/>
      <c r="F2564"/>
      <c r="N2564" s="44"/>
    </row>
    <row r="2565" spans="1:14" x14ac:dyDescent="0.3">
      <c r="A2565" s="42"/>
      <c r="C2565" s="52"/>
      <c r="D2565"/>
      <c r="E2565"/>
      <c r="F2565"/>
      <c r="N2565" s="44"/>
    </row>
    <row r="2566" spans="1:14" x14ac:dyDescent="0.3">
      <c r="A2566" s="42"/>
      <c r="C2566" s="52"/>
      <c r="D2566"/>
      <c r="E2566"/>
      <c r="F2566"/>
      <c r="N2566" s="44"/>
    </row>
    <row r="2567" spans="1:14" x14ac:dyDescent="0.3">
      <c r="A2567" s="42"/>
      <c r="C2567" s="52"/>
      <c r="D2567"/>
      <c r="E2567"/>
      <c r="F2567"/>
      <c r="N2567" s="44"/>
    </row>
    <row r="2568" spans="1:14" x14ac:dyDescent="0.3">
      <c r="A2568" s="42"/>
      <c r="C2568" s="52"/>
      <c r="D2568"/>
      <c r="E2568"/>
      <c r="F2568"/>
      <c r="N2568" s="44"/>
    </row>
    <row r="2569" spans="1:14" x14ac:dyDescent="0.3">
      <c r="A2569" s="42"/>
      <c r="C2569" s="52"/>
      <c r="D2569"/>
      <c r="E2569"/>
      <c r="F2569"/>
      <c r="N2569" s="44"/>
    </row>
    <row r="2570" spans="1:14" x14ac:dyDescent="0.3">
      <c r="A2570" s="42"/>
      <c r="C2570" s="52"/>
      <c r="D2570"/>
      <c r="E2570"/>
      <c r="F2570"/>
      <c r="N2570" s="44"/>
    </row>
    <row r="2571" spans="1:14" x14ac:dyDescent="0.3">
      <c r="A2571" s="42"/>
      <c r="C2571" s="52"/>
      <c r="D2571"/>
      <c r="E2571"/>
      <c r="F2571"/>
      <c r="N2571" s="44"/>
    </row>
    <row r="2572" spans="1:14" x14ac:dyDescent="0.3">
      <c r="A2572" s="42"/>
      <c r="C2572" s="52"/>
      <c r="D2572"/>
      <c r="E2572"/>
      <c r="F2572"/>
      <c r="N2572" s="44"/>
    </row>
    <row r="2573" spans="1:14" x14ac:dyDescent="0.3">
      <c r="A2573" s="42"/>
      <c r="C2573" s="52"/>
      <c r="D2573"/>
      <c r="E2573"/>
      <c r="F2573"/>
      <c r="N2573" s="44"/>
    </row>
    <row r="2574" spans="1:14" x14ac:dyDescent="0.3">
      <c r="A2574" s="42"/>
      <c r="C2574" s="52"/>
      <c r="D2574"/>
      <c r="E2574"/>
      <c r="F2574"/>
      <c r="N2574" s="44"/>
    </row>
    <row r="2575" spans="1:14" x14ac:dyDescent="0.3">
      <c r="A2575" s="42"/>
      <c r="C2575" s="52"/>
      <c r="D2575"/>
      <c r="E2575"/>
      <c r="F2575"/>
      <c r="N2575" s="44"/>
    </row>
    <row r="2576" spans="1:14" x14ac:dyDescent="0.3">
      <c r="A2576" s="42"/>
      <c r="C2576" s="52"/>
      <c r="D2576"/>
      <c r="E2576"/>
      <c r="F2576"/>
      <c r="N2576" s="44"/>
    </row>
    <row r="2577" spans="1:14" x14ac:dyDescent="0.3">
      <c r="A2577" s="42"/>
      <c r="C2577" s="52"/>
      <c r="D2577"/>
      <c r="E2577"/>
      <c r="F2577"/>
      <c r="N2577" s="44"/>
    </row>
    <row r="2578" spans="1:14" x14ac:dyDescent="0.3">
      <c r="A2578" s="42"/>
      <c r="C2578" s="52"/>
      <c r="D2578"/>
      <c r="E2578"/>
      <c r="F2578"/>
      <c r="N2578" s="44"/>
    </row>
    <row r="2579" spans="1:14" x14ac:dyDescent="0.3">
      <c r="A2579" s="42"/>
      <c r="C2579" s="52"/>
      <c r="D2579"/>
      <c r="E2579"/>
      <c r="F2579"/>
      <c r="N2579" s="44"/>
    </row>
    <row r="2580" spans="1:14" x14ac:dyDescent="0.3">
      <c r="A2580" s="42"/>
      <c r="C2580" s="52"/>
      <c r="D2580"/>
      <c r="E2580"/>
      <c r="F2580"/>
      <c r="N2580" s="44"/>
    </row>
    <row r="2581" spans="1:14" x14ac:dyDescent="0.3">
      <c r="A2581" s="42"/>
      <c r="C2581" s="52"/>
      <c r="D2581"/>
      <c r="E2581"/>
      <c r="F2581"/>
      <c r="N2581" s="44"/>
    </row>
    <row r="2582" spans="1:14" x14ac:dyDescent="0.3">
      <c r="A2582" s="42"/>
      <c r="C2582" s="52"/>
      <c r="D2582"/>
      <c r="E2582"/>
      <c r="F2582"/>
      <c r="N2582" s="44"/>
    </row>
    <row r="2583" spans="1:14" x14ac:dyDescent="0.3">
      <c r="A2583" s="42"/>
      <c r="C2583" s="52"/>
      <c r="D2583"/>
      <c r="E2583"/>
      <c r="F2583"/>
      <c r="M2583" s="45"/>
      <c r="N2583" s="44"/>
    </row>
    <row r="2584" spans="1:14" x14ac:dyDescent="0.3">
      <c r="A2584" s="42"/>
      <c r="C2584" s="52"/>
      <c r="D2584"/>
      <c r="E2584"/>
      <c r="F2584"/>
      <c r="N2584" s="44"/>
    </row>
    <row r="2585" spans="1:14" x14ac:dyDescent="0.3">
      <c r="A2585" s="42"/>
      <c r="C2585" s="52"/>
      <c r="D2585"/>
      <c r="E2585"/>
      <c r="F2585"/>
      <c r="N2585" s="44"/>
    </row>
    <row r="2586" spans="1:14" x14ac:dyDescent="0.3">
      <c r="A2586" s="42"/>
      <c r="C2586" s="52"/>
      <c r="D2586"/>
      <c r="E2586"/>
      <c r="F2586"/>
      <c r="N2586" s="44"/>
    </row>
    <row r="2587" spans="1:14" x14ac:dyDescent="0.3">
      <c r="A2587" s="42"/>
      <c r="C2587" s="52"/>
      <c r="D2587"/>
      <c r="E2587"/>
      <c r="F2587"/>
      <c r="N2587" s="44"/>
    </row>
    <row r="2588" spans="1:14" x14ac:dyDescent="0.3">
      <c r="A2588" s="42"/>
      <c r="C2588" s="52"/>
      <c r="D2588"/>
      <c r="E2588"/>
      <c r="F2588"/>
      <c r="N2588" s="44"/>
    </row>
    <row r="2589" spans="1:14" x14ac:dyDescent="0.3">
      <c r="A2589" s="42"/>
      <c r="C2589" s="52"/>
      <c r="D2589"/>
      <c r="E2589"/>
      <c r="F2589"/>
      <c r="N2589" s="44"/>
    </row>
    <row r="2590" spans="1:14" x14ac:dyDescent="0.3">
      <c r="A2590" s="42"/>
      <c r="C2590" s="52"/>
      <c r="D2590"/>
      <c r="E2590"/>
      <c r="F2590"/>
      <c r="N2590" s="44"/>
    </row>
    <row r="2591" spans="1:14" x14ac:dyDescent="0.3">
      <c r="A2591" s="42"/>
      <c r="C2591" s="52"/>
      <c r="D2591"/>
      <c r="E2591"/>
      <c r="F2591"/>
      <c r="N2591" s="44"/>
    </row>
    <row r="2592" spans="1:14" x14ac:dyDescent="0.3">
      <c r="A2592" s="42"/>
      <c r="C2592" s="52"/>
      <c r="D2592"/>
      <c r="E2592"/>
      <c r="F2592"/>
      <c r="N2592" s="44"/>
    </row>
    <row r="2593" spans="1:14" x14ac:dyDescent="0.3">
      <c r="A2593" s="42"/>
      <c r="C2593" s="52"/>
      <c r="D2593"/>
      <c r="E2593"/>
      <c r="F2593"/>
      <c r="N2593" s="44"/>
    </row>
    <row r="2594" spans="1:14" x14ac:dyDescent="0.3">
      <c r="A2594" s="42"/>
      <c r="C2594" s="52"/>
      <c r="D2594"/>
      <c r="E2594"/>
      <c r="F2594"/>
      <c r="N2594" s="44"/>
    </row>
    <row r="2595" spans="1:14" x14ac:dyDescent="0.3">
      <c r="A2595" s="42"/>
      <c r="C2595" s="52"/>
      <c r="D2595"/>
      <c r="E2595"/>
      <c r="F2595"/>
      <c r="N2595" s="44"/>
    </row>
    <row r="2596" spans="1:14" x14ac:dyDescent="0.3">
      <c r="A2596" s="42"/>
      <c r="C2596" s="52"/>
      <c r="D2596"/>
      <c r="E2596"/>
      <c r="F2596"/>
      <c r="N2596" s="44"/>
    </row>
    <row r="2597" spans="1:14" x14ac:dyDescent="0.3">
      <c r="A2597" s="42"/>
      <c r="C2597" s="52"/>
      <c r="D2597"/>
      <c r="E2597"/>
      <c r="F2597"/>
      <c r="N2597" s="44"/>
    </row>
    <row r="2598" spans="1:14" x14ac:dyDescent="0.3">
      <c r="A2598" s="42"/>
      <c r="C2598" s="52"/>
      <c r="D2598"/>
      <c r="E2598"/>
      <c r="F2598"/>
      <c r="N2598" s="44"/>
    </row>
    <row r="2599" spans="1:14" x14ac:dyDescent="0.3">
      <c r="A2599" s="42"/>
      <c r="C2599" s="52"/>
      <c r="D2599"/>
      <c r="E2599"/>
      <c r="F2599"/>
      <c r="N2599" s="44"/>
    </row>
    <row r="2600" spans="1:14" x14ac:dyDescent="0.3">
      <c r="A2600" s="42"/>
      <c r="C2600" s="52"/>
      <c r="D2600"/>
      <c r="E2600"/>
      <c r="F2600"/>
      <c r="N2600" s="44"/>
    </row>
    <row r="2601" spans="1:14" x14ac:dyDescent="0.3">
      <c r="A2601" s="42"/>
      <c r="C2601" s="52"/>
      <c r="D2601"/>
      <c r="E2601"/>
      <c r="F2601"/>
      <c r="N2601" s="44"/>
    </row>
    <row r="2602" spans="1:14" x14ac:dyDescent="0.3">
      <c r="A2602" s="42"/>
      <c r="C2602" s="52"/>
      <c r="D2602"/>
      <c r="E2602"/>
      <c r="F2602"/>
      <c r="N2602" s="44"/>
    </row>
    <row r="2603" spans="1:14" x14ac:dyDescent="0.3">
      <c r="A2603" s="42"/>
      <c r="C2603" s="52"/>
      <c r="D2603"/>
      <c r="E2603"/>
      <c r="F2603"/>
      <c r="N2603" s="44"/>
    </row>
    <row r="2604" spans="1:14" x14ac:dyDescent="0.3">
      <c r="A2604" s="42"/>
      <c r="C2604" s="52"/>
      <c r="D2604"/>
      <c r="E2604"/>
      <c r="F2604"/>
      <c r="N2604" s="44"/>
    </row>
    <row r="2605" spans="1:14" x14ac:dyDescent="0.3">
      <c r="A2605" s="42"/>
      <c r="C2605" s="52"/>
      <c r="D2605"/>
      <c r="E2605"/>
      <c r="F2605"/>
      <c r="N2605" s="44"/>
    </row>
    <row r="2606" spans="1:14" x14ac:dyDescent="0.3">
      <c r="A2606" s="42"/>
      <c r="C2606" s="52"/>
      <c r="D2606"/>
      <c r="E2606"/>
      <c r="F2606"/>
      <c r="N2606" s="44"/>
    </row>
    <row r="2607" spans="1:14" x14ac:dyDescent="0.3">
      <c r="A2607" s="42"/>
      <c r="C2607" s="52"/>
      <c r="D2607"/>
      <c r="E2607"/>
      <c r="F2607"/>
      <c r="N2607" s="44"/>
    </row>
    <row r="2608" spans="1:14" x14ac:dyDescent="0.3">
      <c r="A2608" s="42"/>
      <c r="C2608" s="52"/>
      <c r="D2608"/>
      <c r="E2608"/>
      <c r="F2608"/>
      <c r="N2608" s="44"/>
    </row>
    <row r="2609" spans="1:14" x14ac:dyDescent="0.3">
      <c r="A2609" s="42"/>
      <c r="C2609" s="52"/>
      <c r="D2609"/>
      <c r="E2609"/>
      <c r="F2609"/>
      <c r="N2609" s="44"/>
    </row>
    <row r="2610" spans="1:14" x14ac:dyDescent="0.3">
      <c r="A2610" s="42"/>
      <c r="C2610" s="52"/>
      <c r="D2610"/>
      <c r="E2610"/>
      <c r="F2610"/>
      <c r="N2610" s="44"/>
    </row>
    <row r="2611" spans="1:14" x14ac:dyDescent="0.3">
      <c r="A2611" s="42"/>
      <c r="C2611" s="52"/>
      <c r="D2611"/>
      <c r="E2611"/>
      <c r="F2611"/>
      <c r="N2611" s="44"/>
    </row>
    <row r="2612" spans="1:14" x14ac:dyDescent="0.3">
      <c r="A2612" s="42"/>
      <c r="C2612" s="52"/>
      <c r="D2612"/>
      <c r="E2612"/>
      <c r="F2612"/>
      <c r="N2612" s="44"/>
    </row>
    <row r="2613" spans="1:14" x14ac:dyDescent="0.3">
      <c r="A2613" s="42"/>
      <c r="C2613" s="52"/>
      <c r="D2613"/>
      <c r="E2613"/>
      <c r="F2613"/>
      <c r="N2613" s="44"/>
    </row>
    <row r="2614" spans="1:14" x14ac:dyDescent="0.3">
      <c r="A2614" s="42"/>
      <c r="C2614" s="52"/>
      <c r="D2614"/>
      <c r="E2614"/>
      <c r="F2614"/>
      <c r="N2614" s="44"/>
    </row>
    <row r="2615" spans="1:14" x14ac:dyDescent="0.3">
      <c r="A2615" s="42"/>
      <c r="C2615" s="52"/>
      <c r="D2615"/>
      <c r="E2615"/>
      <c r="F2615"/>
      <c r="N2615" s="44"/>
    </row>
    <row r="2616" spans="1:14" x14ac:dyDescent="0.3">
      <c r="A2616" s="42"/>
      <c r="C2616" s="52"/>
      <c r="D2616"/>
      <c r="E2616"/>
      <c r="F2616"/>
      <c r="N2616" s="44"/>
    </row>
    <row r="2617" spans="1:14" x14ac:dyDescent="0.3">
      <c r="A2617" s="42"/>
      <c r="C2617" s="52"/>
      <c r="D2617"/>
      <c r="E2617"/>
      <c r="F2617"/>
      <c r="N2617" s="44"/>
    </row>
    <row r="2618" spans="1:14" x14ac:dyDescent="0.3">
      <c r="A2618" s="42"/>
      <c r="C2618" s="52"/>
      <c r="D2618"/>
      <c r="E2618"/>
      <c r="F2618"/>
      <c r="N2618" s="44"/>
    </row>
    <row r="2619" spans="1:14" x14ac:dyDescent="0.3">
      <c r="A2619" s="42"/>
      <c r="C2619" s="52"/>
      <c r="D2619"/>
      <c r="E2619"/>
      <c r="F2619"/>
      <c r="N2619" s="44"/>
    </row>
    <row r="2620" spans="1:14" x14ac:dyDescent="0.3">
      <c r="A2620" s="42"/>
      <c r="C2620" s="52"/>
      <c r="D2620"/>
      <c r="E2620"/>
      <c r="F2620"/>
      <c r="N2620" s="44"/>
    </row>
    <row r="2621" spans="1:14" x14ac:dyDescent="0.3">
      <c r="A2621" s="42"/>
      <c r="C2621" s="52"/>
      <c r="D2621"/>
      <c r="E2621"/>
      <c r="F2621"/>
      <c r="N2621" s="44"/>
    </row>
    <row r="2622" spans="1:14" x14ac:dyDescent="0.3">
      <c r="A2622" s="42"/>
      <c r="C2622" s="52"/>
      <c r="D2622"/>
      <c r="E2622"/>
      <c r="F2622"/>
      <c r="N2622" s="44"/>
    </row>
    <row r="2623" spans="1:14" x14ac:dyDescent="0.3">
      <c r="A2623" s="42"/>
      <c r="C2623" s="52"/>
      <c r="D2623"/>
      <c r="E2623"/>
      <c r="F2623"/>
      <c r="N2623" s="44"/>
    </row>
    <row r="2624" spans="1:14" x14ac:dyDescent="0.3">
      <c r="A2624" s="42"/>
      <c r="C2624" s="52"/>
      <c r="D2624"/>
      <c r="E2624"/>
      <c r="F2624"/>
      <c r="N2624" s="44"/>
    </row>
    <row r="2625" spans="1:14" x14ac:dyDescent="0.3">
      <c r="A2625" s="42"/>
      <c r="C2625" s="52"/>
      <c r="D2625"/>
      <c r="E2625"/>
      <c r="F2625"/>
      <c r="N2625" s="44"/>
    </row>
    <row r="2626" spans="1:14" x14ac:dyDescent="0.3">
      <c r="A2626" s="42"/>
      <c r="C2626" s="52"/>
      <c r="D2626"/>
      <c r="E2626"/>
      <c r="F2626"/>
      <c r="N2626" s="44"/>
    </row>
    <row r="2627" spans="1:14" x14ac:dyDescent="0.3">
      <c r="A2627" s="42"/>
      <c r="C2627" s="52"/>
      <c r="D2627"/>
      <c r="E2627"/>
      <c r="F2627"/>
      <c r="N2627" s="44"/>
    </row>
    <row r="2628" spans="1:14" x14ac:dyDescent="0.3">
      <c r="A2628" s="42"/>
      <c r="C2628" s="52"/>
      <c r="D2628"/>
      <c r="E2628"/>
      <c r="F2628"/>
      <c r="N2628" s="44"/>
    </row>
    <row r="2629" spans="1:14" x14ac:dyDescent="0.3">
      <c r="A2629" s="42"/>
      <c r="C2629" s="52"/>
      <c r="D2629"/>
      <c r="E2629"/>
      <c r="F2629"/>
      <c r="N2629" s="44"/>
    </row>
    <row r="2630" spans="1:14" x14ac:dyDescent="0.3">
      <c r="A2630" s="42"/>
      <c r="C2630" s="52"/>
      <c r="D2630"/>
      <c r="E2630"/>
      <c r="F2630"/>
      <c r="N2630" s="44"/>
    </row>
    <row r="2631" spans="1:14" x14ac:dyDescent="0.3">
      <c r="A2631" s="42"/>
      <c r="C2631" s="52"/>
      <c r="D2631"/>
      <c r="E2631"/>
      <c r="F2631"/>
      <c r="N2631" s="44"/>
    </row>
    <row r="2632" spans="1:14" x14ac:dyDescent="0.3">
      <c r="A2632" s="42"/>
      <c r="C2632" s="52"/>
      <c r="D2632"/>
      <c r="E2632"/>
      <c r="F2632"/>
      <c r="N2632" s="44"/>
    </row>
    <row r="2633" spans="1:14" x14ac:dyDescent="0.3">
      <c r="A2633" s="42"/>
      <c r="C2633" s="52"/>
      <c r="D2633"/>
      <c r="E2633"/>
      <c r="F2633"/>
      <c r="N2633" s="44"/>
    </row>
    <row r="2634" spans="1:14" x14ac:dyDescent="0.3">
      <c r="A2634" s="42"/>
      <c r="C2634" s="52"/>
      <c r="D2634"/>
      <c r="E2634"/>
      <c r="F2634"/>
      <c r="N2634" s="44"/>
    </row>
    <row r="2635" spans="1:14" x14ac:dyDescent="0.3">
      <c r="A2635" s="42"/>
      <c r="C2635" s="52"/>
      <c r="D2635"/>
      <c r="E2635"/>
      <c r="F2635"/>
      <c r="N2635" s="44"/>
    </row>
    <row r="2636" spans="1:14" x14ac:dyDescent="0.3">
      <c r="A2636" s="42"/>
      <c r="C2636" s="52"/>
      <c r="D2636"/>
      <c r="E2636"/>
      <c r="F2636"/>
      <c r="N2636" s="44"/>
    </row>
    <row r="2637" spans="1:14" x14ac:dyDescent="0.3">
      <c r="A2637" s="42"/>
      <c r="C2637" s="52"/>
      <c r="D2637"/>
      <c r="E2637"/>
      <c r="F2637"/>
      <c r="N2637" s="44"/>
    </row>
    <row r="2638" spans="1:14" x14ac:dyDescent="0.3">
      <c r="A2638" s="42"/>
      <c r="C2638" s="52"/>
      <c r="D2638"/>
      <c r="E2638"/>
      <c r="F2638"/>
      <c r="M2638" s="45"/>
      <c r="N2638" s="44"/>
    </row>
    <row r="2639" spans="1:14" x14ac:dyDescent="0.3">
      <c r="A2639" s="42"/>
      <c r="C2639" s="52"/>
      <c r="D2639"/>
      <c r="E2639"/>
      <c r="F2639"/>
      <c r="N2639" s="44"/>
    </row>
    <row r="2640" spans="1:14" x14ac:dyDescent="0.3">
      <c r="A2640" s="42"/>
      <c r="C2640" s="52"/>
      <c r="D2640"/>
      <c r="E2640"/>
      <c r="F2640"/>
      <c r="N2640" s="44"/>
    </row>
    <row r="2641" spans="1:14" x14ac:dyDescent="0.3">
      <c r="A2641" s="42"/>
      <c r="C2641" s="52"/>
      <c r="D2641"/>
      <c r="E2641"/>
      <c r="F2641"/>
      <c r="N2641" s="44"/>
    </row>
    <row r="2642" spans="1:14" x14ac:dyDescent="0.3">
      <c r="A2642" s="42"/>
      <c r="C2642" s="52"/>
      <c r="D2642"/>
      <c r="E2642"/>
      <c r="F2642"/>
      <c r="N2642" s="44"/>
    </row>
    <row r="2643" spans="1:14" x14ac:dyDescent="0.3">
      <c r="A2643" s="42"/>
      <c r="C2643" s="52"/>
      <c r="D2643"/>
      <c r="E2643"/>
      <c r="F2643"/>
      <c r="N2643" s="44"/>
    </row>
    <row r="2644" spans="1:14" x14ac:dyDescent="0.3">
      <c r="A2644" s="42"/>
      <c r="C2644" s="52"/>
      <c r="D2644"/>
      <c r="E2644"/>
      <c r="F2644"/>
      <c r="N2644" s="44"/>
    </row>
    <row r="2645" spans="1:14" x14ac:dyDescent="0.3">
      <c r="A2645" s="42"/>
      <c r="C2645" s="52"/>
      <c r="D2645"/>
      <c r="E2645"/>
      <c r="F2645"/>
      <c r="N2645" s="44"/>
    </row>
    <row r="2646" spans="1:14" x14ac:dyDescent="0.3">
      <c r="A2646" s="42"/>
      <c r="C2646" s="52"/>
      <c r="D2646"/>
      <c r="E2646"/>
      <c r="F2646"/>
      <c r="N2646" s="44"/>
    </row>
    <row r="2647" spans="1:14" x14ac:dyDescent="0.3">
      <c r="A2647" s="42"/>
      <c r="C2647" s="52"/>
      <c r="D2647"/>
      <c r="E2647"/>
      <c r="F2647"/>
      <c r="N2647" s="44"/>
    </row>
    <row r="2648" spans="1:14" x14ac:dyDescent="0.3">
      <c r="A2648" s="42"/>
      <c r="C2648" s="52"/>
      <c r="D2648"/>
      <c r="E2648"/>
      <c r="F2648"/>
      <c r="N2648" s="44"/>
    </row>
    <row r="2649" spans="1:14" x14ac:dyDescent="0.3">
      <c r="A2649" s="42"/>
      <c r="C2649" s="52"/>
      <c r="D2649"/>
      <c r="E2649"/>
      <c r="F2649"/>
      <c r="N2649" s="44"/>
    </row>
    <row r="2650" spans="1:14" x14ac:dyDescent="0.3">
      <c r="A2650" s="42"/>
      <c r="C2650" s="52"/>
      <c r="D2650"/>
      <c r="E2650"/>
      <c r="F2650"/>
      <c r="N2650" s="44"/>
    </row>
    <row r="2651" spans="1:14" x14ac:dyDescent="0.3">
      <c r="A2651" s="42"/>
      <c r="C2651" s="52"/>
      <c r="D2651"/>
      <c r="E2651"/>
      <c r="F2651"/>
      <c r="N2651" s="44"/>
    </row>
    <row r="2652" spans="1:14" x14ac:dyDescent="0.3">
      <c r="A2652" s="42"/>
      <c r="C2652" s="52"/>
      <c r="D2652"/>
      <c r="E2652"/>
      <c r="F2652"/>
      <c r="N2652" s="44"/>
    </row>
    <row r="2653" spans="1:14" x14ac:dyDescent="0.3">
      <c r="A2653" s="42"/>
      <c r="C2653" s="52"/>
      <c r="D2653"/>
      <c r="E2653"/>
      <c r="F2653"/>
      <c r="N2653" s="44"/>
    </row>
    <row r="2654" spans="1:14" x14ac:dyDescent="0.3">
      <c r="A2654" s="42"/>
      <c r="C2654" s="52"/>
      <c r="D2654"/>
      <c r="E2654"/>
      <c r="F2654"/>
      <c r="N2654" s="44"/>
    </row>
    <row r="2655" spans="1:14" x14ac:dyDescent="0.3">
      <c r="A2655" s="42"/>
      <c r="C2655" s="52"/>
      <c r="D2655"/>
      <c r="E2655"/>
      <c r="F2655"/>
      <c r="N2655" s="44"/>
    </row>
    <row r="2656" spans="1:14" x14ac:dyDescent="0.3">
      <c r="A2656" s="42"/>
      <c r="C2656" s="52"/>
      <c r="D2656"/>
      <c r="E2656"/>
      <c r="F2656"/>
      <c r="N2656" s="44"/>
    </row>
    <row r="2657" spans="1:14" x14ac:dyDescent="0.3">
      <c r="A2657" s="42"/>
      <c r="C2657" s="52"/>
      <c r="D2657"/>
      <c r="E2657"/>
      <c r="F2657"/>
      <c r="N2657" s="44"/>
    </row>
    <row r="2658" spans="1:14" x14ac:dyDescent="0.3">
      <c r="A2658" s="42"/>
      <c r="C2658" s="52"/>
      <c r="D2658"/>
      <c r="E2658"/>
      <c r="F2658"/>
      <c r="N2658" s="44"/>
    </row>
    <row r="2659" spans="1:14" x14ac:dyDescent="0.3">
      <c r="A2659" s="42"/>
      <c r="C2659" s="52"/>
      <c r="D2659"/>
      <c r="E2659"/>
      <c r="F2659"/>
      <c r="N2659" s="44"/>
    </row>
    <row r="2660" spans="1:14" x14ac:dyDescent="0.3">
      <c r="A2660" s="42"/>
      <c r="C2660" s="52"/>
      <c r="D2660"/>
      <c r="E2660"/>
      <c r="F2660"/>
      <c r="N2660" s="44"/>
    </row>
    <row r="2661" spans="1:14" x14ac:dyDescent="0.3">
      <c r="A2661" s="42"/>
      <c r="C2661" s="52"/>
      <c r="D2661"/>
      <c r="E2661"/>
      <c r="F2661"/>
      <c r="N2661" s="44"/>
    </row>
    <row r="2662" spans="1:14" x14ac:dyDescent="0.3">
      <c r="A2662" s="42"/>
      <c r="C2662" s="52"/>
      <c r="D2662"/>
      <c r="E2662"/>
      <c r="F2662"/>
      <c r="N2662" s="44"/>
    </row>
    <row r="2663" spans="1:14" x14ac:dyDescent="0.3">
      <c r="A2663" s="42"/>
      <c r="C2663" s="52"/>
      <c r="D2663"/>
      <c r="E2663"/>
      <c r="F2663"/>
      <c r="N2663" s="44"/>
    </row>
    <row r="2664" spans="1:14" x14ac:dyDescent="0.3">
      <c r="A2664" s="42"/>
      <c r="C2664" s="52"/>
      <c r="D2664"/>
      <c r="E2664"/>
      <c r="F2664"/>
      <c r="N2664" s="44"/>
    </row>
    <row r="2665" spans="1:14" x14ac:dyDescent="0.3">
      <c r="A2665" s="42"/>
      <c r="C2665" s="52"/>
      <c r="D2665"/>
      <c r="E2665"/>
      <c r="F2665"/>
      <c r="N2665" s="44"/>
    </row>
    <row r="2666" spans="1:14" x14ac:dyDescent="0.3">
      <c r="A2666" s="42"/>
      <c r="C2666" s="52"/>
      <c r="D2666"/>
      <c r="E2666"/>
      <c r="F2666"/>
      <c r="N2666" s="44"/>
    </row>
    <row r="2667" spans="1:14" x14ac:dyDescent="0.3">
      <c r="A2667" s="42"/>
      <c r="C2667" s="52"/>
      <c r="D2667"/>
      <c r="E2667"/>
      <c r="F2667"/>
      <c r="N2667" s="44"/>
    </row>
    <row r="2668" spans="1:14" x14ac:dyDescent="0.3">
      <c r="A2668" s="42"/>
      <c r="C2668" s="52"/>
      <c r="D2668"/>
      <c r="E2668"/>
      <c r="F2668"/>
      <c r="N2668" s="44"/>
    </row>
    <row r="2669" spans="1:14" x14ac:dyDescent="0.3">
      <c r="A2669" s="42"/>
      <c r="C2669" s="52"/>
      <c r="D2669"/>
      <c r="E2669"/>
      <c r="F2669"/>
      <c r="N2669" s="44"/>
    </row>
    <row r="2670" spans="1:14" x14ac:dyDescent="0.3">
      <c r="A2670" s="42"/>
      <c r="C2670" s="52"/>
      <c r="D2670"/>
      <c r="E2670"/>
      <c r="F2670"/>
      <c r="N2670" s="44"/>
    </row>
    <row r="2671" spans="1:14" x14ac:dyDescent="0.3">
      <c r="A2671" s="42"/>
      <c r="C2671" s="52"/>
      <c r="D2671"/>
      <c r="E2671"/>
      <c r="F2671"/>
      <c r="N2671" s="44"/>
    </row>
    <row r="2672" spans="1:14" x14ac:dyDescent="0.3">
      <c r="A2672" s="42"/>
      <c r="C2672" s="52"/>
      <c r="D2672"/>
      <c r="E2672"/>
      <c r="F2672"/>
      <c r="N2672" s="44"/>
    </row>
    <row r="2673" spans="1:14" x14ac:dyDescent="0.3">
      <c r="A2673" s="42"/>
      <c r="C2673" s="52"/>
      <c r="D2673"/>
      <c r="E2673"/>
      <c r="F2673"/>
      <c r="N2673" s="44"/>
    </row>
    <row r="2674" spans="1:14" x14ac:dyDescent="0.3">
      <c r="A2674" s="42"/>
      <c r="C2674" s="52"/>
      <c r="D2674"/>
      <c r="E2674"/>
      <c r="F2674"/>
      <c r="N2674" s="44"/>
    </row>
    <row r="2675" spans="1:14" x14ac:dyDescent="0.3">
      <c r="A2675" s="42"/>
      <c r="C2675" s="52"/>
      <c r="D2675"/>
      <c r="E2675"/>
      <c r="F2675"/>
      <c r="N2675" s="44"/>
    </row>
    <row r="2676" spans="1:14" x14ac:dyDescent="0.3">
      <c r="A2676" s="42"/>
      <c r="C2676" s="52"/>
      <c r="D2676"/>
      <c r="E2676"/>
      <c r="F2676"/>
      <c r="N2676" s="44"/>
    </row>
    <row r="2677" spans="1:14" x14ac:dyDescent="0.3">
      <c r="A2677" s="42"/>
      <c r="C2677" s="52"/>
      <c r="D2677"/>
      <c r="E2677"/>
      <c r="F2677"/>
      <c r="N2677" s="44"/>
    </row>
    <row r="2678" spans="1:14" x14ac:dyDescent="0.3">
      <c r="A2678" s="42"/>
      <c r="C2678" s="52"/>
      <c r="D2678"/>
      <c r="E2678"/>
      <c r="F2678"/>
      <c r="N2678" s="44"/>
    </row>
    <row r="2679" spans="1:14" x14ac:dyDescent="0.3">
      <c r="A2679" s="42"/>
      <c r="C2679" s="52"/>
      <c r="D2679"/>
      <c r="E2679"/>
      <c r="F2679"/>
      <c r="N2679" s="44"/>
    </row>
    <row r="2680" spans="1:14" x14ac:dyDescent="0.3">
      <c r="A2680" s="42"/>
      <c r="C2680" s="52"/>
      <c r="D2680"/>
      <c r="E2680"/>
      <c r="F2680"/>
      <c r="N2680" s="44"/>
    </row>
    <row r="2681" spans="1:14" x14ac:dyDescent="0.3">
      <c r="A2681" s="42"/>
      <c r="C2681" s="52"/>
      <c r="D2681"/>
      <c r="E2681"/>
      <c r="F2681"/>
      <c r="N2681" s="44"/>
    </row>
    <row r="2682" spans="1:14" x14ac:dyDescent="0.3">
      <c r="A2682" s="42"/>
      <c r="C2682" s="52"/>
      <c r="D2682"/>
      <c r="E2682"/>
      <c r="F2682"/>
      <c r="N2682" s="44"/>
    </row>
    <row r="2683" spans="1:14" x14ac:dyDescent="0.3">
      <c r="A2683" s="42"/>
      <c r="C2683" s="52"/>
      <c r="D2683"/>
      <c r="E2683"/>
      <c r="F2683"/>
      <c r="N2683" s="44"/>
    </row>
    <row r="2684" spans="1:14" x14ac:dyDescent="0.3">
      <c r="A2684" s="42"/>
      <c r="C2684" s="52"/>
      <c r="D2684"/>
      <c r="E2684"/>
      <c r="F2684"/>
      <c r="N2684" s="44"/>
    </row>
    <row r="2685" spans="1:14" x14ac:dyDescent="0.3">
      <c r="A2685" s="42"/>
      <c r="C2685" s="52"/>
      <c r="D2685"/>
      <c r="E2685"/>
      <c r="F2685"/>
      <c r="N2685" s="44"/>
    </row>
    <row r="2686" spans="1:14" x14ac:dyDescent="0.3">
      <c r="A2686" s="42"/>
      <c r="C2686" s="52"/>
      <c r="D2686"/>
      <c r="E2686"/>
      <c r="F2686"/>
      <c r="N2686" s="44"/>
    </row>
    <row r="2687" spans="1:14" x14ac:dyDescent="0.3">
      <c r="A2687" s="42"/>
      <c r="C2687" s="52"/>
      <c r="D2687"/>
      <c r="E2687"/>
      <c r="F2687"/>
      <c r="N2687" s="44"/>
    </row>
    <row r="2688" spans="1:14" x14ac:dyDescent="0.3">
      <c r="A2688" s="42"/>
      <c r="C2688" s="52"/>
      <c r="D2688"/>
      <c r="E2688"/>
      <c r="F2688"/>
      <c r="N2688" s="44"/>
    </row>
    <row r="2689" spans="1:14" x14ac:dyDescent="0.3">
      <c r="A2689" s="42"/>
      <c r="C2689" s="52"/>
      <c r="D2689"/>
      <c r="E2689"/>
      <c r="F2689"/>
      <c r="N2689" s="44"/>
    </row>
    <row r="2690" spans="1:14" x14ac:dyDescent="0.3">
      <c r="A2690" s="42"/>
      <c r="C2690" s="52"/>
      <c r="D2690"/>
      <c r="E2690"/>
      <c r="F2690"/>
      <c r="N2690" s="44"/>
    </row>
    <row r="2691" spans="1:14" x14ac:dyDescent="0.3">
      <c r="A2691" s="42"/>
      <c r="C2691" s="52"/>
      <c r="D2691"/>
      <c r="E2691"/>
      <c r="F2691"/>
      <c r="N2691" s="44"/>
    </row>
    <row r="2692" spans="1:14" x14ac:dyDescent="0.3">
      <c r="A2692" s="42"/>
      <c r="C2692" s="52"/>
      <c r="D2692"/>
      <c r="E2692"/>
      <c r="F2692"/>
      <c r="N2692" s="44"/>
    </row>
    <row r="2693" spans="1:14" x14ac:dyDescent="0.3">
      <c r="A2693" s="42"/>
      <c r="C2693" s="52"/>
      <c r="D2693"/>
      <c r="E2693"/>
      <c r="F2693"/>
      <c r="N2693" s="44"/>
    </row>
    <row r="2694" spans="1:14" x14ac:dyDescent="0.3">
      <c r="A2694" s="42"/>
      <c r="C2694" s="52"/>
      <c r="D2694"/>
      <c r="E2694"/>
      <c r="F2694"/>
      <c r="N2694" s="44"/>
    </row>
    <row r="2695" spans="1:14" x14ac:dyDescent="0.3">
      <c r="A2695" s="42"/>
      <c r="C2695" s="52"/>
      <c r="D2695"/>
      <c r="E2695"/>
      <c r="F2695"/>
      <c r="N2695" s="44"/>
    </row>
    <row r="2696" spans="1:14" x14ac:dyDescent="0.3">
      <c r="A2696" s="42"/>
      <c r="C2696" s="52"/>
      <c r="D2696"/>
      <c r="E2696"/>
      <c r="F2696"/>
      <c r="N2696" s="44"/>
    </row>
    <row r="2697" spans="1:14" x14ac:dyDescent="0.3">
      <c r="A2697" s="42"/>
      <c r="C2697" s="52"/>
      <c r="D2697"/>
      <c r="E2697"/>
      <c r="F2697"/>
      <c r="N2697" s="44"/>
    </row>
    <row r="2698" spans="1:14" x14ac:dyDescent="0.3">
      <c r="A2698" s="42"/>
      <c r="C2698" s="52"/>
      <c r="D2698"/>
      <c r="E2698"/>
      <c r="F2698"/>
      <c r="N2698" s="44"/>
    </row>
    <row r="2699" spans="1:14" x14ac:dyDescent="0.3">
      <c r="A2699" s="42"/>
      <c r="C2699" s="52"/>
      <c r="D2699"/>
      <c r="E2699"/>
      <c r="F2699"/>
      <c r="N2699" s="44"/>
    </row>
    <row r="2700" spans="1:14" x14ac:dyDescent="0.3">
      <c r="A2700" s="42"/>
      <c r="C2700" s="52"/>
      <c r="D2700"/>
      <c r="E2700"/>
      <c r="F2700"/>
      <c r="N2700" s="44"/>
    </row>
    <row r="2701" spans="1:14" x14ac:dyDescent="0.3">
      <c r="A2701" s="42"/>
      <c r="C2701" s="52"/>
      <c r="D2701"/>
      <c r="E2701"/>
      <c r="F2701"/>
      <c r="N2701" s="44"/>
    </row>
    <row r="2702" spans="1:14" x14ac:dyDescent="0.3">
      <c r="A2702" s="42"/>
      <c r="C2702" s="52"/>
      <c r="D2702"/>
      <c r="E2702"/>
      <c r="F2702"/>
      <c r="N2702" s="44"/>
    </row>
    <row r="2703" spans="1:14" x14ac:dyDescent="0.3">
      <c r="A2703" s="42"/>
      <c r="C2703" s="52"/>
      <c r="D2703"/>
      <c r="E2703"/>
      <c r="F2703"/>
      <c r="N2703" s="44"/>
    </row>
    <row r="2704" spans="1:14" x14ac:dyDescent="0.3">
      <c r="A2704" s="42"/>
      <c r="C2704" s="52"/>
      <c r="D2704"/>
      <c r="E2704"/>
      <c r="F2704"/>
      <c r="N2704" s="44"/>
    </row>
    <row r="2705" spans="1:14" x14ac:dyDescent="0.3">
      <c r="A2705" s="42"/>
      <c r="C2705" s="52"/>
      <c r="D2705"/>
      <c r="E2705"/>
      <c r="F2705"/>
      <c r="N2705" s="44"/>
    </row>
    <row r="2706" spans="1:14" x14ac:dyDescent="0.3">
      <c r="A2706" s="42"/>
      <c r="C2706" s="52"/>
      <c r="D2706"/>
      <c r="E2706"/>
      <c r="F2706"/>
      <c r="N2706" s="44"/>
    </row>
    <row r="2707" spans="1:14" x14ac:dyDescent="0.3">
      <c r="A2707" s="42"/>
      <c r="C2707" s="52"/>
      <c r="D2707"/>
      <c r="E2707"/>
      <c r="F2707"/>
      <c r="N2707" s="44"/>
    </row>
    <row r="2708" spans="1:14" x14ac:dyDescent="0.3">
      <c r="A2708" s="42"/>
      <c r="C2708" s="52"/>
      <c r="D2708"/>
      <c r="E2708"/>
      <c r="F2708"/>
      <c r="N2708" s="44"/>
    </row>
    <row r="2709" spans="1:14" x14ac:dyDescent="0.3">
      <c r="A2709" s="42"/>
      <c r="C2709" s="52"/>
      <c r="D2709"/>
      <c r="E2709"/>
      <c r="F2709"/>
      <c r="N2709" s="44"/>
    </row>
    <row r="2710" spans="1:14" x14ac:dyDescent="0.3">
      <c r="A2710" s="42"/>
      <c r="C2710" s="52"/>
      <c r="D2710"/>
      <c r="E2710"/>
      <c r="F2710"/>
      <c r="N2710" s="44"/>
    </row>
    <row r="2711" spans="1:14" x14ac:dyDescent="0.3">
      <c r="A2711" s="42"/>
      <c r="C2711" s="52"/>
      <c r="D2711"/>
      <c r="E2711"/>
      <c r="F2711"/>
      <c r="N2711" s="44"/>
    </row>
    <row r="2712" spans="1:14" x14ac:dyDescent="0.3">
      <c r="A2712" s="42"/>
      <c r="C2712" s="52"/>
      <c r="D2712"/>
      <c r="E2712"/>
      <c r="F2712"/>
      <c r="N2712" s="44"/>
    </row>
    <row r="2713" spans="1:14" x14ac:dyDescent="0.3">
      <c r="A2713" s="42"/>
      <c r="C2713" s="52"/>
      <c r="D2713"/>
      <c r="E2713"/>
      <c r="F2713"/>
      <c r="N2713" s="44"/>
    </row>
    <row r="2714" spans="1:14" x14ac:dyDescent="0.3">
      <c r="A2714" s="42"/>
      <c r="C2714" s="52"/>
      <c r="D2714"/>
      <c r="E2714"/>
      <c r="F2714"/>
      <c r="N2714" s="44"/>
    </row>
    <row r="2715" spans="1:14" x14ac:dyDescent="0.3">
      <c r="A2715" s="42"/>
      <c r="C2715" s="52"/>
      <c r="D2715"/>
      <c r="E2715"/>
      <c r="F2715"/>
      <c r="N2715" s="44"/>
    </row>
    <row r="2716" spans="1:14" x14ac:dyDescent="0.3">
      <c r="A2716" s="42"/>
      <c r="C2716" s="52"/>
      <c r="D2716"/>
      <c r="E2716"/>
      <c r="F2716"/>
      <c r="N2716" s="44"/>
    </row>
    <row r="2717" spans="1:14" x14ac:dyDescent="0.3">
      <c r="A2717" s="42"/>
      <c r="C2717" s="52"/>
      <c r="D2717"/>
      <c r="E2717"/>
      <c r="F2717"/>
      <c r="N2717" s="44"/>
    </row>
    <row r="2718" spans="1:14" x14ac:dyDescent="0.3">
      <c r="A2718" s="42"/>
      <c r="C2718" s="52"/>
      <c r="D2718"/>
      <c r="E2718"/>
      <c r="F2718"/>
      <c r="N2718" s="44"/>
    </row>
    <row r="2719" spans="1:14" x14ac:dyDescent="0.3">
      <c r="A2719" s="42"/>
      <c r="C2719" s="52"/>
      <c r="D2719"/>
      <c r="E2719"/>
      <c r="F2719"/>
      <c r="N2719" s="44"/>
    </row>
    <row r="2720" spans="1:14" x14ac:dyDescent="0.3">
      <c r="A2720" s="42"/>
      <c r="C2720" s="52"/>
      <c r="D2720"/>
      <c r="E2720"/>
      <c r="F2720"/>
      <c r="N2720" s="44"/>
    </row>
    <row r="2721" spans="1:14" x14ac:dyDescent="0.3">
      <c r="A2721" s="42"/>
      <c r="C2721" s="52"/>
      <c r="D2721"/>
      <c r="E2721"/>
      <c r="F2721"/>
      <c r="N2721" s="44"/>
    </row>
    <row r="2722" spans="1:14" x14ac:dyDescent="0.3">
      <c r="A2722" s="42"/>
      <c r="C2722" s="52"/>
      <c r="D2722"/>
      <c r="E2722"/>
      <c r="F2722"/>
      <c r="N2722" s="44"/>
    </row>
    <row r="2723" spans="1:14" x14ac:dyDescent="0.3">
      <c r="A2723" s="42"/>
      <c r="C2723" s="52"/>
      <c r="D2723"/>
      <c r="E2723"/>
      <c r="F2723"/>
      <c r="N2723" s="44"/>
    </row>
    <row r="2724" spans="1:14" x14ac:dyDescent="0.3">
      <c r="A2724" s="42"/>
      <c r="C2724" s="52"/>
      <c r="D2724"/>
      <c r="E2724"/>
      <c r="F2724"/>
      <c r="N2724" s="44"/>
    </row>
    <row r="2725" spans="1:14" x14ac:dyDescent="0.3">
      <c r="A2725" s="42"/>
      <c r="C2725" s="52"/>
      <c r="D2725"/>
      <c r="E2725"/>
      <c r="F2725"/>
      <c r="N2725" s="44"/>
    </row>
    <row r="2726" spans="1:14" x14ac:dyDescent="0.3">
      <c r="A2726" s="42"/>
      <c r="C2726" s="52"/>
      <c r="D2726"/>
      <c r="E2726"/>
      <c r="F2726"/>
      <c r="N2726" s="44"/>
    </row>
    <row r="2727" spans="1:14" x14ac:dyDescent="0.3">
      <c r="A2727" s="42"/>
      <c r="C2727" s="52"/>
      <c r="D2727"/>
      <c r="E2727"/>
      <c r="F2727"/>
      <c r="N2727" s="44"/>
    </row>
    <row r="2728" spans="1:14" x14ac:dyDescent="0.3">
      <c r="A2728" s="42"/>
      <c r="C2728" s="52"/>
      <c r="D2728"/>
      <c r="E2728"/>
      <c r="F2728"/>
      <c r="N2728" s="44"/>
    </row>
    <row r="2729" spans="1:14" x14ac:dyDescent="0.3">
      <c r="A2729" s="42"/>
      <c r="C2729" s="52"/>
      <c r="D2729"/>
      <c r="E2729"/>
      <c r="F2729"/>
      <c r="N2729" s="44"/>
    </row>
    <row r="2730" spans="1:14" x14ac:dyDescent="0.3">
      <c r="A2730" s="42"/>
      <c r="C2730" s="52"/>
      <c r="D2730"/>
      <c r="E2730"/>
      <c r="F2730"/>
      <c r="N2730" s="44"/>
    </row>
    <row r="2731" spans="1:14" x14ac:dyDescent="0.3">
      <c r="A2731" s="42"/>
      <c r="C2731" s="52"/>
      <c r="D2731"/>
      <c r="E2731"/>
      <c r="F2731"/>
      <c r="N2731" s="44"/>
    </row>
    <row r="2732" spans="1:14" x14ac:dyDescent="0.3">
      <c r="A2732" s="42"/>
      <c r="C2732" s="52"/>
      <c r="D2732"/>
      <c r="E2732"/>
      <c r="F2732"/>
      <c r="N2732" s="44"/>
    </row>
    <row r="2733" spans="1:14" x14ac:dyDescent="0.3">
      <c r="A2733" s="42"/>
      <c r="C2733" s="52"/>
      <c r="D2733"/>
      <c r="E2733"/>
      <c r="F2733"/>
      <c r="N2733" s="44"/>
    </row>
    <row r="2734" spans="1:14" x14ac:dyDescent="0.3">
      <c r="A2734" s="42"/>
      <c r="C2734" s="52"/>
      <c r="D2734"/>
      <c r="E2734"/>
      <c r="F2734"/>
      <c r="N2734" s="44"/>
    </row>
    <row r="2735" spans="1:14" x14ac:dyDescent="0.3">
      <c r="A2735" s="42"/>
      <c r="C2735" s="52"/>
      <c r="D2735"/>
      <c r="E2735"/>
      <c r="F2735"/>
      <c r="N2735" s="44"/>
    </row>
    <row r="2736" spans="1:14" x14ac:dyDescent="0.3">
      <c r="A2736" s="42"/>
      <c r="C2736" s="52"/>
      <c r="D2736"/>
      <c r="E2736"/>
      <c r="F2736"/>
      <c r="N2736" s="44"/>
    </row>
    <row r="2737" spans="1:14" x14ac:dyDescent="0.3">
      <c r="A2737" s="42"/>
      <c r="C2737" s="52"/>
      <c r="D2737"/>
      <c r="E2737"/>
      <c r="F2737"/>
      <c r="N2737" s="44"/>
    </row>
    <row r="2738" spans="1:14" x14ac:dyDescent="0.3">
      <c r="A2738" s="42"/>
      <c r="C2738" s="52"/>
      <c r="D2738"/>
      <c r="E2738"/>
      <c r="F2738"/>
      <c r="N2738" s="44"/>
    </row>
    <row r="2739" spans="1:14" x14ac:dyDescent="0.3">
      <c r="A2739" s="42"/>
      <c r="C2739" s="52"/>
      <c r="D2739"/>
      <c r="E2739"/>
      <c r="F2739"/>
      <c r="N2739" s="44"/>
    </row>
    <row r="2740" spans="1:14" x14ac:dyDescent="0.3">
      <c r="A2740" s="42"/>
      <c r="C2740" s="52"/>
      <c r="D2740"/>
      <c r="E2740"/>
      <c r="F2740"/>
      <c r="N2740" s="44"/>
    </row>
    <row r="2741" spans="1:14" x14ac:dyDescent="0.3">
      <c r="A2741" s="42"/>
      <c r="C2741" s="52"/>
      <c r="D2741"/>
      <c r="E2741"/>
      <c r="F2741"/>
      <c r="N2741" s="44"/>
    </row>
    <row r="2742" spans="1:14" x14ac:dyDescent="0.3">
      <c r="A2742" s="42"/>
      <c r="C2742" s="52"/>
      <c r="D2742"/>
      <c r="E2742"/>
      <c r="F2742"/>
      <c r="N2742" s="44"/>
    </row>
    <row r="2743" spans="1:14" x14ac:dyDescent="0.3">
      <c r="A2743" s="42"/>
      <c r="C2743" s="52"/>
      <c r="D2743"/>
      <c r="E2743"/>
      <c r="F2743"/>
      <c r="N2743" s="44"/>
    </row>
    <row r="2744" spans="1:14" x14ac:dyDescent="0.3">
      <c r="A2744" s="42"/>
      <c r="C2744" s="52"/>
      <c r="D2744"/>
      <c r="E2744"/>
      <c r="F2744"/>
      <c r="N2744" s="44"/>
    </row>
    <row r="2745" spans="1:14" x14ac:dyDescent="0.3">
      <c r="A2745" s="42"/>
      <c r="C2745" s="52"/>
      <c r="D2745"/>
      <c r="E2745"/>
      <c r="F2745"/>
      <c r="N2745" s="44"/>
    </row>
    <row r="2746" spans="1:14" x14ac:dyDescent="0.3">
      <c r="A2746" s="42"/>
      <c r="C2746" s="52"/>
      <c r="D2746"/>
      <c r="E2746"/>
      <c r="F2746"/>
      <c r="N2746" s="44"/>
    </row>
    <row r="2747" spans="1:14" x14ac:dyDescent="0.3">
      <c r="A2747" s="42"/>
      <c r="C2747" s="52"/>
      <c r="D2747"/>
      <c r="E2747"/>
      <c r="F2747"/>
      <c r="N2747" s="44"/>
    </row>
    <row r="2748" spans="1:14" x14ac:dyDescent="0.3">
      <c r="A2748" s="42"/>
      <c r="C2748" s="52"/>
      <c r="D2748"/>
      <c r="E2748"/>
      <c r="F2748"/>
      <c r="N2748" s="44"/>
    </row>
    <row r="2749" spans="1:14" x14ac:dyDescent="0.3">
      <c r="A2749" s="42"/>
      <c r="C2749" s="52"/>
      <c r="D2749"/>
      <c r="E2749"/>
      <c r="F2749"/>
      <c r="N2749" s="44"/>
    </row>
    <row r="2750" spans="1:14" x14ac:dyDescent="0.3">
      <c r="A2750" s="42"/>
      <c r="C2750" s="52"/>
      <c r="D2750"/>
      <c r="E2750"/>
      <c r="F2750"/>
      <c r="N2750" s="44"/>
    </row>
    <row r="2751" spans="1:14" x14ac:dyDescent="0.3">
      <c r="A2751" s="42"/>
      <c r="C2751" s="52"/>
      <c r="D2751"/>
      <c r="E2751"/>
      <c r="F2751"/>
      <c r="N2751" s="44"/>
    </row>
    <row r="2752" spans="1:14" x14ac:dyDescent="0.3">
      <c r="A2752" s="42"/>
      <c r="C2752" s="52"/>
      <c r="D2752"/>
      <c r="E2752"/>
      <c r="F2752"/>
      <c r="N2752" s="44"/>
    </row>
    <row r="2753" spans="1:14" x14ac:dyDescent="0.3">
      <c r="A2753" s="42"/>
      <c r="C2753" s="52"/>
      <c r="D2753"/>
      <c r="E2753"/>
      <c r="F2753"/>
      <c r="N2753" s="44"/>
    </row>
    <row r="2754" spans="1:14" x14ac:dyDescent="0.3">
      <c r="A2754" s="42"/>
      <c r="C2754" s="52"/>
      <c r="D2754"/>
      <c r="E2754"/>
      <c r="F2754"/>
      <c r="N2754" s="44"/>
    </row>
    <row r="2755" spans="1:14" x14ac:dyDescent="0.3">
      <c r="A2755" s="42"/>
      <c r="C2755" s="52"/>
      <c r="D2755"/>
      <c r="E2755"/>
      <c r="F2755"/>
      <c r="N2755" s="44"/>
    </row>
    <row r="2756" spans="1:14" x14ac:dyDescent="0.3">
      <c r="A2756" s="42"/>
      <c r="C2756" s="52"/>
      <c r="D2756"/>
      <c r="E2756"/>
      <c r="F2756"/>
      <c r="N2756" s="44"/>
    </row>
    <row r="2757" spans="1:14" x14ac:dyDescent="0.3">
      <c r="A2757" s="42"/>
      <c r="C2757" s="52"/>
      <c r="D2757"/>
      <c r="E2757"/>
      <c r="F2757"/>
      <c r="N2757" s="44"/>
    </row>
    <row r="2758" spans="1:14" x14ac:dyDescent="0.3">
      <c r="A2758" s="42"/>
      <c r="C2758" s="52"/>
      <c r="D2758"/>
      <c r="E2758"/>
      <c r="F2758"/>
      <c r="N2758" s="44"/>
    </row>
    <row r="2759" spans="1:14" x14ac:dyDescent="0.3">
      <c r="A2759" s="42"/>
      <c r="C2759" s="52"/>
      <c r="D2759"/>
      <c r="E2759"/>
      <c r="F2759"/>
      <c r="N2759" s="44"/>
    </row>
    <row r="2760" spans="1:14" x14ac:dyDescent="0.3">
      <c r="A2760" s="42"/>
      <c r="C2760" s="52"/>
      <c r="D2760"/>
      <c r="E2760"/>
      <c r="F2760"/>
      <c r="N2760" s="44"/>
    </row>
    <row r="2761" spans="1:14" x14ac:dyDescent="0.3">
      <c r="A2761" s="42"/>
      <c r="C2761" s="52"/>
      <c r="D2761"/>
      <c r="E2761"/>
      <c r="F2761"/>
      <c r="N2761" s="44"/>
    </row>
    <row r="2762" spans="1:14" x14ac:dyDescent="0.3">
      <c r="A2762" s="42"/>
      <c r="C2762" s="52"/>
      <c r="D2762"/>
      <c r="E2762"/>
      <c r="F2762"/>
      <c r="N2762" s="44"/>
    </row>
    <row r="2763" spans="1:14" x14ac:dyDescent="0.3">
      <c r="A2763" s="42"/>
      <c r="C2763" s="52"/>
      <c r="D2763"/>
      <c r="E2763"/>
      <c r="F2763"/>
      <c r="N2763" s="44"/>
    </row>
    <row r="2764" spans="1:14" x14ac:dyDescent="0.3">
      <c r="A2764" s="42"/>
      <c r="C2764" s="52"/>
      <c r="D2764"/>
      <c r="E2764"/>
      <c r="F2764"/>
      <c r="N2764" s="44"/>
    </row>
    <row r="2765" spans="1:14" x14ac:dyDescent="0.3">
      <c r="A2765" s="42"/>
      <c r="C2765" s="52"/>
      <c r="D2765"/>
      <c r="E2765"/>
      <c r="F2765"/>
      <c r="N2765" s="44"/>
    </row>
    <row r="2766" spans="1:14" x14ac:dyDescent="0.3">
      <c r="A2766" s="42"/>
      <c r="C2766" s="52"/>
      <c r="D2766"/>
      <c r="E2766"/>
      <c r="F2766"/>
      <c r="N2766" s="44"/>
    </row>
    <row r="2767" spans="1:14" x14ac:dyDescent="0.3">
      <c r="A2767" s="42"/>
      <c r="C2767" s="52"/>
      <c r="D2767"/>
      <c r="E2767"/>
      <c r="F2767"/>
      <c r="N2767" s="44"/>
    </row>
    <row r="2768" spans="1:14" x14ac:dyDescent="0.3">
      <c r="A2768" s="42"/>
      <c r="C2768" s="52"/>
      <c r="D2768"/>
      <c r="E2768"/>
      <c r="F2768"/>
      <c r="N2768" s="44"/>
    </row>
    <row r="2769" spans="1:14" x14ac:dyDescent="0.3">
      <c r="A2769" s="42"/>
      <c r="C2769" s="52"/>
      <c r="D2769"/>
      <c r="E2769"/>
      <c r="F2769"/>
      <c r="N2769" s="44"/>
    </row>
    <row r="2770" spans="1:14" x14ac:dyDescent="0.3">
      <c r="A2770" s="42"/>
      <c r="C2770" s="52"/>
      <c r="D2770"/>
      <c r="E2770"/>
      <c r="F2770"/>
      <c r="N2770" s="44"/>
    </row>
    <row r="2771" spans="1:14" x14ac:dyDescent="0.3">
      <c r="A2771" s="42"/>
      <c r="C2771" s="52"/>
      <c r="D2771"/>
      <c r="E2771"/>
      <c r="F2771"/>
      <c r="N2771" s="44"/>
    </row>
    <row r="2772" spans="1:14" x14ac:dyDescent="0.3">
      <c r="A2772" s="42"/>
      <c r="C2772" s="52"/>
      <c r="D2772"/>
      <c r="E2772"/>
      <c r="F2772"/>
      <c r="N2772" s="44"/>
    </row>
    <row r="2773" spans="1:14" x14ac:dyDescent="0.3">
      <c r="A2773" s="42"/>
      <c r="C2773" s="52"/>
      <c r="D2773"/>
      <c r="E2773"/>
      <c r="F2773"/>
      <c r="N2773" s="44"/>
    </row>
    <row r="2774" spans="1:14" x14ac:dyDescent="0.3">
      <c r="A2774" s="42"/>
      <c r="C2774" s="52"/>
      <c r="D2774"/>
      <c r="E2774"/>
      <c r="F2774"/>
      <c r="N2774" s="44"/>
    </row>
    <row r="2775" spans="1:14" x14ac:dyDescent="0.3">
      <c r="A2775" s="42"/>
      <c r="C2775" s="52"/>
      <c r="D2775"/>
      <c r="E2775"/>
      <c r="F2775"/>
      <c r="N2775" s="44"/>
    </row>
    <row r="2776" spans="1:14" x14ac:dyDescent="0.3">
      <c r="A2776" s="42"/>
      <c r="C2776" s="52"/>
      <c r="D2776"/>
      <c r="E2776"/>
      <c r="F2776"/>
      <c r="N2776" s="44"/>
    </row>
    <row r="2777" spans="1:14" x14ac:dyDescent="0.3">
      <c r="A2777" s="42"/>
      <c r="C2777" s="52"/>
      <c r="D2777"/>
      <c r="E2777"/>
      <c r="F2777"/>
      <c r="N2777" s="44"/>
    </row>
    <row r="2778" spans="1:14" x14ac:dyDescent="0.3">
      <c r="A2778" s="42"/>
      <c r="C2778" s="52"/>
      <c r="D2778"/>
      <c r="E2778"/>
      <c r="F2778"/>
      <c r="N2778" s="44"/>
    </row>
    <row r="2779" spans="1:14" x14ac:dyDescent="0.3">
      <c r="A2779" s="42"/>
      <c r="C2779" s="52"/>
      <c r="D2779"/>
      <c r="E2779"/>
      <c r="F2779"/>
      <c r="N2779" s="44"/>
    </row>
    <row r="2780" spans="1:14" x14ac:dyDescent="0.3">
      <c r="A2780" s="42"/>
      <c r="C2780" s="52"/>
      <c r="D2780"/>
      <c r="E2780"/>
      <c r="F2780"/>
      <c r="N2780" s="44"/>
    </row>
    <row r="2781" spans="1:14" x14ac:dyDescent="0.3">
      <c r="A2781" s="42"/>
      <c r="C2781" s="52"/>
      <c r="D2781"/>
      <c r="E2781"/>
      <c r="F2781"/>
      <c r="N2781" s="44"/>
    </row>
    <row r="2782" spans="1:14" x14ac:dyDescent="0.3">
      <c r="A2782" s="42"/>
      <c r="C2782" s="52"/>
      <c r="D2782"/>
      <c r="E2782"/>
      <c r="F2782"/>
      <c r="N2782" s="44"/>
    </row>
    <row r="2783" spans="1:14" x14ac:dyDescent="0.3">
      <c r="A2783" s="42"/>
      <c r="C2783" s="52"/>
      <c r="D2783"/>
      <c r="E2783"/>
      <c r="F2783"/>
      <c r="N2783" s="44"/>
    </row>
    <row r="2784" spans="1:14" x14ac:dyDescent="0.3">
      <c r="A2784" s="42"/>
      <c r="C2784" s="52"/>
      <c r="D2784"/>
      <c r="E2784"/>
      <c r="F2784"/>
      <c r="N2784" s="44"/>
    </row>
    <row r="2785" spans="1:14" x14ac:dyDescent="0.3">
      <c r="A2785" s="42"/>
      <c r="C2785" s="52"/>
      <c r="D2785"/>
      <c r="E2785"/>
      <c r="F2785"/>
      <c r="N2785" s="44"/>
    </row>
    <row r="2786" spans="1:14" x14ac:dyDescent="0.3">
      <c r="A2786" s="42"/>
      <c r="C2786" s="52"/>
      <c r="D2786"/>
      <c r="E2786"/>
      <c r="F2786"/>
      <c r="N2786" s="44"/>
    </row>
    <row r="2787" spans="1:14" x14ac:dyDescent="0.3">
      <c r="A2787" s="42"/>
      <c r="C2787" s="52"/>
      <c r="D2787"/>
      <c r="E2787"/>
      <c r="F2787"/>
      <c r="N2787" s="44"/>
    </row>
    <row r="2788" spans="1:14" x14ac:dyDescent="0.3">
      <c r="A2788" s="42"/>
      <c r="C2788" s="52"/>
      <c r="D2788"/>
      <c r="E2788"/>
      <c r="F2788"/>
      <c r="N2788" s="44"/>
    </row>
    <row r="2789" spans="1:14" x14ac:dyDescent="0.3">
      <c r="A2789" s="42"/>
      <c r="C2789" s="52"/>
      <c r="D2789"/>
      <c r="E2789"/>
      <c r="F2789"/>
      <c r="N2789" s="44"/>
    </row>
    <row r="2790" spans="1:14" x14ac:dyDescent="0.3">
      <c r="A2790" s="42"/>
      <c r="C2790" s="52"/>
      <c r="D2790"/>
      <c r="E2790"/>
      <c r="F2790"/>
      <c r="N2790" s="44"/>
    </row>
    <row r="2791" spans="1:14" x14ac:dyDescent="0.3">
      <c r="A2791" s="42"/>
      <c r="C2791" s="52"/>
      <c r="D2791"/>
      <c r="E2791"/>
      <c r="F2791"/>
      <c r="N2791" s="44"/>
    </row>
    <row r="2792" spans="1:14" x14ac:dyDescent="0.3">
      <c r="A2792" s="42"/>
      <c r="C2792" s="52"/>
      <c r="D2792"/>
      <c r="E2792"/>
      <c r="F2792"/>
      <c r="N2792" s="44"/>
    </row>
    <row r="2793" spans="1:14" x14ac:dyDescent="0.3">
      <c r="A2793" s="42"/>
      <c r="C2793" s="52"/>
      <c r="D2793"/>
      <c r="E2793"/>
      <c r="F2793"/>
      <c r="N2793" s="44"/>
    </row>
    <row r="2794" spans="1:14" x14ac:dyDescent="0.3">
      <c r="A2794" s="42"/>
      <c r="C2794" s="52"/>
      <c r="D2794"/>
      <c r="E2794"/>
      <c r="F2794"/>
      <c r="N2794" s="44"/>
    </row>
    <row r="2795" spans="1:14" x14ac:dyDescent="0.3">
      <c r="A2795" s="42"/>
      <c r="C2795" s="52"/>
      <c r="D2795"/>
      <c r="E2795"/>
      <c r="F2795"/>
      <c r="N2795" s="44"/>
    </row>
    <row r="2796" spans="1:14" x14ac:dyDescent="0.3">
      <c r="A2796" s="42"/>
      <c r="C2796" s="52"/>
      <c r="D2796"/>
      <c r="E2796"/>
      <c r="F2796"/>
      <c r="N2796" s="44"/>
    </row>
    <row r="2797" spans="1:14" x14ac:dyDescent="0.3">
      <c r="A2797" s="42"/>
      <c r="C2797" s="52"/>
      <c r="D2797"/>
      <c r="E2797"/>
      <c r="F2797"/>
      <c r="N2797" s="44"/>
    </row>
    <row r="2798" spans="1:14" x14ac:dyDescent="0.3">
      <c r="A2798" s="42"/>
      <c r="C2798" s="52"/>
      <c r="D2798"/>
      <c r="E2798"/>
      <c r="F2798"/>
      <c r="N2798" s="44"/>
    </row>
    <row r="2799" spans="1:14" x14ac:dyDescent="0.3">
      <c r="A2799" s="42"/>
      <c r="C2799" s="52"/>
      <c r="D2799"/>
      <c r="E2799"/>
      <c r="F2799"/>
      <c r="N2799" s="44"/>
    </row>
    <row r="2800" spans="1:14" x14ac:dyDescent="0.3">
      <c r="A2800" s="42"/>
      <c r="C2800" s="52"/>
      <c r="D2800"/>
      <c r="E2800"/>
      <c r="F2800"/>
      <c r="N2800" s="44"/>
    </row>
    <row r="2801" spans="1:14" x14ac:dyDescent="0.3">
      <c r="A2801" s="42"/>
      <c r="C2801" s="52"/>
      <c r="D2801"/>
      <c r="E2801"/>
      <c r="F2801"/>
      <c r="N2801" s="44"/>
    </row>
    <row r="2802" spans="1:14" x14ac:dyDescent="0.3">
      <c r="A2802" s="42"/>
      <c r="C2802" s="52"/>
      <c r="D2802"/>
      <c r="E2802"/>
      <c r="F2802"/>
      <c r="N2802" s="44"/>
    </row>
    <row r="2803" spans="1:14" x14ac:dyDescent="0.3">
      <c r="A2803" s="42"/>
      <c r="C2803" s="52"/>
      <c r="D2803"/>
      <c r="E2803"/>
      <c r="F2803"/>
      <c r="N2803" s="44"/>
    </row>
    <row r="2804" spans="1:14" x14ac:dyDescent="0.3">
      <c r="A2804" s="42"/>
      <c r="C2804" s="52"/>
      <c r="D2804"/>
      <c r="E2804"/>
      <c r="F2804"/>
      <c r="N2804" s="44"/>
    </row>
    <row r="2805" spans="1:14" x14ac:dyDescent="0.3">
      <c r="A2805" s="42"/>
      <c r="C2805" s="52"/>
      <c r="D2805"/>
      <c r="E2805"/>
      <c r="F2805"/>
      <c r="N2805" s="44"/>
    </row>
    <row r="2806" spans="1:14" x14ac:dyDescent="0.3">
      <c r="A2806" s="42"/>
      <c r="C2806" s="52"/>
      <c r="D2806"/>
      <c r="E2806"/>
      <c r="F2806"/>
      <c r="M2806" s="45"/>
      <c r="N2806" s="44"/>
    </row>
    <row r="2807" spans="1:14" x14ac:dyDescent="0.3">
      <c r="A2807" s="42"/>
      <c r="C2807" s="52"/>
      <c r="D2807"/>
      <c r="E2807"/>
      <c r="F2807"/>
      <c r="N2807" s="44"/>
    </row>
    <row r="2808" spans="1:14" x14ac:dyDescent="0.3">
      <c r="A2808" s="42"/>
      <c r="C2808" s="52"/>
      <c r="D2808"/>
      <c r="E2808"/>
      <c r="F2808"/>
      <c r="N2808" s="44"/>
    </row>
    <row r="2809" spans="1:14" x14ac:dyDescent="0.3">
      <c r="A2809" s="42"/>
      <c r="C2809" s="52"/>
      <c r="D2809"/>
      <c r="E2809"/>
      <c r="F2809"/>
      <c r="N2809" s="44"/>
    </row>
    <row r="2810" spans="1:14" x14ac:dyDescent="0.3">
      <c r="A2810" s="42"/>
      <c r="C2810" s="52"/>
      <c r="D2810"/>
      <c r="E2810"/>
      <c r="F2810"/>
      <c r="N2810" s="44"/>
    </row>
    <row r="2811" spans="1:14" x14ac:dyDescent="0.3">
      <c r="A2811" s="42"/>
      <c r="C2811" s="52"/>
      <c r="D2811"/>
      <c r="E2811"/>
      <c r="F2811"/>
      <c r="N2811" s="44"/>
    </row>
    <row r="2812" spans="1:14" x14ac:dyDescent="0.3">
      <c r="A2812" s="42"/>
      <c r="C2812" s="52"/>
      <c r="D2812"/>
      <c r="E2812"/>
      <c r="F2812"/>
      <c r="N2812" s="44"/>
    </row>
    <row r="2813" spans="1:14" x14ac:dyDescent="0.3">
      <c r="A2813" s="42"/>
      <c r="C2813" s="52"/>
      <c r="D2813"/>
      <c r="E2813"/>
      <c r="F2813"/>
      <c r="M2813" s="45"/>
      <c r="N2813" s="44"/>
    </row>
    <row r="2814" spans="1:14" x14ac:dyDescent="0.3">
      <c r="A2814" s="42"/>
      <c r="C2814" s="52"/>
      <c r="D2814"/>
      <c r="E2814"/>
      <c r="F2814"/>
      <c r="N2814" s="44"/>
    </row>
    <row r="2815" spans="1:14" x14ac:dyDescent="0.3">
      <c r="A2815" s="42"/>
      <c r="C2815" s="52"/>
      <c r="D2815"/>
      <c r="E2815"/>
      <c r="F2815"/>
      <c r="N2815" s="44"/>
    </row>
    <row r="2816" spans="1:14" x14ac:dyDescent="0.3">
      <c r="A2816" s="42"/>
      <c r="C2816" s="52"/>
      <c r="D2816"/>
      <c r="E2816"/>
      <c r="F2816"/>
      <c r="N2816" s="44"/>
    </row>
    <row r="2817" spans="1:14" x14ac:dyDescent="0.3">
      <c r="A2817" s="42"/>
      <c r="C2817" s="52"/>
      <c r="D2817"/>
      <c r="E2817"/>
      <c r="F2817"/>
      <c r="N2817" s="44"/>
    </row>
    <row r="2818" spans="1:14" x14ac:dyDescent="0.3">
      <c r="A2818" s="42"/>
      <c r="C2818" s="52"/>
      <c r="D2818"/>
      <c r="E2818"/>
      <c r="F2818"/>
      <c r="N2818" s="44"/>
    </row>
    <row r="2819" spans="1:14" x14ac:dyDescent="0.3">
      <c r="A2819" s="42"/>
      <c r="C2819" s="52"/>
      <c r="D2819"/>
      <c r="E2819"/>
      <c r="F2819"/>
      <c r="N2819" s="44"/>
    </row>
    <row r="2820" spans="1:14" x14ac:dyDescent="0.3">
      <c r="A2820" s="42"/>
      <c r="C2820" s="52"/>
      <c r="D2820"/>
      <c r="E2820"/>
      <c r="F2820"/>
      <c r="N2820" s="44"/>
    </row>
    <row r="2821" spans="1:14" x14ac:dyDescent="0.3">
      <c r="A2821" s="42"/>
      <c r="C2821" s="52"/>
      <c r="D2821"/>
      <c r="E2821"/>
      <c r="F2821"/>
      <c r="N2821" s="44"/>
    </row>
    <row r="2822" spans="1:14" x14ac:dyDescent="0.3">
      <c r="A2822" s="42"/>
      <c r="C2822" s="52"/>
      <c r="D2822"/>
      <c r="E2822"/>
      <c r="F2822"/>
      <c r="N2822" s="44"/>
    </row>
    <row r="2823" spans="1:14" x14ac:dyDescent="0.3">
      <c r="A2823" s="42"/>
      <c r="C2823" s="52"/>
      <c r="D2823"/>
      <c r="E2823"/>
      <c r="F2823"/>
      <c r="N2823" s="44"/>
    </row>
    <row r="2824" spans="1:14" x14ac:dyDescent="0.3">
      <c r="A2824" s="42"/>
      <c r="C2824" s="52"/>
      <c r="D2824"/>
      <c r="E2824"/>
      <c r="F2824"/>
      <c r="N2824" s="44"/>
    </row>
    <row r="2825" spans="1:14" x14ac:dyDescent="0.3">
      <c r="A2825" s="42"/>
      <c r="C2825" s="52"/>
      <c r="D2825"/>
      <c r="E2825"/>
      <c r="F2825"/>
      <c r="N2825" s="44"/>
    </row>
    <row r="2826" spans="1:14" x14ac:dyDescent="0.3">
      <c r="A2826" s="42"/>
      <c r="C2826" s="52"/>
      <c r="D2826"/>
      <c r="E2826"/>
      <c r="F2826"/>
      <c r="N2826" s="44"/>
    </row>
    <row r="2827" spans="1:14" x14ac:dyDescent="0.3">
      <c r="A2827" s="42"/>
      <c r="C2827" s="52"/>
      <c r="D2827"/>
      <c r="E2827"/>
      <c r="F2827"/>
      <c r="N2827" s="44"/>
    </row>
    <row r="2828" spans="1:14" x14ac:dyDescent="0.3">
      <c r="A2828" s="42"/>
      <c r="C2828" s="52"/>
      <c r="D2828"/>
      <c r="E2828"/>
      <c r="F2828"/>
      <c r="N2828" s="44"/>
    </row>
    <row r="2829" spans="1:14" x14ac:dyDescent="0.3">
      <c r="A2829" s="42"/>
      <c r="C2829" s="52"/>
      <c r="D2829"/>
      <c r="E2829"/>
      <c r="F2829"/>
      <c r="N2829" s="44"/>
    </row>
    <row r="2830" spans="1:14" x14ac:dyDescent="0.3">
      <c r="A2830" s="42"/>
      <c r="C2830" s="52"/>
      <c r="D2830"/>
      <c r="E2830"/>
      <c r="F2830"/>
      <c r="N2830" s="44"/>
    </row>
    <row r="2831" spans="1:14" x14ac:dyDescent="0.3">
      <c r="A2831" s="42"/>
      <c r="C2831" s="52"/>
      <c r="D2831"/>
      <c r="E2831"/>
      <c r="F2831"/>
      <c r="N2831" s="44"/>
    </row>
    <row r="2832" spans="1:14" x14ac:dyDescent="0.3">
      <c r="A2832" s="42"/>
      <c r="C2832" s="52"/>
      <c r="D2832"/>
      <c r="E2832"/>
      <c r="F2832"/>
      <c r="N2832" s="44"/>
    </row>
    <row r="2833" spans="1:14" x14ac:dyDescent="0.3">
      <c r="A2833" s="42"/>
      <c r="C2833" s="52"/>
      <c r="D2833"/>
      <c r="E2833"/>
      <c r="F2833"/>
      <c r="N2833" s="44"/>
    </row>
    <row r="2834" spans="1:14" x14ac:dyDescent="0.3">
      <c r="A2834" s="42"/>
      <c r="C2834" s="52"/>
      <c r="D2834"/>
      <c r="E2834"/>
      <c r="F2834"/>
      <c r="N2834" s="44"/>
    </row>
    <row r="2835" spans="1:14" x14ac:dyDescent="0.3">
      <c r="A2835" s="42"/>
      <c r="C2835" s="52"/>
      <c r="D2835"/>
      <c r="E2835"/>
      <c r="F2835"/>
      <c r="N2835" s="44"/>
    </row>
    <row r="2836" spans="1:14" x14ac:dyDescent="0.3">
      <c r="A2836" s="42"/>
      <c r="C2836" s="52"/>
      <c r="D2836"/>
      <c r="E2836"/>
      <c r="F2836"/>
      <c r="N2836" s="44"/>
    </row>
    <row r="2837" spans="1:14" x14ac:dyDescent="0.3">
      <c r="A2837" s="42"/>
      <c r="C2837" s="52"/>
      <c r="D2837"/>
      <c r="E2837"/>
      <c r="F2837"/>
      <c r="N2837" s="44"/>
    </row>
    <row r="2838" spans="1:14" x14ac:dyDescent="0.3">
      <c r="A2838" s="42"/>
      <c r="C2838" s="52"/>
      <c r="D2838"/>
      <c r="E2838"/>
      <c r="F2838"/>
      <c r="N2838" s="44"/>
    </row>
    <row r="2839" spans="1:14" x14ac:dyDescent="0.3">
      <c r="A2839" s="42"/>
      <c r="C2839" s="52"/>
      <c r="D2839"/>
      <c r="E2839"/>
      <c r="F2839"/>
      <c r="N2839" s="44"/>
    </row>
    <row r="2840" spans="1:14" x14ac:dyDescent="0.3">
      <c r="A2840" s="42"/>
      <c r="C2840" s="52"/>
      <c r="D2840"/>
      <c r="E2840"/>
      <c r="F2840"/>
      <c r="N2840" s="44"/>
    </row>
    <row r="2841" spans="1:14" x14ac:dyDescent="0.3">
      <c r="A2841" s="42"/>
      <c r="C2841" s="52"/>
      <c r="D2841"/>
      <c r="E2841"/>
      <c r="F2841"/>
      <c r="N2841" s="44"/>
    </row>
    <row r="2842" spans="1:14" x14ac:dyDescent="0.3">
      <c r="A2842" s="42"/>
      <c r="C2842" s="52"/>
      <c r="D2842"/>
      <c r="E2842"/>
      <c r="F2842"/>
      <c r="N2842" s="44"/>
    </row>
    <row r="2843" spans="1:14" x14ac:dyDescent="0.3">
      <c r="A2843" s="42"/>
      <c r="C2843" s="52"/>
      <c r="D2843"/>
      <c r="E2843"/>
      <c r="F2843"/>
      <c r="N2843" s="44"/>
    </row>
    <row r="2844" spans="1:14" x14ac:dyDescent="0.3">
      <c r="A2844" s="42"/>
      <c r="C2844" s="52"/>
      <c r="D2844"/>
      <c r="E2844"/>
      <c r="F2844"/>
      <c r="N2844" s="44"/>
    </row>
    <row r="2845" spans="1:14" x14ac:dyDescent="0.3">
      <c r="A2845" s="42"/>
      <c r="C2845" s="52"/>
      <c r="D2845"/>
      <c r="E2845"/>
      <c r="F2845"/>
      <c r="N2845" s="44"/>
    </row>
    <row r="2846" spans="1:14" x14ac:dyDescent="0.3">
      <c r="A2846" s="42"/>
      <c r="C2846" s="52"/>
      <c r="D2846"/>
      <c r="E2846"/>
      <c r="F2846"/>
      <c r="N2846" s="44"/>
    </row>
    <row r="2847" spans="1:14" x14ac:dyDescent="0.3">
      <c r="A2847" s="42"/>
      <c r="C2847" s="52"/>
      <c r="D2847"/>
      <c r="E2847"/>
      <c r="F2847"/>
      <c r="N2847" s="44"/>
    </row>
    <row r="2848" spans="1:14" x14ac:dyDescent="0.3">
      <c r="A2848" s="42"/>
      <c r="C2848" s="52"/>
      <c r="D2848"/>
      <c r="E2848"/>
      <c r="F2848"/>
      <c r="N2848" s="44"/>
    </row>
    <row r="2849" spans="1:14" x14ac:dyDescent="0.3">
      <c r="A2849" s="42"/>
      <c r="C2849" s="52"/>
      <c r="D2849"/>
      <c r="E2849"/>
      <c r="F2849"/>
      <c r="N2849" s="44"/>
    </row>
    <row r="2850" spans="1:14" x14ac:dyDescent="0.3">
      <c r="A2850" s="42"/>
      <c r="C2850" s="52"/>
      <c r="D2850"/>
      <c r="E2850"/>
      <c r="F2850"/>
      <c r="N2850" s="44"/>
    </row>
    <row r="2851" spans="1:14" x14ac:dyDescent="0.3">
      <c r="A2851" s="42"/>
      <c r="C2851" s="52"/>
      <c r="D2851"/>
      <c r="E2851"/>
      <c r="F2851"/>
      <c r="N2851" s="44"/>
    </row>
    <row r="2852" spans="1:14" x14ac:dyDescent="0.3">
      <c r="A2852" s="42"/>
      <c r="C2852" s="52"/>
      <c r="D2852"/>
      <c r="E2852"/>
      <c r="F2852"/>
      <c r="N2852" s="44"/>
    </row>
    <row r="2853" spans="1:14" x14ac:dyDescent="0.3">
      <c r="A2853" s="42"/>
      <c r="C2853" s="52"/>
      <c r="D2853"/>
      <c r="E2853"/>
      <c r="F2853"/>
      <c r="N2853" s="44"/>
    </row>
    <row r="2854" spans="1:14" x14ac:dyDescent="0.3">
      <c r="A2854" s="42"/>
      <c r="C2854" s="52"/>
      <c r="D2854"/>
      <c r="E2854"/>
      <c r="F2854"/>
      <c r="N2854" s="44"/>
    </row>
    <row r="2855" spans="1:14" x14ac:dyDescent="0.3">
      <c r="A2855" s="42"/>
      <c r="C2855" s="52"/>
      <c r="D2855"/>
      <c r="E2855"/>
      <c r="F2855"/>
      <c r="N2855" s="44"/>
    </row>
    <row r="2856" spans="1:14" x14ac:dyDescent="0.3">
      <c r="A2856" s="42"/>
      <c r="C2856" s="52"/>
      <c r="D2856"/>
      <c r="E2856"/>
      <c r="F2856"/>
      <c r="N2856" s="44"/>
    </row>
    <row r="2857" spans="1:14" x14ac:dyDescent="0.3">
      <c r="A2857" s="42"/>
      <c r="C2857" s="52"/>
      <c r="D2857"/>
      <c r="E2857"/>
      <c r="F2857"/>
      <c r="N2857" s="44"/>
    </row>
    <row r="2858" spans="1:14" x14ac:dyDescent="0.3">
      <c r="A2858" s="42"/>
      <c r="C2858" s="52"/>
      <c r="D2858"/>
      <c r="E2858"/>
      <c r="F2858"/>
      <c r="N2858" s="44"/>
    </row>
    <row r="2859" spans="1:14" x14ac:dyDescent="0.3">
      <c r="A2859" s="42"/>
      <c r="C2859" s="52"/>
      <c r="D2859"/>
      <c r="E2859"/>
      <c r="F2859"/>
      <c r="N2859" s="44"/>
    </row>
    <row r="2860" spans="1:14" x14ac:dyDescent="0.3">
      <c r="A2860" s="42"/>
      <c r="C2860" s="52"/>
      <c r="D2860"/>
      <c r="E2860"/>
      <c r="F2860"/>
      <c r="N2860" s="44"/>
    </row>
    <row r="2861" spans="1:14" x14ac:dyDescent="0.3">
      <c r="A2861" s="42"/>
      <c r="C2861" s="52"/>
      <c r="D2861"/>
      <c r="E2861"/>
      <c r="F2861"/>
      <c r="N2861" s="44"/>
    </row>
    <row r="2862" spans="1:14" x14ac:dyDescent="0.3">
      <c r="A2862" s="42"/>
      <c r="C2862" s="52"/>
      <c r="D2862"/>
      <c r="E2862"/>
      <c r="F2862"/>
      <c r="N2862" s="44"/>
    </row>
    <row r="2863" spans="1:14" x14ac:dyDescent="0.3">
      <c r="A2863" s="42"/>
      <c r="C2863" s="52"/>
      <c r="D2863"/>
      <c r="E2863"/>
      <c r="F2863"/>
      <c r="N2863" s="44"/>
    </row>
    <row r="2864" spans="1:14" x14ac:dyDescent="0.3">
      <c r="A2864" s="42"/>
      <c r="C2864" s="52"/>
      <c r="D2864"/>
      <c r="E2864"/>
      <c r="F2864"/>
      <c r="N2864" s="44"/>
    </row>
    <row r="2865" spans="1:14" x14ac:dyDescent="0.3">
      <c r="A2865" s="42"/>
      <c r="C2865" s="52"/>
      <c r="D2865"/>
      <c r="E2865"/>
      <c r="F2865"/>
      <c r="N2865" s="44"/>
    </row>
    <row r="2866" spans="1:14" x14ac:dyDescent="0.3">
      <c r="A2866" s="42"/>
      <c r="C2866" s="52"/>
      <c r="D2866"/>
      <c r="E2866"/>
      <c r="F2866"/>
      <c r="N2866" s="44"/>
    </row>
    <row r="2867" spans="1:14" x14ac:dyDescent="0.3">
      <c r="A2867" s="42"/>
      <c r="C2867" s="52"/>
      <c r="D2867"/>
      <c r="E2867"/>
      <c r="F2867"/>
      <c r="N2867" s="44"/>
    </row>
    <row r="2868" spans="1:14" x14ac:dyDescent="0.3">
      <c r="A2868" s="42"/>
      <c r="C2868" s="52"/>
      <c r="D2868"/>
      <c r="E2868"/>
      <c r="F2868"/>
      <c r="N2868" s="44"/>
    </row>
    <row r="2869" spans="1:14" x14ac:dyDescent="0.3">
      <c r="A2869" s="42"/>
      <c r="C2869" s="52"/>
      <c r="D2869"/>
      <c r="E2869"/>
      <c r="F2869"/>
      <c r="N2869" s="44"/>
    </row>
    <row r="2870" spans="1:14" x14ac:dyDescent="0.3">
      <c r="A2870" s="42"/>
      <c r="C2870" s="52"/>
      <c r="D2870"/>
      <c r="E2870"/>
      <c r="F2870"/>
      <c r="N2870" s="44"/>
    </row>
    <row r="2871" spans="1:14" x14ac:dyDescent="0.3">
      <c r="A2871" s="42"/>
      <c r="C2871" s="52"/>
      <c r="D2871"/>
      <c r="E2871"/>
      <c r="F2871"/>
      <c r="N2871" s="44"/>
    </row>
    <row r="2872" spans="1:14" x14ac:dyDescent="0.3">
      <c r="A2872" s="42"/>
      <c r="C2872" s="52"/>
      <c r="D2872"/>
      <c r="E2872"/>
      <c r="F2872"/>
      <c r="N2872" s="44"/>
    </row>
    <row r="2873" spans="1:14" x14ac:dyDescent="0.3">
      <c r="A2873" s="42"/>
      <c r="C2873" s="52"/>
      <c r="D2873"/>
      <c r="E2873"/>
      <c r="F2873"/>
      <c r="N2873" s="44"/>
    </row>
    <row r="2874" spans="1:14" x14ac:dyDescent="0.3">
      <c r="A2874" s="42"/>
      <c r="C2874" s="52"/>
      <c r="D2874"/>
      <c r="E2874"/>
      <c r="F2874"/>
      <c r="N2874" s="44"/>
    </row>
    <row r="2875" spans="1:14" x14ac:dyDescent="0.3">
      <c r="A2875" s="42"/>
      <c r="C2875" s="52"/>
      <c r="D2875"/>
      <c r="E2875"/>
      <c r="F2875"/>
      <c r="N2875" s="44"/>
    </row>
    <row r="2876" spans="1:14" x14ac:dyDescent="0.3">
      <c r="A2876" s="42"/>
      <c r="C2876" s="52"/>
      <c r="D2876"/>
      <c r="E2876"/>
      <c r="F2876"/>
      <c r="N2876" s="44"/>
    </row>
    <row r="2877" spans="1:14" x14ac:dyDescent="0.3">
      <c r="A2877" s="42"/>
      <c r="C2877" s="52"/>
      <c r="D2877"/>
      <c r="E2877"/>
      <c r="F2877"/>
      <c r="N2877" s="44"/>
    </row>
    <row r="2878" spans="1:14" x14ac:dyDescent="0.3">
      <c r="A2878" s="42"/>
      <c r="C2878" s="52"/>
      <c r="D2878"/>
      <c r="E2878"/>
      <c r="F2878"/>
      <c r="N2878" s="44"/>
    </row>
    <row r="2879" spans="1:14" x14ac:dyDescent="0.3">
      <c r="A2879" s="42"/>
      <c r="C2879" s="52"/>
      <c r="D2879"/>
      <c r="E2879"/>
      <c r="F2879"/>
      <c r="N2879" s="44"/>
    </row>
    <row r="2880" spans="1:14" x14ac:dyDescent="0.3">
      <c r="A2880" s="42"/>
      <c r="C2880" s="52"/>
      <c r="D2880"/>
      <c r="E2880"/>
      <c r="F2880"/>
      <c r="N2880" s="44"/>
    </row>
    <row r="2881" spans="1:14" x14ac:dyDescent="0.3">
      <c r="A2881" s="42"/>
      <c r="C2881" s="52"/>
      <c r="D2881"/>
      <c r="E2881"/>
      <c r="F2881"/>
      <c r="N2881" s="44"/>
    </row>
    <row r="2882" spans="1:14" x14ac:dyDescent="0.3">
      <c r="A2882" s="42"/>
      <c r="C2882" s="52"/>
      <c r="D2882"/>
      <c r="E2882"/>
      <c r="F2882"/>
      <c r="N2882" s="44"/>
    </row>
    <row r="2883" spans="1:14" x14ac:dyDescent="0.3">
      <c r="A2883" s="42"/>
      <c r="C2883" s="52"/>
      <c r="D2883"/>
      <c r="E2883"/>
      <c r="F2883"/>
      <c r="N2883" s="44"/>
    </row>
    <row r="2884" spans="1:14" x14ac:dyDescent="0.3">
      <c r="A2884" s="42"/>
      <c r="C2884" s="52"/>
      <c r="D2884"/>
      <c r="E2884"/>
      <c r="F2884"/>
      <c r="N2884" s="44"/>
    </row>
    <row r="2885" spans="1:14" x14ac:dyDescent="0.3">
      <c r="A2885" s="42"/>
      <c r="C2885" s="52"/>
      <c r="D2885"/>
      <c r="E2885"/>
      <c r="F2885"/>
      <c r="N2885" s="44"/>
    </row>
    <row r="2886" spans="1:14" x14ac:dyDescent="0.3">
      <c r="A2886" s="42"/>
      <c r="C2886" s="52"/>
      <c r="D2886"/>
      <c r="E2886"/>
      <c r="F2886"/>
      <c r="N2886" s="44"/>
    </row>
    <row r="2887" spans="1:14" x14ac:dyDescent="0.3">
      <c r="A2887" s="42"/>
      <c r="C2887" s="52"/>
      <c r="D2887"/>
      <c r="E2887"/>
      <c r="F2887"/>
      <c r="N2887" s="44"/>
    </row>
    <row r="2888" spans="1:14" x14ac:dyDescent="0.3">
      <c r="A2888" s="42"/>
      <c r="C2888" s="52"/>
      <c r="D2888"/>
      <c r="E2888"/>
      <c r="F2888"/>
      <c r="N2888" s="44"/>
    </row>
    <row r="2889" spans="1:14" x14ac:dyDescent="0.3">
      <c r="A2889" s="42"/>
      <c r="C2889" s="52"/>
      <c r="D2889"/>
      <c r="E2889"/>
      <c r="F2889"/>
      <c r="N2889" s="44"/>
    </row>
    <row r="2890" spans="1:14" x14ac:dyDescent="0.3">
      <c r="A2890" s="42"/>
      <c r="C2890" s="52"/>
      <c r="D2890"/>
      <c r="E2890"/>
      <c r="F2890"/>
      <c r="N2890" s="44"/>
    </row>
    <row r="2891" spans="1:14" x14ac:dyDescent="0.3">
      <c r="A2891" s="42"/>
      <c r="C2891" s="52"/>
      <c r="D2891"/>
      <c r="E2891"/>
      <c r="F2891"/>
      <c r="N2891" s="44"/>
    </row>
    <row r="2892" spans="1:14" x14ac:dyDescent="0.3">
      <c r="A2892" s="42"/>
      <c r="C2892" s="52"/>
      <c r="D2892"/>
      <c r="E2892"/>
      <c r="F2892"/>
      <c r="N2892" s="44"/>
    </row>
    <row r="2893" spans="1:14" x14ac:dyDescent="0.3">
      <c r="A2893" s="42"/>
      <c r="C2893" s="52"/>
      <c r="D2893"/>
      <c r="E2893"/>
      <c r="F2893"/>
      <c r="N2893" s="44"/>
    </row>
    <row r="2894" spans="1:14" x14ac:dyDescent="0.3">
      <c r="A2894" s="42"/>
      <c r="C2894" s="52"/>
      <c r="D2894"/>
      <c r="E2894"/>
      <c r="F2894"/>
      <c r="N2894" s="44"/>
    </row>
    <row r="2895" spans="1:14" x14ac:dyDescent="0.3">
      <c r="A2895" s="42"/>
      <c r="C2895" s="52"/>
      <c r="D2895"/>
      <c r="E2895"/>
      <c r="F2895"/>
      <c r="N2895" s="44"/>
    </row>
    <row r="2896" spans="1:14" x14ac:dyDescent="0.3">
      <c r="A2896" s="42"/>
      <c r="C2896" s="52"/>
      <c r="D2896"/>
      <c r="E2896"/>
      <c r="F2896"/>
      <c r="N2896" s="44"/>
    </row>
    <row r="2897" spans="1:14" x14ac:dyDescent="0.3">
      <c r="A2897" s="42"/>
      <c r="C2897" s="52"/>
      <c r="D2897"/>
      <c r="E2897"/>
      <c r="F2897"/>
      <c r="N2897" s="44"/>
    </row>
    <row r="2898" spans="1:14" x14ac:dyDescent="0.3">
      <c r="A2898" s="42"/>
      <c r="C2898" s="52"/>
      <c r="D2898"/>
      <c r="E2898"/>
      <c r="F2898"/>
      <c r="N2898" s="44"/>
    </row>
    <row r="2899" spans="1:14" x14ac:dyDescent="0.3">
      <c r="A2899" s="42"/>
      <c r="C2899" s="52"/>
      <c r="D2899"/>
      <c r="E2899"/>
      <c r="F2899"/>
      <c r="N2899" s="44"/>
    </row>
    <row r="2900" spans="1:14" x14ac:dyDescent="0.3">
      <c r="A2900" s="42"/>
      <c r="C2900" s="52"/>
      <c r="D2900"/>
      <c r="E2900"/>
      <c r="F2900"/>
      <c r="N2900" s="44"/>
    </row>
    <row r="2901" spans="1:14" x14ac:dyDescent="0.3">
      <c r="A2901" s="42"/>
      <c r="C2901" s="52"/>
      <c r="D2901"/>
      <c r="E2901"/>
      <c r="F2901"/>
      <c r="N2901" s="44"/>
    </row>
    <row r="2902" spans="1:14" x14ac:dyDescent="0.3">
      <c r="A2902" s="42"/>
      <c r="C2902" s="52"/>
      <c r="D2902"/>
      <c r="E2902"/>
      <c r="F2902"/>
      <c r="N2902" s="44"/>
    </row>
    <row r="2903" spans="1:14" x14ac:dyDescent="0.3">
      <c r="A2903" s="42"/>
      <c r="C2903" s="52"/>
      <c r="D2903"/>
      <c r="E2903"/>
      <c r="F2903"/>
      <c r="N2903" s="44"/>
    </row>
    <row r="2904" spans="1:14" x14ac:dyDescent="0.3">
      <c r="A2904" s="42"/>
      <c r="C2904" s="52"/>
      <c r="D2904"/>
      <c r="E2904"/>
      <c r="F2904"/>
      <c r="N2904" s="44"/>
    </row>
    <row r="2905" spans="1:14" x14ac:dyDescent="0.3">
      <c r="A2905" s="42"/>
      <c r="C2905" s="52"/>
      <c r="D2905"/>
      <c r="E2905"/>
      <c r="F2905"/>
      <c r="N2905" s="44"/>
    </row>
    <row r="2906" spans="1:14" x14ac:dyDescent="0.3">
      <c r="A2906" s="42"/>
      <c r="C2906" s="52"/>
      <c r="D2906"/>
      <c r="E2906"/>
      <c r="F2906"/>
      <c r="N2906" s="44"/>
    </row>
    <row r="2907" spans="1:14" x14ac:dyDescent="0.3">
      <c r="A2907" s="42"/>
      <c r="C2907" s="52"/>
      <c r="D2907"/>
      <c r="E2907"/>
      <c r="F2907"/>
      <c r="N2907" s="44"/>
    </row>
    <row r="2908" spans="1:14" x14ac:dyDescent="0.3">
      <c r="A2908" s="42"/>
      <c r="C2908" s="52"/>
      <c r="D2908"/>
      <c r="E2908"/>
      <c r="F2908"/>
      <c r="N2908" s="44"/>
    </row>
    <row r="2909" spans="1:14" x14ac:dyDescent="0.3">
      <c r="A2909" s="42"/>
      <c r="C2909" s="52"/>
      <c r="D2909"/>
      <c r="E2909"/>
      <c r="F2909"/>
      <c r="N2909" s="44"/>
    </row>
    <row r="2910" spans="1:14" x14ac:dyDescent="0.3">
      <c r="A2910" s="42"/>
      <c r="C2910" s="52"/>
      <c r="D2910"/>
      <c r="E2910"/>
      <c r="F2910"/>
      <c r="N2910" s="44"/>
    </row>
    <row r="2911" spans="1:14" x14ac:dyDescent="0.3">
      <c r="A2911" s="42"/>
      <c r="C2911" s="52"/>
      <c r="D2911"/>
      <c r="E2911"/>
      <c r="F2911"/>
      <c r="N2911" s="44"/>
    </row>
    <row r="2912" spans="1:14" x14ac:dyDescent="0.3">
      <c r="A2912" s="42"/>
      <c r="C2912" s="52"/>
      <c r="D2912"/>
      <c r="E2912"/>
      <c r="F2912"/>
      <c r="N2912" s="44"/>
    </row>
    <row r="2913" spans="1:14" x14ac:dyDescent="0.3">
      <c r="A2913" s="42"/>
      <c r="C2913" s="52"/>
      <c r="D2913"/>
      <c r="E2913"/>
      <c r="F2913"/>
      <c r="N2913" s="44"/>
    </row>
    <row r="2914" spans="1:14" x14ac:dyDescent="0.3">
      <c r="A2914" s="42"/>
      <c r="C2914" s="52"/>
      <c r="D2914"/>
      <c r="E2914"/>
      <c r="F2914"/>
      <c r="N2914" s="44"/>
    </row>
    <row r="2915" spans="1:14" x14ac:dyDescent="0.3">
      <c r="A2915" s="42"/>
      <c r="C2915" s="52"/>
      <c r="D2915"/>
      <c r="E2915"/>
      <c r="F2915"/>
      <c r="N2915" s="44"/>
    </row>
    <row r="2916" spans="1:14" x14ac:dyDescent="0.3">
      <c r="A2916" s="42"/>
      <c r="C2916" s="52"/>
      <c r="D2916"/>
      <c r="E2916"/>
      <c r="F2916"/>
      <c r="N2916" s="44"/>
    </row>
    <row r="2917" spans="1:14" x14ac:dyDescent="0.3">
      <c r="A2917" s="42"/>
      <c r="C2917" s="52"/>
      <c r="D2917"/>
      <c r="E2917"/>
      <c r="F2917"/>
      <c r="M2917" s="45"/>
      <c r="N2917" s="44"/>
    </row>
    <row r="2918" spans="1:14" x14ac:dyDescent="0.3">
      <c r="A2918" s="42"/>
      <c r="C2918" s="52"/>
      <c r="D2918"/>
      <c r="E2918"/>
      <c r="F2918"/>
      <c r="N2918" s="44"/>
    </row>
    <row r="2919" spans="1:14" x14ac:dyDescent="0.3">
      <c r="A2919" s="42"/>
      <c r="C2919" s="52"/>
      <c r="D2919"/>
      <c r="E2919"/>
      <c r="F2919"/>
      <c r="N2919" s="44"/>
    </row>
    <row r="2920" spans="1:14" x14ac:dyDescent="0.3">
      <c r="A2920" s="42"/>
      <c r="C2920" s="52"/>
      <c r="D2920"/>
      <c r="E2920"/>
      <c r="F2920"/>
      <c r="N2920" s="44"/>
    </row>
    <row r="2921" spans="1:14" x14ac:dyDescent="0.3">
      <c r="A2921" s="42"/>
      <c r="C2921" s="52"/>
      <c r="D2921"/>
      <c r="E2921"/>
      <c r="F2921"/>
      <c r="N2921" s="44"/>
    </row>
    <row r="2922" spans="1:14" x14ac:dyDescent="0.3">
      <c r="A2922" s="42"/>
      <c r="C2922" s="52"/>
      <c r="D2922"/>
      <c r="E2922"/>
      <c r="F2922"/>
      <c r="N2922" s="44"/>
    </row>
    <row r="2923" spans="1:14" x14ac:dyDescent="0.3">
      <c r="A2923" s="42"/>
      <c r="C2923" s="52"/>
      <c r="D2923"/>
      <c r="E2923"/>
      <c r="F2923"/>
      <c r="N2923" s="44"/>
    </row>
    <row r="2924" spans="1:14" x14ac:dyDescent="0.3">
      <c r="A2924" s="42"/>
      <c r="C2924" s="52"/>
      <c r="D2924"/>
      <c r="E2924"/>
      <c r="F2924"/>
      <c r="N2924" s="44"/>
    </row>
    <row r="2925" spans="1:14" x14ac:dyDescent="0.3">
      <c r="A2925" s="42"/>
      <c r="C2925" s="52"/>
      <c r="D2925"/>
      <c r="E2925"/>
      <c r="F2925"/>
      <c r="N2925" s="44"/>
    </row>
    <row r="2926" spans="1:14" x14ac:dyDescent="0.3">
      <c r="A2926" s="42"/>
      <c r="C2926" s="52"/>
      <c r="D2926"/>
      <c r="E2926"/>
      <c r="F2926"/>
      <c r="N2926" s="44"/>
    </row>
    <row r="2927" spans="1:14" x14ac:dyDescent="0.3">
      <c r="A2927" s="42"/>
      <c r="C2927" s="52"/>
      <c r="D2927"/>
      <c r="E2927"/>
      <c r="F2927"/>
      <c r="N2927" s="44"/>
    </row>
    <row r="2928" spans="1:14" x14ac:dyDescent="0.3">
      <c r="A2928" s="42"/>
      <c r="C2928" s="52"/>
      <c r="D2928"/>
      <c r="E2928"/>
      <c r="F2928"/>
      <c r="M2928" s="45"/>
      <c r="N2928" s="44"/>
    </row>
    <row r="2929" spans="1:14" x14ac:dyDescent="0.3">
      <c r="A2929" s="42"/>
      <c r="C2929" s="52"/>
      <c r="D2929"/>
      <c r="E2929"/>
      <c r="F2929"/>
      <c r="N2929" s="44"/>
    </row>
    <row r="2930" spans="1:14" x14ac:dyDescent="0.3">
      <c r="A2930" s="42"/>
      <c r="C2930" s="52"/>
      <c r="D2930"/>
      <c r="E2930"/>
      <c r="F2930"/>
      <c r="N2930" s="44"/>
    </row>
    <row r="2931" spans="1:14" x14ac:dyDescent="0.3">
      <c r="A2931" s="42"/>
      <c r="C2931" s="52"/>
      <c r="D2931"/>
      <c r="E2931"/>
      <c r="F2931"/>
      <c r="N2931" s="44"/>
    </row>
    <row r="2932" spans="1:14" x14ac:dyDescent="0.3">
      <c r="A2932" s="42"/>
      <c r="C2932" s="52"/>
      <c r="D2932"/>
      <c r="E2932"/>
      <c r="F2932"/>
      <c r="N2932" s="44"/>
    </row>
    <row r="2933" spans="1:14" x14ac:dyDescent="0.3">
      <c r="A2933" s="42"/>
      <c r="C2933" s="52"/>
      <c r="D2933"/>
      <c r="E2933"/>
      <c r="F2933"/>
      <c r="N2933" s="44"/>
    </row>
    <row r="2934" spans="1:14" x14ac:dyDescent="0.3">
      <c r="A2934" s="42"/>
      <c r="C2934" s="52"/>
      <c r="D2934"/>
      <c r="E2934"/>
      <c r="F2934"/>
      <c r="N2934" s="44"/>
    </row>
    <row r="2935" spans="1:14" x14ac:dyDescent="0.3">
      <c r="A2935" s="42"/>
      <c r="C2935" s="52"/>
      <c r="D2935"/>
      <c r="E2935"/>
      <c r="F2935"/>
      <c r="N2935" s="44"/>
    </row>
    <row r="2936" spans="1:14" x14ac:dyDescent="0.3">
      <c r="A2936" s="42"/>
      <c r="C2936" s="52"/>
      <c r="D2936"/>
      <c r="E2936"/>
      <c r="F2936"/>
      <c r="N2936" s="44"/>
    </row>
    <row r="2937" spans="1:14" x14ac:dyDescent="0.3">
      <c r="A2937" s="42"/>
      <c r="C2937" s="52"/>
      <c r="D2937"/>
      <c r="E2937"/>
      <c r="F2937"/>
      <c r="N2937" s="44"/>
    </row>
    <row r="2938" spans="1:14" x14ac:dyDescent="0.3">
      <c r="A2938" s="42"/>
      <c r="C2938" s="52"/>
      <c r="D2938"/>
      <c r="E2938"/>
      <c r="F2938"/>
      <c r="N2938" s="44"/>
    </row>
    <row r="2939" spans="1:14" x14ac:dyDescent="0.3">
      <c r="A2939" s="42"/>
      <c r="C2939" s="52"/>
      <c r="D2939"/>
      <c r="E2939"/>
      <c r="F2939"/>
      <c r="N2939" s="44"/>
    </row>
    <row r="2940" spans="1:14" x14ac:dyDescent="0.3">
      <c r="A2940" s="42"/>
      <c r="C2940" s="52"/>
      <c r="D2940"/>
      <c r="E2940"/>
      <c r="F2940"/>
      <c r="N2940" s="44"/>
    </row>
    <row r="2941" spans="1:14" x14ac:dyDescent="0.3">
      <c r="A2941" s="42"/>
      <c r="C2941" s="52"/>
      <c r="D2941"/>
      <c r="E2941"/>
      <c r="F2941"/>
      <c r="N2941" s="44"/>
    </row>
    <row r="2942" spans="1:14" x14ac:dyDescent="0.3">
      <c r="A2942" s="42"/>
      <c r="C2942" s="52"/>
      <c r="D2942"/>
      <c r="E2942"/>
      <c r="F2942"/>
      <c r="N2942" s="44"/>
    </row>
    <row r="2943" spans="1:14" x14ac:dyDescent="0.3">
      <c r="A2943" s="42"/>
      <c r="C2943" s="52"/>
      <c r="D2943"/>
      <c r="E2943"/>
      <c r="F2943"/>
      <c r="N2943" s="44"/>
    </row>
    <row r="2944" spans="1:14" x14ac:dyDescent="0.3">
      <c r="A2944" s="42"/>
      <c r="C2944" s="52"/>
      <c r="D2944"/>
      <c r="E2944"/>
      <c r="F2944"/>
      <c r="N2944" s="44"/>
    </row>
    <row r="2945" spans="1:14" x14ac:dyDescent="0.3">
      <c r="A2945" s="42"/>
      <c r="C2945" s="52"/>
      <c r="D2945"/>
      <c r="E2945"/>
      <c r="F2945"/>
      <c r="N2945" s="44"/>
    </row>
    <row r="2946" spans="1:14" x14ac:dyDescent="0.3">
      <c r="A2946" s="42"/>
      <c r="C2946" s="52"/>
      <c r="D2946"/>
      <c r="E2946"/>
      <c r="F2946"/>
      <c r="N2946" s="44"/>
    </row>
    <row r="2947" spans="1:14" x14ac:dyDescent="0.3">
      <c r="A2947" s="42"/>
      <c r="C2947" s="52"/>
      <c r="D2947"/>
      <c r="E2947"/>
      <c r="F2947"/>
      <c r="N2947" s="44"/>
    </row>
    <row r="2948" spans="1:14" x14ac:dyDescent="0.3">
      <c r="A2948" s="42"/>
      <c r="C2948" s="52"/>
      <c r="D2948"/>
      <c r="E2948"/>
      <c r="F2948"/>
      <c r="N2948" s="44"/>
    </row>
    <row r="2949" spans="1:14" x14ac:dyDescent="0.3">
      <c r="A2949" s="42"/>
      <c r="C2949" s="52"/>
      <c r="D2949"/>
      <c r="E2949"/>
      <c r="F2949"/>
      <c r="N2949" s="44"/>
    </row>
    <row r="2950" spans="1:14" x14ac:dyDescent="0.3">
      <c r="A2950" s="42"/>
      <c r="C2950" s="52"/>
      <c r="D2950"/>
      <c r="E2950"/>
      <c r="F2950"/>
      <c r="N2950" s="44"/>
    </row>
    <row r="2951" spans="1:14" x14ac:dyDescent="0.3">
      <c r="A2951" s="42"/>
      <c r="C2951" s="52"/>
      <c r="D2951"/>
      <c r="E2951"/>
      <c r="F2951"/>
      <c r="N2951" s="44"/>
    </row>
    <row r="2952" spans="1:14" x14ac:dyDescent="0.3">
      <c r="A2952" s="42"/>
      <c r="C2952" s="52"/>
      <c r="D2952"/>
      <c r="E2952"/>
      <c r="F2952"/>
      <c r="N2952" s="44"/>
    </row>
    <row r="2953" spans="1:14" x14ac:dyDescent="0.3">
      <c r="A2953" s="42"/>
      <c r="C2953" s="52"/>
      <c r="D2953"/>
      <c r="E2953"/>
      <c r="F2953"/>
      <c r="N2953" s="44"/>
    </row>
    <row r="2954" spans="1:14" x14ac:dyDescent="0.3">
      <c r="A2954" s="42"/>
      <c r="C2954" s="52"/>
      <c r="D2954"/>
      <c r="E2954"/>
      <c r="F2954"/>
      <c r="N2954" s="44"/>
    </row>
    <row r="2955" spans="1:14" x14ac:dyDescent="0.3">
      <c r="A2955" s="42"/>
      <c r="C2955" s="52"/>
      <c r="D2955"/>
      <c r="E2955"/>
      <c r="F2955"/>
      <c r="N2955" s="44"/>
    </row>
    <row r="2956" spans="1:14" x14ac:dyDescent="0.3">
      <c r="A2956" s="42"/>
      <c r="C2956" s="52"/>
      <c r="D2956"/>
      <c r="E2956"/>
      <c r="F2956"/>
      <c r="N2956" s="44"/>
    </row>
    <row r="2957" spans="1:14" x14ac:dyDescent="0.3">
      <c r="A2957" s="42"/>
      <c r="C2957" s="52"/>
      <c r="D2957"/>
      <c r="E2957"/>
      <c r="F2957"/>
      <c r="N2957" s="44"/>
    </row>
    <row r="2958" spans="1:14" x14ac:dyDescent="0.3">
      <c r="A2958" s="42"/>
      <c r="C2958" s="52"/>
      <c r="D2958"/>
      <c r="E2958"/>
      <c r="F2958"/>
      <c r="N2958" s="44"/>
    </row>
    <row r="2959" spans="1:14" x14ac:dyDescent="0.3">
      <c r="A2959" s="42"/>
      <c r="C2959" s="52"/>
      <c r="D2959"/>
      <c r="E2959"/>
      <c r="F2959"/>
      <c r="N2959" s="44"/>
    </row>
    <row r="2960" spans="1:14" x14ac:dyDescent="0.3">
      <c r="A2960" s="42"/>
      <c r="C2960" s="52"/>
      <c r="D2960"/>
      <c r="E2960"/>
      <c r="F2960"/>
      <c r="N2960" s="44"/>
    </row>
    <row r="2961" spans="1:14" x14ac:dyDescent="0.3">
      <c r="A2961" s="42"/>
      <c r="C2961" s="52"/>
      <c r="D2961"/>
      <c r="E2961"/>
      <c r="F2961"/>
      <c r="N2961" s="44"/>
    </row>
    <row r="2962" spans="1:14" x14ac:dyDescent="0.3">
      <c r="A2962" s="42"/>
      <c r="C2962" s="52"/>
      <c r="D2962"/>
      <c r="E2962"/>
      <c r="F2962"/>
      <c r="N2962" s="44"/>
    </row>
    <row r="2963" spans="1:14" x14ac:dyDescent="0.3">
      <c r="A2963" s="42"/>
      <c r="C2963" s="52"/>
      <c r="D2963"/>
      <c r="E2963"/>
      <c r="F2963"/>
      <c r="N2963" s="44"/>
    </row>
    <row r="2964" spans="1:14" x14ac:dyDescent="0.3">
      <c r="A2964" s="42"/>
      <c r="C2964" s="52"/>
      <c r="D2964"/>
      <c r="E2964"/>
      <c r="F2964"/>
      <c r="N2964" s="44"/>
    </row>
    <row r="2965" spans="1:14" x14ac:dyDescent="0.3">
      <c r="A2965" s="42"/>
      <c r="C2965" s="52"/>
      <c r="D2965"/>
      <c r="E2965"/>
      <c r="F2965"/>
      <c r="N2965" s="44"/>
    </row>
    <row r="2966" spans="1:14" x14ac:dyDescent="0.3">
      <c r="A2966" s="42"/>
      <c r="C2966" s="52"/>
      <c r="D2966"/>
      <c r="E2966"/>
      <c r="F2966"/>
      <c r="N2966" s="44"/>
    </row>
    <row r="2967" spans="1:14" x14ac:dyDescent="0.3">
      <c r="A2967" s="42"/>
      <c r="C2967" s="52"/>
      <c r="D2967"/>
      <c r="E2967"/>
      <c r="F2967"/>
      <c r="N2967" s="44"/>
    </row>
    <row r="2968" spans="1:14" x14ac:dyDescent="0.3">
      <c r="A2968" s="42"/>
      <c r="C2968" s="52"/>
      <c r="D2968"/>
      <c r="E2968"/>
      <c r="F2968"/>
      <c r="N2968" s="44"/>
    </row>
    <row r="2969" spans="1:14" x14ac:dyDescent="0.3">
      <c r="A2969" s="42"/>
      <c r="C2969" s="52"/>
      <c r="D2969"/>
      <c r="E2969"/>
      <c r="F2969"/>
      <c r="N2969" s="44"/>
    </row>
    <row r="2970" spans="1:14" x14ac:dyDescent="0.3">
      <c r="A2970" s="42"/>
      <c r="C2970" s="52"/>
      <c r="D2970"/>
      <c r="E2970"/>
      <c r="F2970"/>
      <c r="N2970" s="44"/>
    </row>
    <row r="2971" spans="1:14" x14ac:dyDescent="0.3">
      <c r="A2971" s="42"/>
      <c r="C2971" s="52"/>
      <c r="D2971"/>
      <c r="E2971"/>
      <c r="F2971"/>
      <c r="N2971" s="44"/>
    </row>
    <row r="2972" spans="1:14" x14ac:dyDescent="0.3">
      <c r="A2972" s="42"/>
      <c r="C2972" s="52"/>
      <c r="D2972"/>
      <c r="E2972"/>
      <c r="F2972"/>
      <c r="N2972" s="44"/>
    </row>
    <row r="2973" spans="1:14" x14ac:dyDescent="0.3">
      <c r="A2973" s="42"/>
      <c r="C2973" s="52"/>
      <c r="D2973"/>
      <c r="E2973"/>
      <c r="F2973"/>
      <c r="N2973" s="44"/>
    </row>
    <row r="2974" spans="1:14" x14ac:dyDescent="0.3">
      <c r="A2974" s="42"/>
      <c r="C2974" s="52"/>
      <c r="D2974"/>
      <c r="E2974"/>
      <c r="F2974"/>
      <c r="N2974" s="44"/>
    </row>
    <row r="2975" spans="1:14" x14ac:dyDescent="0.3">
      <c r="A2975" s="42"/>
      <c r="C2975" s="52"/>
      <c r="D2975"/>
      <c r="E2975"/>
      <c r="F2975"/>
      <c r="N2975" s="44"/>
    </row>
    <row r="2976" spans="1:14" x14ac:dyDescent="0.3">
      <c r="A2976" s="42"/>
      <c r="C2976" s="52"/>
      <c r="D2976"/>
      <c r="E2976"/>
      <c r="F2976"/>
      <c r="N2976" s="44"/>
    </row>
    <row r="2977" spans="1:14" x14ac:dyDescent="0.3">
      <c r="A2977" s="42"/>
      <c r="C2977" s="52"/>
      <c r="D2977"/>
      <c r="E2977"/>
      <c r="F2977"/>
      <c r="N2977" s="44"/>
    </row>
    <row r="2978" spans="1:14" x14ac:dyDescent="0.3">
      <c r="A2978" s="42"/>
      <c r="C2978" s="52"/>
      <c r="D2978"/>
      <c r="E2978"/>
      <c r="F2978"/>
      <c r="N2978" s="44"/>
    </row>
    <row r="2979" spans="1:14" x14ac:dyDescent="0.3">
      <c r="A2979" s="42"/>
      <c r="C2979" s="52"/>
      <c r="D2979"/>
      <c r="E2979"/>
      <c r="F2979"/>
      <c r="N2979" s="44"/>
    </row>
    <row r="2980" spans="1:14" x14ac:dyDescent="0.3">
      <c r="A2980" s="42"/>
      <c r="C2980" s="52"/>
      <c r="D2980"/>
      <c r="E2980"/>
      <c r="F2980"/>
      <c r="N2980" s="44"/>
    </row>
    <row r="2981" spans="1:14" x14ac:dyDescent="0.3">
      <c r="A2981" s="42"/>
      <c r="C2981" s="52"/>
      <c r="D2981"/>
      <c r="E2981"/>
      <c r="F2981"/>
      <c r="N2981" s="44"/>
    </row>
    <row r="2982" spans="1:14" x14ac:dyDescent="0.3">
      <c r="A2982" s="42"/>
      <c r="C2982" s="52"/>
      <c r="D2982"/>
      <c r="E2982"/>
      <c r="F2982"/>
      <c r="N2982" s="44"/>
    </row>
    <row r="2983" spans="1:14" x14ac:dyDescent="0.3">
      <c r="A2983" s="42"/>
      <c r="C2983" s="52"/>
      <c r="D2983"/>
      <c r="E2983"/>
      <c r="F2983"/>
      <c r="N2983" s="44"/>
    </row>
    <row r="2984" spans="1:14" x14ac:dyDescent="0.3">
      <c r="A2984" s="42"/>
      <c r="C2984" s="52"/>
      <c r="D2984"/>
      <c r="E2984"/>
      <c r="F2984"/>
      <c r="N2984" s="44"/>
    </row>
    <row r="2985" spans="1:14" x14ac:dyDescent="0.3">
      <c r="A2985" s="42"/>
      <c r="C2985" s="52"/>
      <c r="D2985"/>
      <c r="E2985"/>
      <c r="F2985"/>
      <c r="N2985" s="44"/>
    </row>
    <row r="2986" spans="1:14" x14ac:dyDescent="0.3">
      <c r="A2986" s="42"/>
      <c r="C2986" s="52"/>
      <c r="D2986"/>
      <c r="E2986"/>
      <c r="F2986"/>
      <c r="M2986" s="45"/>
      <c r="N2986" s="44"/>
    </row>
    <row r="2987" spans="1:14" x14ac:dyDescent="0.3">
      <c r="A2987" s="42"/>
      <c r="C2987" s="52"/>
      <c r="D2987"/>
      <c r="E2987"/>
      <c r="F2987"/>
      <c r="N2987" s="44"/>
    </row>
    <row r="2988" spans="1:14" x14ac:dyDescent="0.3">
      <c r="A2988" s="42"/>
      <c r="C2988" s="52"/>
      <c r="D2988"/>
      <c r="E2988"/>
      <c r="F2988"/>
      <c r="N2988" s="44"/>
    </row>
    <row r="2989" spans="1:14" x14ac:dyDescent="0.3">
      <c r="A2989" s="42"/>
      <c r="C2989" s="52"/>
      <c r="D2989"/>
      <c r="E2989"/>
      <c r="F2989"/>
      <c r="N2989" s="44"/>
    </row>
    <row r="2990" spans="1:14" x14ac:dyDescent="0.3">
      <c r="A2990" s="42"/>
      <c r="C2990" s="52"/>
      <c r="D2990"/>
      <c r="E2990"/>
      <c r="F2990"/>
      <c r="N2990" s="44"/>
    </row>
    <row r="2991" spans="1:14" x14ac:dyDescent="0.3">
      <c r="A2991" s="42"/>
      <c r="C2991" s="52"/>
      <c r="D2991"/>
      <c r="E2991"/>
      <c r="F2991"/>
      <c r="N2991" s="44"/>
    </row>
    <row r="2992" spans="1:14" x14ac:dyDescent="0.3">
      <c r="A2992" s="42"/>
      <c r="C2992" s="52"/>
      <c r="D2992"/>
      <c r="E2992"/>
      <c r="F2992"/>
      <c r="N2992" s="44"/>
    </row>
    <row r="2993" spans="1:14" x14ac:dyDescent="0.3">
      <c r="A2993" s="42"/>
      <c r="C2993" s="52"/>
      <c r="D2993"/>
      <c r="E2993"/>
      <c r="F2993"/>
      <c r="N2993" s="44"/>
    </row>
    <row r="2994" spans="1:14" x14ac:dyDescent="0.3">
      <c r="A2994" s="42"/>
      <c r="C2994" s="52"/>
      <c r="D2994"/>
      <c r="E2994"/>
      <c r="F2994"/>
      <c r="N2994" s="44"/>
    </row>
    <row r="2995" spans="1:14" x14ac:dyDescent="0.3">
      <c r="A2995" s="42"/>
      <c r="C2995" s="52"/>
      <c r="D2995"/>
      <c r="E2995"/>
      <c r="F2995"/>
      <c r="N2995" s="44"/>
    </row>
    <row r="2996" spans="1:14" x14ac:dyDescent="0.3">
      <c r="A2996" s="42"/>
      <c r="C2996" s="52"/>
      <c r="D2996"/>
      <c r="E2996"/>
      <c r="F2996"/>
      <c r="N2996" s="44"/>
    </row>
    <row r="2997" spans="1:14" x14ac:dyDescent="0.3">
      <c r="A2997" s="42"/>
      <c r="C2997" s="52"/>
      <c r="D2997"/>
      <c r="E2997"/>
      <c r="F2997"/>
      <c r="N2997" s="44"/>
    </row>
    <row r="2998" spans="1:14" x14ac:dyDescent="0.3">
      <c r="A2998" s="42"/>
      <c r="C2998" s="52"/>
      <c r="D2998"/>
      <c r="E2998"/>
      <c r="F2998"/>
      <c r="N2998" s="44"/>
    </row>
    <row r="2999" spans="1:14" x14ac:dyDescent="0.3">
      <c r="A2999" s="42"/>
      <c r="C2999" s="52"/>
      <c r="D2999"/>
      <c r="E2999"/>
      <c r="F2999"/>
      <c r="N2999" s="44"/>
    </row>
    <row r="3000" spans="1:14" x14ac:dyDescent="0.3">
      <c r="A3000" s="42"/>
      <c r="C3000" s="52"/>
      <c r="D3000"/>
      <c r="E3000"/>
      <c r="F3000"/>
      <c r="N3000" s="44"/>
    </row>
    <row r="3001" spans="1:14" x14ac:dyDescent="0.3">
      <c r="A3001" s="42"/>
      <c r="C3001" s="52"/>
      <c r="D3001"/>
      <c r="E3001"/>
      <c r="F3001"/>
      <c r="N3001" s="44"/>
    </row>
    <row r="3002" spans="1:14" x14ac:dyDescent="0.3">
      <c r="A3002" s="42"/>
      <c r="C3002" s="52"/>
      <c r="D3002"/>
      <c r="E3002"/>
      <c r="F3002"/>
      <c r="N3002" s="44"/>
    </row>
    <row r="3003" spans="1:14" x14ac:dyDescent="0.3">
      <c r="A3003" s="42"/>
      <c r="C3003" s="52"/>
      <c r="D3003"/>
      <c r="E3003"/>
      <c r="F3003"/>
      <c r="N3003" s="44"/>
    </row>
    <row r="3004" spans="1:14" x14ac:dyDescent="0.3">
      <c r="A3004" s="42"/>
      <c r="C3004" s="52"/>
      <c r="D3004"/>
      <c r="E3004"/>
      <c r="F3004"/>
      <c r="N3004" s="44"/>
    </row>
    <row r="3005" spans="1:14" x14ac:dyDescent="0.3">
      <c r="A3005" s="42"/>
      <c r="C3005" s="52"/>
      <c r="D3005"/>
      <c r="E3005"/>
      <c r="F3005"/>
      <c r="N3005" s="44"/>
    </row>
    <row r="3006" spans="1:14" x14ac:dyDescent="0.3">
      <c r="A3006" s="42"/>
      <c r="C3006" s="52"/>
      <c r="D3006"/>
      <c r="E3006"/>
      <c r="F3006"/>
      <c r="N3006" s="44"/>
    </row>
    <row r="3007" spans="1:14" x14ac:dyDescent="0.3">
      <c r="A3007" s="42"/>
      <c r="C3007" s="52"/>
      <c r="D3007"/>
      <c r="E3007"/>
      <c r="F3007"/>
      <c r="N3007" s="44"/>
    </row>
    <row r="3008" spans="1:14" x14ac:dyDescent="0.3">
      <c r="A3008" s="42"/>
      <c r="C3008" s="52"/>
      <c r="D3008"/>
      <c r="E3008"/>
      <c r="F3008"/>
      <c r="N3008" s="44"/>
    </row>
    <row r="3009" spans="1:14" x14ac:dyDescent="0.3">
      <c r="A3009" s="42"/>
      <c r="C3009" s="52"/>
      <c r="D3009"/>
      <c r="E3009"/>
      <c r="F3009"/>
      <c r="N3009" s="44"/>
    </row>
    <row r="3010" spans="1:14" x14ac:dyDescent="0.3">
      <c r="A3010" s="42"/>
      <c r="C3010" s="52"/>
      <c r="D3010"/>
      <c r="E3010"/>
      <c r="F3010"/>
      <c r="N3010" s="44"/>
    </row>
    <row r="3011" spans="1:14" x14ac:dyDescent="0.3">
      <c r="A3011" s="42"/>
      <c r="C3011" s="52"/>
      <c r="D3011"/>
      <c r="E3011"/>
      <c r="F3011"/>
      <c r="N3011" s="44"/>
    </row>
    <row r="3012" spans="1:14" x14ac:dyDescent="0.3">
      <c r="A3012" s="42"/>
      <c r="C3012" s="52"/>
      <c r="D3012"/>
      <c r="E3012"/>
      <c r="F3012"/>
      <c r="N3012" s="44"/>
    </row>
    <row r="3013" spans="1:14" x14ac:dyDescent="0.3">
      <c r="A3013" s="42"/>
      <c r="C3013" s="52"/>
      <c r="D3013"/>
      <c r="E3013"/>
      <c r="F3013"/>
      <c r="N3013" s="44"/>
    </row>
    <row r="3014" spans="1:14" x14ac:dyDescent="0.3">
      <c r="A3014" s="42"/>
      <c r="C3014" s="52"/>
      <c r="D3014"/>
      <c r="E3014"/>
      <c r="F3014"/>
      <c r="N3014" s="44"/>
    </row>
    <row r="3015" spans="1:14" x14ac:dyDescent="0.3">
      <c r="A3015" s="42"/>
      <c r="C3015" s="52"/>
      <c r="D3015"/>
      <c r="E3015"/>
      <c r="F3015"/>
      <c r="N3015" s="44"/>
    </row>
    <row r="3016" spans="1:14" x14ac:dyDescent="0.3">
      <c r="A3016" s="42"/>
      <c r="C3016" s="52"/>
      <c r="D3016"/>
      <c r="E3016"/>
      <c r="F3016"/>
      <c r="N3016" s="44"/>
    </row>
    <row r="3017" spans="1:14" x14ac:dyDescent="0.3">
      <c r="A3017" s="42"/>
      <c r="C3017" s="52"/>
      <c r="D3017"/>
      <c r="E3017"/>
      <c r="F3017"/>
      <c r="N3017" s="44"/>
    </row>
    <row r="3018" spans="1:14" x14ac:dyDescent="0.3">
      <c r="A3018" s="42"/>
      <c r="C3018" s="52"/>
      <c r="D3018"/>
      <c r="E3018"/>
      <c r="F3018"/>
      <c r="N3018" s="44"/>
    </row>
    <row r="3019" spans="1:14" x14ac:dyDescent="0.3">
      <c r="A3019" s="42"/>
      <c r="C3019" s="52"/>
      <c r="D3019"/>
      <c r="E3019"/>
      <c r="F3019"/>
      <c r="N3019" s="44"/>
    </row>
    <row r="3020" spans="1:14" x14ac:dyDescent="0.3">
      <c r="A3020" s="42"/>
      <c r="C3020" s="52"/>
      <c r="D3020"/>
      <c r="E3020"/>
      <c r="F3020"/>
      <c r="N3020" s="44"/>
    </row>
    <row r="3021" spans="1:14" x14ac:dyDescent="0.3">
      <c r="A3021" s="42"/>
      <c r="C3021" s="52"/>
      <c r="D3021"/>
      <c r="E3021"/>
      <c r="F3021"/>
      <c r="N3021" s="44"/>
    </row>
    <row r="3022" spans="1:14" x14ac:dyDescent="0.3">
      <c r="A3022" s="42"/>
      <c r="C3022" s="52"/>
      <c r="D3022"/>
      <c r="E3022"/>
      <c r="F3022"/>
      <c r="N3022" s="44"/>
    </row>
    <row r="3023" spans="1:14" x14ac:dyDescent="0.3">
      <c r="A3023" s="42"/>
      <c r="C3023" s="52"/>
      <c r="D3023"/>
      <c r="E3023"/>
      <c r="F3023"/>
      <c r="N3023" s="44"/>
    </row>
    <row r="3024" spans="1:14" x14ac:dyDescent="0.3">
      <c r="A3024" s="42"/>
      <c r="C3024" s="52"/>
      <c r="D3024"/>
      <c r="E3024"/>
      <c r="F3024"/>
      <c r="N3024" s="44"/>
    </row>
    <row r="3025" spans="1:14" x14ac:dyDescent="0.3">
      <c r="A3025" s="42"/>
      <c r="C3025" s="52"/>
      <c r="D3025"/>
      <c r="E3025"/>
      <c r="F3025"/>
      <c r="N3025" s="44"/>
    </row>
    <row r="3026" spans="1:14" x14ac:dyDescent="0.3">
      <c r="A3026" s="42"/>
      <c r="C3026" s="52"/>
      <c r="D3026"/>
      <c r="E3026"/>
      <c r="F3026"/>
      <c r="N3026" s="44"/>
    </row>
    <row r="3027" spans="1:14" x14ac:dyDescent="0.3">
      <c r="A3027" s="42"/>
      <c r="C3027" s="52"/>
      <c r="D3027"/>
      <c r="E3027"/>
      <c r="F3027"/>
      <c r="N3027" s="44"/>
    </row>
    <row r="3028" spans="1:14" x14ac:dyDescent="0.3">
      <c r="A3028" s="42"/>
      <c r="C3028" s="52"/>
      <c r="D3028"/>
      <c r="E3028"/>
      <c r="F3028"/>
      <c r="N3028" s="44"/>
    </row>
    <row r="3029" spans="1:14" x14ac:dyDescent="0.3">
      <c r="A3029" s="42"/>
      <c r="C3029" s="52"/>
      <c r="D3029"/>
      <c r="E3029"/>
      <c r="F3029"/>
      <c r="M3029" s="45"/>
      <c r="N3029" s="44"/>
    </row>
    <row r="3030" spans="1:14" x14ac:dyDescent="0.3">
      <c r="A3030" s="42"/>
      <c r="C3030" s="52"/>
      <c r="D3030"/>
      <c r="E3030"/>
      <c r="F3030"/>
      <c r="N3030" s="44"/>
    </row>
    <row r="3031" spans="1:14" x14ac:dyDescent="0.3">
      <c r="A3031" s="42"/>
      <c r="C3031" s="52"/>
      <c r="D3031"/>
      <c r="E3031"/>
      <c r="F3031"/>
      <c r="N3031" s="44"/>
    </row>
    <row r="3032" spans="1:14" x14ac:dyDescent="0.3">
      <c r="A3032" s="42"/>
      <c r="C3032" s="52"/>
      <c r="D3032"/>
      <c r="E3032"/>
      <c r="F3032"/>
      <c r="N3032" s="44"/>
    </row>
    <row r="3033" spans="1:14" x14ac:dyDescent="0.3">
      <c r="A3033" s="42"/>
      <c r="C3033" s="52"/>
      <c r="D3033"/>
      <c r="E3033"/>
      <c r="F3033"/>
      <c r="N3033" s="44"/>
    </row>
    <row r="3034" spans="1:14" x14ac:dyDescent="0.3">
      <c r="A3034" s="42"/>
      <c r="C3034" s="52"/>
      <c r="D3034"/>
      <c r="E3034"/>
      <c r="F3034"/>
      <c r="N3034" s="44"/>
    </row>
    <row r="3035" spans="1:14" x14ac:dyDescent="0.3">
      <c r="A3035" s="42"/>
      <c r="C3035" s="52"/>
      <c r="D3035"/>
      <c r="E3035"/>
      <c r="F3035"/>
      <c r="N3035" s="44"/>
    </row>
    <row r="3036" spans="1:14" x14ac:dyDescent="0.3">
      <c r="A3036" s="42"/>
      <c r="C3036" s="52"/>
      <c r="D3036"/>
      <c r="E3036"/>
      <c r="F3036"/>
      <c r="N3036" s="44"/>
    </row>
    <row r="3037" spans="1:14" x14ac:dyDescent="0.3">
      <c r="A3037" s="42"/>
      <c r="C3037" s="52"/>
      <c r="D3037"/>
      <c r="E3037"/>
      <c r="F3037"/>
      <c r="N3037" s="44"/>
    </row>
    <row r="3038" spans="1:14" x14ac:dyDescent="0.3">
      <c r="A3038" s="42"/>
      <c r="C3038" s="52"/>
      <c r="D3038"/>
      <c r="E3038"/>
      <c r="F3038"/>
      <c r="N3038" s="44"/>
    </row>
    <row r="3039" spans="1:14" x14ac:dyDescent="0.3">
      <c r="A3039" s="42"/>
      <c r="C3039" s="52"/>
      <c r="D3039"/>
      <c r="E3039"/>
      <c r="F3039"/>
      <c r="N3039" s="44"/>
    </row>
    <row r="3040" spans="1:14" x14ac:dyDescent="0.3">
      <c r="A3040" s="42"/>
      <c r="C3040" s="52"/>
      <c r="D3040"/>
      <c r="E3040"/>
      <c r="F3040"/>
      <c r="N3040" s="44"/>
    </row>
    <row r="3041" spans="1:14" x14ac:dyDescent="0.3">
      <c r="A3041" s="42"/>
      <c r="C3041" s="52"/>
      <c r="D3041"/>
      <c r="E3041"/>
      <c r="F3041"/>
      <c r="N3041" s="44"/>
    </row>
    <row r="3042" spans="1:14" x14ac:dyDescent="0.3">
      <c r="A3042" s="42"/>
      <c r="C3042" s="52"/>
      <c r="D3042"/>
      <c r="E3042"/>
      <c r="F3042"/>
      <c r="N3042" s="44"/>
    </row>
    <row r="3043" spans="1:14" x14ac:dyDescent="0.3">
      <c r="A3043" s="42"/>
      <c r="C3043" s="52"/>
      <c r="D3043"/>
      <c r="E3043"/>
      <c r="F3043"/>
      <c r="N3043" s="44"/>
    </row>
    <row r="3044" spans="1:14" x14ac:dyDescent="0.3">
      <c r="A3044" s="42"/>
      <c r="C3044" s="52"/>
      <c r="D3044"/>
      <c r="E3044"/>
      <c r="F3044"/>
      <c r="N3044" s="44"/>
    </row>
    <row r="3045" spans="1:14" x14ac:dyDescent="0.3">
      <c r="A3045" s="42"/>
      <c r="C3045" s="52"/>
      <c r="D3045"/>
      <c r="E3045"/>
      <c r="F3045"/>
      <c r="N3045" s="44"/>
    </row>
    <row r="3046" spans="1:14" x14ac:dyDescent="0.3">
      <c r="A3046" s="42"/>
      <c r="C3046" s="52"/>
      <c r="D3046"/>
      <c r="E3046"/>
      <c r="F3046"/>
      <c r="N3046" s="44"/>
    </row>
    <row r="3047" spans="1:14" x14ac:dyDescent="0.3">
      <c r="A3047" s="42"/>
      <c r="C3047" s="52"/>
      <c r="D3047"/>
      <c r="E3047"/>
      <c r="F3047"/>
      <c r="N3047" s="44"/>
    </row>
    <row r="3048" spans="1:14" x14ac:dyDescent="0.3">
      <c r="A3048" s="42"/>
      <c r="C3048" s="52"/>
      <c r="D3048"/>
      <c r="E3048"/>
      <c r="F3048"/>
      <c r="N3048" s="44"/>
    </row>
    <row r="3049" spans="1:14" x14ac:dyDescent="0.3">
      <c r="A3049" s="42"/>
      <c r="C3049" s="52"/>
      <c r="D3049"/>
      <c r="E3049"/>
      <c r="F3049"/>
      <c r="N3049" s="44"/>
    </row>
    <row r="3050" spans="1:14" x14ac:dyDescent="0.3">
      <c r="A3050" s="42"/>
      <c r="C3050" s="52"/>
      <c r="D3050"/>
      <c r="E3050"/>
      <c r="F3050"/>
      <c r="N3050" s="44"/>
    </row>
    <row r="3051" spans="1:14" x14ac:dyDescent="0.3">
      <c r="A3051" s="42"/>
      <c r="C3051" s="52"/>
      <c r="D3051"/>
      <c r="E3051"/>
      <c r="F3051"/>
      <c r="N3051" s="44"/>
    </row>
    <row r="3052" spans="1:14" x14ac:dyDescent="0.3">
      <c r="A3052" s="42"/>
      <c r="C3052" s="52"/>
      <c r="D3052"/>
      <c r="E3052"/>
      <c r="F3052"/>
      <c r="N3052" s="44"/>
    </row>
    <row r="3053" spans="1:14" x14ac:dyDescent="0.3">
      <c r="A3053" s="42"/>
      <c r="C3053" s="52"/>
      <c r="D3053"/>
      <c r="E3053"/>
      <c r="F3053"/>
      <c r="N3053" s="44"/>
    </row>
    <row r="3054" spans="1:14" x14ac:dyDescent="0.3">
      <c r="A3054" s="42"/>
      <c r="C3054" s="52"/>
      <c r="D3054"/>
      <c r="E3054"/>
      <c r="F3054"/>
      <c r="N3054" s="44"/>
    </row>
    <row r="3055" spans="1:14" x14ac:dyDescent="0.3">
      <c r="A3055" s="42"/>
      <c r="C3055" s="52"/>
      <c r="D3055"/>
      <c r="E3055"/>
      <c r="F3055"/>
      <c r="N3055" s="44"/>
    </row>
    <row r="3056" spans="1:14" x14ac:dyDescent="0.3">
      <c r="A3056" s="42"/>
      <c r="C3056" s="52"/>
      <c r="D3056"/>
      <c r="E3056"/>
      <c r="F3056"/>
      <c r="N3056" s="44"/>
    </row>
    <row r="3057" spans="1:14" x14ac:dyDescent="0.3">
      <c r="A3057" s="42"/>
      <c r="C3057" s="52"/>
      <c r="D3057"/>
      <c r="E3057"/>
      <c r="F3057"/>
      <c r="N3057" s="44"/>
    </row>
    <row r="3058" spans="1:14" x14ac:dyDescent="0.3">
      <c r="A3058" s="42"/>
      <c r="C3058" s="52"/>
      <c r="D3058"/>
      <c r="E3058"/>
      <c r="F3058"/>
      <c r="N3058" s="44"/>
    </row>
    <row r="3059" spans="1:14" x14ac:dyDescent="0.3">
      <c r="A3059" s="42"/>
      <c r="C3059" s="52"/>
      <c r="D3059"/>
      <c r="E3059"/>
      <c r="F3059"/>
      <c r="N3059" s="44"/>
    </row>
    <row r="3060" spans="1:14" x14ac:dyDescent="0.3">
      <c r="A3060" s="42"/>
      <c r="C3060" s="52"/>
      <c r="D3060"/>
      <c r="E3060"/>
      <c r="F3060"/>
      <c r="N3060" s="44"/>
    </row>
    <row r="3061" spans="1:14" x14ac:dyDescent="0.3">
      <c r="A3061" s="42"/>
      <c r="C3061" s="52"/>
      <c r="D3061"/>
      <c r="E3061"/>
      <c r="F3061"/>
      <c r="N3061" s="44"/>
    </row>
    <row r="3062" spans="1:14" x14ac:dyDescent="0.3">
      <c r="A3062" s="42"/>
      <c r="C3062" s="52"/>
      <c r="D3062"/>
      <c r="E3062"/>
      <c r="F3062"/>
      <c r="N3062" s="44"/>
    </row>
    <row r="3063" spans="1:14" x14ac:dyDescent="0.3">
      <c r="A3063" s="42"/>
      <c r="C3063" s="52"/>
      <c r="D3063"/>
      <c r="E3063"/>
      <c r="F3063"/>
      <c r="N3063" s="44"/>
    </row>
    <row r="3064" spans="1:14" x14ac:dyDescent="0.3">
      <c r="A3064" s="42"/>
      <c r="C3064" s="52"/>
      <c r="D3064"/>
      <c r="E3064"/>
      <c r="F3064"/>
      <c r="N3064" s="44"/>
    </row>
    <row r="3065" spans="1:14" x14ac:dyDescent="0.3">
      <c r="A3065" s="42"/>
      <c r="C3065" s="52"/>
      <c r="D3065"/>
      <c r="E3065"/>
      <c r="F3065"/>
      <c r="M3065" s="45"/>
      <c r="N3065" s="44"/>
    </row>
    <row r="3066" spans="1:14" x14ac:dyDescent="0.3">
      <c r="A3066" s="42"/>
      <c r="C3066" s="52"/>
      <c r="D3066"/>
      <c r="E3066"/>
      <c r="F3066"/>
      <c r="N3066" s="44"/>
    </row>
    <row r="3067" spans="1:14" x14ac:dyDescent="0.3">
      <c r="A3067" s="42"/>
      <c r="C3067" s="52"/>
      <c r="D3067"/>
      <c r="E3067"/>
      <c r="F3067"/>
      <c r="N3067" s="44"/>
    </row>
    <row r="3068" spans="1:14" x14ac:dyDescent="0.3">
      <c r="A3068" s="42"/>
      <c r="C3068" s="52"/>
      <c r="D3068"/>
      <c r="E3068"/>
      <c r="F3068"/>
      <c r="N3068" s="44"/>
    </row>
    <row r="3069" spans="1:14" x14ac:dyDescent="0.3">
      <c r="A3069" s="42"/>
      <c r="C3069" s="52"/>
      <c r="D3069"/>
      <c r="E3069"/>
      <c r="F3069"/>
      <c r="N3069" s="44"/>
    </row>
    <row r="3070" spans="1:14" x14ac:dyDescent="0.3">
      <c r="A3070" s="42"/>
      <c r="C3070" s="52"/>
      <c r="D3070"/>
      <c r="E3070"/>
      <c r="F3070"/>
      <c r="N3070" s="44"/>
    </row>
    <row r="3071" spans="1:14" x14ac:dyDescent="0.3">
      <c r="A3071" s="42"/>
      <c r="C3071" s="52"/>
      <c r="D3071"/>
      <c r="E3071"/>
      <c r="F3071"/>
      <c r="N3071" s="44"/>
    </row>
    <row r="3072" spans="1:14" x14ac:dyDescent="0.3">
      <c r="A3072" s="42"/>
      <c r="C3072" s="52"/>
      <c r="D3072"/>
      <c r="E3072"/>
      <c r="F3072"/>
      <c r="M3072" s="45"/>
      <c r="N3072" s="44"/>
    </row>
    <row r="3073" spans="1:14" x14ac:dyDescent="0.3">
      <c r="A3073" s="42"/>
      <c r="C3073" s="52"/>
      <c r="D3073"/>
      <c r="E3073"/>
      <c r="F3073"/>
      <c r="N3073" s="44"/>
    </row>
    <row r="3074" spans="1:14" x14ac:dyDescent="0.3">
      <c r="A3074" s="42"/>
      <c r="C3074" s="52"/>
      <c r="D3074"/>
      <c r="E3074"/>
      <c r="F3074"/>
      <c r="N3074" s="44"/>
    </row>
    <row r="3075" spans="1:14" x14ac:dyDescent="0.3">
      <c r="A3075" s="42"/>
      <c r="C3075" s="52"/>
      <c r="D3075"/>
      <c r="E3075"/>
      <c r="F3075"/>
      <c r="N3075" s="44"/>
    </row>
    <row r="3076" spans="1:14" x14ac:dyDescent="0.3">
      <c r="A3076" s="42"/>
      <c r="C3076" s="52"/>
      <c r="D3076"/>
      <c r="E3076"/>
      <c r="F3076"/>
      <c r="N3076" s="44"/>
    </row>
    <row r="3077" spans="1:14" x14ac:dyDescent="0.3">
      <c r="A3077" s="42"/>
      <c r="C3077" s="52"/>
      <c r="D3077"/>
      <c r="E3077"/>
      <c r="F3077"/>
      <c r="N3077" s="44"/>
    </row>
    <row r="3078" spans="1:14" x14ac:dyDescent="0.3">
      <c r="A3078" s="42"/>
      <c r="C3078" s="52"/>
      <c r="D3078"/>
      <c r="E3078"/>
      <c r="F3078"/>
      <c r="N3078" s="44"/>
    </row>
    <row r="3079" spans="1:14" x14ac:dyDescent="0.3">
      <c r="A3079" s="42"/>
      <c r="C3079" s="52"/>
      <c r="D3079"/>
      <c r="E3079"/>
      <c r="F3079"/>
      <c r="N3079" s="44"/>
    </row>
    <row r="3080" spans="1:14" x14ac:dyDescent="0.3">
      <c r="A3080" s="42"/>
      <c r="C3080" s="52"/>
      <c r="D3080"/>
      <c r="E3080"/>
      <c r="F3080"/>
      <c r="N3080" s="44"/>
    </row>
    <row r="3081" spans="1:14" x14ac:dyDescent="0.3">
      <c r="A3081" s="42"/>
      <c r="C3081" s="52"/>
      <c r="D3081"/>
      <c r="E3081"/>
      <c r="F3081"/>
      <c r="N3081" s="44"/>
    </row>
    <row r="3082" spans="1:14" x14ac:dyDescent="0.3">
      <c r="A3082" s="42"/>
      <c r="C3082" s="52"/>
      <c r="D3082"/>
      <c r="E3082"/>
      <c r="F3082"/>
      <c r="N3082" s="44"/>
    </row>
    <row r="3083" spans="1:14" x14ac:dyDescent="0.3">
      <c r="A3083" s="42"/>
      <c r="C3083" s="52"/>
      <c r="D3083"/>
      <c r="E3083"/>
      <c r="F3083"/>
      <c r="N3083" s="44"/>
    </row>
    <row r="3084" spans="1:14" x14ac:dyDescent="0.3">
      <c r="A3084" s="42"/>
      <c r="C3084" s="52"/>
      <c r="D3084"/>
      <c r="E3084"/>
      <c r="F3084"/>
      <c r="N3084" s="44"/>
    </row>
    <row r="3085" spans="1:14" x14ac:dyDescent="0.3">
      <c r="A3085" s="42"/>
      <c r="C3085" s="52"/>
      <c r="D3085"/>
      <c r="E3085"/>
      <c r="F3085"/>
      <c r="N3085" s="44"/>
    </row>
    <row r="3086" spans="1:14" x14ac:dyDescent="0.3">
      <c r="A3086" s="42"/>
      <c r="C3086" s="52"/>
      <c r="D3086"/>
      <c r="E3086"/>
      <c r="F3086"/>
      <c r="N3086" s="44"/>
    </row>
    <row r="3087" spans="1:14" x14ac:dyDescent="0.3">
      <c r="A3087" s="42"/>
      <c r="C3087" s="52"/>
      <c r="D3087"/>
      <c r="E3087"/>
      <c r="F3087"/>
      <c r="N3087" s="44"/>
    </row>
    <row r="3088" spans="1:14" x14ac:dyDescent="0.3">
      <c r="A3088" s="42"/>
      <c r="C3088" s="52"/>
      <c r="D3088"/>
      <c r="E3088"/>
      <c r="F3088"/>
      <c r="N3088" s="44"/>
    </row>
    <row r="3089" spans="1:14" x14ac:dyDescent="0.3">
      <c r="A3089" s="42"/>
      <c r="C3089" s="52"/>
      <c r="D3089"/>
      <c r="E3089"/>
      <c r="F3089"/>
      <c r="N3089" s="44"/>
    </row>
    <row r="3090" spans="1:14" x14ac:dyDescent="0.3">
      <c r="A3090" s="42"/>
      <c r="C3090" s="52"/>
      <c r="D3090"/>
      <c r="E3090"/>
      <c r="F3090"/>
      <c r="N3090" s="44"/>
    </row>
    <row r="3091" spans="1:14" x14ac:dyDescent="0.3">
      <c r="A3091" s="42"/>
      <c r="C3091" s="52"/>
      <c r="D3091"/>
      <c r="E3091"/>
      <c r="F3091"/>
      <c r="N3091" s="44"/>
    </row>
    <row r="3092" spans="1:14" x14ac:dyDescent="0.3">
      <c r="A3092" s="42"/>
      <c r="C3092" s="52"/>
      <c r="D3092"/>
      <c r="E3092"/>
      <c r="F3092"/>
      <c r="N3092" s="44"/>
    </row>
    <row r="3093" spans="1:14" x14ac:dyDescent="0.3">
      <c r="A3093" s="42"/>
      <c r="C3093" s="52"/>
      <c r="D3093"/>
      <c r="E3093"/>
      <c r="F3093"/>
      <c r="N3093" s="44"/>
    </row>
    <row r="3094" spans="1:14" x14ac:dyDescent="0.3">
      <c r="A3094" s="42"/>
      <c r="C3094" s="52"/>
      <c r="D3094"/>
      <c r="E3094"/>
      <c r="F3094"/>
      <c r="N3094" s="44"/>
    </row>
    <row r="3095" spans="1:14" x14ac:dyDescent="0.3">
      <c r="A3095" s="42"/>
      <c r="C3095" s="52"/>
      <c r="D3095"/>
      <c r="E3095"/>
      <c r="F3095"/>
      <c r="N3095" s="44"/>
    </row>
    <row r="3096" spans="1:14" x14ac:dyDescent="0.3">
      <c r="A3096" s="42"/>
      <c r="C3096" s="52"/>
      <c r="D3096"/>
      <c r="E3096"/>
      <c r="F3096"/>
      <c r="N3096" s="44"/>
    </row>
    <row r="3097" spans="1:14" x14ac:dyDescent="0.3">
      <c r="A3097" s="42"/>
      <c r="C3097" s="52"/>
      <c r="D3097"/>
      <c r="E3097"/>
      <c r="F3097"/>
      <c r="N3097" s="44"/>
    </row>
    <row r="3098" spans="1:14" x14ac:dyDescent="0.3">
      <c r="A3098" s="42"/>
      <c r="C3098" s="52"/>
      <c r="D3098"/>
      <c r="E3098"/>
      <c r="F3098"/>
      <c r="N3098" s="44"/>
    </row>
    <row r="3099" spans="1:14" x14ac:dyDescent="0.3">
      <c r="A3099" s="42"/>
      <c r="C3099" s="52"/>
      <c r="D3099"/>
      <c r="E3099"/>
      <c r="F3099"/>
      <c r="N3099" s="44"/>
    </row>
    <row r="3100" spans="1:14" x14ac:dyDescent="0.3">
      <c r="A3100" s="42"/>
      <c r="C3100" s="52"/>
      <c r="D3100"/>
      <c r="E3100"/>
      <c r="F3100"/>
      <c r="N3100" s="44"/>
    </row>
    <row r="3101" spans="1:14" x14ac:dyDescent="0.3">
      <c r="A3101" s="42"/>
      <c r="C3101" s="52"/>
      <c r="D3101"/>
      <c r="E3101"/>
      <c r="F3101"/>
      <c r="N3101" s="44"/>
    </row>
    <row r="3102" spans="1:14" x14ac:dyDescent="0.3">
      <c r="A3102" s="42"/>
      <c r="C3102" s="52"/>
      <c r="D3102"/>
      <c r="E3102"/>
      <c r="F3102"/>
      <c r="N3102" s="44"/>
    </row>
    <row r="3103" spans="1:14" x14ac:dyDescent="0.3">
      <c r="A3103" s="42"/>
      <c r="C3103" s="52"/>
      <c r="D3103"/>
      <c r="E3103"/>
      <c r="F3103"/>
      <c r="N3103" s="44"/>
    </row>
    <row r="3104" spans="1:14" x14ac:dyDescent="0.3">
      <c r="A3104" s="42"/>
      <c r="C3104" s="52"/>
      <c r="D3104"/>
      <c r="E3104"/>
      <c r="F3104"/>
      <c r="N3104" s="44"/>
    </row>
    <row r="3105" spans="1:14" x14ac:dyDescent="0.3">
      <c r="A3105" s="42"/>
      <c r="C3105" s="52"/>
      <c r="D3105"/>
      <c r="E3105"/>
      <c r="F3105"/>
      <c r="N3105" s="44"/>
    </row>
    <row r="3106" spans="1:14" x14ac:dyDescent="0.3">
      <c r="A3106" s="42"/>
      <c r="C3106" s="52"/>
      <c r="D3106"/>
      <c r="E3106"/>
      <c r="F3106"/>
      <c r="N3106" s="44"/>
    </row>
    <row r="3107" spans="1:14" x14ac:dyDescent="0.3">
      <c r="A3107" s="42"/>
      <c r="C3107" s="52"/>
      <c r="D3107"/>
      <c r="E3107"/>
      <c r="F3107"/>
      <c r="N3107" s="44"/>
    </row>
    <row r="3108" spans="1:14" x14ac:dyDescent="0.3">
      <c r="A3108" s="42"/>
      <c r="C3108" s="52"/>
      <c r="D3108"/>
      <c r="E3108"/>
      <c r="F3108"/>
      <c r="N3108" s="44"/>
    </row>
    <row r="3109" spans="1:14" x14ac:dyDescent="0.3">
      <c r="A3109" s="42"/>
      <c r="C3109" s="52"/>
      <c r="D3109"/>
      <c r="E3109"/>
      <c r="F3109"/>
      <c r="M3109" s="45"/>
      <c r="N3109" s="44"/>
    </row>
    <row r="3110" spans="1:14" x14ac:dyDescent="0.3">
      <c r="A3110" s="42"/>
      <c r="C3110" s="52"/>
      <c r="D3110"/>
      <c r="E3110"/>
      <c r="F3110"/>
      <c r="N3110" s="44"/>
    </row>
    <row r="3111" spans="1:14" x14ac:dyDescent="0.3">
      <c r="A3111" s="42"/>
      <c r="C3111" s="52"/>
      <c r="D3111"/>
      <c r="E3111"/>
      <c r="F3111"/>
      <c r="N3111" s="44"/>
    </row>
    <row r="3112" spans="1:14" x14ac:dyDescent="0.3">
      <c r="A3112" s="42"/>
      <c r="C3112" s="52"/>
      <c r="D3112"/>
      <c r="E3112"/>
      <c r="F3112"/>
      <c r="N3112" s="44"/>
    </row>
    <row r="3113" spans="1:14" x14ac:dyDescent="0.3">
      <c r="A3113" s="42"/>
      <c r="C3113" s="52"/>
      <c r="D3113"/>
      <c r="E3113"/>
      <c r="F3113"/>
      <c r="N3113" s="44"/>
    </row>
    <row r="3114" spans="1:14" x14ac:dyDescent="0.3">
      <c r="A3114" s="42"/>
      <c r="C3114" s="52"/>
      <c r="D3114"/>
      <c r="E3114"/>
      <c r="F3114"/>
      <c r="N3114" s="44"/>
    </row>
    <row r="3115" spans="1:14" x14ac:dyDescent="0.3">
      <c r="A3115" s="42"/>
      <c r="C3115" s="52"/>
      <c r="D3115"/>
      <c r="E3115"/>
      <c r="F3115"/>
      <c r="N3115" s="44"/>
    </row>
    <row r="3116" spans="1:14" x14ac:dyDescent="0.3">
      <c r="A3116" s="42"/>
      <c r="C3116" s="52"/>
      <c r="D3116"/>
      <c r="E3116"/>
      <c r="F3116"/>
      <c r="N3116" s="44"/>
    </row>
    <row r="3117" spans="1:14" x14ac:dyDescent="0.3">
      <c r="A3117" s="42"/>
      <c r="C3117" s="52"/>
      <c r="D3117"/>
      <c r="E3117"/>
      <c r="F3117"/>
      <c r="N3117" s="44"/>
    </row>
    <row r="3118" spans="1:14" x14ac:dyDescent="0.3">
      <c r="A3118" s="42"/>
      <c r="C3118" s="52"/>
      <c r="D3118"/>
      <c r="E3118"/>
      <c r="F3118"/>
      <c r="N3118" s="44"/>
    </row>
    <row r="3119" spans="1:14" x14ac:dyDescent="0.3">
      <c r="A3119" s="42"/>
      <c r="C3119" s="52"/>
      <c r="D3119"/>
      <c r="E3119"/>
      <c r="F3119"/>
      <c r="N3119" s="44"/>
    </row>
    <row r="3120" spans="1:14" x14ac:dyDescent="0.3">
      <c r="A3120" s="42"/>
      <c r="C3120" s="52"/>
      <c r="D3120"/>
      <c r="E3120"/>
      <c r="F3120"/>
      <c r="N3120" s="44"/>
    </row>
    <row r="3121" spans="1:14" x14ac:dyDescent="0.3">
      <c r="A3121" s="42"/>
      <c r="C3121" s="52"/>
      <c r="D3121"/>
      <c r="E3121"/>
      <c r="F3121"/>
      <c r="N3121" s="44"/>
    </row>
    <row r="3122" spans="1:14" x14ac:dyDescent="0.3">
      <c r="A3122" s="42"/>
      <c r="C3122" s="52"/>
      <c r="D3122"/>
      <c r="E3122"/>
      <c r="F3122"/>
      <c r="N3122" s="44"/>
    </row>
    <row r="3123" spans="1:14" x14ac:dyDescent="0.3">
      <c r="A3123" s="42"/>
      <c r="C3123" s="52"/>
      <c r="D3123"/>
      <c r="E3123"/>
      <c r="F3123"/>
      <c r="N3123" s="44"/>
    </row>
    <row r="3124" spans="1:14" x14ac:dyDescent="0.3">
      <c r="A3124" s="42"/>
      <c r="C3124" s="52"/>
      <c r="D3124"/>
      <c r="E3124"/>
      <c r="F3124"/>
      <c r="N3124" s="44"/>
    </row>
    <row r="3125" spans="1:14" x14ac:dyDescent="0.3">
      <c r="A3125" s="42"/>
      <c r="C3125" s="52"/>
      <c r="D3125"/>
      <c r="E3125"/>
      <c r="F3125"/>
      <c r="N3125" s="44"/>
    </row>
    <row r="3126" spans="1:14" x14ac:dyDescent="0.3">
      <c r="A3126" s="42"/>
      <c r="C3126" s="52"/>
      <c r="D3126"/>
      <c r="E3126"/>
      <c r="F3126"/>
      <c r="N3126" s="44"/>
    </row>
    <row r="3127" spans="1:14" x14ac:dyDescent="0.3">
      <c r="A3127" s="42"/>
      <c r="C3127" s="52"/>
      <c r="D3127"/>
      <c r="E3127"/>
      <c r="F3127"/>
      <c r="N3127" s="44"/>
    </row>
    <row r="3128" spans="1:14" x14ac:dyDescent="0.3">
      <c r="A3128" s="42"/>
      <c r="C3128" s="52"/>
      <c r="D3128"/>
      <c r="E3128"/>
      <c r="F3128"/>
      <c r="N3128" s="44"/>
    </row>
    <row r="3129" spans="1:14" x14ac:dyDescent="0.3">
      <c r="A3129" s="42"/>
      <c r="C3129" s="52"/>
      <c r="D3129"/>
      <c r="E3129"/>
      <c r="F3129"/>
      <c r="N3129" s="44"/>
    </row>
    <row r="3130" spans="1:14" x14ac:dyDescent="0.3">
      <c r="A3130" s="42"/>
      <c r="C3130" s="52"/>
      <c r="D3130"/>
      <c r="E3130"/>
      <c r="F3130"/>
      <c r="N3130" s="44"/>
    </row>
    <row r="3131" spans="1:14" x14ac:dyDescent="0.3">
      <c r="A3131" s="42"/>
      <c r="C3131" s="52"/>
      <c r="D3131"/>
      <c r="E3131"/>
      <c r="F3131"/>
      <c r="N3131" s="44"/>
    </row>
    <row r="3132" spans="1:14" x14ac:dyDescent="0.3">
      <c r="A3132" s="42"/>
      <c r="C3132" s="52"/>
      <c r="D3132"/>
      <c r="E3132"/>
      <c r="F3132"/>
      <c r="N3132" s="44"/>
    </row>
    <row r="3133" spans="1:14" x14ac:dyDescent="0.3">
      <c r="A3133" s="42"/>
      <c r="C3133" s="52"/>
      <c r="D3133"/>
      <c r="E3133"/>
      <c r="F3133"/>
      <c r="N3133" s="44"/>
    </row>
    <row r="3134" spans="1:14" x14ac:dyDescent="0.3">
      <c r="A3134" s="42"/>
      <c r="C3134" s="52"/>
      <c r="D3134"/>
      <c r="E3134"/>
      <c r="F3134"/>
      <c r="N3134" s="44"/>
    </row>
    <row r="3135" spans="1:14" x14ac:dyDescent="0.3">
      <c r="A3135" s="42"/>
      <c r="C3135" s="52"/>
      <c r="D3135"/>
      <c r="E3135"/>
      <c r="F3135"/>
      <c r="N3135" s="44"/>
    </row>
    <row r="3136" spans="1:14" x14ac:dyDescent="0.3">
      <c r="A3136" s="42"/>
      <c r="C3136" s="52"/>
      <c r="D3136"/>
      <c r="E3136"/>
      <c r="F3136"/>
      <c r="N3136" s="44"/>
    </row>
    <row r="3137" spans="1:14" x14ac:dyDescent="0.3">
      <c r="A3137" s="42"/>
      <c r="C3137" s="52"/>
      <c r="D3137"/>
      <c r="E3137"/>
      <c r="F3137"/>
      <c r="N3137" s="44"/>
    </row>
    <row r="3138" spans="1:14" x14ac:dyDescent="0.3">
      <c r="A3138" s="42"/>
      <c r="C3138" s="52"/>
      <c r="D3138"/>
      <c r="E3138"/>
      <c r="F3138"/>
      <c r="N3138" s="44"/>
    </row>
    <row r="3139" spans="1:14" x14ac:dyDescent="0.3">
      <c r="A3139" s="42"/>
      <c r="C3139" s="52"/>
      <c r="D3139"/>
      <c r="E3139"/>
      <c r="F3139"/>
      <c r="N3139" s="44"/>
    </row>
    <row r="3140" spans="1:14" x14ac:dyDescent="0.3">
      <c r="A3140" s="42"/>
      <c r="C3140" s="52"/>
      <c r="D3140"/>
      <c r="E3140"/>
      <c r="F3140"/>
      <c r="N3140" s="44"/>
    </row>
    <row r="3141" spans="1:14" x14ac:dyDescent="0.3">
      <c r="A3141" s="42"/>
      <c r="C3141" s="52"/>
      <c r="D3141"/>
      <c r="E3141"/>
      <c r="F3141"/>
      <c r="N3141" s="44"/>
    </row>
    <row r="3142" spans="1:14" x14ac:dyDescent="0.3">
      <c r="A3142" s="42"/>
      <c r="C3142" s="52"/>
      <c r="D3142"/>
      <c r="E3142"/>
      <c r="F3142"/>
      <c r="N3142" s="44"/>
    </row>
    <row r="3143" spans="1:14" x14ac:dyDescent="0.3">
      <c r="A3143" s="42"/>
      <c r="C3143" s="52"/>
      <c r="D3143"/>
      <c r="E3143"/>
      <c r="F3143"/>
      <c r="N3143" s="44"/>
    </row>
    <row r="3144" spans="1:14" x14ac:dyDescent="0.3">
      <c r="A3144" s="42"/>
      <c r="C3144" s="52"/>
      <c r="D3144"/>
      <c r="E3144"/>
      <c r="F3144"/>
      <c r="N3144" s="44"/>
    </row>
    <row r="3145" spans="1:14" x14ac:dyDescent="0.3">
      <c r="A3145" s="42"/>
      <c r="C3145" s="52"/>
      <c r="D3145"/>
      <c r="E3145"/>
      <c r="F3145"/>
      <c r="N3145" s="44"/>
    </row>
    <row r="3146" spans="1:14" x14ac:dyDescent="0.3">
      <c r="A3146" s="42"/>
      <c r="C3146" s="52"/>
      <c r="D3146"/>
      <c r="E3146"/>
      <c r="F3146"/>
      <c r="N3146" s="44"/>
    </row>
    <row r="3147" spans="1:14" x14ac:dyDescent="0.3">
      <c r="A3147" s="42"/>
      <c r="C3147" s="52"/>
      <c r="D3147"/>
      <c r="E3147"/>
      <c r="F3147"/>
      <c r="N3147" s="44"/>
    </row>
    <row r="3148" spans="1:14" x14ac:dyDescent="0.3">
      <c r="A3148" s="42"/>
      <c r="C3148" s="52"/>
      <c r="D3148"/>
      <c r="E3148"/>
      <c r="F3148"/>
      <c r="N3148" s="44"/>
    </row>
    <row r="3149" spans="1:14" x14ac:dyDescent="0.3">
      <c r="A3149" s="42"/>
      <c r="C3149" s="52"/>
      <c r="D3149"/>
      <c r="E3149"/>
      <c r="F3149"/>
      <c r="N3149" s="44"/>
    </row>
    <row r="3150" spans="1:14" x14ac:dyDescent="0.3">
      <c r="A3150" s="42"/>
      <c r="C3150" s="52"/>
      <c r="D3150"/>
      <c r="E3150"/>
      <c r="F3150"/>
      <c r="N3150" s="44"/>
    </row>
    <row r="3151" spans="1:14" x14ac:dyDescent="0.3">
      <c r="A3151" s="42"/>
      <c r="C3151" s="52"/>
      <c r="D3151"/>
      <c r="E3151"/>
      <c r="F3151"/>
      <c r="N3151" s="44"/>
    </row>
    <row r="3152" spans="1:14" x14ac:dyDescent="0.3">
      <c r="A3152" s="42"/>
      <c r="C3152" s="52"/>
      <c r="D3152"/>
      <c r="E3152"/>
      <c r="F3152"/>
      <c r="N3152" s="44"/>
    </row>
    <row r="3153" spans="1:14" x14ac:dyDescent="0.3">
      <c r="A3153" s="42"/>
      <c r="C3153" s="52"/>
      <c r="D3153"/>
      <c r="E3153"/>
      <c r="F3153"/>
      <c r="N3153" s="44"/>
    </row>
    <row r="3154" spans="1:14" x14ac:dyDescent="0.3">
      <c r="A3154" s="42"/>
      <c r="C3154" s="52"/>
      <c r="D3154"/>
      <c r="E3154"/>
      <c r="F3154"/>
      <c r="N3154" s="44"/>
    </row>
    <row r="3155" spans="1:14" x14ac:dyDescent="0.3">
      <c r="A3155" s="42"/>
      <c r="C3155" s="52"/>
      <c r="D3155"/>
      <c r="E3155"/>
      <c r="F3155"/>
      <c r="N3155" s="44"/>
    </row>
    <row r="3156" spans="1:14" x14ac:dyDescent="0.3">
      <c r="A3156" s="42"/>
      <c r="C3156" s="52"/>
      <c r="D3156"/>
      <c r="E3156"/>
      <c r="F3156"/>
      <c r="N3156" s="44"/>
    </row>
    <row r="3157" spans="1:14" x14ac:dyDescent="0.3">
      <c r="A3157" s="42"/>
      <c r="C3157" s="52"/>
      <c r="D3157"/>
      <c r="E3157"/>
      <c r="F3157"/>
      <c r="N3157" s="44"/>
    </row>
    <row r="3158" spans="1:14" x14ac:dyDescent="0.3">
      <c r="A3158" s="42"/>
      <c r="C3158" s="52"/>
      <c r="D3158"/>
      <c r="E3158"/>
      <c r="F3158"/>
      <c r="N3158" s="44"/>
    </row>
    <row r="3159" spans="1:14" x14ac:dyDescent="0.3">
      <c r="A3159" s="42"/>
      <c r="C3159" s="52"/>
      <c r="D3159"/>
      <c r="E3159"/>
      <c r="F3159"/>
      <c r="N3159" s="44"/>
    </row>
    <row r="3160" spans="1:14" x14ac:dyDescent="0.3">
      <c r="A3160" s="42"/>
      <c r="C3160" s="52"/>
      <c r="D3160"/>
      <c r="E3160"/>
      <c r="F3160"/>
      <c r="N3160" s="44"/>
    </row>
    <row r="3161" spans="1:14" x14ac:dyDescent="0.3">
      <c r="A3161" s="42"/>
      <c r="C3161" s="52"/>
      <c r="D3161"/>
      <c r="E3161"/>
      <c r="F3161"/>
      <c r="N3161" s="44"/>
    </row>
    <row r="3162" spans="1:14" x14ac:dyDescent="0.3">
      <c r="A3162" s="42"/>
      <c r="C3162" s="52"/>
      <c r="D3162"/>
      <c r="E3162"/>
      <c r="F3162"/>
      <c r="N3162" s="44"/>
    </row>
    <row r="3163" spans="1:14" x14ac:dyDescent="0.3">
      <c r="A3163" s="42"/>
      <c r="C3163" s="52"/>
      <c r="D3163"/>
      <c r="E3163"/>
      <c r="F3163"/>
      <c r="N3163" s="44"/>
    </row>
    <row r="3164" spans="1:14" x14ac:dyDescent="0.3">
      <c r="A3164" s="42"/>
      <c r="C3164" s="52"/>
      <c r="D3164"/>
      <c r="E3164"/>
      <c r="F3164"/>
      <c r="N3164" s="44"/>
    </row>
    <row r="3165" spans="1:14" x14ac:dyDescent="0.3">
      <c r="A3165" s="42"/>
      <c r="C3165" s="52"/>
      <c r="D3165"/>
      <c r="E3165"/>
      <c r="F3165"/>
      <c r="N3165" s="44"/>
    </row>
    <row r="3166" spans="1:14" x14ac:dyDescent="0.3">
      <c r="A3166" s="42"/>
      <c r="C3166" s="52"/>
      <c r="D3166"/>
      <c r="E3166"/>
      <c r="F3166"/>
      <c r="N3166" s="44"/>
    </row>
    <row r="3167" spans="1:14" x14ac:dyDescent="0.3">
      <c r="A3167" s="42"/>
      <c r="C3167" s="52"/>
      <c r="D3167"/>
      <c r="E3167"/>
      <c r="F3167"/>
      <c r="N3167" s="44"/>
    </row>
    <row r="3168" spans="1:14" x14ac:dyDescent="0.3">
      <c r="A3168" s="42"/>
      <c r="C3168" s="52"/>
      <c r="D3168"/>
      <c r="E3168"/>
      <c r="F3168"/>
      <c r="N3168" s="44"/>
    </row>
    <row r="3169" spans="1:14" x14ac:dyDescent="0.3">
      <c r="A3169" s="42"/>
      <c r="C3169" s="52"/>
      <c r="D3169"/>
      <c r="E3169"/>
      <c r="F3169"/>
      <c r="N3169" s="44"/>
    </row>
    <row r="3170" spans="1:14" x14ac:dyDescent="0.3">
      <c r="A3170" s="42"/>
      <c r="C3170" s="52"/>
      <c r="D3170"/>
      <c r="E3170"/>
      <c r="F3170"/>
      <c r="N3170" s="44"/>
    </row>
    <row r="3171" spans="1:14" x14ac:dyDescent="0.3">
      <c r="A3171" s="42"/>
      <c r="C3171" s="52"/>
      <c r="D3171"/>
      <c r="E3171"/>
      <c r="F3171"/>
      <c r="N3171" s="44"/>
    </row>
    <row r="3172" spans="1:14" x14ac:dyDescent="0.3">
      <c r="A3172" s="42"/>
      <c r="C3172" s="52"/>
      <c r="D3172"/>
      <c r="E3172"/>
      <c r="F3172"/>
      <c r="N3172" s="44"/>
    </row>
    <row r="3173" spans="1:14" x14ac:dyDescent="0.3">
      <c r="A3173" s="42"/>
      <c r="C3173" s="52"/>
      <c r="D3173"/>
      <c r="E3173"/>
      <c r="F3173"/>
      <c r="N3173" s="44"/>
    </row>
    <row r="3174" spans="1:14" x14ac:dyDescent="0.3">
      <c r="A3174" s="42"/>
      <c r="C3174" s="52"/>
      <c r="D3174"/>
      <c r="E3174"/>
      <c r="F3174"/>
      <c r="N3174" s="44"/>
    </row>
    <row r="3175" spans="1:14" x14ac:dyDescent="0.3">
      <c r="A3175" s="42"/>
      <c r="C3175" s="52"/>
      <c r="D3175"/>
      <c r="E3175"/>
      <c r="F3175"/>
      <c r="N3175" s="44"/>
    </row>
    <row r="3176" spans="1:14" x14ac:dyDescent="0.3">
      <c r="A3176" s="42"/>
      <c r="C3176" s="52"/>
      <c r="D3176"/>
      <c r="E3176"/>
      <c r="F3176"/>
      <c r="N3176" s="44"/>
    </row>
    <row r="3177" spans="1:14" x14ac:dyDescent="0.3">
      <c r="A3177" s="42"/>
      <c r="C3177" s="52"/>
      <c r="D3177"/>
      <c r="E3177"/>
      <c r="F3177"/>
      <c r="N3177" s="44"/>
    </row>
    <row r="3178" spans="1:14" x14ac:dyDescent="0.3">
      <c r="A3178" s="42"/>
      <c r="C3178" s="52"/>
      <c r="D3178"/>
      <c r="E3178"/>
      <c r="F3178"/>
      <c r="N3178" s="44"/>
    </row>
    <row r="3179" spans="1:14" x14ac:dyDescent="0.3">
      <c r="A3179" s="42"/>
      <c r="C3179" s="52"/>
      <c r="D3179"/>
      <c r="E3179"/>
      <c r="F3179"/>
      <c r="N3179" s="44"/>
    </row>
    <row r="3180" spans="1:14" x14ac:dyDescent="0.3">
      <c r="A3180" s="42"/>
      <c r="C3180" s="52"/>
      <c r="D3180"/>
      <c r="E3180"/>
      <c r="F3180"/>
      <c r="N3180" s="44"/>
    </row>
    <row r="3181" spans="1:14" x14ac:dyDescent="0.3">
      <c r="A3181" s="42"/>
      <c r="C3181" s="52"/>
      <c r="D3181"/>
      <c r="E3181"/>
      <c r="F3181"/>
      <c r="N3181" s="44"/>
    </row>
    <row r="3182" spans="1:14" x14ac:dyDescent="0.3">
      <c r="A3182" s="42"/>
      <c r="C3182" s="52"/>
      <c r="D3182"/>
      <c r="E3182"/>
      <c r="F3182"/>
      <c r="N3182" s="44"/>
    </row>
    <row r="3183" spans="1:14" x14ac:dyDescent="0.3">
      <c r="A3183" s="42"/>
      <c r="C3183" s="52"/>
      <c r="D3183"/>
      <c r="E3183"/>
      <c r="F3183"/>
      <c r="N3183" s="44"/>
    </row>
    <row r="3184" spans="1:14" x14ac:dyDescent="0.3">
      <c r="A3184" s="42"/>
      <c r="C3184" s="52"/>
      <c r="D3184"/>
      <c r="E3184"/>
      <c r="F3184"/>
      <c r="N3184" s="44"/>
    </row>
    <row r="3185" spans="1:14" x14ac:dyDescent="0.3">
      <c r="A3185" s="42"/>
      <c r="C3185" s="52"/>
      <c r="D3185"/>
      <c r="E3185"/>
      <c r="F3185"/>
      <c r="N3185" s="44"/>
    </row>
    <row r="3186" spans="1:14" x14ac:dyDescent="0.3">
      <c r="A3186" s="42"/>
      <c r="C3186" s="52"/>
      <c r="D3186"/>
      <c r="E3186"/>
      <c r="F3186"/>
      <c r="N3186" s="44"/>
    </row>
    <row r="3187" spans="1:14" x14ac:dyDescent="0.3">
      <c r="A3187" s="42"/>
      <c r="C3187" s="52"/>
      <c r="D3187"/>
      <c r="E3187"/>
      <c r="F3187"/>
      <c r="N3187" s="44"/>
    </row>
    <row r="3188" spans="1:14" x14ac:dyDescent="0.3">
      <c r="A3188" s="42"/>
      <c r="C3188" s="52"/>
      <c r="D3188"/>
      <c r="E3188"/>
      <c r="F3188"/>
      <c r="N3188" s="44"/>
    </row>
    <row r="3189" spans="1:14" x14ac:dyDescent="0.3">
      <c r="A3189" s="42"/>
      <c r="C3189" s="52"/>
      <c r="D3189"/>
      <c r="E3189"/>
      <c r="F3189"/>
      <c r="N3189" s="44"/>
    </row>
    <row r="3190" spans="1:14" x14ac:dyDescent="0.3">
      <c r="A3190" s="42"/>
      <c r="C3190" s="52"/>
      <c r="D3190"/>
      <c r="E3190"/>
      <c r="F3190"/>
      <c r="N3190" s="44"/>
    </row>
    <row r="3191" spans="1:14" x14ac:dyDescent="0.3">
      <c r="A3191" s="42"/>
      <c r="C3191" s="52"/>
      <c r="D3191"/>
      <c r="E3191"/>
      <c r="F3191"/>
      <c r="N3191" s="44"/>
    </row>
    <row r="3192" spans="1:14" x14ac:dyDescent="0.3">
      <c r="A3192" s="42"/>
      <c r="C3192" s="52"/>
      <c r="D3192"/>
      <c r="E3192"/>
      <c r="F3192"/>
      <c r="N3192" s="44"/>
    </row>
    <row r="3193" spans="1:14" x14ac:dyDescent="0.3">
      <c r="A3193" s="42"/>
      <c r="C3193" s="52"/>
      <c r="D3193"/>
      <c r="E3193"/>
      <c r="F3193"/>
      <c r="N3193" s="44"/>
    </row>
    <row r="3194" spans="1:14" x14ac:dyDescent="0.3">
      <c r="A3194" s="42"/>
      <c r="C3194" s="52"/>
      <c r="D3194"/>
      <c r="E3194"/>
      <c r="F3194"/>
      <c r="N3194" s="44"/>
    </row>
    <row r="3195" spans="1:14" x14ac:dyDescent="0.3">
      <c r="A3195" s="42"/>
      <c r="C3195" s="52"/>
      <c r="D3195"/>
      <c r="E3195"/>
      <c r="F3195"/>
      <c r="N3195" s="44"/>
    </row>
    <row r="3196" spans="1:14" x14ac:dyDescent="0.3">
      <c r="A3196" s="42"/>
      <c r="C3196" s="52"/>
      <c r="D3196"/>
      <c r="E3196"/>
      <c r="F3196"/>
      <c r="N3196" s="44"/>
    </row>
    <row r="3197" spans="1:14" x14ac:dyDescent="0.3">
      <c r="A3197" s="42"/>
      <c r="C3197" s="52"/>
      <c r="D3197"/>
      <c r="E3197"/>
      <c r="F3197"/>
      <c r="M3197" s="45"/>
      <c r="N3197" s="44"/>
    </row>
    <row r="3198" spans="1:14" x14ac:dyDescent="0.3">
      <c r="A3198" s="42"/>
      <c r="C3198" s="52"/>
      <c r="D3198"/>
      <c r="E3198"/>
      <c r="F3198"/>
      <c r="N3198" s="44"/>
    </row>
    <row r="3199" spans="1:14" x14ac:dyDescent="0.3">
      <c r="A3199" s="42"/>
      <c r="C3199" s="52"/>
      <c r="D3199"/>
      <c r="E3199"/>
      <c r="F3199"/>
      <c r="N3199" s="44"/>
    </row>
    <row r="3200" spans="1:14" x14ac:dyDescent="0.3">
      <c r="A3200" s="42"/>
      <c r="C3200" s="52"/>
      <c r="D3200"/>
      <c r="E3200"/>
      <c r="F3200"/>
      <c r="M3200" s="45"/>
      <c r="N3200" s="44"/>
    </row>
    <row r="3201" spans="1:14" x14ac:dyDescent="0.3">
      <c r="A3201" s="42"/>
      <c r="C3201" s="52"/>
      <c r="D3201"/>
      <c r="E3201"/>
      <c r="F3201"/>
      <c r="N3201" s="44"/>
    </row>
    <row r="3202" spans="1:14" x14ac:dyDescent="0.3">
      <c r="A3202" s="42"/>
      <c r="C3202" s="52"/>
      <c r="D3202"/>
      <c r="E3202"/>
      <c r="F3202"/>
      <c r="N3202" s="44"/>
    </row>
    <row r="3203" spans="1:14" x14ac:dyDescent="0.3">
      <c r="A3203" s="42"/>
      <c r="C3203" s="52"/>
      <c r="D3203"/>
      <c r="E3203"/>
      <c r="F3203"/>
      <c r="N3203" s="44"/>
    </row>
    <row r="3204" spans="1:14" x14ac:dyDescent="0.3">
      <c r="A3204" s="42"/>
      <c r="C3204" s="52"/>
      <c r="D3204"/>
      <c r="E3204"/>
      <c r="F3204"/>
      <c r="N3204" s="44"/>
    </row>
    <row r="3205" spans="1:14" x14ac:dyDescent="0.3">
      <c r="A3205" s="42"/>
      <c r="C3205" s="52"/>
      <c r="D3205"/>
      <c r="E3205"/>
      <c r="F3205"/>
      <c r="N3205" s="44"/>
    </row>
    <row r="3206" spans="1:14" x14ac:dyDescent="0.3">
      <c r="A3206" s="42"/>
      <c r="C3206" s="52"/>
      <c r="D3206"/>
      <c r="E3206"/>
      <c r="F3206"/>
      <c r="N3206" s="44"/>
    </row>
    <row r="3207" spans="1:14" x14ac:dyDescent="0.3">
      <c r="A3207" s="42"/>
      <c r="C3207" s="52"/>
      <c r="D3207"/>
      <c r="E3207"/>
      <c r="F3207"/>
      <c r="N3207" s="44"/>
    </row>
    <row r="3208" spans="1:14" x14ac:dyDescent="0.3">
      <c r="A3208" s="42"/>
      <c r="C3208" s="52"/>
      <c r="D3208"/>
      <c r="E3208"/>
      <c r="F3208"/>
      <c r="N3208" s="44"/>
    </row>
    <row r="3209" spans="1:14" x14ac:dyDescent="0.3">
      <c r="A3209" s="42"/>
      <c r="C3209" s="52"/>
      <c r="D3209"/>
      <c r="E3209"/>
      <c r="F3209"/>
      <c r="N3209" s="44"/>
    </row>
    <row r="3210" spans="1:14" x14ac:dyDescent="0.3">
      <c r="A3210" s="42"/>
      <c r="C3210" s="52"/>
      <c r="D3210"/>
      <c r="E3210"/>
      <c r="F3210"/>
      <c r="N3210" s="44"/>
    </row>
    <row r="3211" spans="1:14" x14ac:dyDescent="0.3">
      <c r="A3211" s="42"/>
      <c r="C3211" s="52"/>
      <c r="D3211"/>
      <c r="E3211"/>
      <c r="F3211"/>
      <c r="N3211" s="44"/>
    </row>
    <row r="3212" spans="1:14" x14ac:dyDescent="0.3">
      <c r="A3212" s="42"/>
      <c r="C3212" s="52"/>
      <c r="D3212"/>
      <c r="E3212"/>
      <c r="F3212"/>
      <c r="N3212" s="44"/>
    </row>
    <row r="3213" spans="1:14" x14ac:dyDescent="0.3">
      <c r="A3213" s="42"/>
      <c r="C3213" s="52"/>
      <c r="D3213"/>
      <c r="E3213"/>
      <c r="F3213"/>
      <c r="N3213" s="44"/>
    </row>
    <row r="3214" spans="1:14" x14ac:dyDescent="0.3">
      <c r="A3214" s="42"/>
      <c r="C3214" s="52"/>
      <c r="D3214"/>
      <c r="E3214"/>
      <c r="F3214"/>
      <c r="M3214" s="45"/>
      <c r="N3214" s="44"/>
    </row>
    <row r="3215" spans="1:14" x14ac:dyDescent="0.3">
      <c r="A3215" s="42"/>
      <c r="C3215" s="52"/>
      <c r="D3215"/>
      <c r="E3215"/>
      <c r="F3215"/>
      <c r="N3215" s="44"/>
    </row>
    <row r="3216" spans="1:14" x14ac:dyDescent="0.3">
      <c r="A3216" s="42"/>
      <c r="C3216" s="52"/>
      <c r="D3216"/>
      <c r="E3216"/>
      <c r="F3216"/>
      <c r="N3216" s="44"/>
    </row>
    <row r="3217" spans="1:14" x14ac:dyDescent="0.3">
      <c r="A3217" s="42"/>
      <c r="C3217" s="52"/>
      <c r="D3217"/>
      <c r="E3217"/>
      <c r="F3217"/>
      <c r="N3217" s="44"/>
    </row>
    <row r="3218" spans="1:14" x14ac:dyDescent="0.3">
      <c r="A3218" s="42"/>
      <c r="C3218" s="52"/>
      <c r="D3218"/>
      <c r="E3218"/>
      <c r="F3218"/>
      <c r="N3218" s="44"/>
    </row>
    <row r="3219" spans="1:14" x14ac:dyDescent="0.3">
      <c r="A3219" s="42"/>
      <c r="C3219" s="52"/>
      <c r="D3219"/>
      <c r="E3219"/>
      <c r="F3219"/>
      <c r="N3219" s="44"/>
    </row>
    <row r="3220" spans="1:14" x14ac:dyDescent="0.3">
      <c r="A3220" s="42"/>
      <c r="C3220" s="52"/>
      <c r="D3220"/>
      <c r="E3220"/>
      <c r="F3220"/>
      <c r="N3220" s="44"/>
    </row>
    <row r="3221" spans="1:14" x14ac:dyDescent="0.3">
      <c r="A3221" s="42"/>
      <c r="C3221" s="52"/>
      <c r="D3221"/>
      <c r="E3221"/>
      <c r="F3221"/>
      <c r="N3221" s="44"/>
    </row>
    <row r="3222" spans="1:14" x14ac:dyDescent="0.3">
      <c r="A3222" s="42"/>
      <c r="C3222" s="52"/>
      <c r="D3222"/>
      <c r="E3222"/>
      <c r="F3222"/>
      <c r="N3222" s="44"/>
    </row>
    <row r="3223" spans="1:14" x14ac:dyDescent="0.3">
      <c r="A3223" s="42"/>
      <c r="C3223" s="52"/>
      <c r="D3223"/>
      <c r="E3223"/>
      <c r="F3223"/>
      <c r="N3223" s="44"/>
    </row>
    <row r="3224" spans="1:14" x14ac:dyDescent="0.3">
      <c r="A3224" s="42"/>
      <c r="C3224" s="52"/>
      <c r="D3224"/>
      <c r="E3224"/>
      <c r="F3224"/>
      <c r="N3224" s="44"/>
    </row>
    <row r="3225" spans="1:14" x14ac:dyDescent="0.3">
      <c r="A3225" s="42"/>
      <c r="C3225" s="52"/>
      <c r="D3225"/>
      <c r="E3225"/>
      <c r="F3225"/>
      <c r="N3225" s="44"/>
    </row>
    <row r="3226" spans="1:14" x14ac:dyDescent="0.3">
      <c r="A3226" s="42"/>
      <c r="C3226" s="52"/>
      <c r="D3226"/>
      <c r="E3226"/>
      <c r="F3226"/>
      <c r="N3226" s="44"/>
    </row>
    <row r="3227" spans="1:14" x14ac:dyDescent="0.3">
      <c r="A3227" s="42"/>
      <c r="C3227" s="52"/>
      <c r="D3227"/>
      <c r="E3227"/>
      <c r="F3227"/>
      <c r="N3227" s="44"/>
    </row>
    <row r="3228" spans="1:14" x14ac:dyDescent="0.3">
      <c r="A3228" s="42"/>
      <c r="C3228" s="52"/>
      <c r="D3228"/>
      <c r="E3228"/>
      <c r="F3228"/>
      <c r="N3228" s="44"/>
    </row>
    <row r="3229" spans="1:14" x14ac:dyDescent="0.3">
      <c r="A3229" s="42"/>
      <c r="C3229" s="52"/>
      <c r="D3229"/>
      <c r="E3229"/>
      <c r="F3229"/>
      <c r="N3229" s="44"/>
    </row>
    <row r="3230" spans="1:14" x14ac:dyDescent="0.3">
      <c r="A3230" s="42"/>
      <c r="C3230" s="52"/>
      <c r="D3230"/>
      <c r="E3230"/>
      <c r="F3230"/>
      <c r="N3230" s="44"/>
    </row>
    <row r="3231" spans="1:14" x14ac:dyDescent="0.3">
      <c r="A3231" s="42"/>
      <c r="C3231" s="52"/>
      <c r="D3231"/>
      <c r="E3231"/>
      <c r="F3231"/>
      <c r="N3231" s="44"/>
    </row>
    <row r="3232" spans="1:14" x14ac:dyDescent="0.3">
      <c r="A3232" s="42"/>
      <c r="C3232" s="52"/>
      <c r="D3232"/>
      <c r="E3232"/>
      <c r="F3232"/>
      <c r="N3232" s="44"/>
    </row>
    <row r="3233" spans="1:14" x14ac:dyDescent="0.3">
      <c r="A3233" s="42"/>
      <c r="C3233" s="52"/>
      <c r="D3233"/>
      <c r="E3233"/>
      <c r="F3233"/>
      <c r="N3233" s="44"/>
    </row>
    <row r="3234" spans="1:14" x14ac:dyDescent="0.3">
      <c r="A3234" s="42"/>
      <c r="C3234" s="52"/>
      <c r="D3234"/>
      <c r="E3234"/>
      <c r="F3234"/>
      <c r="N3234" s="44"/>
    </row>
    <row r="3235" spans="1:14" x14ac:dyDescent="0.3">
      <c r="A3235" s="42"/>
      <c r="C3235" s="52"/>
      <c r="D3235"/>
      <c r="E3235"/>
      <c r="F3235"/>
      <c r="N3235" s="44"/>
    </row>
    <row r="3236" spans="1:14" x14ac:dyDescent="0.3">
      <c r="A3236" s="42"/>
      <c r="C3236" s="52"/>
      <c r="D3236"/>
      <c r="E3236"/>
      <c r="F3236"/>
      <c r="N3236" s="44"/>
    </row>
    <row r="3237" spans="1:14" x14ac:dyDescent="0.3">
      <c r="A3237" s="42"/>
      <c r="C3237" s="52"/>
      <c r="D3237"/>
      <c r="E3237"/>
      <c r="F3237"/>
      <c r="N3237" s="44"/>
    </row>
    <row r="3238" spans="1:14" x14ac:dyDescent="0.3">
      <c r="A3238" s="42"/>
      <c r="C3238" s="52"/>
      <c r="D3238"/>
      <c r="E3238"/>
      <c r="F3238"/>
      <c r="N3238" s="44"/>
    </row>
    <row r="3239" spans="1:14" x14ac:dyDescent="0.3">
      <c r="A3239" s="42"/>
      <c r="C3239" s="52"/>
      <c r="D3239"/>
      <c r="E3239"/>
      <c r="F3239"/>
      <c r="N3239" s="44"/>
    </row>
    <row r="3240" spans="1:14" x14ac:dyDescent="0.3">
      <c r="A3240" s="42"/>
      <c r="C3240" s="52"/>
      <c r="D3240"/>
      <c r="E3240"/>
      <c r="F3240"/>
      <c r="N3240" s="44"/>
    </row>
    <row r="3241" spans="1:14" x14ac:dyDescent="0.3">
      <c r="A3241" s="42"/>
      <c r="C3241" s="52"/>
      <c r="D3241"/>
      <c r="E3241"/>
      <c r="F3241"/>
      <c r="N3241" s="44"/>
    </row>
    <row r="3242" spans="1:14" x14ac:dyDescent="0.3">
      <c r="A3242" s="42"/>
      <c r="C3242" s="52"/>
      <c r="D3242"/>
      <c r="E3242"/>
      <c r="F3242"/>
      <c r="N3242" s="44"/>
    </row>
    <row r="3243" spans="1:14" x14ac:dyDescent="0.3">
      <c r="A3243" s="42"/>
      <c r="C3243" s="52"/>
      <c r="D3243"/>
      <c r="E3243"/>
      <c r="F3243"/>
      <c r="N3243" s="44"/>
    </row>
    <row r="3244" spans="1:14" x14ac:dyDescent="0.3">
      <c r="A3244" s="42"/>
      <c r="C3244" s="52"/>
      <c r="D3244"/>
      <c r="E3244"/>
      <c r="F3244"/>
      <c r="N3244" s="44"/>
    </row>
    <row r="3245" spans="1:14" x14ac:dyDescent="0.3">
      <c r="A3245" s="42"/>
      <c r="C3245" s="52"/>
      <c r="D3245"/>
      <c r="E3245"/>
      <c r="F3245"/>
      <c r="N3245" s="44"/>
    </row>
    <row r="3246" spans="1:14" x14ac:dyDescent="0.3">
      <c r="A3246" s="42"/>
      <c r="C3246" s="52"/>
      <c r="D3246"/>
      <c r="E3246"/>
      <c r="F3246"/>
      <c r="N3246" s="44"/>
    </row>
    <row r="3247" spans="1:14" x14ac:dyDescent="0.3">
      <c r="A3247" s="42"/>
      <c r="C3247" s="52"/>
      <c r="D3247"/>
      <c r="E3247"/>
      <c r="F3247"/>
      <c r="N3247" s="44"/>
    </row>
    <row r="3248" spans="1:14" x14ac:dyDescent="0.3">
      <c r="A3248" s="42"/>
      <c r="C3248" s="52"/>
      <c r="D3248"/>
      <c r="E3248"/>
      <c r="F3248"/>
      <c r="N3248" s="44"/>
    </row>
    <row r="3249" spans="1:14" x14ac:dyDescent="0.3">
      <c r="A3249" s="42"/>
      <c r="C3249" s="52"/>
      <c r="D3249"/>
      <c r="E3249"/>
      <c r="F3249"/>
      <c r="N3249" s="44"/>
    </row>
    <row r="3250" spans="1:14" x14ac:dyDescent="0.3">
      <c r="A3250" s="42"/>
      <c r="C3250" s="52"/>
      <c r="D3250"/>
      <c r="E3250"/>
      <c r="F3250"/>
      <c r="N3250" s="44"/>
    </row>
    <row r="3251" spans="1:14" x14ac:dyDescent="0.3">
      <c r="A3251" s="42"/>
      <c r="C3251" s="52"/>
      <c r="D3251"/>
      <c r="E3251"/>
      <c r="F3251"/>
      <c r="N3251" s="44"/>
    </row>
    <row r="3252" spans="1:14" x14ac:dyDescent="0.3">
      <c r="A3252" s="42"/>
      <c r="C3252" s="52"/>
      <c r="D3252"/>
      <c r="E3252"/>
      <c r="F3252"/>
      <c r="N3252" s="44"/>
    </row>
    <row r="3253" spans="1:14" x14ac:dyDescent="0.3">
      <c r="A3253" s="42"/>
      <c r="C3253" s="52"/>
      <c r="D3253"/>
      <c r="E3253"/>
      <c r="F3253"/>
      <c r="N3253" s="44"/>
    </row>
    <row r="3254" spans="1:14" x14ac:dyDescent="0.3">
      <c r="A3254" s="42"/>
      <c r="C3254" s="52"/>
      <c r="D3254"/>
      <c r="E3254"/>
      <c r="F3254"/>
      <c r="N3254" s="44"/>
    </row>
    <row r="3255" spans="1:14" x14ac:dyDescent="0.3">
      <c r="A3255" s="42"/>
      <c r="C3255" s="52"/>
      <c r="D3255"/>
      <c r="E3255"/>
      <c r="F3255"/>
      <c r="N3255" s="44"/>
    </row>
    <row r="3256" spans="1:14" x14ac:dyDescent="0.3">
      <c r="A3256" s="42"/>
      <c r="C3256" s="52"/>
      <c r="D3256"/>
      <c r="E3256"/>
      <c r="F3256"/>
      <c r="N3256" s="44"/>
    </row>
    <row r="3257" spans="1:14" x14ac:dyDescent="0.3">
      <c r="A3257" s="42"/>
      <c r="C3257" s="52"/>
      <c r="D3257"/>
      <c r="E3257"/>
      <c r="F3257"/>
      <c r="N3257" s="44"/>
    </row>
    <row r="3258" spans="1:14" x14ac:dyDescent="0.3">
      <c r="A3258" s="42"/>
      <c r="C3258" s="52"/>
      <c r="D3258"/>
      <c r="E3258"/>
      <c r="F3258"/>
      <c r="N3258" s="44"/>
    </row>
    <row r="3259" spans="1:14" x14ac:dyDescent="0.3">
      <c r="A3259" s="42"/>
      <c r="C3259" s="52"/>
      <c r="D3259"/>
      <c r="E3259"/>
      <c r="F3259"/>
      <c r="N3259" s="44"/>
    </row>
    <row r="3260" spans="1:14" x14ac:dyDescent="0.3">
      <c r="A3260" s="42"/>
      <c r="C3260" s="52"/>
      <c r="D3260"/>
      <c r="E3260"/>
      <c r="F3260"/>
      <c r="N3260" s="44"/>
    </row>
    <row r="3261" spans="1:14" x14ac:dyDescent="0.3">
      <c r="A3261" s="42"/>
      <c r="C3261" s="52"/>
      <c r="D3261"/>
      <c r="E3261"/>
      <c r="F3261"/>
      <c r="N3261" s="44"/>
    </row>
    <row r="3262" spans="1:14" x14ac:dyDescent="0.3">
      <c r="A3262" s="42"/>
      <c r="C3262" s="52"/>
      <c r="D3262"/>
      <c r="E3262"/>
      <c r="F3262"/>
      <c r="N3262" s="44"/>
    </row>
    <row r="3263" spans="1:14" x14ac:dyDescent="0.3">
      <c r="A3263" s="42"/>
      <c r="C3263" s="52"/>
      <c r="D3263"/>
      <c r="E3263"/>
      <c r="F3263"/>
      <c r="N3263" s="44"/>
    </row>
    <row r="3264" spans="1:14" x14ac:dyDescent="0.3">
      <c r="A3264" s="42"/>
      <c r="C3264" s="52"/>
      <c r="D3264"/>
      <c r="E3264"/>
      <c r="F3264"/>
      <c r="N3264" s="44"/>
    </row>
    <row r="3265" spans="1:14" x14ac:dyDescent="0.3">
      <c r="A3265" s="42"/>
      <c r="C3265" s="52"/>
      <c r="D3265"/>
      <c r="E3265"/>
      <c r="F3265"/>
      <c r="N3265" s="44"/>
    </row>
    <row r="3266" spans="1:14" x14ac:dyDescent="0.3">
      <c r="A3266" s="42"/>
      <c r="C3266" s="52"/>
      <c r="D3266"/>
      <c r="E3266"/>
      <c r="F3266"/>
      <c r="N3266" s="44"/>
    </row>
    <row r="3267" spans="1:14" x14ac:dyDescent="0.3">
      <c r="A3267" s="42"/>
      <c r="C3267" s="52"/>
      <c r="D3267"/>
      <c r="E3267"/>
      <c r="F3267"/>
      <c r="N3267" s="44"/>
    </row>
    <row r="3268" spans="1:14" x14ac:dyDescent="0.3">
      <c r="A3268" s="42"/>
      <c r="C3268" s="52"/>
      <c r="D3268"/>
      <c r="E3268"/>
      <c r="F3268"/>
      <c r="N3268" s="44"/>
    </row>
    <row r="3269" spans="1:14" x14ac:dyDescent="0.3">
      <c r="A3269" s="42"/>
      <c r="C3269" s="52"/>
      <c r="D3269"/>
      <c r="E3269"/>
      <c r="F3269"/>
      <c r="N3269" s="44"/>
    </row>
    <row r="3270" spans="1:14" x14ac:dyDescent="0.3">
      <c r="A3270" s="42"/>
      <c r="C3270" s="52"/>
      <c r="D3270"/>
      <c r="E3270"/>
      <c r="F3270"/>
      <c r="N3270" s="44"/>
    </row>
    <row r="3271" spans="1:14" x14ac:dyDescent="0.3">
      <c r="A3271" s="42"/>
      <c r="C3271" s="52"/>
      <c r="D3271"/>
      <c r="E3271"/>
      <c r="F3271"/>
      <c r="N3271" s="44"/>
    </row>
    <row r="3272" spans="1:14" x14ac:dyDescent="0.3">
      <c r="A3272" s="42"/>
      <c r="C3272" s="52"/>
      <c r="D3272"/>
      <c r="E3272"/>
      <c r="F3272"/>
      <c r="N3272" s="44"/>
    </row>
    <row r="3273" spans="1:14" x14ac:dyDescent="0.3">
      <c r="A3273" s="42"/>
      <c r="C3273" s="52"/>
      <c r="D3273"/>
      <c r="E3273"/>
      <c r="F3273"/>
      <c r="N3273" s="44"/>
    </row>
    <row r="3274" spans="1:14" x14ac:dyDescent="0.3">
      <c r="A3274" s="42"/>
      <c r="C3274" s="52"/>
      <c r="D3274"/>
      <c r="E3274"/>
      <c r="F3274"/>
      <c r="N3274" s="44"/>
    </row>
    <row r="3275" spans="1:14" x14ac:dyDescent="0.3">
      <c r="A3275" s="42"/>
      <c r="C3275" s="52"/>
      <c r="D3275"/>
      <c r="E3275"/>
      <c r="F3275"/>
      <c r="N3275" s="44"/>
    </row>
    <row r="3276" spans="1:14" x14ac:dyDescent="0.3">
      <c r="A3276" s="42"/>
      <c r="C3276" s="52"/>
      <c r="D3276"/>
      <c r="E3276"/>
      <c r="F3276"/>
      <c r="N3276" s="44"/>
    </row>
    <row r="3277" spans="1:14" x14ac:dyDescent="0.3">
      <c r="A3277" s="42"/>
      <c r="C3277" s="52"/>
      <c r="D3277"/>
      <c r="E3277"/>
      <c r="F3277"/>
      <c r="N3277" s="44"/>
    </row>
    <row r="3278" spans="1:14" x14ac:dyDescent="0.3">
      <c r="A3278" s="42"/>
      <c r="C3278" s="52"/>
      <c r="D3278"/>
      <c r="E3278"/>
      <c r="F3278"/>
      <c r="N3278" s="44"/>
    </row>
    <row r="3279" spans="1:14" x14ac:dyDescent="0.3">
      <c r="A3279" s="42"/>
      <c r="C3279" s="52"/>
      <c r="D3279"/>
      <c r="E3279"/>
      <c r="F3279"/>
      <c r="N3279" s="44"/>
    </row>
    <row r="3280" spans="1:14" x14ac:dyDescent="0.3">
      <c r="A3280" s="42"/>
      <c r="C3280" s="52"/>
      <c r="D3280"/>
      <c r="E3280"/>
      <c r="F3280"/>
      <c r="N3280" s="44"/>
    </row>
    <row r="3281" spans="1:14" x14ac:dyDescent="0.3">
      <c r="A3281" s="42"/>
      <c r="C3281" s="52"/>
      <c r="D3281"/>
      <c r="E3281"/>
      <c r="F3281"/>
      <c r="N3281" s="44"/>
    </row>
    <row r="3282" spans="1:14" x14ac:dyDescent="0.3">
      <c r="A3282" s="42"/>
      <c r="C3282" s="52"/>
      <c r="D3282"/>
      <c r="E3282"/>
      <c r="F3282"/>
      <c r="N3282" s="44"/>
    </row>
    <row r="3283" spans="1:14" x14ac:dyDescent="0.3">
      <c r="A3283" s="42"/>
      <c r="C3283" s="52"/>
      <c r="D3283"/>
      <c r="E3283"/>
      <c r="F3283"/>
      <c r="N3283" s="44"/>
    </row>
    <row r="3284" spans="1:14" x14ac:dyDescent="0.3">
      <c r="A3284" s="42"/>
      <c r="C3284" s="52"/>
      <c r="D3284"/>
      <c r="E3284"/>
      <c r="F3284"/>
      <c r="N3284" s="44"/>
    </row>
    <row r="3285" spans="1:14" x14ac:dyDescent="0.3">
      <c r="A3285" s="42"/>
      <c r="C3285" s="52"/>
      <c r="D3285"/>
      <c r="E3285"/>
      <c r="F3285"/>
      <c r="N3285" s="44"/>
    </row>
    <row r="3286" spans="1:14" x14ac:dyDescent="0.3">
      <c r="A3286" s="42"/>
      <c r="C3286" s="52"/>
      <c r="D3286"/>
      <c r="E3286"/>
      <c r="F3286"/>
      <c r="N3286" s="44"/>
    </row>
    <row r="3287" spans="1:14" x14ac:dyDescent="0.3">
      <c r="A3287" s="42"/>
      <c r="C3287" s="52"/>
      <c r="D3287"/>
      <c r="E3287"/>
      <c r="F3287"/>
      <c r="N3287" s="44"/>
    </row>
    <row r="3288" spans="1:14" x14ac:dyDescent="0.3">
      <c r="A3288" s="42"/>
      <c r="C3288" s="52"/>
      <c r="D3288"/>
      <c r="E3288"/>
      <c r="F3288"/>
      <c r="N3288" s="44"/>
    </row>
    <row r="3289" spans="1:14" x14ac:dyDescent="0.3">
      <c r="A3289" s="42"/>
      <c r="C3289" s="52"/>
      <c r="D3289"/>
      <c r="E3289"/>
      <c r="F3289"/>
      <c r="N3289" s="44"/>
    </row>
    <row r="3290" spans="1:14" x14ac:dyDescent="0.3">
      <c r="A3290" s="42"/>
      <c r="C3290" s="52"/>
      <c r="D3290"/>
      <c r="E3290"/>
      <c r="F3290"/>
      <c r="N3290" s="44"/>
    </row>
    <row r="3291" spans="1:14" x14ac:dyDescent="0.3">
      <c r="A3291" s="42"/>
      <c r="C3291" s="52"/>
      <c r="D3291"/>
      <c r="E3291"/>
      <c r="F3291"/>
      <c r="N3291" s="44"/>
    </row>
    <row r="3292" spans="1:14" x14ac:dyDescent="0.3">
      <c r="A3292" s="42"/>
      <c r="C3292" s="52"/>
      <c r="D3292"/>
      <c r="E3292"/>
      <c r="F3292"/>
      <c r="N3292" s="44"/>
    </row>
    <row r="3293" spans="1:14" x14ac:dyDescent="0.3">
      <c r="A3293" s="42"/>
      <c r="C3293" s="52"/>
      <c r="D3293"/>
      <c r="E3293"/>
      <c r="F3293"/>
      <c r="N3293" s="44"/>
    </row>
    <row r="3294" spans="1:14" x14ac:dyDescent="0.3">
      <c r="A3294" s="42"/>
      <c r="C3294" s="52"/>
      <c r="D3294"/>
      <c r="E3294"/>
      <c r="F3294"/>
      <c r="N3294" s="44"/>
    </row>
    <row r="3295" spans="1:14" x14ac:dyDescent="0.3">
      <c r="A3295" s="42"/>
      <c r="C3295" s="52"/>
      <c r="D3295"/>
      <c r="E3295"/>
      <c r="F3295"/>
      <c r="N3295" s="44"/>
    </row>
    <row r="3296" spans="1:14" x14ac:dyDescent="0.3">
      <c r="A3296" s="42"/>
      <c r="C3296" s="52"/>
      <c r="D3296"/>
      <c r="E3296"/>
      <c r="F3296"/>
      <c r="N3296" s="44"/>
    </row>
    <row r="3297" spans="1:14" x14ac:dyDescent="0.3">
      <c r="A3297" s="42"/>
      <c r="C3297" s="52"/>
      <c r="D3297"/>
      <c r="E3297"/>
      <c r="F3297"/>
      <c r="N3297" s="44"/>
    </row>
    <row r="3298" spans="1:14" x14ac:dyDescent="0.3">
      <c r="A3298" s="42"/>
      <c r="C3298" s="52"/>
      <c r="D3298"/>
      <c r="E3298"/>
      <c r="F3298"/>
      <c r="N3298" s="44"/>
    </row>
    <row r="3299" spans="1:14" x14ac:dyDescent="0.3">
      <c r="A3299" s="42"/>
      <c r="C3299" s="52"/>
      <c r="D3299"/>
      <c r="E3299"/>
      <c r="F3299"/>
      <c r="N3299" s="44"/>
    </row>
    <row r="3300" spans="1:14" x14ac:dyDescent="0.3">
      <c r="A3300" s="42"/>
      <c r="C3300" s="52"/>
      <c r="D3300"/>
      <c r="E3300"/>
      <c r="F3300"/>
      <c r="N3300" s="44"/>
    </row>
    <row r="3301" spans="1:14" x14ac:dyDescent="0.3">
      <c r="A3301" s="42"/>
      <c r="C3301" s="52"/>
      <c r="D3301"/>
      <c r="E3301"/>
      <c r="F3301"/>
      <c r="M3301" s="45"/>
      <c r="N3301" s="44"/>
    </row>
    <row r="3302" spans="1:14" x14ac:dyDescent="0.3">
      <c r="A3302" s="42"/>
      <c r="C3302" s="52"/>
      <c r="D3302"/>
      <c r="E3302"/>
      <c r="F3302"/>
      <c r="N3302" s="44"/>
    </row>
    <row r="3303" spans="1:14" x14ac:dyDescent="0.3">
      <c r="A3303" s="42"/>
      <c r="C3303" s="52"/>
      <c r="D3303"/>
      <c r="E3303"/>
      <c r="F3303"/>
      <c r="N3303" s="44"/>
    </row>
    <row r="3304" spans="1:14" x14ac:dyDescent="0.3">
      <c r="A3304" s="42"/>
      <c r="C3304" s="52"/>
      <c r="D3304"/>
      <c r="E3304"/>
      <c r="F3304"/>
      <c r="N3304" s="44"/>
    </row>
    <row r="3305" spans="1:14" x14ac:dyDescent="0.3">
      <c r="A3305" s="42"/>
      <c r="C3305" s="52"/>
      <c r="D3305"/>
      <c r="E3305"/>
      <c r="F3305"/>
      <c r="N3305" s="44"/>
    </row>
    <row r="3306" spans="1:14" x14ac:dyDescent="0.3">
      <c r="A3306" s="42"/>
      <c r="C3306" s="52"/>
      <c r="D3306"/>
      <c r="E3306"/>
      <c r="F3306"/>
      <c r="N3306" s="44"/>
    </row>
    <row r="3307" spans="1:14" x14ac:dyDescent="0.3">
      <c r="A3307" s="42"/>
      <c r="C3307" s="52"/>
      <c r="D3307"/>
      <c r="E3307"/>
      <c r="F3307"/>
      <c r="N3307" s="44"/>
    </row>
    <row r="3308" spans="1:14" x14ac:dyDescent="0.3">
      <c r="A3308" s="42"/>
      <c r="C3308" s="52"/>
      <c r="D3308"/>
      <c r="E3308"/>
      <c r="F3308"/>
      <c r="N3308" s="44"/>
    </row>
    <row r="3309" spans="1:14" x14ac:dyDescent="0.3">
      <c r="A3309" s="42"/>
      <c r="C3309" s="52"/>
      <c r="D3309"/>
      <c r="E3309"/>
      <c r="F3309"/>
      <c r="N3309" s="44"/>
    </row>
    <row r="3310" spans="1:14" x14ac:dyDescent="0.3">
      <c r="A3310" s="42"/>
      <c r="C3310" s="52"/>
      <c r="D3310"/>
      <c r="E3310"/>
      <c r="F3310"/>
      <c r="N3310" s="44"/>
    </row>
    <row r="3311" spans="1:14" x14ac:dyDescent="0.3">
      <c r="A3311" s="42"/>
      <c r="C3311" s="52"/>
      <c r="D3311"/>
      <c r="E3311"/>
      <c r="F3311"/>
      <c r="N3311" s="44"/>
    </row>
    <row r="3312" spans="1:14" x14ac:dyDescent="0.3">
      <c r="A3312" s="42"/>
      <c r="C3312" s="52"/>
      <c r="D3312"/>
      <c r="E3312"/>
      <c r="F3312"/>
      <c r="N3312" s="44"/>
    </row>
    <row r="3313" spans="1:14" x14ac:dyDescent="0.3">
      <c r="A3313" s="42"/>
      <c r="C3313" s="52"/>
      <c r="D3313"/>
      <c r="E3313"/>
      <c r="F3313"/>
      <c r="N3313" s="44"/>
    </row>
    <row r="3314" spans="1:14" x14ac:dyDescent="0.3">
      <c r="A3314" s="42"/>
      <c r="C3314" s="52"/>
      <c r="D3314"/>
      <c r="E3314"/>
      <c r="F3314"/>
      <c r="N3314" s="44"/>
    </row>
    <row r="3315" spans="1:14" x14ac:dyDescent="0.3">
      <c r="A3315" s="42"/>
      <c r="C3315" s="52"/>
      <c r="D3315"/>
      <c r="E3315"/>
      <c r="F3315"/>
      <c r="N3315" s="44"/>
    </row>
    <row r="3316" spans="1:14" x14ac:dyDescent="0.3">
      <c r="A3316" s="42"/>
      <c r="C3316" s="52"/>
      <c r="D3316"/>
      <c r="E3316"/>
      <c r="F3316"/>
      <c r="N3316" s="44"/>
    </row>
    <row r="3317" spans="1:14" x14ac:dyDescent="0.3">
      <c r="A3317" s="42"/>
      <c r="C3317" s="52"/>
      <c r="D3317"/>
      <c r="E3317"/>
      <c r="F3317"/>
      <c r="N3317" s="44"/>
    </row>
    <row r="3318" spans="1:14" x14ac:dyDescent="0.3">
      <c r="A3318" s="42"/>
      <c r="C3318" s="52"/>
      <c r="D3318"/>
      <c r="E3318"/>
      <c r="F3318"/>
      <c r="N3318" s="44"/>
    </row>
    <row r="3319" spans="1:14" x14ac:dyDescent="0.3">
      <c r="A3319" s="42"/>
      <c r="C3319" s="52"/>
      <c r="D3319"/>
      <c r="E3319"/>
      <c r="F3319"/>
      <c r="N3319" s="44"/>
    </row>
    <row r="3320" spans="1:14" x14ac:dyDescent="0.3">
      <c r="A3320" s="42"/>
      <c r="C3320" s="52"/>
      <c r="D3320"/>
      <c r="E3320"/>
      <c r="F3320"/>
      <c r="N3320" s="44"/>
    </row>
    <row r="3321" spans="1:14" x14ac:dyDescent="0.3">
      <c r="A3321" s="42"/>
      <c r="C3321" s="52"/>
      <c r="D3321"/>
      <c r="E3321"/>
      <c r="F3321"/>
      <c r="N3321" s="44"/>
    </row>
    <row r="3322" spans="1:14" x14ac:dyDescent="0.3">
      <c r="A3322" s="42"/>
      <c r="C3322" s="52"/>
      <c r="D3322"/>
      <c r="E3322"/>
      <c r="F3322"/>
      <c r="N3322" s="44"/>
    </row>
    <row r="3323" spans="1:14" x14ac:dyDescent="0.3">
      <c r="A3323" s="42"/>
      <c r="C3323" s="52"/>
      <c r="D3323"/>
      <c r="E3323"/>
      <c r="F3323"/>
      <c r="N3323" s="44"/>
    </row>
    <row r="3324" spans="1:14" x14ac:dyDescent="0.3">
      <c r="A3324" s="42"/>
      <c r="C3324" s="52"/>
      <c r="D3324"/>
      <c r="E3324"/>
      <c r="F3324"/>
      <c r="N3324" s="44"/>
    </row>
    <row r="3325" spans="1:14" x14ac:dyDescent="0.3">
      <c r="A3325" s="42"/>
      <c r="C3325" s="52"/>
      <c r="D3325"/>
      <c r="E3325"/>
      <c r="F3325"/>
      <c r="N3325" s="44"/>
    </row>
    <row r="3326" spans="1:14" x14ac:dyDescent="0.3">
      <c r="A3326" s="42"/>
      <c r="C3326" s="52"/>
      <c r="D3326"/>
      <c r="E3326"/>
      <c r="F3326"/>
      <c r="N3326" s="44"/>
    </row>
    <row r="3327" spans="1:14" x14ac:dyDescent="0.3">
      <c r="A3327" s="42"/>
      <c r="C3327" s="52"/>
      <c r="D3327"/>
      <c r="E3327"/>
      <c r="F3327"/>
      <c r="N3327" s="44"/>
    </row>
    <row r="3328" spans="1:14" x14ac:dyDescent="0.3">
      <c r="A3328" s="42"/>
      <c r="C3328" s="52"/>
      <c r="D3328"/>
      <c r="E3328"/>
      <c r="F3328"/>
      <c r="N3328" s="44"/>
    </row>
    <row r="3329" spans="1:14" x14ac:dyDescent="0.3">
      <c r="A3329" s="42"/>
      <c r="C3329" s="52"/>
      <c r="D3329"/>
      <c r="E3329"/>
      <c r="F3329"/>
      <c r="N3329" s="44"/>
    </row>
    <row r="3330" spans="1:14" x14ac:dyDescent="0.3">
      <c r="A3330" s="42"/>
      <c r="C3330" s="52"/>
      <c r="D3330"/>
      <c r="E3330"/>
      <c r="F3330"/>
      <c r="N3330" s="44"/>
    </row>
    <row r="3331" spans="1:14" x14ac:dyDescent="0.3">
      <c r="A3331" s="42"/>
      <c r="C3331" s="52"/>
      <c r="D3331"/>
      <c r="E3331"/>
      <c r="F3331"/>
      <c r="N3331" s="44"/>
    </row>
    <row r="3332" spans="1:14" x14ac:dyDescent="0.3">
      <c r="A3332" s="42"/>
      <c r="C3332" s="52"/>
      <c r="D3332"/>
      <c r="E3332"/>
      <c r="F3332"/>
      <c r="N3332" s="44"/>
    </row>
    <row r="3333" spans="1:14" x14ac:dyDescent="0.3">
      <c r="A3333" s="42"/>
      <c r="C3333" s="52"/>
      <c r="D3333"/>
      <c r="E3333"/>
      <c r="F3333"/>
      <c r="N3333" s="44"/>
    </row>
    <row r="3334" spans="1:14" x14ac:dyDescent="0.3">
      <c r="A3334" s="42"/>
      <c r="C3334" s="52"/>
      <c r="D3334"/>
      <c r="E3334"/>
      <c r="F3334"/>
      <c r="N3334" s="44"/>
    </row>
    <row r="3335" spans="1:14" x14ac:dyDescent="0.3">
      <c r="A3335" s="42"/>
      <c r="C3335" s="52"/>
      <c r="D3335"/>
      <c r="E3335"/>
      <c r="F3335"/>
      <c r="N3335" s="44"/>
    </row>
    <row r="3336" spans="1:14" x14ac:dyDescent="0.3">
      <c r="A3336" s="42"/>
      <c r="C3336" s="52"/>
      <c r="D3336"/>
      <c r="E3336"/>
      <c r="F3336"/>
      <c r="N3336" s="44"/>
    </row>
    <row r="3337" spans="1:14" x14ac:dyDescent="0.3">
      <c r="A3337" s="42"/>
      <c r="C3337" s="52"/>
      <c r="D3337"/>
      <c r="E3337"/>
      <c r="F3337"/>
      <c r="N3337" s="44"/>
    </row>
    <row r="3338" spans="1:14" x14ac:dyDescent="0.3">
      <c r="A3338" s="42"/>
      <c r="C3338" s="52"/>
      <c r="D3338"/>
      <c r="E3338"/>
      <c r="F3338"/>
      <c r="N3338" s="44"/>
    </row>
    <row r="3339" spans="1:14" x14ac:dyDescent="0.3">
      <c r="A3339" s="42"/>
      <c r="C3339" s="52"/>
      <c r="D3339"/>
      <c r="E3339"/>
      <c r="F3339"/>
      <c r="N3339" s="44"/>
    </row>
    <row r="3340" spans="1:14" x14ac:dyDescent="0.3">
      <c r="A3340" s="42"/>
      <c r="C3340" s="52"/>
      <c r="D3340"/>
      <c r="E3340"/>
      <c r="F3340"/>
      <c r="N3340" s="44"/>
    </row>
    <row r="3341" spans="1:14" x14ac:dyDescent="0.3">
      <c r="A3341" s="42"/>
      <c r="C3341" s="52"/>
      <c r="D3341"/>
      <c r="E3341"/>
      <c r="F3341"/>
      <c r="N3341" s="44"/>
    </row>
    <row r="3342" spans="1:14" x14ac:dyDescent="0.3">
      <c r="A3342" s="42"/>
      <c r="C3342" s="52"/>
      <c r="D3342"/>
      <c r="E3342"/>
      <c r="F3342"/>
      <c r="N3342" s="44"/>
    </row>
    <row r="3343" spans="1:14" x14ac:dyDescent="0.3">
      <c r="A3343" s="42"/>
      <c r="C3343" s="52"/>
      <c r="D3343"/>
      <c r="E3343"/>
      <c r="F3343"/>
      <c r="N3343" s="44"/>
    </row>
    <row r="3344" spans="1:14" x14ac:dyDescent="0.3">
      <c r="A3344" s="42"/>
      <c r="C3344" s="52"/>
      <c r="D3344"/>
      <c r="E3344"/>
      <c r="F3344"/>
      <c r="N3344" s="44"/>
    </row>
    <row r="3345" spans="1:14" x14ac:dyDescent="0.3">
      <c r="A3345" s="42"/>
      <c r="C3345" s="52"/>
      <c r="D3345"/>
      <c r="E3345"/>
      <c r="F3345"/>
      <c r="N3345" s="44"/>
    </row>
    <row r="3346" spans="1:14" x14ac:dyDescent="0.3">
      <c r="A3346" s="42"/>
      <c r="C3346" s="52"/>
      <c r="D3346"/>
      <c r="E3346"/>
      <c r="F3346"/>
      <c r="N3346" s="44"/>
    </row>
    <row r="3347" spans="1:14" x14ac:dyDescent="0.3">
      <c r="A3347" s="42"/>
      <c r="C3347" s="52"/>
      <c r="D3347"/>
      <c r="E3347"/>
      <c r="F3347"/>
      <c r="N3347" s="44"/>
    </row>
    <row r="3348" spans="1:14" x14ac:dyDescent="0.3">
      <c r="A3348" s="42"/>
      <c r="C3348" s="52"/>
      <c r="D3348"/>
      <c r="E3348"/>
      <c r="F3348"/>
      <c r="N3348" s="44"/>
    </row>
    <row r="3349" spans="1:14" x14ac:dyDescent="0.3">
      <c r="A3349" s="42"/>
      <c r="C3349" s="52"/>
      <c r="D3349"/>
      <c r="E3349"/>
      <c r="F3349"/>
      <c r="N3349" s="44"/>
    </row>
    <row r="3350" spans="1:14" x14ac:dyDescent="0.3">
      <c r="A3350" s="42"/>
      <c r="C3350" s="52"/>
      <c r="D3350"/>
      <c r="E3350"/>
      <c r="F3350"/>
      <c r="N3350" s="44"/>
    </row>
    <row r="3351" spans="1:14" x14ac:dyDescent="0.3">
      <c r="A3351" s="42"/>
      <c r="C3351" s="52"/>
      <c r="D3351"/>
      <c r="E3351"/>
      <c r="F3351"/>
      <c r="N3351" s="44"/>
    </row>
    <row r="3352" spans="1:14" x14ac:dyDescent="0.3">
      <c r="A3352" s="42"/>
      <c r="C3352" s="52"/>
      <c r="D3352"/>
      <c r="E3352"/>
      <c r="F3352"/>
      <c r="N3352" s="44"/>
    </row>
    <row r="3353" spans="1:14" x14ac:dyDescent="0.3">
      <c r="A3353" s="42"/>
      <c r="C3353" s="52"/>
      <c r="D3353"/>
      <c r="E3353"/>
      <c r="F3353"/>
      <c r="N3353" s="44"/>
    </row>
    <row r="3354" spans="1:14" x14ac:dyDescent="0.3">
      <c r="A3354" s="42"/>
      <c r="C3354" s="52"/>
      <c r="D3354"/>
      <c r="E3354"/>
      <c r="F3354"/>
      <c r="N3354" s="44"/>
    </row>
    <row r="3355" spans="1:14" x14ac:dyDescent="0.3">
      <c r="A3355" s="42"/>
      <c r="C3355" s="52"/>
      <c r="D3355"/>
      <c r="E3355"/>
      <c r="F3355"/>
      <c r="N3355" s="44"/>
    </row>
    <row r="3356" spans="1:14" x14ac:dyDescent="0.3">
      <c r="A3356" s="42"/>
      <c r="C3356" s="52"/>
      <c r="D3356"/>
      <c r="E3356"/>
      <c r="F3356"/>
      <c r="N3356" s="44"/>
    </row>
    <row r="3357" spans="1:14" x14ac:dyDescent="0.3">
      <c r="A3357" s="42"/>
      <c r="C3357" s="52"/>
      <c r="D3357"/>
      <c r="E3357"/>
      <c r="F3357"/>
      <c r="N3357" s="44"/>
    </row>
    <row r="3358" spans="1:14" x14ac:dyDescent="0.3">
      <c r="A3358" s="42"/>
      <c r="C3358" s="52"/>
      <c r="D3358"/>
      <c r="E3358"/>
      <c r="F3358"/>
      <c r="N3358" s="44"/>
    </row>
    <row r="3359" spans="1:14" x14ac:dyDescent="0.3">
      <c r="A3359" s="42"/>
      <c r="C3359" s="52"/>
      <c r="D3359"/>
      <c r="E3359"/>
      <c r="F3359"/>
      <c r="N3359" s="44"/>
    </row>
    <row r="3360" spans="1:14" x14ac:dyDescent="0.3">
      <c r="A3360" s="42"/>
      <c r="C3360" s="52"/>
      <c r="D3360"/>
      <c r="E3360"/>
      <c r="F3360"/>
      <c r="N3360" s="44"/>
    </row>
    <row r="3361" spans="1:14" x14ac:dyDescent="0.3">
      <c r="A3361" s="42"/>
      <c r="C3361" s="52"/>
      <c r="D3361"/>
      <c r="E3361"/>
      <c r="F3361"/>
      <c r="M3361" s="45"/>
      <c r="N3361" s="44"/>
    </row>
    <row r="3362" spans="1:14" x14ac:dyDescent="0.3">
      <c r="A3362" s="42"/>
      <c r="C3362" s="52"/>
      <c r="D3362"/>
      <c r="E3362"/>
      <c r="F3362"/>
      <c r="N3362" s="44"/>
    </row>
    <row r="3363" spans="1:14" x14ac:dyDescent="0.3">
      <c r="A3363" s="42"/>
      <c r="C3363" s="52"/>
      <c r="D3363"/>
      <c r="E3363"/>
      <c r="F3363"/>
      <c r="N3363" s="44"/>
    </row>
    <row r="3364" spans="1:14" x14ac:dyDescent="0.3">
      <c r="A3364" s="42"/>
      <c r="C3364" s="52"/>
      <c r="D3364"/>
      <c r="E3364"/>
      <c r="F3364"/>
      <c r="N3364" s="44"/>
    </row>
    <row r="3365" spans="1:14" x14ac:dyDescent="0.3">
      <c r="A3365" s="42"/>
      <c r="C3365" s="52"/>
      <c r="D3365"/>
      <c r="E3365"/>
      <c r="F3365"/>
      <c r="M3365" s="45"/>
      <c r="N3365" s="44"/>
    </row>
    <row r="3366" spans="1:14" x14ac:dyDescent="0.3">
      <c r="A3366" s="42"/>
      <c r="C3366" s="52"/>
      <c r="D3366"/>
      <c r="E3366"/>
      <c r="F3366"/>
      <c r="N3366" s="44"/>
    </row>
    <row r="3367" spans="1:14" x14ac:dyDescent="0.3">
      <c r="A3367" s="42"/>
      <c r="C3367" s="52"/>
      <c r="D3367"/>
      <c r="E3367"/>
      <c r="F3367"/>
      <c r="N3367" s="44"/>
    </row>
    <row r="3368" spans="1:14" x14ac:dyDescent="0.3">
      <c r="A3368" s="42"/>
      <c r="C3368" s="52"/>
      <c r="D3368"/>
      <c r="E3368"/>
      <c r="F3368"/>
      <c r="N3368" s="44"/>
    </row>
    <row r="3369" spans="1:14" x14ac:dyDescent="0.3">
      <c r="A3369" s="42"/>
      <c r="C3369" s="52"/>
      <c r="D3369"/>
      <c r="E3369"/>
      <c r="F3369"/>
      <c r="N3369" s="44"/>
    </row>
    <row r="3370" spans="1:14" x14ac:dyDescent="0.3">
      <c r="A3370" s="42"/>
      <c r="C3370" s="52"/>
      <c r="D3370"/>
      <c r="E3370"/>
      <c r="F3370"/>
      <c r="N3370" s="44"/>
    </row>
    <row r="3371" spans="1:14" x14ac:dyDescent="0.3">
      <c r="A3371" s="42"/>
      <c r="C3371" s="52"/>
      <c r="D3371"/>
      <c r="E3371"/>
      <c r="F3371"/>
      <c r="N3371" s="44"/>
    </row>
    <row r="3372" spans="1:14" x14ac:dyDescent="0.3">
      <c r="A3372" s="42"/>
      <c r="C3372" s="52"/>
      <c r="D3372"/>
      <c r="E3372"/>
      <c r="F3372"/>
      <c r="N3372" s="44"/>
    </row>
    <row r="3373" spans="1:14" x14ac:dyDescent="0.3">
      <c r="A3373" s="42"/>
      <c r="C3373" s="52"/>
      <c r="D3373"/>
      <c r="E3373"/>
      <c r="F3373"/>
      <c r="N3373" s="44"/>
    </row>
    <row r="3374" spans="1:14" x14ac:dyDescent="0.3">
      <c r="A3374" s="42"/>
      <c r="C3374" s="52"/>
      <c r="D3374"/>
      <c r="E3374"/>
      <c r="F3374"/>
      <c r="N3374" s="44"/>
    </row>
    <row r="3375" spans="1:14" x14ac:dyDescent="0.3">
      <c r="A3375" s="42"/>
      <c r="C3375" s="52"/>
      <c r="D3375"/>
      <c r="E3375"/>
      <c r="F3375"/>
      <c r="N3375" s="44"/>
    </row>
    <row r="3376" spans="1:14" x14ac:dyDescent="0.3">
      <c r="A3376" s="42"/>
      <c r="C3376" s="52"/>
      <c r="D3376"/>
      <c r="E3376"/>
      <c r="F3376"/>
      <c r="N3376" s="44"/>
    </row>
    <row r="3377" spans="1:14" x14ac:dyDescent="0.3">
      <c r="A3377" s="42"/>
      <c r="C3377" s="52"/>
      <c r="D3377"/>
      <c r="E3377"/>
      <c r="F3377"/>
      <c r="N3377" s="44"/>
    </row>
    <row r="3378" spans="1:14" x14ac:dyDescent="0.3">
      <c r="A3378" s="42"/>
      <c r="C3378" s="52"/>
      <c r="D3378"/>
      <c r="E3378"/>
      <c r="F3378"/>
      <c r="N3378" s="44"/>
    </row>
    <row r="3379" spans="1:14" x14ac:dyDescent="0.3">
      <c r="A3379" s="42"/>
      <c r="C3379" s="52"/>
      <c r="D3379"/>
      <c r="E3379"/>
      <c r="F3379"/>
      <c r="N3379" s="44"/>
    </row>
    <row r="3380" spans="1:14" x14ac:dyDescent="0.3">
      <c r="A3380" s="42"/>
      <c r="C3380" s="52"/>
      <c r="D3380"/>
      <c r="E3380"/>
      <c r="F3380"/>
      <c r="N3380" s="44"/>
    </row>
    <row r="3381" spans="1:14" x14ac:dyDescent="0.3">
      <c r="A3381" s="42"/>
      <c r="C3381" s="52"/>
      <c r="D3381"/>
      <c r="E3381"/>
      <c r="F3381"/>
      <c r="N3381" s="44"/>
    </row>
    <row r="3382" spans="1:14" x14ac:dyDescent="0.3">
      <c r="A3382" s="42"/>
      <c r="C3382" s="52"/>
      <c r="D3382"/>
      <c r="E3382"/>
      <c r="F3382"/>
      <c r="N3382" s="44"/>
    </row>
    <row r="3383" spans="1:14" x14ac:dyDescent="0.3">
      <c r="A3383" s="42"/>
      <c r="C3383" s="52"/>
      <c r="D3383"/>
      <c r="E3383"/>
      <c r="F3383"/>
      <c r="N3383" s="44"/>
    </row>
    <row r="3384" spans="1:14" x14ac:dyDescent="0.3">
      <c r="A3384" s="42"/>
      <c r="C3384" s="52"/>
      <c r="D3384"/>
      <c r="E3384"/>
      <c r="F3384"/>
      <c r="N3384" s="44"/>
    </row>
    <row r="3385" spans="1:14" x14ac:dyDescent="0.3">
      <c r="A3385" s="42"/>
      <c r="C3385" s="52"/>
      <c r="D3385"/>
      <c r="E3385"/>
      <c r="F3385"/>
      <c r="N3385" s="44"/>
    </row>
    <row r="3386" spans="1:14" x14ac:dyDescent="0.3">
      <c r="A3386" s="42"/>
      <c r="C3386" s="52"/>
      <c r="D3386"/>
      <c r="E3386"/>
      <c r="F3386"/>
      <c r="N3386" s="44"/>
    </row>
    <row r="3387" spans="1:14" x14ac:dyDescent="0.3">
      <c r="A3387" s="42"/>
      <c r="C3387" s="52"/>
      <c r="D3387"/>
      <c r="E3387"/>
      <c r="F3387"/>
      <c r="N3387" s="44"/>
    </row>
    <row r="3388" spans="1:14" x14ac:dyDescent="0.3">
      <c r="A3388" s="42"/>
      <c r="C3388" s="52"/>
      <c r="D3388"/>
      <c r="E3388"/>
      <c r="F3388"/>
      <c r="N3388" s="44"/>
    </row>
    <row r="3389" spans="1:14" x14ac:dyDescent="0.3">
      <c r="A3389" s="42"/>
      <c r="C3389" s="52"/>
      <c r="D3389"/>
      <c r="E3389"/>
      <c r="F3389"/>
      <c r="N3389" s="44"/>
    </row>
    <row r="3390" spans="1:14" x14ac:dyDescent="0.3">
      <c r="A3390" s="42"/>
      <c r="C3390" s="52"/>
      <c r="D3390"/>
      <c r="E3390"/>
      <c r="F3390"/>
      <c r="N3390" s="44"/>
    </row>
    <row r="3391" spans="1:14" x14ac:dyDescent="0.3">
      <c r="A3391" s="42"/>
      <c r="C3391" s="52"/>
      <c r="D3391"/>
      <c r="E3391"/>
      <c r="F3391"/>
      <c r="N3391" s="44"/>
    </row>
    <row r="3392" spans="1:14" x14ac:dyDescent="0.3">
      <c r="A3392" s="42"/>
      <c r="C3392" s="52"/>
      <c r="D3392"/>
      <c r="E3392"/>
      <c r="F3392"/>
      <c r="N3392" s="44"/>
    </row>
    <row r="3393" spans="1:14" x14ac:dyDescent="0.3">
      <c r="A3393" s="42"/>
      <c r="C3393" s="52"/>
      <c r="D3393"/>
      <c r="E3393"/>
      <c r="F3393"/>
      <c r="N3393" s="44"/>
    </row>
    <row r="3394" spans="1:14" x14ac:dyDescent="0.3">
      <c r="A3394" s="42"/>
      <c r="C3394" s="52"/>
      <c r="D3394"/>
      <c r="E3394"/>
      <c r="F3394"/>
      <c r="N3394" s="44"/>
    </row>
    <row r="3395" spans="1:14" x14ac:dyDescent="0.3">
      <c r="A3395" s="42"/>
      <c r="C3395" s="52"/>
      <c r="D3395"/>
      <c r="E3395"/>
      <c r="F3395"/>
      <c r="N3395" s="44"/>
    </row>
    <row r="3396" spans="1:14" x14ac:dyDescent="0.3">
      <c r="A3396" s="42"/>
      <c r="C3396" s="52"/>
      <c r="D3396"/>
      <c r="E3396"/>
      <c r="F3396"/>
      <c r="N3396" s="44"/>
    </row>
    <row r="3397" spans="1:14" x14ac:dyDescent="0.3">
      <c r="A3397" s="42"/>
      <c r="C3397" s="52"/>
      <c r="D3397"/>
      <c r="E3397"/>
      <c r="F3397"/>
      <c r="N3397" s="44"/>
    </row>
    <row r="3398" spans="1:14" x14ac:dyDescent="0.3">
      <c r="A3398" s="42"/>
      <c r="C3398" s="52"/>
      <c r="D3398"/>
      <c r="E3398"/>
      <c r="F3398"/>
      <c r="N3398" s="44"/>
    </row>
    <row r="3399" spans="1:14" x14ac:dyDescent="0.3">
      <c r="A3399" s="42"/>
      <c r="C3399" s="52"/>
      <c r="D3399"/>
      <c r="E3399"/>
      <c r="F3399"/>
      <c r="N3399" s="44"/>
    </row>
    <row r="3400" spans="1:14" x14ac:dyDescent="0.3">
      <c r="A3400" s="42"/>
      <c r="C3400" s="52"/>
      <c r="D3400"/>
      <c r="E3400"/>
      <c r="F3400"/>
      <c r="N3400" s="44"/>
    </row>
    <row r="3401" spans="1:14" x14ac:dyDescent="0.3">
      <c r="A3401" s="42"/>
      <c r="C3401" s="52"/>
      <c r="D3401"/>
      <c r="E3401"/>
      <c r="F3401"/>
      <c r="N3401" s="44"/>
    </row>
    <row r="3402" spans="1:14" x14ac:dyDescent="0.3">
      <c r="A3402" s="42"/>
      <c r="C3402" s="52"/>
      <c r="D3402"/>
      <c r="E3402"/>
      <c r="F3402"/>
      <c r="N3402" s="44"/>
    </row>
    <row r="3403" spans="1:14" x14ac:dyDescent="0.3">
      <c r="A3403" s="42"/>
      <c r="C3403" s="52"/>
      <c r="D3403"/>
      <c r="E3403"/>
      <c r="F3403"/>
      <c r="N3403" s="44"/>
    </row>
    <row r="3404" spans="1:14" x14ac:dyDescent="0.3">
      <c r="A3404" s="42"/>
      <c r="C3404" s="52"/>
      <c r="D3404"/>
      <c r="E3404"/>
      <c r="F3404"/>
      <c r="N3404" s="44"/>
    </row>
    <row r="3405" spans="1:14" x14ac:dyDescent="0.3">
      <c r="A3405" s="42"/>
      <c r="C3405" s="52"/>
      <c r="D3405"/>
      <c r="E3405"/>
      <c r="F3405"/>
      <c r="N3405" s="44"/>
    </row>
    <row r="3406" spans="1:14" x14ac:dyDescent="0.3">
      <c r="A3406" s="42"/>
      <c r="C3406" s="52"/>
      <c r="D3406"/>
      <c r="E3406"/>
      <c r="F3406"/>
      <c r="N3406" s="44"/>
    </row>
    <row r="3407" spans="1:14" x14ac:dyDescent="0.3">
      <c r="A3407" s="42"/>
      <c r="C3407" s="52"/>
      <c r="D3407"/>
      <c r="E3407"/>
      <c r="F3407"/>
      <c r="N3407" s="44"/>
    </row>
    <row r="3408" spans="1:14" x14ac:dyDescent="0.3">
      <c r="A3408" s="42"/>
      <c r="C3408" s="52"/>
      <c r="D3408"/>
      <c r="E3408"/>
      <c r="F3408"/>
      <c r="N3408" s="44"/>
    </row>
    <row r="3409" spans="1:14" x14ac:dyDescent="0.3">
      <c r="A3409" s="42"/>
      <c r="C3409" s="52"/>
      <c r="D3409"/>
      <c r="E3409"/>
      <c r="F3409"/>
      <c r="N3409" s="44"/>
    </row>
    <row r="3410" spans="1:14" x14ac:dyDescent="0.3">
      <c r="A3410" s="42"/>
      <c r="C3410" s="52"/>
      <c r="D3410"/>
      <c r="E3410"/>
      <c r="F3410"/>
      <c r="N3410" s="44"/>
    </row>
    <row r="3411" spans="1:14" x14ac:dyDescent="0.3">
      <c r="A3411" s="42"/>
      <c r="C3411" s="52"/>
      <c r="D3411"/>
      <c r="E3411"/>
      <c r="F3411"/>
      <c r="N3411" s="44"/>
    </row>
    <row r="3412" spans="1:14" x14ac:dyDescent="0.3">
      <c r="A3412" s="42"/>
      <c r="C3412" s="52"/>
      <c r="D3412"/>
      <c r="E3412"/>
      <c r="F3412"/>
      <c r="N3412" s="44"/>
    </row>
    <row r="3413" spans="1:14" x14ac:dyDescent="0.3">
      <c r="A3413" s="42"/>
      <c r="C3413" s="52"/>
      <c r="D3413"/>
      <c r="E3413"/>
      <c r="F3413"/>
      <c r="N3413" s="44"/>
    </row>
    <row r="3414" spans="1:14" x14ac:dyDescent="0.3">
      <c r="A3414" s="42"/>
      <c r="C3414" s="52"/>
      <c r="D3414"/>
      <c r="E3414"/>
      <c r="F3414"/>
      <c r="N3414" s="44"/>
    </row>
    <row r="3415" spans="1:14" x14ac:dyDescent="0.3">
      <c r="A3415" s="42"/>
      <c r="C3415" s="52"/>
      <c r="D3415"/>
      <c r="E3415"/>
      <c r="F3415"/>
      <c r="N3415" s="44"/>
    </row>
    <row r="3416" spans="1:14" x14ac:dyDescent="0.3">
      <c r="A3416" s="42"/>
      <c r="C3416" s="52"/>
      <c r="D3416"/>
      <c r="E3416"/>
      <c r="F3416"/>
      <c r="N3416" s="44"/>
    </row>
    <row r="3417" spans="1:14" x14ac:dyDescent="0.3">
      <c r="A3417" s="42"/>
      <c r="C3417" s="52"/>
      <c r="D3417"/>
      <c r="E3417"/>
      <c r="F3417"/>
      <c r="N3417" s="44"/>
    </row>
    <row r="3418" spans="1:14" x14ac:dyDescent="0.3">
      <c r="A3418" s="42"/>
      <c r="C3418" s="52"/>
      <c r="D3418"/>
      <c r="E3418"/>
      <c r="F3418"/>
      <c r="N3418" s="44"/>
    </row>
    <row r="3419" spans="1:14" x14ac:dyDescent="0.3">
      <c r="A3419" s="42"/>
      <c r="C3419" s="52"/>
      <c r="D3419"/>
      <c r="E3419"/>
      <c r="F3419"/>
      <c r="N3419" s="44"/>
    </row>
    <row r="3420" spans="1:14" x14ac:dyDescent="0.3">
      <c r="A3420" s="42"/>
      <c r="C3420" s="52"/>
      <c r="D3420"/>
      <c r="E3420"/>
      <c r="F3420"/>
      <c r="N3420" s="44"/>
    </row>
    <row r="3421" spans="1:14" x14ac:dyDescent="0.3">
      <c r="A3421" s="42"/>
      <c r="C3421" s="52"/>
      <c r="D3421"/>
      <c r="E3421"/>
      <c r="F3421"/>
      <c r="N3421" s="44"/>
    </row>
    <row r="3422" spans="1:14" x14ac:dyDescent="0.3">
      <c r="A3422" s="42"/>
      <c r="C3422" s="52"/>
      <c r="D3422"/>
      <c r="E3422"/>
      <c r="F3422"/>
      <c r="N3422" s="44"/>
    </row>
    <row r="3423" spans="1:14" x14ac:dyDescent="0.3">
      <c r="A3423" s="42"/>
      <c r="C3423" s="52"/>
      <c r="D3423"/>
      <c r="E3423"/>
      <c r="F3423"/>
      <c r="N3423" s="44"/>
    </row>
    <row r="3424" spans="1:14" x14ac:dyDescent="0.3">
      <c r="A3424" s="42"/>
      <c r="C3424" s="52"/>
      <c r="D3424"/>
      <c r="E3424"/>
      <c r="F3424"/>
      <c r="N3424" s="44"/>
    </row>
    <row r="3425" spans="1:14" x14ac:dyDescent="0.3">
      <c r="A3425" s="42"/>
      <c r="C3425" s="52"/>
      <c r="D3425"/>
      <c r="E3425"/>
      <c r="F3425"/>
      <c r="N3425" s="44"/>
    </row>
    <row r="3426" spans="1:14" x14ac:dyDescent="0.3">
      <c r="A3426" s="42"/>
      <c r="C3426" s="52"/>
      <c r="D3426"/>
      <c r="E3426"/>
      <c r="F3426"/>
      <c r="N3426" s="44"/>
    </row>
    <row r="3427" spans="1:14" x14ac:dyDescent="0.3">
      <c r="A3427" s="42"/>
      <c r="C3427" s="52"/>
      <c r="D3427"/>
      <c r="E3427"/>
      <c r="F3427"/>
      <c r="N3427" s="44"/>
    </row>
    <row r="3428" spans="1:14" x14ac:dyDescent="0.3">
      <c r="A3428" s="42"/>
      <c r="C3428" s="52"/>
      <c r="D3428"/>
      <c r="E3428"/>
      <c r="F3428"/>
      <c r="N3428" s="44"/>
    </row>
    <row r="3429" spans="1:14" x14ac:dyDescent="0.3">
      <c r="A3429" s="42"/>
      <c r="C3429" s="52"/>
      <c r="D3429"/>
      <c r="E3429"/>
      <c r="F3429"/>
      <c r="N3429" s="44"/>
    </row>
    <row r="3430" spans="1:14" x14ac:dyDescent="0.3">
      <c r="A3430" s="42"/>
      <c r="C3430" s="52"/>
      <c r="D3430"/>
      <c r="E3430"/>
      <c r="F3430"/>
      <c r="N3430" s="44"/>
    </row>
    <row r="3431" spans="1:14" x14ac:dyDescent="0.3">
      <c r="A3431" s="42"/>
      <c r="C3431" s="52"/>
      <c r="D3431"/>
      <c r="E3431"/>
      <c r="F3431"/>
      <c r="N3431" s="44"/>
    </row>
    <row r="3432" spans="1:14" x14ac:dyDescent="0.3">
      <c r="A3432" s="42"/>
      <c r="C3432" s="52"/>
      <c r="D3432"/>
      <c r="E3432"/>
      <c r="F3432"/>
      <c r="N3432" s="44"/>
    </row>
    <row r="3433" spans="1:14" x14ac:dyDescent="0.3">
      <c r="A3433" s="42"/>
      <c r="C3433" s="52"/>
      <c r="D3433"/>
      <c r="E3433"/>
      <c r="F3433"/>
      <c r="N3433" s="44"/>
    </row>
    <row r="3434" spans="1:14" x14ac:dyDescent="0.3">
      <c r="A3434" s="42"/>
      <c r="C3434" s="52"/>
      <c r="D3434"/>
      <c r="E3434"/>
      <c r="F3434"/>
      <c r="N3434" s="44"/>
    </row>
    <row r="3435" spans="1:14" x14ac:dyDescent="0.3">
      <c r="A3435" s="42"/>
      <c r="C3435" s="52"/>
      <c r="D3435"/>
      <c r="E3435"/>
      <c r="F3435"/>
      <c r="N3435" s="44"/>
    </row>
    <row r="3436" spans="1:14" x14ac:dyDescent="0.3">
      <c r="A3436" s="42"/>
      <c r="C3436" s="52"/>
      <c r="D3436"/>
      <c r="E3436"/>
      <c r="F3436"/>
      <c r="N3436" s="44"/>
    </row>
    <row r="3437" spans="1:14" x14ac:dyDescent="0.3">
      <c r="A3437" s="42"/>
      <c r="C3437" s="52"/>
      <c r="D3437"/>
      <c r="E3437"/>
      <c r="F3437"/>
      <c r="N3437" s="44"/>
    </row>
    <row r="3438" spans="1:14" x14ac:dyDescent="0.3">
      <c r="A3438" s="42"/>
      <c r="C3438" s="52"/>
      <c r="D3438"/>
      <c r="E3438"/>
      <c r="F3438"/>
      <c r="N3438" s="44"/>
    </row>
    <row r="3439" spans="1:14" x14ac:dyDescent="0.3">
      <c r="A3439" s="42"/>
      <c r="C3439" s="52"/>
      <c r="D3439"/>
      <c r="E3439"/>
      <c r="F3439"/>
      <c r="N3439" s="44"/>
    </row>
    <row r="3440" spans="1:14" x14ac:dyDescent="0.3">
      <c r="A3440" s="42"/>
      <c r="C3440" s="52"/>
      <c r="D3440"/>
      <c r="E3440"/>
      <c r="F3440"/>
      <c r="N3440" s="44"/>
    </row>
    <row r="3441" spans="1:14" x14ac:dyDescent="0.3">
      <c r="A3441" s="42"/>
      <c r="C3441" s="52"/>
      <c r="D3441"/>
      <c r="E3441"/>
      <c r="F3441"/>
      <c r="N3441" s="44"/>
    </row>
    <row r="3442" spans="1:14" x14ac:dyDescent="0.3">
      <c r="A3442" s="42"/>
      <c r="C3442" s="52"/>
      <c r="D3442"/>
      <c r="E3442"/>
      <c r="F3442"/>
      <c r="N3442" s="44"/>
    </row>
    <row r="3443" spans="1:14" x14ac:dyDescent="0.3">
      <c r="A3443" s="42"/>
      <c r="C3443" s="52"/>
      <c r="D3443"/>
      <c r="E3443"/>
      <c r="F3443"/>
      <c r="N3443" s="44"/>
    </row>
    <row r="3444" spans="1:14" x14ac:dyDescent="0.3">
      <c r="A3444" s="42"/>
      <c r="C3444" s="52"/>
      <c r="D3444"/>
      <c r="E3444"/>
      <c r="F3444"/>
      <c r="N3444" s="44"/>
    </row>
    <row r="3445" spans="1:14" x14ac:dyDescent="0.3">
      <c r="A3445" s="42"/>
      <c r="C3445" s="52"/>
      <c r="D3445"/>
      <c r="E3445"/>
      <c r="F3445"/>
      <c r="N3445" s="44"/>
    </row>
    <row r="3446" spans="1:14" x14ac:dyDescent="0.3">
      <c r="A3446" s="42"/>
      <c r="C3446" s="52"/>
      <c r="D3446"/>
      <c r="E3446"/>
      <c r="F3446"/>
      <c r="N3446" s="44"/>
    </row>
    <row r="3447" spans="1:14" x14ac:dyDescent="0.3">
      <c r="A3447" s="42"/>
      <c r="C3447" s="52"/>
      <c r="D3447"/>
      <c r="E3447"/>
      <c r="F3447"/>
      <c r="N3447" s="44"/>
    </row>
    <row r="3448" spans="1:14" x14ac:dyDescent="0.3">
      <c r="A3448" s="42"/>
      <c r="C3448" s="52"/>
      <c r="D3448"/>
      <c r="E3448"/>
      <c r="F3448"/>
      <c r="N3448" s="44"/>
    </row>
    <row r="3449" spans="1:14" x14ac:dyDescent="0.3">
      <c r="A3449" s="42"/>
      <c r="C3449" s="52"/>
      <c r="D3449"/>
      <c r="E3449"/>
      <c r="F3449"/>
      <c r="N3449" s="44"/>
    </row>
    <row r="3450" spans="1:14" x14ac:dyDescent="0.3">
      <c r="A3450" s="42"/>
      <c r="C3450" s="52"/>
      <c r="D3450"/>
      <c r="E3450"/>
      <c r="F3450"/>
      <c r="N3450" s="44"/>
    </row>
    <row r="3451" spans="1:14" x14ac:dyDescent="0.3">
      <c r="A3451" s="42"/>
      <c r="C3451" s="52"/>
      <c r="D3451"/>
      <c r="E3451"/>
      <c r="F3451"/>
      <c r="N3451" s="44"/>
    </row>
    <row r="3452" spans="1:14" x14ac:dyDescent="0.3">
      <c r="A3452" s="42"/>
      <c r="C3452" s="52"/>
      <c r="D3452"/>
      <c r="E3452"/>
      <c r="F3452"/>
      <c r="N3452" s="44"/>
    </row>
    <row r="3453" spans="1:14" x14ac:dyDescent="0.3">
      <c r="A3453" s="42"/>
      <c r="C3453" s="52"/>
      <c r="D3453"/>
      <c r="E3453"/>
      <c r="F3453"/>
      <c r="N3453" s="44"/>
    </row>
    <row r="3454" spans="1:14" x14ac:dyDescent="0.3">
      <c r="A3454" s="42"/>
      <c r="C3454" s="52"/>
      <c r="D3454"/>
      <c r="E3454"/>
      <c r="F3454"/>
      <c r="N3454" s="44"/>
    </row>
    <row r="3455" spans="1:14" x14ac:dyDescent="0.3">
      <c r="A3455" s="42"/>
      <c r="C3455" s="52"/>
      <c r="D3455"/>
      <c r="E3455"/>
      <c r="F3455"/>
      <c r="N3455" s="44"/>
    </row>
    <row r="3456" spans="1:14" x14ac:dyDescent="0.3">
      <c r="A3456" s="42"/>
      <c r="C3456" s="52"/>
      <c r="D3456"/>
      <c r="E3456"/>
      <c r="F3456"/>
      <c r="N3456" s="44"/>
    </row>
    <row r="3457" spans="1:14" x14ac:dyDescent="0.3">
      <c r="A3457" s="42"/>
      <c r="C3457" s="52"/>
      <c r="D3457"/>
      <c r="E3457"/>
      <c r="F3457"/>
      <c r="N3457" s="44"/>
    </row>
    <row r="3458" spans="1:14" x14ac:dyDescent="0.3">
      <c r="A3458" s="42"/>
      <c r="C3458" s="52"/>
      <c r="D3458"/>
      <c r="E3458"/>
      <c r="F3458"/>
      <c r="N3458" s="44"/>
    </row>
    <row r="3459" spans="1:14" x14ac:dyDescent="0.3">
      <c r="A3459" s="42"/>
      <c r="C3459" s="52"/>
      <c r="D3459"/>
      <c r="E3459"/>
      <c r="F3459"/>
      <c r="N3459" s="44"/>
    </row>
    <row r="3460" spans="1:14" x14ac:dyDescent="0.3">
      <c r="A3460" s="42"/>
      <c r="C3460" s="52"/>
      <c r="D3460"/>
      <c r="E3460"/>
      <c r="F3460"/>
      <c r="N3460" s="44"/>
    </row>
    <row r="3461" spans="1:14" x14ac:dyDescent="0.3">
      <c r="A3461" s="42"/>
      <c r="C3461" s="52"/>
      <c r="D3461"/>
      <c r="E3461"/>
      <c r="F3461"/>
      <c r="N3461" s="44"/>
    </row>
    <row r="3462" spans="1:14" x14ac:dyDescent="0.3">
      <c r="A3462" s="42"/>
      <c r="C3462" s="52"/>
      <c r="D3462"/>
      <c r="E3462"/>
      <c r="F3462"/>
      <c r="N3462" s="44"/>
    </row>
    <row r="3463" spans="1:14" x14ac:dyDescent="0.3">
      <c r="A3463" s="42"/>
      <c r="C3463" s="52"/>
      <c r="D3463"/>
      <c r="E3463"/>
      <c r="F3463"/>
      <c r="N3463" s="44"/>
    </row>
    <row r="3464" spans="1:14" x14ac:dyDescent="0.3">
      <c r="A3464" s="42"/>
      <c r="C3464" s="52"/>
      <c r="D3464"/>
      <c r="E3464"/>
      <c r="F3464"/>
      <c r="N3464" s="44"/>
    </row>
    <row r="3465" spans="1:14" x14ac:dyDescent="0.3">
      <c r="A3465" s="42"/>
      <c r="C3465" s="52"/>
      <c r="D3465"/>
      <c r="E3465"/>
      <c r="F3465"/>
      <c r="N3465" s="44"/>
    </row>
    <row r="3466" spans="1:14" x14ac:dyDescent="0.3">
      <c r="A3466" s="42"/>
      <c r="C3466" s="52"/>
      <c r="D3466"/>
      <c r="E3466"/>
      <c r="F3466"/>
      <c r="N3466" s="44"/>
    </row>
    <row r="3467" spans="1:14" x14ac:dyDescent="0.3">
      <c r="A3467" s="42"/>
      <c r="C3467" s="52"/>
      <c r="D3467"/>
      <c r="E3467"/>
      <c r="F3467"/>
      <c r="N3467" s="44"/>
    </row>
    <row r="3468" spans="1:14" x14ac:dyDescent="0.3">
      <c r="A3468" s="42"/>
      <c r="C3468" s="52"/>
      <c r="D3468"/>
      <c r="E3468"/>
      <c r="F3468"/>
      <c r="N3468" s="44"/>
    </row>
    <row r="3469" spans="1:14" x14ac:dyDescent="0.3">
      <c r="A3469" s="42"/>
      <c r="C3469" s="52"/>
      <c r="D3469"/>
      <c r="E3469"/>
      <c r="F3469"/>
      <c r="N3469" s="44"/>
    </row>
    <row r="3470" spans="1:14" x14ac:dyDescent="0.3">
      <c r="A3470" s="42"/>
      <c r="C3470" s="52"/>
      <c r="D3470"/>
      <c r="E3470"/>
      <c r="F3470"/>
      <c r="N3470" s="44"/>
    </row>
    <row r="3471" spans="1:14" x14ac:dyDescent="0.3">
      <c r="A3471" s="42"/>
      <c r="C3471" s="52"/>
      <c r="D3471"/>
      <c r="E3471"/>
      <c r="F3471"/>
      <c r="N3471" s="44"/>
    </row>
    <row r="3472" spans="1:14" x14ac:dyDescent="0.3">
      <c r="A3472" s="42"/>
      <c r="C3472" s="52"/>
      <c r="D3472"/>
      <c r="E3472"/>
      <c r="F3472"/>
      <c r="N3472" s="44"/>
    </row>
    <row r="3473" spans="1:14" x14ac:dyDescent="0.3">
      <c r="A3473" s="42"/>
      <c r="C3473" s="52"/>
      <c r="D3473"/>
      <c r="E3473"/>
      <c r="F3473"/>
      <c r="N3473" s="44"/>
    </row>
    <row r="3474" spans="1:14" x14ac:dyDescent="0.3">
      <c r="A3474" s="42"/>
      <c r="C3474" s="52"/>
      <c r="D3474"/>
      <c r="E3474"/>
      <c r="F3474"/>
      <c r="N3474" s="44"/>
    </row>
    <row r="3475" spans="1:14" x14ac:dyDescent="0.3">
      <c r="A3475" s="42"/>
      <c r="C3475" s="52"/>
      <c r="D3475"/>
      <c r="E3475"/>
      <c r="F3475"/>
      <c r="N3475" s="44"/>
    </row>
    <row r="3476" spans="1:14" x14ac:dyDescent="0.3">
      <c r="A3476" s="42"/>
      <c r="C3476" s="52"/>
      <c r="D3476"/>
      <c r="E3476"/>
      <c r="F3476"/>
      <c r="N3476" s="44"/>
    </row>
    <row r="3477" spans="1:14" x14ac:dyDescent="0.3">
      <c r="A3477" s="42"/>
      <c r="C3477" s="52"/>
      <c r="D3477"/>
      <c r="E3477"/>
      <c r="F3477"/>
      <c r="N3477" s="44"/>
    </row>
    <row r="3478" spans="1:14" x14ac:dyDescent="0.3">
      <c r="A3478" s="42"/>
      <c r="C3478" s="52"/>
      <c r="D3478"/>
      <c r="E3478"/>
      <c r="F3478"/>
      <c r="N3478" s="44"/>
    </row>
    <row r="3479" spans="1:14" x14ac:dyDescent="0.3">
      <c r="A3479" s="42"/>
      <c r="C3479" s="52"/>
      <c r="D3479"/>
      <c r="E3479"/>
      <c r="F3479"/>
      <c r="N3479" s="44"/>
    </row>
    <row r="3480" spans="1:14" x14ac:dyDescent="0.3">
      <c r="A3480" s="42"/>
      <c r="C3480" s="52"/>
      <c r="D3480"/>
      <c r="E3480"/>
      <c r="F3480"/>
      <c r="N3480" s="44"/>
    </row>
    <row r="3481" spans="1:14" x14ac:dyDescent="0.3">
      <c r="A3481" s="42"/>
      <c r="C3481" s="52"/>
      <c r="D3481"/>
      <c r="E3481"/>
      <c r="F3481"/>
      <c r="N3481" s="44"/>
    </row>
    <row r="3482" spans="1:14" x14ac:dyDescent="0.3">
      <c r="A3482" s="42"/>
      <c r="C3482" s="52"/>
      <c r="D3482"/>
      <c r="E3482"/>
      <c r="F3482"/>
      <c r="N3482" s="44"/>
    </row>
    <row r="3483" spans="1:14" x14ac:dyDescent="0.3">
      <c r="A3483" s="42"/>
      <c r="C3483" s="52"/>
      <c r="D3483"/>
      <c r="E3483"/>
      <c r="F3483"/>
      <c r="M3483" s="45"/>
      <c r="N3483" s="44"/>
    </row>
    <row r="3484" spans="1:14" x14ac:dyDescent="0.3">
      <c r="A3484" s="42"/>
      <c r="C3484" s="52"/>
      <c r="D3484"/>
      <c r="E3484"/>
      <c r="F3484"/>
      <c r="N3484" s="44"/>
    </row>
    <row r="3485" spans="1:14" x14ac:dyDescent="0.3">
      <c r="A3485" s="42"/>
      <c r="C3485" s="52"/>
      <c r="D3485"/>
      <c r="E3485"/>
      <c r="F3485"/>
      <c r="N3485" s="44"/>
    </row>
    <row r="3486" spans="1:14" x14ac:dyDescent="0.3">
      <c r="A3486" s="42"/>
      <c r="C3486" s="52"/>
      <c r="D3486"/>
      <c r="E3486"/>
      <c r="F3486"/>
      <c r="N3486" s="44"/>
    </row>
    <row r="3487" spans="1:14" x14ac:dyDescent="0.3">
      <c r="A3487" s="42"/>
      <c r="C3487" s="52"/>
      <c r="D3487"/>
      <c r="E3487"/>
      <c r="F3487"/>
      <c r="M3487" s="45"/>
      <c r="N3487" s="44"/>
    </row>
    <row r="3488" spans="1:14" x14ac:dyDescent="0.3">
      <c r="A3488" s="42"/>
      <c r="C3488" s="52"/>
      <c r="D3488"/>
      <c r="E3488"/>
      <c r="F3488"/>
      <c r="N3488" s="44"/>
    </row>
    <row r="3489" spans="1:14" x14ac:dyDescent="0.3">
      <c r="A3489" s="42"/>
      <c r="C3489" s="52"/>
      <c r="D3489"/>
      <c r="E3489"/>
      <c r="F3489"/>
      <c r="N3489" s="44"/>
    </row>
    <row r="3490" spans="1:14" x14ac:dyDescent="0.3">
      <c r="A3490" s="42"/>
      <c r="C3490" s="52"/>
      <c r="D3490"/>
      <c r="E3490"/>
      <c r="F3490"/>
      <c r="N3490" s="44"/>
    </row>
    <row r="3491" spans="1:14" x14ac:dyDescent="0.3">
      <c r="A3491" s="42"/>
      <c r="C3491" s="52"/>
      <c r="D3491"/>
      <c r="E3491"/>
      <c r="F3491"/>
      <c r="N3491" s="44"/>
    </row>
    <row r="3492" spans="1:14" x14ac:dyDescent="0.3">
      <c r="A3492" s="42"/>
      <c r="C3492" s="52"/>
      <c r="D3492"/>
      <c r="E3492"/>
      <c r="F3492"/>
      <c r="N3492" s="44"/>
    </row>
    <row r="3493" spans="1:14" x14ac:dyDescent="0.3">
      <c r="A3493" s="42"/>
      <c r="C3493" s="52"/>
      <c r="D3493"/>
      <c r="E3493"/>
      <c r="F3493"/>
      <c r="N3493" s="44"/>
    </row>
    <row r="3494" spans="1:14" x14ac:dyDescent="0.3">
      <c r="A3494" s="42"/>
      <c r="C3494" s="52"/>
      <c r="D3494"/>
      <c r="E3494"/>
      <c r="F3494"/>
      <c r="N3494" s="44"/>
    </row>
    <row r="3495" spans="1:14" x14ac:dyDescent="0.3">
      <c r="A3495" s="42"/>
      <c r="C3495" s="52"/>
      <c r="D3495"/>
      <c r="E3495"/>
      <c r="F3495"/>
      <c r="N3495" s="44"/>
    </row>
    <row r="3496" spans="1:14" x14ac:dyDescent="0.3">
      <c r="A3496" s="42"/>
      <c r="C3496" s="52"/>
      <c r="D3496"/>
      <c r="E3496"/>
      <c r="F3496"/>
      <c r="N3496" s="44"/>
    </row>
    <row r="3497" spans="1:14" x14ac:dyDescent="0.3">
      <c r="A3497" s="42"/>
      <c r="C3497" s="52"/>
      <c r="D3497"/>
      <c r="E3497"/>
      <c r="F3497"/>
      <c r="N3497" s="44"/>
    </row>
    <row r="3498" spans="1:14" x14ac:dyDescent="0.3">
      <c r="A3498" s="42"/>
      <c r="C3498" s="52"/>
      <c r="D3498"/>
      <c r="E3498"/>
      <c r="F3498"/>
      <c r="N3498" s="44"/>
    </row>
    <row r="3499" spans="1:14" x14ac:dyDescent="0.3">
      <c r="A3499" s="42"/>
      <c r="C3499" s="52"/>
      <c r="D3499"/>
      <c r="E3499"/>
      <c r="F3499"/>
      <c r="N3499" s="44"/>
    </row>
    <row r="3500" spans="1:14" x14ac:dyDescent="0.3">
      <c r="A3500" s="42"/>
      <c r="C3500" s="52"/>
      <c r="D3500"/>
      <c r="E3500"/>
      <c r="F3500"/>
      <c r="N3500" s="44"/>
    </row>
    <row r="3501" spans="1:14" x14ac:dyDescent="0.3">
      <c r="A3501" s="42"/>
      <c r="C3501" s="52"/>
      <c r="D3501"/>
      <c r="E3501"/>
      <c r="F3501"/>
      <c r="N3501" s="44"/>
    </row>
    <row r="3502" spans="1:14" x14ac:dyDescent="0.3">
      <c r="A3502" s="42"/>
      <c r="C3502" s="52"/>
      <c r="D3502"/>
      <c r="E3502"/>
      <c r="F3502"/>
      <c r="N3502" s="44"/>
    </row>
    <row r="3503" spans="1:14" x14ac:dyDescent="0.3">
      <c r="A3503" s="42"/>
      <c r="C3503" s="52"/>
      <c r="D3503"/>
      <c r="E3503"/>
      <c r="F3503"/>
      <c r="N3503" s="44"/>
    </row>
    <row r="3504" spans="1:14" x14ac:dyDescent="0.3">
      <c r="A3504" s="42"/>
      <c r="C3504" s="52"/>
      <c r="D3504"/>
      <c r="E3504"/>
      <c r="F3504"/>
      <c r="N3504" s="44"/>
    </row>
    <row r="3505" spans="1:14" x14ac:dyDescent="0.3">
      <c r="A3505" s="42"/>
      <c r="C3505" s="52"/>
      <c r="D3505"/>
      <c r="E3505"/>
      <c r="F3505"/>
      <c r="N3505" s="44"/>
    </row>
    <row r="3506" spans="1:14" x14ac:dyDescent="0.3">
      <c r="A3506" s="42"/>
      <c r="C3506" s="52"/>
      <c r="D3506"/>
      <c r="E3506"/>
      <c r="F3506"/>
      <c r="N3506" s="44"/>
    </row>
    <row r="3507" spans="1:14" x14ac:dyDescent="0.3">
      <c r="A3507" s="42"/>
      <c r="C3507" s="52"/>
      <c r="D3507"/>
      <c r="E3507"/>
      <c r="F3507"/>
      <c r="N3507" s="44"/>
    </row>
    <row r="3508" spans="1:14" x14ac:dyDescent="0.3">
      <c r="A3508" s="42"/>
      <c r="C3508" s="52"/>
      <c r="D3508"/>
      <c r="E3508"/>
      <c r="F3508"/>
      <c r="N3508" s="44"/>
    </row>
    <row r="3509" spans="1:14" x14ac:dyDescent="0.3">
      <c r="A3509" s="42"/>
      <c r="C3509" s="52"/>
      <c r="D3509"/>
      <c r="E3509"/>
      <c r="F3509"/>
      <c r="N3509" s="44"/>
    </row>
    <row r="3510" spans="1:14" x14ac:dyDescent="0.3">
      <c r="A3510" s="42"/>
      <c r="C3510" s="52"/>
      <c r="D3510"/>
      <c r="E3510"/>
      <c r="F3510"/>
      <c r="N3510" s="44"/>
    </row>
    <row r="3511" spans="1:14" x14ac:dyDescent="0.3">
      <c r="A3511" s="42"/>
      <c r="C3511" s="52"/>
      <c r="D3511"/>
      <c r="E3511"/>
      <c r="F3511"/>
      <c r="N3511" s="44"/>
    </row>
    <row r="3512" spans="1:14" x14ac:dyDescent="0.3">
      <c r="A3512" s="42"/>
      <c r="C3512" s="52"/>
      <c r="D3512"/>
      <c r="E3512"/>
      <c r="F3512"/>
      <c r="N3512" s="44"/>
    </row>
    <row r="3513" spans="1:14" x14ac:dyDescent="0.3">
      <c r="A3513" s="42"/>
      <c r="C3513" s="52"/>
      <c r="D3513"/>
      <c r="E3513"/>
      <c r="F3513"/>
      <c r="N3513" s="44"/>
    </row>
    <row r="3514" spans="1:14" x14ac:dyDescent="0.3">
      <c r="A3514" s="42"/>
      <c r="C3514" s="52"/>
      <c r="D3514"/>
      <c r="E3514"/>
      <c r="F3514"/>
      <c r="N3514" s="44"/>
    </row>
    <row r="3515" spans="1:14" x14ac:dyDescent="0.3">
      <c r="A3515" s="42"/>
      <c r="C3515" s="52"/>
      <c r="D3515"/>
      <c r="E3515"/>
      <c r="F3515"/>
      <c r="N3515" s="44"/>
    </row>
    <row r="3516" spans="1:14" x14ac:dyDescent="0.3">
      <c r="A3516" s="42"/>
      <c r="C3516" s="52"/>
      <c r="D3516"/>
      <c r="E3516"/>
      <c r="F3516"/>
      <c r="N3516" s="44"/>
    </row>
    <row r="3517" spans="1:14" x14ac:dyDescent="0.3">
      <c r="A3517" s="42"/>
      <c r="C3517" s="52"/>
      <c r="D3517"/>
      <c r="E3517"/>
      <c r="F3517"/>
      <c r="N3517" s="44"/>
    </row>
    <row r="3518" spans="1:14" x14ac:dyDescent="0.3">
      <c r="A3518" s="42"/>
      <c r="C3518" s="52"/>
      <c r="D3518"/>
      <c r="E3518"/>
      <c r="F3518"/>
      <c r="N3518" s="44"/>
    </row>
    <row r="3519" spans="1:14" x14ac:dyDescent="0.3">
      <c r="A3519" s="42"/>
      <c r="C3519" s="52"/>
      <c r="D3519"/>
      <c r="E3519"/>
      <c r="F3519"/>
      <c r="N3519" s="44"/>
    </row>
    <row r="3520" spans="1:14" x14ac:dyDescent="0.3">
      <c r="A3520" s="42"/>
      <c r="C3520" s="52"/>
      <c r="D3520"/>
      <c r="E3520"/>
      <c r="F3520"/>
      <c r="N3520" s="44"/>
    </row>
    <row r="3521" spans="1:14" x14ac:dyDescent="0.3">
      <c r="A3521" s="42"/>
      <c r="C3521" s="52"/>
      <c r="D3521"/>
      <c r="E3521"/>
      <c r="F3521"/>
      <c r="N3521" s="44"/>
    </row>
    <row r="3522" spans="1:14" x14ac:dyDescent="0.3">
      <c r="A3522" s="42"/>
      <c r="C3522" s="52"/>
      <c r="D3522"/>
      <c r="E3522"/>
      <c r="F3522"/>
      <c r="N3522" s="44"/>
    </row>
    <row r="3523" spans="1:14" x14ac:dyDescent="0.3">
      <c r="A3523" s="42"/>
      <c r="C3523" s="52"/>
      <c r="D3523"/>
      <c r="E3523"/>
      <c r="F3523"/>
      <c r="N3523" s="44"/>
    </row>
    <row r="3524" spans="1:14" x14ac:dyDescent="0.3">
      <c r="A3524" s="42"/>
      <c r="C3524" s="52"/>
      <c r="D3524"/>
      <c r="E3524"/>
      <c r="F3524"/>
      <c r="N3524" s="44"/>
    </row>
    <row r="3525" spans="1:14" x14ac:dyDescent="0.3">
      <c r="A3525" s="42"/>
      <c r="C3525" s="52"/>
      <c r="D3525"/>
      <c r="E3525"/>
      <c r="F3525"/>
      <c r="N3525" s="44"/>
    </row>
    <row r="3526" spans="1:14" x14ac:dyDescent="0.3">
      <c r="A3526" s="42"/>
      <c r="C3526" s="52"/>
      <c r="D3526"/>
      <c r="E3526"/>
      <c r="F3526"/>
      <c r="N3526" s="44"/>
    </row>
    <row r="3527" spans="1:14" x14ac:dyDescent="0.3">
      <c r="A3527" s="42"/>
      <c r="C3527" s="52"/>
      <c r="D3527"/>
      <c r="E3527"/>
      <c r="F3527"/>
      <c r="N3527" s="44"/>
    </row>
    <row r="3528" spans="1:14" x14ac:dyDescent="0.3">
      <c r="A3528" s="42"/>
      <c r="C3528" s="52"/>
      <c r="D3528"/>
      <c r="E3528"/>
      <c r="F3528"/>
      <c r="N3528" s="44"/>
    </row>
    <row r="3529" spans="1:14" x14ac:dyDescent="0.3">
      <c r="A3529" s="42"/>
      <c r="C3529" s="52"/>
      <c r="D3529"/>
      <c r="E3529"/>
      <c r="F3529"/>
      <c r="N3529" s="44"/>
    </row>
    <row r="3530" spans="1:14" x14ac:dyDescent="0.3">
      <c r="A3530" s="42"/>
      <c r="C3530" s="52"/>
      <c r="D3530"/>
      <c r="E3530"/>
      <c r="F3530"/>
      <c r="N3530" s="44"/>
    </row>
    <row r="3531" spans="1:14" x14ac:dyDescent="0.3">
      <c r="A3531" s="42"/>
      <c r="C3531" s="52"/>
      <c r="D3531"/>
      <c r="E3531"/>
      <c r="F3531"/>
      <c r="N3531" s="44"/>
    </row>
    <row r="3532" spans="1:14" x14ac:dyDescent="0.3">
      <c r="A3532" s="42"/>
      <c r="C3532" s="52"/>
      <c r="D3532"/>
      <c r="E3532"/>
      <c r="F3532"/>
      <c r="N3532" s="44"/>
    </row>
    <row r="3533" spans="1:14" x14ac:dyDescent="0.3">
      <c r="A3533" s="42"/>
      <c r="C3533" s="52"/>
      <c r="D3533"/>
      <c r="E3533"/>
      <c r="F3533"/>
      <c r="N3533" s="44"/>
    </row>
    <row r="3534" spans="1:14" x14ac:dyDescent="0.3">
      <c r="A3534" s="42"/>
      <c r="C3534" s="52"/>
      <c r="D3534"/>
      <c r="E3534"/>
      <c r="F3534"/>
      <c r="N3534" s="44"/>
    </row>
    <row r="3535" spans="1:14" x14ac:dyDescent="0.3">
      <c r="A3535" s="42"/>
      <c r="C3535" s="52"/>
      <c r="D3535"/>
      <c r="E3535"/>
      <c r="F3535"/>
      <c r="N3535" s="44"/>
    </row>
    <row r="3536" spans="1:14" x14ac:dyDescent="0.3">
      <c r="A3536" s="42"/>
      <c r="C3536" s="52"/>
      <c r="D3536"/>
      <c r="E3536"/>
      <c r="F3536"/>
      <c r="N3536" s="44"/>
    </row>
    <row r="3537" spans="1:14" x14ac:dyDescent="0.3">
      <c r="A3537" s="42"/>
      <c r="C3537" s="52"/>
      <c r="D3537"/>
      <c r="E3537"/>
      <c r="F3537"/>
      <c r="N3537" s="44"/>
    </row>
    <row r="3538" spans="1:14" x14ac:dyDescent="0.3">
      <c r="A3538" s="42"/>
      <c r="C3538" s="52"/>
      <c r="D3538"/>
      <c r="E3538"/>
      <c r="F3538"/>
      <c r="N3538" s="44"/>
    </row>
    <row r="3539" spans="1:14" x14ac:dyDescent="0.3">
      <c r="A3539" s="42"/>
      <c r="C3539" s="52"/>
      <c r="D3539"/>
      <c r="E3539"/>
      <c r="F3539"/>
      <c r="N3539" s="44"/>
    </row>
    <row r="3540" spans="1:14" x14ac:dyDescent="0.3">
      <c r="A3540" s="42"/>
      <c r="C3540" s="52"/>
      <c r="D3540"/>
      <c r="E3540"/>
      <c r="F3540"/>
      <c r="N3540" s="44"/>
    </row>
    <row r="3541" spans="1:14" x14ac:dyDescent="0.3">
      <c r="A3541" s="42"/>
      <c r="C3541" s="52"/>
      <c r="D3541"/>
      <c r="E3541"/>
      <c r="F3541"/>
      <c r="N3541" s="44"/>
    </row>
    <row r="3542" spans="1:14" x14ac:dyDescent="0.3">
      <c r="A3542" s="42"/>
      <c r="C3542" s="52"/>
      <c r="D3542"/>
      <c r="E3542"/>
      <c r="F3542"/>
      <c r="N3542" s="44"/>
    </row>
    <row r="3543" spans="1:14" x14ac:dyDescent="0.3">
      <c r="A3543" s="42"/>
      <c r="C3543" s="52"/>
      <c r="D3543"/>
      <c r="E3543"/>
      <c r="F3543"/>
      <c r="N3543" s="44"/>
    </row>
    <row r="3544" spans="1:14" x14ac:dyDescent="0.3">
      <c r="A3544" s="42"/>
      <c r="C3544" s="52"/>
      <c r="D3544"/>
      <c r="E3544"/>
      <c r="F3544"/>
      <c r="N3544" s="44"/>
    </row>
    <row r="3545" spans="1:14" x14ac:dyDescent="0.3">
      <c r="A3545" s="42"/>
      <c r="C3545" s="52"/>
      <c r="D3545"/>
      <c r="E3545"/>
      <c r="F3545"/>
      <c r="N3545" s="44"/>
    </row>
    <row r="3546" spans="1:14" x14ac:dyDescent="0.3">
      <c r="A3546" s="42"/>
      <c r="C3546" s="52"/>
      <c r="D3546"/>
      <c r="E3546"/>
      <c r="F3546"/>
      <c r="N3546" s="44"/>
    </row>
    <row r="3547" spans="1:14" x14ac:dyDescent="0.3">
      <c r="A3547" s="42"/>
      <c r="C3547" s="52"/>
      <c r="D3547"/>
      <c r="E3547"/>
      <c r="F3547"/>
      <c r="N3547" s="44"/>
    </row>
    <row r="3548" spans="1:14" x14ac:dyDescent="0.3">
      <c r="A3548" s="42"/>
      <c r="C3548" s="52"/>
      <c r="D3548"/>
      <c r="E3548"/>
      <c r="F3548"/>
      <c r="N3548" s="44"/>
    </row>
    <row r="3549" spans="1:14" x14ac:dyDescent="0.3">
      <c r="A3549" s="42"/>
      <c r="C3549" s="52"/>
      <c r="D3549"/>
      <c r="E3549"/>
      <c r="F3549"/>
      <c r="N3549" s="44"/>
    </row>
    <row r="3550" spans="1:14" x14ac:dyDescent="0.3">
      <c r="A3550" s="42"/>
      <c r="C3550" s="52"/>
      <c r="D3550"/>
      <c r="E3550"/>
      <c r="F3550"/>
      <c r="N3550" s="44"/>
    </row>
    <row r="3551" spans="1:14" x14ac:dyDescent="0.3">
      <c r="A3551" s="42"/>
      <c r="C3551" s="52"/>
      <c r="D3551"/>
      <c r="E3551"/>
      <c r="F3551"/>
      <c r="N3551" s="44"/>
    </row>
    <row r="3552" spans="1:14" x14ac:dyDescent="0.3">
      <c r="A3552" s="42"/>
      <c r="C3552" s="52"/>
      <c r="D3552"/>
      <c r="E3552"/>
      <c r="F3552"/>
      <c r="N3552" s="44"/>
    </row>
    <row r="3553" spans="1:14" x14ac:dyDescent="0.3">
      <c r="A3553" s="42"/>
      <c r="C3553" s="52"/>
      <c r="D3553"/>
      <c r="E3553"/>
      <c r="F3553"/>
      <c r="N3553" s="44"/>
    </row>
    <row r="3554" spans="1:14" x14ac:dyDescent="0.3">
      <c r="A3554" s="42"/>
      <c r="C3554" s="52"/>
      <c r="D3554"/>
      <c r="E3554"/>
      <c r="F3554"/>
      <c r="N3554" s="44"/>
    </row>
    <row r="3555" spans="1:14" x14ac:dyDescent="0.3">
      <c r="A3555" s="42"/>
      <c r="C3555" s="52"/>
      <c r="D3555"/>
      <c r="E3555"/>
      <c r="F3555"/>
      <c r="N3555" s="44"/>
    </row>
    <row r="3556" spans="1:14" x14ac:dyDescent="0.3">
      <c r="A3556" s="42"/>
      <c r="C3556" s="52"/>
      <c r="D3556"/>
      <c r="E3556"/>
      <c r="F3556"/>
      <c r="N3556" s="44"/>
    </row>
    <row r="3557" spans="1:14" x14ac:dyDescent="0.3">
      <c r="A3557" s="42"/>
      <c r="C3557" s="52"/>
      <c r="D3557"/>
      <c r="E3557"/>
      <c r="F3557"/>
      <c r="N3557" s="44"/>
    </row>
    <row r="3558" spans="1:14" x14ac:dyDescent="0.3">
      <c r="A3558" s="42"/>
      <c r="C3558" s="52"/>
      <c r="D3558"/>
      <c r="E3558"/>
      <c r="F3558"/>
      <c r="N3558" s="44"/>
    </row>
    <row r="3559" spans="1:14" x14ac:dyDescent="0.3">
      <c r="A3559" s="42"/>
      <c r="C3559" s="52"/>
      <c r="D3559"/>
      <c r="E3559"/>
      <c r="F3559"/>
      <c r="N3559" s="44"/>
    </row>
    <row r="3560" spans="1:14" x14ac:dyDescent="0.3">
      <c r="A3560" s="42"/>
      <c r="C3560" s="52"/>
      <c r="D3560"/>
      <c r="E3560"/>
      <c r="F3560"/>
      <c r="N3560" s="44"/>
    </row>
    <row r="3561" spans="1:14" x14ac:dyDescent="0.3">
      <c r="A3561" s="42"/>
      <c r="C3561" s="52"/>
      <c r="D3561"/>
      <c r="E3561"/>
      <c r="F3561"/>
      <c r="N3561" s="44"/>
    </row>
    <row r="3562" spans="1:14" x14ac:dyDescent="0.3">
      <c r="A3562" s="42"/>
      <c r="C3562" s="52"/>
      <c r="D3562"/>
      <c r="E3562"/>
      <c r="F3562"/>
      <c r="N3562" s="44"/>
    </row>
    <row r="3563" spans="1:14" x14ac:dyDescent="0.3">
      <c r="A3563" s="42"/>
      <c r="C3563" s="52"/>
      <c r="D3563"/>
      <c r="E3563"/>
      <c r="F3563"/>
      <c r="N3563" s="44"/>
    </row>
    <row r="3564" spans="1:14" x14ac:dyDescent="0.3">
      <c r="A3564" s="42"/>
      <c r="C3564" s="52"/>
      <c r="D3564"/>
      <c r="E3564"/>
      <c r="F3564"/>
      <c r="N3564" s="44"/>
    </row>
    <row r="3565" spans="1:14" x14ac:dyDescent="0.3">
      <c r="A3565" s="42"/>
      <c r="C3565" s="52"/>
      <c r="D3565"/>
      <c r="E3565"/>
      <c r="F3565"/>
      <c r="N3565" s="44"/>
    </row>
    <row r="3566" spans="1:14" x14ac:dyDescent="0.3">
      <c r="A3566" s="42"/>
      <c r="C3566" s="52"/>
      <c r="D3566"/>
      <c r="E3566"/>
      <c r="F3566"/>
      <c r="N3566" s="44"/>
    </row>
    <row r="3567" spans="1:14" x14ac:dyDescent="0.3">
      <c r="A3567" s="42"/>
      <c r="C3567" s="52"/>
      <c r="D3567"/>
      <c r="E3567"/>
      <c r="F3567"/>
      <c r="N3567" s="44"/>
    </row>
    <row r="3568" spans="1:14" x14ac:dyDescent="0.3">
      <c r="A3568" s="42"/>
      <c r="C3568" s="52"/>
      <c r="D3568"/>
      <c r="E3568"/>
      <c r="F3568"/>
      <c r="N3568" s="44"/>
    </row>
    <row r="3569" spans="1:14" x14ac:dyDescent="0.3">
      <c r="A3569" s="42"/>
      <c r="C3569" s="52"/>
      <c r="D3569"/>
      <c r="E3569"/>
      <c r="F3569"/>
      <c r="N3569" s="44"/>
    </row>
    <row r="3570" spans="1:14" x14ac:dyDescent="0.3">
      <c r="A3570" s="42"/>
      <c r="C3570" s="52"/>
      <c r="D3570"/>
      <c r="E3570"/>
      <c r="F3570"/>
      <c r="N3570" s="44"/>
    </row>
    <row r="3571" spans="1:14" x14ac:dyDescent="0.3">
      <c r="A3571" s="42"/>
      <c r="C3571" s="52"/>
      <c r="D3571"/>
      <c r="E3571"/>
      <c r="F3571"/>
      <c r="N3571" s="44"/>
    </row>
    <row r="3572" spans="1:14" x14ac:dyDescent="0.3">
      <c r="A3572" s="42"/>
      <c r="C3572" s="52"/>
      <c r="D3572"/>
      <c r="E3572"/>
      <c r="F3572"/>
      <c r="N3572" s="44"/>
    </row>
    <row r="3573" spans="1:14" x14ac:dyDescent="0.3">
      <c r="A3573" s="42"/>
      <c r="C3573" s="52"/>
      <c r="D3573"/>
      <c r="E3573"/>
      <c r="F3573"/>
      <c r="N3573" s="44"/>
    </row>
    <row r="3574" spans="1:14" x14ac:dyDescent="0.3">
      <c r="A3574" s="42"/>
      <c r="C3574" s="52"/>
      <c r="D3574"/>
      <c r="E3574"/>
      <c r="F3574"/>
      <c r="N3574" s="44"/>
    </row>
    <row r="3575" spans="1:14" x14ac:dyDescent="0.3">
      <c r="A3575" s="42"/>
      <c r="C3575" s="52"/>
      <c r="D3575"/>
      <c r="E3575"/>
      <c r="F3575"/>
      <c r="N3575" s="44"/>
    </row>
    <row r="3576" spans="1:14" x14ac:dyDescent="0.3">
      <c r="A3576" s="42"/>
      <c r="C3576" s="52"/>
      <c r="D3576"/>
      <c r="E3576"/>
      <c r="F3576"/>
      <c r="N3576" s="44"/>
    </row>
    <row r="3577" spans="1:14" x14ac:dyDescent="0.3">
      <c r="A3577" s="42"/>
      <c r="C3577" s="52"/>
      <c r="D3577"/>
      <c r="E3577"/>
      <c r="F3577"/>
      <c r="N3577" s="44"/>
    </row>
    <row r="3578" spans="1:14" x14ac:dyDescent="0.3">
      <c r="A3578" s="42"/>
      <c r="C3578" s="52"/>
      <c r="D3578"/>
      <c r="E3578"/>
      <c r="F3578"/>
      <c r="N3578" s="44"/>
    </row>
    <row r="3579" spans="1:14" x14ac:dyDescent="0.3">
      <c r="A3579" s="42"/>
      <c r="C3579" s="52"/>
      <c r="D3579"/>
      <c r="E3579"/>
      <c r="F3579"/>
      <c r="N3579" s="44"/>
    </row>
    <row r="3580" spans="1:14" x14ac:dyDescent="0.3">
      <c r="A3580" s="42"/>
      <c r="C3580" s="52"/>
      <c r="D3580"/>
      <c r="E3580"/>
      <c r="F3580"/>
      <c r="N3580" s="44"/>
    </row>
    <row r="3581" spans="1:14" x14ac:dyDescent="0.3">
      <c r="A3581" s="42"/>
      <c r="C3581" s="52"/>
      <c r="D3581"/>
      <c r="E3581"/>
      <c r="F3581"/>
      <c r="N3581" s="44"/>
    </row>
    <row r="3582" spans="1:14" x14ac:dyDescent="0.3">
      <c r="A3582" s="42"/>
      <c r="C3582" s="52"/>
      <c r="D3582"/>
      <c r="E3582"/>
      <c r="F3582"/>
      <c r="N3582" s="44"/>
    </row>
    <row r="3583" spans="1:14" x14ac:dyDescent="0.3">
      <c r="A3583" s="42"/>
      <c r="C3583" s="52"/>
      <c r="D3583"/>
      <c r="E3583"/>
      <c r="F3583"/>
      <c r="N3583" s="44"/>
    </row>
    <row r="3584" spans="1:14" x14ac:dyDescent="0.3">
      <c r="A3584" s="42"/>
      <c r="C3584" s="52"/>
      <c r="D3584"/>
      <c r="E3584"/>
      <c r="F3584"/>
      <c r="N3584" s="44"/>
    </row>
    <row r="3585" spans="1:14" x14ac:dyDescent="0.3">
      <c r="A3585" s="42"/>
      <c r="C3585" s="52"/>
      <c r="D3585"/>
      <c r="E3585"/>
      <c r="F3585"/>
      <c r="N3585" s="44"/>
    </row>
    <row r="3586" spans="1:14" x14ac:dyDescent="0.3">
      <c r="A3586" s="42"/>
      <c r="C3586" s="52"/>
      <c r="D3586"/>
      <c r="E3586"/>
      <c r="F3586"/>
      <c r="N3586" s="44"/>
    </row>
    <row r="3587" spans="1:14" x14ac:dyDescent="0.3">
      <c r="A3587" s="42"/>
      <c r="C3587" s="52"/>
      <c r="D3587"/>
      <c r="E3587"/>
      <c r="F3587"/>
      <c r="N3587" s="44"/>
    </row>
    <row r="3588" spans="1:14" x14ac:dyDescent="0.3">
      <c r="A3588" s="42"/>
      <c r="C3588" s="52"/>
      <c r="D3588"/>
      <c r="E3588"/>
      <c r="F3588"/>
      <c r="N3588" s="44"/>
    </row>
    <row r="3589" spans="1:14" x14ac:dyDescent="0.3">
      <c r="A3589" s="42"/>
      <c r="C3589" s="52"/>
      <c r="D3589"/>
      <c r="E3589"/>
      <c r="F3589"/>
      <c r="N3589" s="44"/>
    </row>
    <row r="3590" spans="1:14" x14ac:dyDescent="0.3">
      <c r="A3590" s="42"/>
      <c r="C3590" s="52"/>
      <c r="D3590"/>
      <c r="E3590"/>
      <c r="F3590"/>
      <c r="N3590" s="44"/>
    </row>
    <row r="3591" spans="1:14" x14ac:dyDescent="0.3">
      <c r="A3591" s="42"/>
      <c r="C3591" s="52"/>
      <c r="D3591"/>
      <c r="E3591"/>
      <c r="F3591"/>
      <c r="N3591" s="44"/>
    </row>
    <row r="3592" spans="1:14" x14ac:dyDescent="0.3">
      <c r="A3592" s="42"/>
      <c r="C3592" s="52"/>
      <c r="D3592"/>
      <c r="E3592"/>
      <c r="F3592"/>
      <c r="N3592" s="44"/>
    </row>
    <row r="3593" spans="1:14" x14ac:dyDescent="0.3">
      <c r="A3593" s="42"/>
      <c r="C3593" s="52"/>
      <c r="D3593"/>
      <c r="E3593"/>
      <c r="F3593"/>
      <c r="N3593" s="44"/>
    </row>
    <row r="3594" spans="1:14" x14ac:dyDescent="0.3">
      <c r="A3594" s="42"/>
      <c r="C3594" s="52"/>
      <c r="D3594"/>
      <c r="E3594"/>
      <c r="F3594"/>
      <c r="N3594" s="44"/>
    </row>
    <row r="3595" spans="1:14" x14ac:dyDescent="0.3">
      <c r="A3595" s="42"/>
      <c r="C3595" s="52"/>
      <c r="D3595"/>
      <c r="E3595"/>
      <c r="F3595"/>
      <c r="N3595" s="44"/>
    </row>
    <row r="3596" spans="1:14" x14ac:dyDescent="0.3">
      <c r="A3596" s="42"/>
      <c r="C3596" s="52"/>
      <c r="D3596"/>
      <c r="E3596"/>
      <c r="F3596"/>
      <c r="N3596" s="44"/>
    </row>
    <row r="3597" spans="1:14" x14ac:dyDescent="0.3">
      <c r="A3597" s="42"/>
      <c r="C3597" s="52"/>
      <c r="D3597"/>
      <c r="E3597"/>
      <c r="F3597"/>
      <c r="N3597" s="44"/>
    </row>
    <row r="3598" spans="1:14" x14ac:dyDescent="0.3">
      <c r="A3598" s="42"/>
      <c r="C3598" s="52"/>
      <c r="D3598"/>
      <c r="E3598"/>
      <c r="F3598"/>
      <c r="N3598" s="44"/>
    </row>
    <row r="3599" spans="1:14" x14ac:dyDescent="0.3">
      <c r="A3599" s="42"/>
      <c r="C3599" s="52"/>
      <c r="D3599"/>
      <c r="E3599"/>
      <c r="F3599"/>
      <c r="N3599" s="44"/>
    </row>
    <row r="3600" spans="1:14" x14ac:dyDescent="0.3">
      <c r="A3600" s="42"/>
      <c r="C3600" s="52"/>
      <c r="D3600"/>
      <c r="E3600"/>
      <c r="F3600"/>
      <c r="N3600" s="44"/>
    </row>
    <row r="3601" spans="1:14" x14ac:dyDescent="0.3">
      <c r="A3601" s="42"/>
      <c r="C3601" s="52"/>
      <c r="D3601"/>
      <c r="E3601"/>
      <c r="F3601"/>
      <c r="N3601" s="44"/>
    </row>
    <row r="3602" spans="1:14" x14ac:dyDescent="0.3">
      <c r="A3602" s="42"/>
      <c r="C3602" s="52"/>
      <c r="D3602"/>
      <c r="E3602"/>
      <c r="F3602"/>
      <c r="N3602" s="44"/>
    </row>
    <row r="3603" spans="1:14" x14ac:dyDescent="0.3">
      <c r="A3603" s="42"/>
      <c r="C3603" s="52"/>
      <c r="D3603"/>
      <c r="E3603"/>
      <c r="F3603"/>
      <c r="N3603" s="44"/>
    </row>
    <row r="3604" spans="1:14" x14ac:dyDescent="0.3">
      <c r="A3604" s="42"/>
      <c r="C3604" s="52"/>
      <c r="D3604"/>
      <c r="E3604"/>
      <c r="F3604"/>
      <c r="N3604" s="44"/>
    </row>
    <row r="3605" spans="1:14" x14ac:dyDescent="0.3">
      <c r="A3605" s="42"/>
      <c r="C3605" s="52"/>
      <c r="D3605"/>
      <c r="E3605"/>
      <c r="F3605"/>
      <c r="N3605" s="44"/>
    </row>
    <row r="3606" spans="1:14" x14ac:dyDescent="0.3">
      <c r="A3606" s="42"/>
      <c r="C3606" s="52"/>
      <c r="D3606"/>
      <c r="E3606"/>
      <c r="F3606"/>
      <c r="N3606" s="44"/>
    </row>
    <row r="3607" spans="1:14" x14ac:dyDescent="0.3">
      <c r="A3607" s="42"/>
      <c r="C3607" s="52"/>
      <c r="D3607"/>
      <c r="E3607"/>
      <c r="F3607"/>
      <c r="N3607" s="44"/>
    </row>
    <row r="3608" spans="1:14" x14ac:dyDescent="0.3">
      <c r="A3608" s="42"/>
      <c r="C3608" s="52"/>
      <c r="D3608"/>
      <c r="E3608"/>
      <c r="F3608"/>
      <c r="N3608" s="44"/>
    </row>
    <row r="3609" spans="1:14" x14ac:dyDescent="0.3">
      <c r="A3609" s="42"/>
      <c r="C3609" s="52"/>
      <c r="D3609"/>
      <c r="E3609"/>
      <c r="F3609"/>
      <c r="N3609" s="44"/>
    </row>
    <row r="3610" spans="1:14" x14ac:dyDescent="0.3">
      <c r="A3610" s="42"/>
      <c r="C3610" s="52"/>
      <c r="D3610"/>
      <c r="E3610"/>
      <c r="F3610"/>
      <c r="N3610" s="44"/>
    </row>
    <row r="3611" spans="1:14" x14ac:dyDescent="0.3">
      <c r="A3611" s="42"/>
      <c r="C3611" s="52"/>
      <c r="D3611"/>
      <c r="E3611"/>
      <c r="F3611"/>
      <c r="N3611" s="44"/>
    </row>
    <row r="3612" spans="1:14" x14ac:dyDescent="0.3">
      <c r="A3612" s="42"/>
      <c r="C3612" s="52"/>
      <c r="D3612"/>
      <c r="E3612"/>
      <c r="F3612"/>
      <c r="N3612" s="44"/>
    </row>
    <row r="3613" spans="1:14" x14ac:dyDescent="0.3">
      <c r="A3613" s="42"/>
      <c r="C3613" s="52"/>
      <c r="D3613"/>
      <c r="E3613"/>
      <c r="F3613"/>
      <c r="N3613" s="44"/>
    </row>
    <row r="3614" spans="1:14" x14ac:dyDescent="0.3">
      <c r="A3614" s="42"/>
      <c r="C3614" s="52"/>
      <c r="D3614"/>
      <c r="E3614"/>
      <c r="F3614"/>
      <c r="N3614" s="44"/>
    </row>
    <row r="3615" spans="1:14" x14ac:dyDescent="0.3">
      <c r="A3615" s="42"/>
      <c r="C3615" s="52"/>
      <c r="D3615"/>
      <c r="E3615"/>
      <c r="F3615"/>
      <c r="N3615" s="44"/>
    </row>
    <row r="3616" spans="1:14" x14ac:dyDescent="0.3">
      <c r="A3616" s="42"/>
      <c r="C3616" s="52"/>
      <c r="D3616"/>
      <c r="E3616"/>
      <c r="F3616"/>
      <c r="N3616" s="44"/>
    </row>
    <row r="3617" spans="1:14" x14ac:dyDescent="0.3">
      <c r="A3617" s="42"/>
      <c r="C3617" s="52"/>
      <c r="D3617"/>
      <c r="E3617"/>
      <c r="F3617"/>
      <c r="N3617" s="44"/>
    </row>
    <row r="3618" spans="1:14" x14ac:dyDescent="0.3">
      <c r="A3618" s="42"/>
      <c r="C3618" s="52"/>
      <c r="D3618"/>
      <c r="E3618"/>
      <c r="F3618"/>
      <c r="N3618" s="44"/>
    </row>
    <row r="3619" spans="1:14" x14ac:dyDescent="0.3">
      <c r="A3619" s="42"/>
      <c r="C3619" s="52"/>
      <c r="D3619"/>
      <c r="E3619"/>
      <c r="F3619"/>
      <c r="L3619" s="45"/>
      <c r="N3619" s="44"/>
    </row>
    <row r="3620" spans="1:14" x14ac:dyDescent="0.3">
      <c r="A3620" s="42"/>
      <c r="C3620" s="52"/>
      <c r="D3620"/>
      <c r="E3620"/>
      <c r="F3620"/>
      <c r="L3620" s="45"/>
      <c r="N3620" s="44"/>
    </row>
    <row r="3621" spans="1:14" x14ac:dyDescent="0.3">
      <c r="A3621" s="42"/>
      <c r="C3621" s="52"/>
      <c r="D3621"/>
      <c r="E3621"/>
      <c r="F3621"/>
      <c r="N3621" s="44"/>
    </row>
    <row r="3622" spans="1:14" x14ac:dyDescent="0.3">
      <c r="A3622" s="42"/>
      <c r="C3622" s="52"/>
      <c r="D3622"/>
      <c r="E3622"/>
      <c r="F3622"/>
      <c r="N3622" s="44"/>
    </row>
    <row r="3623" spans="1:14" x14ac:dyDescent="0.3">
      <c r="A3623" s="42"/>
      <c r="C3623" s="52"/>
      <c r="D3623"/>
      <c r="E3623"/>
      <c r="F3623"/>
      <c r="N3623" s="44"/>
    </row>
    <row r="3624" spans="1:14" x14ac:dyDescent="0.3">
      <c r="A3624" s="42"/>
      <c r="C3624" s="52"/>
      <c r="D3624"/>
      <c r="E3624"/>
      <c r="F3624"/>
      <c r="N3624" s="44"/>
    </row>
    <row r="3625" spans="1:14" x14ac:dyDescent="0.3">
      <c r="A3625" s="42"/>
      <c r="C3625" s="52"/>
      <c r="D3625"/>
      <c r="E3625"/>
      <c r="F3625"/>
      <c r="N3625" s="44"/>
    </row>
    <row r="3626" spans="1:14" x14ac:dyDescent="0.3">
      <c r="A3626" s="42"/>
      <c r="C3626" s="52"/>
      <c r="D3626"/>
      <c r="E3626"/>
      <c r="F3626"/>
      <c r="L3626" s="45"/>
      <c r="N3626" s="44"/>
    </row>
    <row r="3627" spans="1:14" x14ac:dyDescent="0.3">
      <c r="A3627" s="42"/>
      <c r="C3627" s="52"/>
      <c r="D3627"/>
      <c r="E3627"/>
      <c r="F3627"/>
      <c r="N3627" s="44"/>
    </row>
    <row r="3628" spans="1:14" x14ac:dyDescent="0.3">
      <c r="A3628" s="42"/>
      <c r="C3628" s="52"/>
      <c r="D3628"/>
      <c r="E3628"/>
      <c r="F3628"/>
      <c r="N3628" s="44"/>
    </row>
    <row r="3629" spans="1:14" x14ac:dyDescent="0.3">
      <c r="A3629" s="42"/>
      <c r="C3629" s="52"/>
      <c r="D3629"/>
      <c r="E3629"/>
      <c r="F3629"/>
      <c r="N3629" s="44"/>
    </row>
    <row r="3630" spans="1:14" x14ac:dyDescent="0.3">
      <c r="A3630" s="42"/>
      <c r="C3630" s="52"/>
      <c r="D3630"/>
      <c r="E3630"/>
      <c r="F3630"/>
      <c r="N3630" s="44"/>
    </row>
    <row r="3631" spans="1:14" x14ac:dyDescent="0.3">
      <c r="A3631" s="42"/>
      <c r="C3631" s="52"/>
      <c r="D3631"/>
      <c r="E3631"/>
      <c r="F3631"/>
      <c r="N3631" s="44"/>
    </row>
    <row r="3632" spans="1:14" x14ac:dyDescent="0.3">
      <c r="A3632" s="42"/>
      <c r="C3632" s="52"/>
      <c r="D3632"/>
      <c r="E3632"/>
      <c r="F3632"/>
      <c r="M3632" s="45"/>
      <c r="N3632" s="44"/>
    </row>
    <row r="3633" spans="1:14" x14ac:dyDescent="0.3">
      <c r="A3633" s="42"/>
      <c r="C3633" s="52"/>
      <c r="D3633"/>
      <c r="E3633"/>
      <c r="F3633"/>
      <c r="N3633" s="44"/>
    </row>
    <row r="3634" spans="1:14" x14ac:dyDescent="0.3">
      <c r="A3634" s="42"/>
      <c r="C3634" s="52"/>
      <c r="D3634"/>
      <c r="E3634"/>
      <c r="F3634"/>
      <c r="N3634" s="44"/>
    </row>
    <row r="3635" spans="1:14" x14ac:dyDescent="0.3">
      <c r="A3635" s="42"/>
      <c r="C3635" s="52"/>
      <c r="D3635"/>
      <c r="E3635"/>
      <c r="F3635"/>
      <c r="N3635" s="44"/>
    </row>
    <row r="3636" spans="1:14" x14ac:dyDescent="0.3">
      <c r="A3636" s="42"/>
      <c r="C3636" s="52"/>
      <c r="D3636"/>
      <c r="E3636"/>
      <c r="F3636"/>
      <c r="N3636" s="44"/>
    </row>
    <row r="3637" spans="1:14" x14ac:dyDescent="0.3">
      <c r="A3637" s="42"/>
      <c r="C3637" s="52"/>
      <c r="D3637"/>
      <c r="E3637"/>
      <c r="F3637"/>
      <c r="L3637" s="45"/>
      <c r="N3637" s="44"/>
    </row>
    <row r="3638" spans="1:14" x14ac:dyDescent="0.3">
      <c r="A3638" s="42"/>
      <c r="C3638" s="52"/>
      <c r="D3638"/>
      <c r="E3638"/>
      <c r="F3638"/>
      <c r="N3638" s="44"/>
    </row>
    <row r="3639" spans="1:14" x14ac:dyDescent="0.3">
      <c r="A3639" s="42"/>
      <c r="C3639" s="52"/>
      <c r="D3639"/>
      <c r="E3639"/>
      <c r="F3639"/>
      <c r="N3639" s="44"/>
    </row>
    <row r="3640" spans="1:14" x14ac:dyDescent="0.3">
      <c r="A3640" s="42"/>
      <c r="C3640" s="52"/>
      <c r="D3640"/>
      <c r="E3640"/>
      <c r="F3640"/>
      <c r="N3640" s="44"/>
    </row>
    <row r="3641" spans="1:14" x14ac:dyDescent="0.3">
      <c r="A3641" s="42"/>
      <c r="C3641" s="52"/>
      <c r="D3641"/>
      <c r="E3641"/>
      <c r="F3641"/>
      <c r="N3641" s="44"/>
    </row>
    <row r="3642" spans="1:14" x14ac:dyDescent="0.3">
      <c r="A3642" s="42"/>
      <c r="C3642" s="52"/>
      <c r="D3642"/>
      <c r="E3642"/>
      <c r="F3642"/>
      <c r="N3642" s="44"/>
    </row>
    <row r="3643" spans="1:14" x14ac:dyDescent="0.3">
      <c r="A3643" s="42"/>
      <c r="C3643" s="52"/>
      <c r="D3643"/>
      <c r="E3643"/>
      <c r="F3643"/>
      <c r="N3643" s="44"/>
    </row>
    <row r="3644" spans="1:14" x14ac:dyDescent="0.3">
      <c r="A3644" s="42"/>
      <c r="C3644" s="52"/>
      <c r="D3644"/>
      <c r="E3644"/>
      <c r="F3644"/>
      <c r="N3644" s="44"/>
    </row>
    <row r="3645" spans="1:14" x14ac:dyDescent="0.3">
      <c r="A3645" s="42"/>
      <c r="C3645" s="52"/>
      <c r="D3645"/>
      <c r="E3645"/>
      <c r="F3645"/>
      <c r="N3645" s="44"/>
    </row>
    <row r="3646" spans="1:14" x14ac:dyDescent="0.3">
      <c r="A3646" s="42"/>
      <c r="C3646" s="52"/>
      <c r="D3646"/>
      <c r="E3646"/>
      <c r="F3646"/>
      <c r="N3646" s="44"/>
    </row>
    <row r="3647" spans="1:14" x14ac:dyDescent="0.3">
      <c r="A3647" s="42"/>
      <c r="C3647" s="52"/>
      <c r="D3647"/>
      <c r="E3647"/>
      <c r="F3647"/>
      <c r="N3647" s="44"/>
    </row>
    <row r="3648" spans="1:14" x14ac:dyDescent="0.3">
      <c r="A3648" s="42"/>
      <c r="C3648" s="52"/>
      <c r="D3648"/>
      <c r="E3648"/>
      <c r="F3648"/>
      <c r="N3648" s="44"/>
    </row>
    <row r="3649" spans="1:14" x14ac:dyDescent="0.3">
      <c r="A3649" s="42"/>
      <c r="C3649" s="52"/>
      <c r="D3649"/>
      <c r="E3649"/>
      <c r="F3649"/>
      <c r="N3649" s="44"/>
    </row>
    <row r="3650" spans="1:14" x14ac:dyDescent="0.3">
      <c r="A3650" s="42"/>
      <c r="C3650" s="52"/>
      <c r="D3650"/>
      <c r="E3650"/>
      <c r="F3650"/>
      <c r="N3650" s="44"/>
    </row>
    <row r="3651" spans="1:14" x14ac:dyDescent="0.3">
      <c r="A3651" s="42"/>
      <c r="C3651" s="52"/>
      <c r="D3651"/>
      <c r="E3651"/>
      <c r="F3651"/>
      <c r="N3651" s="44"/>
    </row>
    <row r="3652" spans="1:14" x14ac:dyDescent="0.3">
      <c r="A3652" s="42"/>
      <c r="C3652" s="52"/>
      <c r="D3652"/>
      <c r="E3652"/>
      <c r="F3652"/>
      <c r="N3652" s="44"/>
    </row>
    <row r="3653" spans="1:14" x14ac:dyDescent="0.3">
      <c r="A3653" s="42"/>
      <c r="C3653" s="52"/>
      <c r="D3653"/>
      <c r="E3653"/>
      <c r="F3653"/>
      <c r="N3653" s="44"/>
    </row>
    <row r="3654" spans="1:14" x14ac:dyDescent="0.3">
      <c r="A3654" s="42"/>
      <c r="C3654" s="52"/>
      <c r="D3654"/>
      <c r="E3654"/>
      <c r="F3654"/>
      <c r="N3654" s="44"/>
    </row>
    <row r="3655" spans="1:14" x14ac:dyDescent="0.3">
      <c r="A3655" s="42"/>
      <c r="C3655" s="52"/>
      <c r="D3655"/>
      <c r="E3655"/>
      <c r="F3655"/>
      <c r="L3655" s="45"/>
      <c r="N3655" s="44"/>
    </row>
    <row r="3656" spans="1:14" x14ac:dyDescent="0.3">
      <c r="A3656" s="42"/>
      <c r="C3656" s="52"/>
      <c r="D3656"/>
      <c r="E3656"/>
      <c r="F3656"/>
      <c r="N3656" s="44"/>
    </row>
    <row r="3657" spans="1:14" x14ac:dyDescent="0.3">
      <c r="A3657" s="42"/>
      <c r="C3657" s="52"/>
      <c r="D3657"/>
      <c r="E3657"/>
      <c r="F3657"/>
      <c r="N3657" s="44"/>
    </row>
    <row r="3658" spans="1:14" x14ac:dyDescent="0.3">
      <c r="A3658" s="42"/>
      <c r="C3658" s="52"/>
      <c r="D3658"/>
      <c r="E3658"/>
      <c r="F3658"/>
      <c r="N3658" s="44"/>
    </row>
    <row r="3659" spans="1:14" x14ac:dyDescent="0.3">
      <c r="A3659" s="42"/>
      <c r="C3659" s="52"/>
      <c r="D3659"/>
      <c r="E3659"/>
      <c r="F3659"/>
      <c r="N3659" s="44"/>
    </row>
    <row r="3660" spans="1:14" x14ac:dyDescent="0.3">
      <c r="A3660" s="42"/>
      <c r="C3660" s="52"/>
      <c r="D3660"/>
      <c r="E3660"/>
      <c r="F3660"/>
      <c r="N3660" s="44"/>
    </row>
    <row r="3661" spans="1:14" x14ac:dyDescent="0.3">
      <c r="A3661" s="42"/>
      <c r="C3661" s="52"/>
      <c r="D3661"/>
      <c r="E3661"/>
      <c r="F3661"/>
      <c r="N3661" s="44"/>
    </row>
    <row r="3662" spans="1:14" x14ac:dyDescent="0.3">
      <c r="A3662" s="42"/>
      <c r="C3662" s="52"/>
      <c r="D3662"/>
      <c r="E3662"/>
      <c r="F3662"/>
      <c r="N3662" s="44"/>
    </row>
    <row r="3663" spans="1:14" x14ac:dyDescent="0.3">
      <c r="A3663" s="42"/>
      <c r="C3663" s="52"/>
      <c r="D3663"/>
      <c r="E3663"/>
      <c r="F3663"/>
      <c r="N3663" s="44"/>
    </row>
    <row r="3664" spans="1:14" x14ac:dyDescent="0.3">
      <c r="A3664" s="42"/>
      <c r="C3664" s="52"/>
      <c r="D3664"/>
      <c r="E3664"/>
      <c r="F3664"/>
      <c r="N3664" s="44"/>
    </row>
    <row r="3665" spans="1:14" x14ac:dyDescent="0.3">
      <c r="A3665" s="42"/>
      <c r="C3665" s="52"/>
      <c r="D3665"/>
      <c r="E3665"/>
      <c r="F3665"/>
      <c r="N3665" s="44"/>
    </row>
    <row r="3666" spans="1:14" x14ac:dyDescent="0.3">
      <c r="A3666" s="42"/>
      <c r="C3666" s="52"/>
      <c r="D3666"/>
      <c r="E3666"/>
      <c r="F3666"/>
      <c r="N3666" s="44"/>
    </row>
    <row r="3667" spans="1:14" x14ac:dyDescent="0.3">
      <c r="A3667" s="42"/>
      <c r="C3667" s="52"/>
      <c r="D3667"/>
      <c r="E3667"/>
      <c r="F3667"/>
      <c r="N3667" s="44"/>
    </row>
    <row r="3668" spans="1:14" x14ac:dyDescent="0.3">
      <c r="A3668" s="42"/>
      <c r="C3668" s="52"/>
      <c r="D3668"/>
      <c r="E3668"/>
      <c r="F3668"/>
      <c r="N3668" s="44"/>
    </row>
    <row r="3669" spans="1:14" x14ac:dyDescent="0.3">
      <c r="A3669" s="42"/>
      <c r="C3669" s="52"/>
      <c r="D3669"/>
      <c r="E3669"/>
      <c r="F3669"/>
      <c r="L3669" s="45"/>
      <c r="N3669" s="44"/>
    </row>
    <row r="3670" spans="1:14" x14ac:dyDescent="0.3">
      <c r="A3670" s="42"/>
      <c r="C3670" s="52"/>
      <c r="D3670"/>
      <c r="E3670"/>
      <c r="F3670"/>
      <c r="N3670" s="44"/>
    </row>
    <row r="3671" spans="1:14" x14ac:dyDescent="0.3">
      <c r="A3671" s="42"/>
      <c r="C3671" s="52"/>
      <c r="D3671"/>
      <c r="E3671"/>
      <c r="F3671"/>
      <c r="L3671" s="45"/>
      <c r="N3671" s="44"/>
    </row>
    <row r="3672" spans="1:14" x14ac:dyDescent="0.3">
      <c r="A3672" s="42"/>
      <c r="C3672" s="52"/>
      <c r="D3672"/>
      <c r="E3672"/>
      <c r="F3672"/>
      <c r="L3672" s="45"/>
      <c r="N3672" s="44"/>
    </row>
    <row r="3673" spans="1:14" x14ac:dyDescent="0.3">
      <c r="A3673" s="42"/>
      <c r="C3673" s="52"/>
      <c r="D3673"/>
      <c r="E3673"/>
      <c r="F3673"/>
      <c r="N3673" s="44"/>
    </row>
    <row r="3674" spans="1:14" x14ac:dyDescent="0.3">
      <c r="A3674" s="42"/>
      <c r="C3674" s="52"/>
      <c r="D3674"/>
      <c r="E3674"/>
      <c r="F3674"/>
      <c r="L3674" s="45"/>
      <c r="N3674" s="44"/>
    </row>
    <row r="3675" spans="1:14" x14ac:dyDescent="0.3">
      <c r="A3675" s="42"/>
      <c r="C3675" s="52"/>
      <c r="D3675"/>
      <c r="E3675"/>
      <c r="F3675"/>
      <c r="N3675" s="44"/>
    </row>
    <row r="3676" spans="1:14" x14ac:dyDescent="0.3">
      <c r="A3676" s="42"/>
      <c r="C3676" s="52"/>
      <c r="D3676"/>
      <c r="E3676"/>
      <c r="F3676"/>
      <c r="N3676" s="44"/>
    </row>
    <row r="3677" spans="1:14" x14ac:dyDescent="0.3">
      <c r="A3677" s="42"/>
      <c r="C3677" s="52"/>
      <c r="D3677"/>
      <c r="E3677"/>
      <c r="F3677"/>
      <c r="N3677" s="44"/>
    </row>
    <row r="3678" spans="1:14" x14ac:dyDescent="0.3">
      <c r="A3678" s="42"/>
      <c r="C3678" s="52"/>
      <c r="D3678"/>
      <c r="E3678"/>
      <c r="F3678"/>
      <c r="N3678" s="44"/>
    </row>
    <row r="3679" spans="1:14" x14ac:dyDescent="0.3">
      <c r="A3679" s="42"/>
      <c r="C3679" s="52"/>
      <c r="D3679"/>
      <c r="E3679"/>
      <c r="F3679"/>
      <c r="N3679" s="44"/>
    </row>
    <row r="3680" spans="1:14" x14ac:dyDescent="0.3">
      <c r="A3680" s="42"/>
      <c r="C3680" s="52"/>
      <c r="D3680"/>
      <c r="E3680"/>
      <c r="F3680"/>
      <c r="N3680" s="44"/>
    </row>
    <row r="3681" spans="1:14" x14ac:dyDescent="0.3">
      <c r="A3681" s="42"/>
      <c r="C3681" s="52"/>
      <c r="D3681"/>
      <c r="E3681"/>
      <c r="F3681"/>
      <c r="N3681" s="44"/>
    </row>
    <row r="3682" spans="1:14" x14ac:dyDescent="0.3">
      <c r="A3682" s="42"/>
      <c r="C3682" s="52"/>
      <c r="D3682"/>
      <c r="E3682"/>
      <c r="F3682"/>
      <c r="N3682" s="44"/>
    </row>
    <row r="3683" spans="1:14" x14ac:dyDescent="0.3">
      <c r="A3683" s="42"/>
      <c r="C3683" s="52"/>
      <c r="D3683"/>
      <c r="E3683"/>
      <c r="F3683"/>
      <c r="N3683" s="44"/>
    </row>
    <row r="3684" spans="1:14" x14ac:dyDescent="0.3">
      <c r="A3684" s="42"/>
      <c r="C3684" s="52"/>
      <c r="D3684"/>
      <c r="E3684"/>
      <c r="F3684"/>
      <c r="N3684" s="44"/>
    </row>
    <row r="3685" spans="1:14" x14ac:dyDescent="0.3">
      <c r="A3685" s="42"/>
      <c r="C3685" s="52"/>
      <c r="D3685"/>
      <c r="E3685"/>
      <c r="F3685"/>
      <c r="L3685" s="45"/>
      <c r="N3685" s="44"/>
    </row>
    <row r="3686" spans="1:14" x14ac:dyDescent="0.3">
      <c r="A3686" s="42"/>
      <c r="C3686" s="52"/>
      <c r="D3686"/>
      <c r="E3686"/>
      <c r="F3686"/>
      <c r="N3686" s="44"/>
    </row>
    <row r="3687" spans="1:14" x14ac:dyDescent="0.3">
      <c r="A3687" s="42"/>
      <c r="C3687" s="52"/>
      <c r="D3687"/>
      <c r="E3687"/>
      <c r="F3687"/>
      <c r="N3687" s="44"/>
    </row>
    <row r="3688" spans="1:14" x14ac:dyDescent="0.3">
      <c r="A3688" s="42"/>
      <c r="C3688" s="52"/>
      <c r="D3688"/>
      <c r="E3688"/>
      <c r="F3688"/>
      <c r="N3688" s="44"/>
    </row>
    <row r="3689" spans="1:14" x14ac:dyDescent="0.3">
      <c r="A3689" s="42"/>
      <c r="C3689" s="52"/>
      <c r="D3689"/>
      <c r="E3689"/>
      <c r="F3689"/>
      <c r="N3689" s="44"/>
    </row>
    <row r="3690" spans="1:14" x14ac:dyDescent="0.3">
      <c r="A3690" s="42"/>
      <c r="C3690" s="52"/>
      <c r="D3690"/>
      <c r="E3690"/>
      <c r="F3690"/>
      <c r="N3690" s="44"/>
    </row>
    <row r="3691" spans="1:14" x14ac:dyDescent="0.3">
      <c r="A3691" s="42"/>
      <c r="C3691" s="52"/>
      <c r="D3691"/>
      <c r="E3691"/>
      <c r="F3691"/>
      <c r="N3691" s="44"/>
    </row>
    <row r="3692" spans="1:14" x14ac:dyDescent="0.3">
      <c r="A3692" s="42"/>
      <c r="C3692" s="52"/>
      <c r="D3692"/>
      <c r="E3692"/>
      <c r="F3692"/>
      <c r="N3692" s="44"/>
    </row>
    <row r="3693" spans="1:14" x14ac:dyDescent="0.3">
      <c r="A3693" s="42"/>
      <c r="C3693" s="52"/>
      <c r="D3693"/>
      <c r="E3693"/>
      <c r="F3693"/>
      <c r="N3693" s="44"/>
    </row>
    <row r="3694" spans="1:14" x14ac:dyDescent="0.3">
      <c r="A3694" s="42"/>
      <c r="C3694" s="52"/>
      <c r="D3694"/>
      <c r="E3694"/>
      <c r="F3694"/>
      <c r="L3694" s="45"/>
      <c r="N3694" s="44"/>
    </row>
    <row r="3695" spans="1:14" x14ac:dyDescent="0.3">
      <c r="A3695" s="42"/>
      <c r="C3695" s="52"/>
      <c r="D3695"/>
      <c r="E3695"/>
      <c r="F3695"/>
      <c r="N3695" s="44"/>
    </row>
    <row r="3696" spans="1:14" x14ac:dyDescent="0.3">
      <c r="A3696" s="42"/>
      <c r="C3696" s="52"/>
      <c r="D3696"/>
      <c r="E3696"/>
      <c r="F3696"/>
      <c r="N3696" s="44"/>
    </row>
    <row r="3697" spans="1:14" x14ac:dyDescent="0.3">
      <c r="A3697" s="42"/>
      <c r="C3697" s="52"/>
      <c r="D3697"/>
      <c r="E3697"/>
      <c r="F3697"/>
      <c r="N3697" s="44"/>
    </row>
    <row r="3698" spans="1:14" x14ac:dyDescent="0.3">
      <c r="A3698" s="42"/>
      <c r="C3698" s="52"/>
      <c r="D3698"/>
      <c r="E3698"/>
      <c r="F3698"/>
      <c r="N3698" s="44"/>
    </row>
    <row r="3699" spans="1:14" x14ac:dyDescent="0.3">
      <c r="A3699" s="42"/>
      <c r="C3699" s="52"/>
      <c r="D3699"/>
      <c r="E3699"/>
      <c r="F3699"/>
      <c r="N3699" s="44"/>
    </row>
    <row r="3700" spans="1:14" x14ac:dyDescent="0.3">
      <c r="A3700" s="42"/>
      <c r="C3700" s="52"/>
      <c r="D3700"/>
      <c r="E3700"/>
      <c r="F3700"/>
      <c r="L3700" s="45"/>
      <c r="N3700" s="44"/>
    </row>
    <row r="3701" spans="1:14" x14ac:dyDescent="0.3">
      <c r="A3701" s="42"/>
      <c r="C3701" s="52"/>
      <c r="D3701"/>
      <c r="E3701"/>
      <c r="F3701"/>
      <c r="N3701" s="44"/>
    </row>
    <row r="3702" spans="1:14" x14ac:dyDescent="0.3">
      <c r="A3702" s="42"/>
      <c r="C3702" s="52"/>
      <c r="D3702"/>
      <c r="E3702"/>
      <c r="F3702"/>
      <c r="L3702" s="45"/>
      <c r="N3702" s="44"/>
    </row>
    <row r="3703" spans="1:14" x14ac:dyDescent="0.3">
      <c r="A3703" s="42"/>
      <c r="C3703" s="52"/>
      <c r="D3703"/>
      <c r="E3703"/>
      <c r="F3703"/>
      <c r="L3703" s="45"/>
      <c r="N3703" s="44"/>
    </row>
    <row r="3704" spans="1:14" x14ac:dyDescent="0.3">
      <c r="A3704" s="42"/>
      <c r="C3704" s="52"/>
      <c r="D3704"/>
      <c r="E3704"/>
      <c r="F3704"/>
      <c r="N3704" s="44"/>
    </row>
    <row r="3705" spans="1:14" x14ac:dyDescent="0.3">
      <c r="A3705" s="42"/>
      <c r="C3705" s="52"/>
      <c r="D3705"/>
      <c r="E3705"/>
      <c r="F3705"/>
      <c r="N3705" s="44"/>
    </row>
    <row r="3706" spans="1:14" x14ac:dyDescent="0.3">
      <c r="A3706" s="42"/>
      <c r="C3706" s="52"/>
      <c r="D3706"/>
      <c r="E3706"/>
      <c r="F3706"/>
      <c r="N3706" s="44"/>
    </row>
    <row r="3707" spans="1:14" x14ac:dyDescent="0.3">
      <c r="A3707" s="42"/>
      <c r="C3707" s="52"/>
      <c r="D3707"/>
      <c r="E3707"/>
      <c r="F3707"/>
      <c r="L3707" s="45"/>
      <c r="N3707" s="44"/>
    </row>
    <row r="3708" spans="1:14" x14ac:dyDescent="0.3">
      <c r="A3708" s="42"/>
      <c r="C3708" s="52"/>
      <c r="D3708"/>
      <c r="E3708"/>
      <c r="F3708"/>
      <c r="N3708" s="44"/>
    </row>
    <row r="3709" spans="1:14" x14ac:dyDescent="0.3">
      <c r="A3709" s="42"/>
      <c r="C3709" s="52"/>
      <c r="D3709"/>
      <c r="E3709"/>
      <c r="F3709"/>
      <c r="N3709" s="44"/>
    </row>
    <row r="3710" spans="1:14" x14ac:dyDescent="0.3">
      <c r="A3710" s="42"/>
      <c r="C3710" s="52"/>
      <c r="D3710"/>
      <c r="E3710"/>
      <c r="F3710"/>
      <c r="N3710" s="44"/>
    </row>
    <row r="3711" spans="1:14" x14ac:dyDescent="0.3">
      <c r="A3711" s="42"/>
      <c r="C3711" s="52"/>
      <c r="D3711"/>
      <c r="E3711"/>
      <c r="F3711"/>
      <c r="N3711" s="44"/>
    </row>
    <row r="3712" spans="1:14" x14ac:dyDescent="0.3">
      <c r="A3712" s="42"/>
      <c r="C3712" s="52"/>
      <c r="D3712"/>
      <c r="E3712"/>
      <c r="F3712"/>
      <c r="N3712" s="44"/>
    </row>
    <row r="3713" spans="1:14" x14ac:dyDescent="0.3">
      <c r="A3713" s="42"/>
      <c r="C3713" s="52"/>
      <c r="D3713"/>
      <c r="E3713"/>
      <c r="F3713"/>
      <c r="N3713" s="44"/>
    </row>
    <row r="3714" spans="1:14" x14ac:dyDescent="0.3">
      <c r="A3714" s="42"/>
      <c r="C3714" s="52"/>
      <c r="D3714"/>
      <c r="E3714"/>
      <c r="F3714"/>
      <c r="N3714" s="44"/>
    </row>
    <row r="3715" spans="1:14" x14ac:dyDescent="0.3">
      <c r="A3715" s="42"/>
      <c r="C3715" s="52"/>
      <c r="D3715"/>
      <c r="E3715"/>
      <c r="F3715"/>
      <c r="N3715" s="44"/>
    </row>
    <row r="3716" spans="1:14" x14ac:dyDescent="0.3">
      <c r="A3716" s="42"/>
      <c r="C3716" s="52"/>
      <c r="D3716"/>
      <c r="E3716"/>
      <c r="F3716"/>
      <c r="N3716" s="44"/>
    </row>
    <row r="3717" spans="1:14" x14ac:dyDescent="0.3">
      <c r="A3717" s="42"/>
      <c r="C3717" s="52"/>
      <c r="D3717"/>
      <c r="E3717"/>
      <c r="F3717"/>
      <c r="M3717" s="45"/>
      <c r="N3717" s="44"/>
    </row>
    <row r="3718" spans="1:14" x14ac:dyDescent="0.3">
      <c r="A3718" s="42"/>
      <c r="C3718" s="52"/>
      <c r="D3718"/>
      <c r="E3718"/>
      <c r="F3718"/>
      <c r="N3718" s="44"/>
    </row>
    <row r="3719" spans="1:14" x14ac:dyDescent="0.3">
      <c r="A3719" s="42"/>
      <c r="C3719" s="52"/>
      <c r="D3719"/>
      <c r="E3719"/>
      <c r="F3719"/>
      <c r="N3719" s="44"/>
    </row>
    <row r="3720" spans="1:14" x14ac:dyDescent="0.3">
      <c r="A3720" s="42"/>
      <c r="C3720" s="52"/>
      <c r="D3720"/>
      <c r="E3720"/>
      <c r="F3720"/>
      <c r="M3720" s="45"/>
      <c r="N3720" s="44"/>
    </row>
    <row r="3721" spans="1:14" x14ac:dyDescent="0.3">
      <c r="A3721" s="42"/>
      <c r="C3721" s="52"/>
      <c r="D3721"/>
      <c r="E3721"/>
      <c r="F3721"/>
      <c r="N3721" s="44"/>
    </row>
    <row r="3722" spans="1:14" x14ac:dyDescent="0.3">
      <c r="A3722" s="42"/>
      <c r="C3722" s="52"/>
      <c r="D3722"/>
      <c r="E3722"/>
      <c r="F3722"/>
      <c r="N3722" s="44"/>
    </row>
    <row r="3723" spans="1:14" x14ac:dyDescent="0.3">
      <c r="A3723" s="42"/>
      <c r="C3723" s="52"/>
      <c r="D3723"/>
      <c r="E3723"/>
      <c r="F3723"/>
      <c r="N3723" s="44"/>
    </row>
    <row r="3724" spans="1:14" x14ac:dyDescent="0.3">
      <c r="A3724" s="42"/>
      <c r="C3724" s="52"/>
      <c r="D3724"/>
      <c r="E3724"/>
      <c r="F3724"/>
      <c r="N3724" s="44"/>
    </row>
    <row r="3725" spans="1:14" x14ac:dyDescent="0.3">
      <c r="A3725" s="42"/>
      <c r="C3725" s="52"/>
      <c r="D3725"/>
      <c r="E3725"/>
      <c r="F3725"/>
      <c r="N3725" s="44"/>
    </row>
    <row r="3726" spans="1:14" x14ac:dyDescent="0.3">
      <c r="A3726" s="42"/>
      <c r="C3726" s="52"/>
      <c r="D3726"/>
      <c r="E3726"/>
      <c r="F3726"/>
      <c r="N3726" s="44"/>
    </row>
    <row r="3727" spans="1:14" x14ac:dyDescent="0.3">
      <c r="A3727" s="42"/>
      <c r="C3727" s="52"/>
      <c r="D3727"/>
      <c r="E3727"/>
      <c r="F3727"/>
      <c r="N3727" s="44"/>
    </row>
    <row r="3728" spans="1:14" x14ac:dyDescent="0.3">
      <c r="A3728" s="42"/>
      <c r="C3728" s="52"/>
      <c r="D3728"/>
      <c r="E3728"/>
      <c r="F3728"/>
      <c r="N3728" s="44"/>
    </row>
    <row r="3729" spans="1:14" x14ac:dyDescent="0.3">
      <c r="A3729" s="42"/>
      <c r="C3729" s="52"/>
      <c r="D3729"/>
      <c r="E3729"/>
      <c r="F3729"/>
      <c r="N3729" s="44"/>
    </row>
    <row r="3730" spans="1:14" x14ac:dyDescent="0.3">
      <c r="A3730" s="42"/>
      <c r="C3730" s="52"/>
      <c r="D3730"/>
      <c r="E3730"/>
      <c r="F3730"/>
      <c r="N3730" s="44"/>
    </row>
    <row r="3731" spans="1:14" x14ac:dyDescent="0.3">
      <c r="A3731" s="42"/>
      <c r="C3731" s="52"/>
      <c r="D3731"/>
      <c r="E3731"/>
      <c r="F3731"/>
      <c r="N3731" s="44"/>
    </row>
    <row r="3732" spans="1:14" x14ac:dyDescent="0.3">
      <c r="A3732" s="42"/>
      <c r="C3732" s="52"/>
      <c r="D3732"/>
      <c r="E3732"/>
      <c r="F3732"/>
      <c r="L3732" s="45"/>
      <c r="N3732" s="44"/>
    </row>
    <row r="3733" spans="1:14" x14ac:dyDescent="0.3">
      <c r="A3733" s="42"/>
      <c r="C3733" s="52"/>
      <c r="D3733"/>
      <c r="E3733"/>
      <c r="F3733"/>
      <c r="N3733" s="44"/>
    </row>
    <row r="3734" spans="1:14" x14ac:dyDescent="0.3">
      <c r="A3734" s="42"/>
      <c r="C3734" s="52"/>
      <c r="D3734"/>
      <c r="E3734"/>
      <c r="F3734"/>
      <c r="N3734" s="44"/>
    </row>
    <row r="3735" spans="1:14" x14ac:dyDescent="0.3">
      <c r="A3735" s="42"/>
      <c r="C3735" s="52"/>
      <c r="D3735"/>
      <c r="E3735"/>
      <c r="F3735"/>
      <c r="N3735" s="44"/>
    </row>
    <row r="3736" spans="1:14" x14ac:dyDescent="0.3">
      <c r="A3736" s="42"/>
      <c r="C3736" s="52"/>
      <c r="D3736"/>
      <c r="E3736"/>
      <c r="F3736"/>
      <c r="N3736" s="44"/>
    </row>
    <row r="3737" spans="1:14" x14ac:dyDescent="0.3">
      <c r="A3737" s="42"/>
      <c r="C3737" s="52"/>
      <c r="D3737"/>
      <c r="E3737"/>
      <c r="F3737"/>
      <c r="N3737" s="44"/>
    </row>
    <row r="3738" spans="1:14" x14ac:dyDescent="0.3">
      <c r="A3738" s="42"/>
      <c r="C3738" s="52"/>
      <c r="D3738"/>
      <c r="E3738"/>
      <c r="F3738"/>
      <c r="L3738" s="45"/>
      <c r="M3738" s="45"/>
      <c r="N3738" s="44"/>
    </row>
    <row r="3739" spans="1:14" x14ac:dyDescent="0.3">
      <c r="A3739" s="42"/>
      <c r="C3739" s="52"/>
      <c r="D3739"/>
      <c r="E3739"/>
      <c r="F3739"/>
      <c r="N3739" s="44"/>
    </row>
    <row r="3740" spans="1:14" x14ac:dyDescent="0.3">
      <c r="A3740" s="42"/>
      <c r="C3740" s="52"/>
      <c r="D3740"/>
      <c r="E3740"/>
      <c r="F3740"/>
      <c r="N3740" s="44"/>
    </row>
    <row r="3741" spans="1:14" x14ac:dyDescent="0.3">
      <c r="A3741" s="42"/>
      <c r="C3741" s="52"/>
      <c r="D3741"/>
      <c r="E3741"/>
      <c r="F3741"/>
      <c r="L3741" s="45"/>
      <c r="N3741" s="44"/>
    </row>
    <row r="3742" spans="1:14" x14ac:dyDescent="0.3">
      <c r="A3742" s="42"/>
      <c r="C3742" s="52"/>
      <c r="D3742"/>
      <c r="E3742"/>
      <c r="F3742"/>
      <c r="N3742" s="44"/>
    </row>
    <row r="3743" spans="1:14" x14ac:dyDescent="0.3">
      <c r="A3743" s="42"/>
      <c r="C3743" s="52"/>
      <c r="D3743"/>
      <c r="E3743"/>
      <c r="F3743"/>
      <c r="M3743" s="45"/>
      <c r="N3743" s="44"/>
    </row>
    <row r="3744" spans="1:14" x14ac:dyDescent="0.3">
      <c r="A3744" s="42"/>
      <c r="C3744" s="52"/>
      <c r="D3744"/>
      <c r="E3744"/>
      <c r="F3744"/>
      <c r="N3744" s="44"/>
    </row>
    <row r="3745" spans="1:14" x14ac:dyDescent="0.3">
      <c r="A3745" s="42"/>
      <c r="C3745" s="52"/>
      <c r="D3745"/>
      <c r="E3745"/>
      <c r="F3745"/>
      <c r="N3745" s="44"/>
    </row>
    <row r="3746" spans="1:14" x14ac:dyDescent="0.3">
      <c r="A3746" s="42"/>
      <c r="C3746" s="52"/>
      <c r="D3746"/>
      <c r="E3746"/>
      <c r="F3746"/>
      <c r="N3746" s="44"/>
    </row>
    <row r="3747" spans="1:14" x14ac:dyDescent="0.3">
      <c r="A3747" s="42"/>
      <c r="C3747" s="52"/>
      <c r="D3747"/>
      <c r="E3747"/>
      <c r="F3747"/>
      <c r="L3747" s="45"/>
      <c r="N3747" s="44"/>
    </row>
    <row r="3748" spans="1:14" x14ac:dyDescent="0.3">
      <c r="A3748" s="42"/>
      <c r="C3748" s="52"/>
      <c r="D3748"/>
      <c r="E3748"/>
      <c r="F3748"/>
      <c r="N3748" s="44"/>
    </row>
    <row r="3749" spans="1:14" x14ac:dyDescent="0.3">
      <c r="A3749" s="42"/>
      <c r="C3749" s="52"/>
      <c r="D3749"/>
      <c r="E3749"/>
      <c r="F3749"/>
      <c r="N3749" s="44"/>
    </row>
    <row r="3750" spans="1:14" x14ac:dyDescent="0.3">
      <c r="A3750" s="42"/>
      <c r="C3750" s="52"/>
      <c r="D3750"/>
      <c r="E3750"/>
      <c r="F3750"/>
      <c r="N3750" s="44"/>
    </row>
    <row r="3751" spans="1:14" x14ac:dyDescent="0.3">
      <c r="A3751" s="42"/>
      <c r="C3751" s="52"/>
      <c r="D3751"/>
      <c r="E3751"/>
      <c r="F3751"/>
      <c r="N3751" s="44"/>
    </row>
    <row r="3752" spans="1:14" x14ac:dyDescent="0.3">
      <c r="A3752" s="42"/>
      <c r="C3752" s="52"/>
      <c r="D3752"/>
      <c r="E3752"/>
      <c r="F3752"/>
      <c r="N3752" s="44"/>
    </row>
    <row r="3753" spans="1:14" x14ac:dyDescent="0.3">
      <c r="A3753" s="42"/>
      <c r="C3753" s="52"/>
      <c r="D3753"/>
      <c r="E3753"/>
      <c r="F3753"/>
      <c r="N3753" s="44"/>
    </row>
    <row r="3754" spans="1:14" x14ac:dyDescent="0.3">
      <c r="A3754" s="42"/>
      <c r="C3754" s="52"/>
      <c r="D3754"/>
      <c r="E3754"/>
      <c r="F3754"/>
      <c r="N3754" s="44"/>
    </row>
    <row r="3755" spans="1:14" x14ac:dyDescent="0.3">
      <c r="A3755" s="42"/>
      <c r="C3755" s="52"/>
      <c r="D3755"/>
      <c r="E3755"/>
      <c r="F3755"/>
      <c r="N3755" s="44"/>
    </row>
    <row r="3756" spans="1:14" x14ac:dyDescent="0.3">
      <c r="A3756" s="42"/>
      <c r="C3756" s="52"/>
      <c r="D3756"/>
      <c r="E3756"/>
      <c r="F3756"/>
      <c r="L3756" s="45"/>
      <c r="N3756" s="44"/>
    </row>
    <row r="3757" spans="1:14" x14ac:dyDescent="0.3">
      <c r="A3757" s="42"/>
      <c r="C3757" s="52"/>
      <c r="D3757"/>
      <c r="E3757"/>
      <c r="F3757"/>
      <c r="N3757" s="44"/>
    </row>
    <row r="3758" spans="1:14" x14ac:dyDescent="0.3">
      <c r="A3758" s="42"/>
      <c r="C3758" s="52"/>
      <c r="D3758"/>
      <c r="E3758"/>
      <c r="F3758"/>
      <c r="N3758" s="44"/>
    </row>
    <row r="3759" spans="1:14" x14ac:dyDescent="0.3">
      <c r="A3759" s="42"/>
      <c r="C3759" s="52"/>
      <c r="D3759"/>
      <c r="E3759"/>
      <c r="F3759"/>
      <c r="N3759" s="44"/>
    </row>
    <row r="3760" spans="1:14" x14ac:dyDescent="0.3">
      <c r="A3760" s="42"/>
      <c r="C3760" s="52"/>
      <c r="D3760"/>
      <c r="E3760"/>
      <c r="F3760"/>
      <c r="N3760" s="44"/>
    </row>
    <row r="3761" spans="1:14" x14ac:dyDescent="0.3">
      <c r="A3761" s="42"/>
      <c r="C3761" s="52"/>
      <c r="D3761"/>
      <c r="E3761"/>
      <c r="F3761"/>
      <c r="N3761" s="44"/>
    </row>
    <row r="3762" spans="1:14" x14ac:dyDescent="0.3">
      <c r="A3762" s="42"/>
      <c r="C3762" s="52"/>
      <c r="D3762"/>
      <c r="E3762"/>
      <c r="F3762"/>
      <c r="N3762" s="44"/>
    </row>
    <row r="3763" spans="1:14" x14ac:dyDescent="0.3">
      <c r="A3763" s="42"/>
      <c r="C3763" s="52"/>
      <c r="D3763"/>
      <c r="E3763"/>
      <c r="F3763"/>
      <c r="N3763" s="44"/>
    </row>
    <row r="3764" spans="1:14" x14ac:dyDescent="0.3">
      <c r="A3764" s="42"/>
      <c r="C3764" s="52"/>
      <c r="D3764"/>
      <c r="E3764"/>
      <c r="F3764"/>
      <c r="N3764" s="44"/>
    </row>
    <row r="3765" spans="1:14" x14ac:dyDescent="0.3">
      <c r="A3765" s="42"/>
      <c r="C3765" s="52"/>
      <c r="D3765"/>
      <c r="E3765"/>
      <c r="F3765"/>
      <c r="N3765" s="44"/>
    </row>
    <row r="3766" spans="1:14" x14ac:dyDescent="0.3">
      <c r="A3766" s="42"/>
      <c r="C3766" s="52"/>
      <c r="D3766"/>
      <c r="E3766"/>
      <c r="F3766"/>
      <c r="N3766" s="44"/>
    </row>
    <row r="3767" spans="1:14" x14ac:dyDescent="0.3">
      <c r="A3767" s="42"/>
      <c r="C3767" s="52"/>
      <c r="D3767"/>
      <c r="E3767"/>
      <c r="F3767"/>
      <c r="N3767" s="44"/>
    </row>
    <row r="3768" spans="1:14" x14ac:dyDescent="0.3">
      <c r="A3768" s="42"/>
      <c r="C3768" s="52"/>
      <c r="D3768"/>
      <c r="E3768"/>
      <c r="F3768"/>
      <c r="N3768" s="44"/>
    </row>
    <row r="3769" spans="1:14" x14ac:dyDescent="0.3">
      <c r="A3769" s="42"/>
      <c r="C3769" s="52"/>
      <c r="D3769"/>
      <c r="E3769"/>
      <c r="F3769"/>
      <c r="L3769" s="45"/>
      <c r="N3769" s="44"/>
    </row>
    <row r="3770" spans="1:14" x14ac:dyDescent="0.3">
      <c r="A3770" s="42"/>
      <c r="C3770" s="52"/>
      <c r="D3770"/>
      <c r="E3770"/>
      <c r="F3770"/>
      <c r="N3770" s="44"/>
    </row>
    <row r="3771" spans="1:14" x14ac:dyDescent="0.3">
      <c r="A3771" s="42"/>
      <c r="C3771" s="52"/>
      <c r="D3771"/>
      <c r="E3771"/>
      <c r="F3771"/>
      <c r="N3771" s="44"/>
    </row>
    <row r="3772" spans="1:14" x14ac:dyDescent="0.3">
      <c r="A3772" s="42"/>
      <c r="C3772" s="52"/>
      <c r="D3772"/>
      <c r="E3772"/>
      <c r="F3772"/>
      <c r="N3772" s="44"/>
    </row>
    <row r="3773" spans="1:14" x14ac:dyDescent="0.3">
      <c r="A3773" s="42"/>
      <c r="C3773" s="52"/>
      <c r="D3773"/>
      <c r="E3773"/>
      <c r="F3773"/>
      <c r="N3773" s="44"/>
    </row>
    <row r="3774" spans="1:14" x14ac:dyDescent="0.3">
      <c r="A3774" s="42"/>
      <c r="C3774" s="52"/>
      <c r="D3774"/>
      <c r="E3774"/>
      <c r="F3774"/>
      <c r="N3774" s="44"/>
    </row>
    <row r="3775" spans="1:14" x14ac:dyDescent="0.3">
      <c r="A3775" s="42"/>
      <c r="C3775" s="52"/>
      <c r="D3775"/>
      <c r="E3775"/>
      <c r="F3775"/>
      <c r="N3775" s="44"/>
    </row>
    <row r="3776" spans="1:14" x14ac:dyDescent="0.3">
      <c r="A3776" s="42"/>
      <c r="C3776" s="52"/>
      <c r="D3776"/>
      <c r="E3776"/>
      <c r="F3776"/>
      <c r="N3776" s="44"/>
    </row>
    <row r="3777" spans="1:14" x14ac:dyDescent="0.3">
      <c r="A3777" s="42"/>
      <c r="C3777" s="52"/>
      <c r="D3777"/>
      <c r="E3777"/>
      <c r="F3777"/>
      <c r="N3777" s="44"/>
    </row>
    <row r="3778" spans="1:14" x14ac:dyDescent="0.3">
      <c r="A3778" s="42"/>
      <c r="C3778" s="52"/>
      <c r="D3778"/>
      <c r="E3778"/>
      <c r="F3778"/>
      <c r="L3778" s="45"/>
      <c r="N3778" s="44"/>
    </row>
    <row r="3779" spans="1:14" x14ac:dyDescent="0.3">
      <c r="A3779" s="42"/>
      <c r="C3779" s="52"/>
      <c r="D3779"/>
      <c r="E3779"/>
      <c r="F3779"/>
      <c r="N3779" s="44"/>
    </row>
    <row r="3780" spans="1:14" x14ac:dyDescent="0.3">
      <c r="A3780" s="42"/>
      <c r="C3780" s="52"/>
      <c r="D3780"/>
      <c r="E3780"/>
      <c r="F3780"/>
      <c r="N3780" s="44"/>
    </row>
    <row r="3781" spans="1:14" x14ac:dyDescent="0.3">
      <c r="A3781" s="42"/>
      <c r="C3781" s="52"/>
      <c r="D3781"/>
      <c r="E3781"/>
      <c r="F3781"/>
      <c r="L3781" s="45"/>
      <c r="N3781" s="44"/>
    </row>
    <row r="3782" spans="1:14" x14ac:dyDescent="0.3">
      <c r="A3782" s="42"/>
      <c r="C3782" s="52"/>
      <c r="D3782"/>
      <c r="E3782"/>
      <c r="F3782"/>
      <c r="N3782" s="44"/>
    </row>
    <row r="3783" spans="1:14" x14ac:dyDescent="0.3">
      <c r="A3783" s="42"/>
      <c r="C3783" s="52"/>
      <c r="D3783"/>
      <c r="E3783"/>
      <c r="F3783"/>
      <c r="N3783" s="44"/>
    </row>
    <row r="3784" spans="1:14" x14ac:dyDescent="0.3">
      <c r="A3784" s="42"/>
      <c r="C3784" s="52"/>
      <c r="D3784"/>
      <c r="E3784"/>
      <c r="F3784"/>
      <c r="N3784" s="44"/>
    </row>
    <row r="3785" spans="1:14" x14ac:dyDescent="0.3">
      <c r="A3785" s="42"/>
      <c r="C3785" s="52"/>
      <c r="D3785"/>
      <c r="E3785"/>
      <c r="F3785"/>
      <c r="N3785" s="44"/>
    </row>
    <row r="3786" spans="1:14" x14ac:dyDescent="0.3">
      <c r="A3786" s="42"/>
      <c r="C3786" s="52"/>
      <c r="D3786"/>
      <c r="E3786"/>
      <c r="F3786"/>
      <c r="N3786" s="44"/>
    </row>
    <row r="3787" spans="1:14" x14ac:dyDescent="0.3">
      <c r="A3787" s="42"/>
      <c r="C3787" s="52"/>
      <c r="D3787"/>
      <c r="E3787"/>
      <c r="F3787"/>
      <c r="N3787" s="44"/>
    </row>
    <row r="3788" spans="1:14" x14ac:dyDescent="0.3">
      <c r="A3788" s="42"/>
      <c r="C3788" s="52"/>
      <c r="D3788"/>
      <c r="E3788"/>
      <c r="F3788"/>
      <c r="L3788" s="45"/>
      <c r="N3788" s="44"/>
    </row>
    <row r="3789" spans="1:14" x14ac:dyDescent="0.3">
      <c r="A3789" s="42"/>
      <c r="C3789" s="52"/>
      <c r="D3789"/>
      <c r="E3789"/>
      <c r="F3789"/>
      <c r="N3789" s="44"/>
    </row>
    <row r="3790" spans="1:14" x14ac:dyDescent="0.3">
      <c r="A3790" s="42"/>
      <c r="C3790" s="52"/>
      <c r="D3790"/>
      <c r="E3790"/>
      <c r="F3790"/>
      <c r="N3790" s="44"/>
    </row>
    <row r="3791" spans="1:14" x14ac:dyDescent="0.3">
      <c r="A3791" s="42"/>
      <c r="C3791" s="52"/>
      <c r="D3791"/>
      <c r="E3791"/>
      <c r="F3791"/>
      <c r="N3791" s="44"/>
    </row>
    <row r="3792" spans="1:14" x14ac:dyDescent="0.3">
      <c r="A3792" s="42"/>
      <c r="C3792" s="52"/>
      <c r="D3792"/>
      <c r="E3792"/>
      <c r="F3792"/>
      <c r="N3792" s="44"/>
    </row>
    <row r="3793" spans="1:14" x14ac:dyDescent="0.3">
      <c r="A3793" s="42"/>
      <c r="C3793" s="52"/>
      <c r="D3793"/>
      <c r="E3793"/>
      <c r="F3793"/>
      <c r="N3793" s="44"/>
    </row>
    <row r="3794" spans="1:14" x14ac:dyDescent="0.3">
      <c r="A3794" s="42"/>
      <c r="C3794" s="52"/>
      <c r="D3794"/>
      <c r="E3794"/>
      <c r="F3794"/>
      <c r="L3794" s="45"/>
      <c r="N3794" s="44"/>
    </row>
    <row r="3795" spans="1:14" x14ac:dyDescent="0.3">
      <c r="A3795" s="42"/>
      <c r="C3795" s="52"/>
      <c r="D3795"/>
      <c r="E3795"/>
      <c r="F3795"/>
      <c r="N3795" s="44"/>
    </row>
    <row r="3796" spans="1:14" x14ac:dyDescent="0.3">
      <c r="A3796" s="42"/>
      <c r="C3796" s="52"/>
      <c r="D3796"/>
      <c r="E3796"/>
      <c r="F3796"/>
      <c r="N3796" s="44"/>
    </row>
    <row r="3797" spans="1:14" x14ac:dyDescent="0.3">
      <c r="A3797" s="42"/>
      <c r="C3797" s="52"/>
      <c r="D3797"/>
      <c r="E3797"/>
      <c r="F3797"/>
      <c r="L3797" s="45"/>
      <c r="N3797" s="44"/>
    </row>
    <row r="3798" spans="1:14" x14ac:dyDescent="0.3">
      <c r="A3798" s="42"/>
      <c r="C3798" s="52"/>
      <c r="D3798"/>
      <c r="E3798"/>
      <c r="F3798"/>
      <c r="N3798" s="44"/>
    </row>
    <row r="3799" spans="1:14" x14ac:dyDescent="0.3">
      <c r="A3799" s="42"/>
      <c r="C3799" s="52"/>
      <c r="D3799"/>
      <c r="E3799"/>
      <c r="F3799"/>
      <c r="N3799" s="44"/>
    </row>
    <row r="3800" spans="1:14" x14ac:dyDescent="0.3">
      <c r="A3800" s="42"/>
      <c r="C3800" s="52"/>
      <c r="D3800"/>
      <c r="E3800"/>
      <c r="F3800"/>
      <c r="L3800" s="45"/>
      <c r="N3800" s="44"/>
    </row>
    <row r="3801" spans="1:14" x14ac:dyDescent="0.3">
      <c r="A3801" s="42"/>
      <c r="C3801" s="52"/>
      <c r="D3801"/>
      <c r="E3801"/>
      <c r="F3801"/>
      <c r="N3801" s="44"/>
    </row>
    <row r="3802" spans="1:14" x14ac:dyDescent="0.3">
      <c r="A3802" s="42"/>
      <c r="C3802" s="52"/>
      <c r="D3802"/>
      <c r="E3802"/>
      <c r="F3802"/>
      <c r="N3802" s="44"/>
    </row>
    <row r="3803" spans="1:14" x14ac:dyDescent="0.3">
      <c r="A3803" s="42"/>
      <c r="C3803" s="52"/>
      <c r="D3803"/>
      <c r="E3803"/>
      <c r="F3803"/>
      <c r="L3803" s="45"/>
      <c r="N3803" s="44"/>
    </row>
    <row r="3804" spans="1:14" x14ac:dyDescent="0.3">
      <c r="A3804" s="42"/>
      <c r="C3804" s="52"/>
      <c r="D3804"/>
      <c r="E3804"/>
      <c r="F3804"/>
      <c r="N3804" s="44"/>
    </row>
    <row r="3805" spans="1:14" x14ac:dyDescent="0.3">
      <c r="A3805" s="42"/>
      <c r="C3805" s="52"/>
      <c r="D3805"/>
      <c r="E3805"/>
      <c r="F3805"/>
      <c r="N3805" s="44"/>
    </row>
    <row r="3806" spans="1:14" x14ac:dyDescent="0.3">
      <c r="A3806" s="42"/>
      <c r="C3806" s="52"/>
      <c r="D3806"/>
      <c r="E3806"/>
      <c r="F3806"/>
      <c r="N3806" s="44"/>
    </row>
    <row r="3807" spans="1:14" x14ac:dyDescent="0.3">
      <c r="A3807" s="42"/>
      <c r="C3807" s="52"/>
      <c r="D3807"/>
      <c r="E3807"/>
      <c r="F3807"/>
      <c r="N3807" s="44"/>
    </row>
    <row r="3808" spans="1:14" x14ac:dyDescent="0.3">
      <c r="A3808" s="42"/>
      <c r="C3808" s="52"/>
      <c r="D3808"/>
      <c r="E3808"/>
      <c r="F3808"/>
      <c r="N3808" s="44"/>
    </row>
    <row r="3809" spans="1:14" x14ac:dyDescent="0.3">
      <c r="A3809" s="42"/>
      <c r="C3809" s="52"/>
      <c r="D3809"/>
      <c r="E3809"/>
      <c r="F3809"/>
      <c r="N3809" s="44"/>
    </row>
    <row r="3810" spans="1:14" x14ac:dyDescent="0.3">
      <c r="A3810" s="42"/>
      <c r="C3810" s="52"/>
      <c r="D3810"/>
      <c r="E3810"/>
      <c r="F3810"/>
      <c r="N3810" s="44"/>
    </row>
    <row r="3811" spans="1:14" x14ac:dyDescent="0.3">
      <c r="A3811" s="42"/>
      <c r="C3811" s="52"/>
      <c r="D3811"/>
      <c r="E3811"/>
      <c r="F3811"/>
      <c r="N3811" s="44"/>
    </row>
    <row r="3812" spans="1:14" x14ac:dyDescent="0.3">
      <c r="A3812" s="42"/>
      <c r="C3812" s="52"/>
      <c r="D3812"/>
      <c r="E3812"/>
      <c r="F3812"/>
      <c r="N3812" s="44"/>
    </row>
    <row r="3813" spans="1:14" x14ac:dyDescent="0.3">
      <c r="A3813" s="42"/>
      <c r="C3813" s="52"/>
      <c r="D3813"/>
      <c r="E3813"/>
      <c r="F3813"/>
      <c r="N3813" s="44"/>
    </row>
    <row r="3814" spans="1:14" x14ac:dyDescent="0.3">
      <c r="A3814" s="42"/>
      <c r="C3814" s="52"/>
      <c r="D3814"/>
      <c r="E3814"/>
      <c r="F3814"/>
      <c r="L3814" s="45"/>
      <c r="N3814" s="44"/>
    </row>
    <row r="3815" spans="1:14" x14ac:dyDescent="0.3">
      <c r="A3815" s="42"/>
      <c r="C3815" s="52"/>
      <c r="D3815"/>
      <c r="E3815"/>
      <c r="F3815"/>
      <c r="N3815" s="44"/>
    </row>
    <row r="3816" spans="1:14" x14ac:dyDescent="0.3">
      <c r="A3816" s="42"/>
      <c r="C3816" s="52"/>
      <c r="D3816"/>
      <c r="E3816"/>
      <c r="F3816"/>
      <c r="L3816" s="45"/>
      <c r="N3816" s="44"/>
    </row>
    <row r="3817" spans="1:14" x14ac:dyDescent="0.3">
      <c r="A3817" s="42"/>
      <c r="C3817" s="52"/>
      <c r="D3817"/>
      <c r="E3817"/>
      <c r="F3817"/>
      <c r="L3817" s="45"/>
      <c r="N3817" s="44"/>
    </row>
    <row r="3818" spans="1:14" x14ac:dyDescent="0.3">
      <c r="A3818" s="42"/>
      <c r="C3818" s="52"/>
      <c r="D3818"/>
      <c r="E3818"/>
      <c r="F3818"/>
      <c r="L3818" s="45"/>
      <c r="N3818" s="44"/>
    </row>
    <row r="3819" spans="1:14" x14ac:dyDescent="0.3">
      <c r="A3819" s="42"/>
      <c r="C3819" s="52"/>
      <c r="D3819"/>
      <c r="E3819"/>
      <c r="F3819"/>
      <c r="L3819" s="45"/>
      <c r="N3819" s="44"/>
    </row>
    <row r="3820" spans="1:14" x14ac:dyDescent="0.3">
      <c r="A3820" s="42"/>
      <c r="C3820" s="52"/>
      <c r="D3820"/>
      <c r="E3820"/>
      <c r="F3820"/>
      <c r="L3820" s="45"/>
      <c r="N3820" s="44"/>
    </row>
    <row r="3821" spans="1:14" x14ac:dyDescent="0.3">
      <c r="A3821" s="42"/>
      <c r="C3821" s="52"/>
      <c r="D3821"/>
      <c r="E3821"/>
      <c r="F3821"/>
      <c r="L3821" s="45"/>
      <c r="N3821" s="44"/>
    </row>
    <row r="3822" spans="1:14" x14ac:dyDescent="0.3">
      <c r="A3822" s="42"/>
      <c r="C3822" s="52"/>
      <c r="D3822"/>
      <c r="E3822"/>
      <c r="F3822"/>
      <c r="L3822" s="45"/>
      <c r="N3822" s="44"/>
    </row>
    <row r="3823" spans="1:14" x14ac:dyDescent="0.3">
      <c r="A3823" s="42"/>
      <c r="C3823" s="52"/>
      <c r="D3823"/>
      <c r="E3823"/>
      <c r="F3823"/>
      <c r="L3823" s="45"/>
      <c r="N3823" s="44"/>
    </row>
    <row r="3824" spans="1:14" x14ac:dyDescent="0.3">
      <c r="A3824" s="42"/>
      <c r="C3824" s="52"/>
      <c r="D3824"/>
      <c r="E3824"/>
      <c r="F3824"/>
      <c r="L3824" s="45"/>
      <c r="N3824" s="44"/>
    </row>
    <row r="3825" spans="1:14" x14ac:dyDescent="0.3">
      <c r="A3825" s="42"/>
      <c r="C3825" s="52"/>
      <c r="D3825"/>
      <c r="E3825"/>
      <c r="F3825"/>
      <c r="L3825" s="45"/>
      <c r="N3825" s="44"/>
    </row>
    <row r="3826" spans="1:14" x14ac:dyDescent="0.3">
      <c r="A3826" s="42"/>
      <c r="C3826" s="52"/>
      <c r="D3826"/>
      <c r="E3826"/>
      <c r="F3826"/>
      <c r="L3826" s="45"/>
      <c r="N3826" s="44"/>
    </row>
    <row r="3827" spans="1:14" x14ac:dyDescent="0.3">
      <c r="A3827" s="42"/>
      <c r="C3827" s="52"/>
      <c r="D3827"/>
      <c r="E3827"/>
      <c r="F3827"/>
      <c r="L3827" s="45"/>
      <c r="N3827" s="44"/>
    </row>
    <row r="3828" spans="1:14" x14ac:dyDescent="0.3">
      <c r="A3828" s="42"/>
      <c r="C3828" s="52"/>
      <c r="D3828"/>
      <c r="E3828"/>
      <c r="F3828"/>
      <c r="L3828" s="45"/>
      <c r="N3828" s="44"/>
    </row>
    <row r="3829" spans="1:14" x14ac:dyDescent="0.3">
      <c r="A3829" s="42"/>
      <c r="C3829" s="52"/>
      <c r="D3829"/>
      <c r="E3829"/>
      <c r="F3829"/>
      <c r="L3829" s="45"/>
      <c r="N3829" s="44"/>
    </row>
    <row r="3830" spans="1:14" x14ac:dyDescent="0.3">
      <c r="A3830" s="42"/>
      <c r="C3830" s="52"/>
      <c r="D3830"/>
      <c r="E3830"/>
      <c r="F3830"/>
      <c r="L3830" s="45"/>
      <c r="N3830" s="44"/>
    </row>
    <row r="3831" spans="1:14" x14ac:dyDescent="0.3">
      <c r="A3831" s="42"/>
      <c r="C3831" s="52"/>
      <c r="D3831"/>
      <c r="E3831"/>
      <c r="F3831"/>
      <c r="L3831" s="45"/>
      <c r="N3831" s="44"/>
    </row>
    <row r="3832" spans="1:14" x14ac:dyDescent="0.3">
      <c r="A3832" s="42"/>
      <c r="C3832" s="52"/>
      <c r="D3832"/>
      <c r="E3832"/>
      <c r="F3832"/>
      <c r="L3832" s="45"/>
      <c r="N3832" s="44"/>
    </row>
    <row r="3833" spans="1:14" x14ac:dyDescent="0.3">
      <c r="A3833" s="42"/>
      <c r="C3833" s="52"/>
      <c r="D3833"/>
      <c r="E3833"/>
      <c r="F3833"/>
      <c r="N3833" s="44"/>
    </row>
    <row r="3834" spans="1:14" x14ac:dyDescent="0.3">
      <c r="A3834" s="42"/>
      <c r="C3834" s="52"/>
      <c r="D3834"/>
      <c r="E3834"/>
      <c r="F3834"/>
      <c r="N3834" s="44"/>
    </row>
    <row r="3835" spans="1:14" x14ac:dyDescent="0.3">
      <c r="A3835" s="42"/>
      <c r="C3835" s="52"/>
      <c r="D3835"/>
      <c r="E3835"/>
      <c r="F3835"/>
      <c r="N3835" s="44"/>
    </row>
    <row r="3836" spans="1:14" x14ac:dyDescent="0.3">
      <c r="A3836" s="42"/>
      <c r="C3836" s="52"/>
      <c r="D3836"/>
      <c r="E3836"/>
      <c r="F3836"/>
      <c r="N3836" s="44"/>
    </row>
    <row r="3837" spans="1:14" x14ac:dyDescent="0.3">
      <c r="A3837" s="42"/>
      <c r="C3837" s="52"/>
      <c r="D3837"/>
      <c r="E3837"/>
      <c r="F3837"/>
      <c r="L3837" s="45"/>
      <c r="N3837" s="44"/>
    </row>
    <row r="3838" spans="1:14" x14ac:dyDescent="0.3">
      <c r="A3838" s="42"/>
      <c r="C3838" s="52"/>
      <c r="D3838"/>
      <c r="E3838"/>
      <c r="F3838"/>
      <c r="N3838" s="44"/>
    </row>
    <row r="3839" spans="1:14" x14ac:dyDescent="0.3">
      <c r="A3839" s="42"/>
      <c r="C3839" s="52"/>
      <c r="D3839"/>
      <c r="E3839"/>
      <c r="F3839"/>
      <c r="N3839" s="44"/>
    </row>
    <row r="3840" spans="1:14" x14ac:dyDescent="0.3">
      <c r="A3840" s="42"/>
      <c r="C3840" s="52"/>
      <c r="D3840"/>
      <c r="E3840"/>
      <c r="F3840"/>
      <c r="N3840" s="44"/>
    </row>
    <row r="3841" spans="1:14" x14ac:dyDescent="0.3">
      <c r="A3841" s="42"/>
      <c r="C3841" s="52"/>
      <c r="D3841"/>
      <c r="E3841"/>
      <c r="F3841"/>
      <c r="N3841" s="44"/>
    </row>
    <row r="3842" spans="1:14" x14ac:dyDescent="0.3">
      <c r="A3842" s="42"/>
      <c r="C3842" s="52"/>
      <c r="D3842"/>
      <c r="E3842"/>
      <c r="F3842"/>
      <c r="N3842" s="44"/>
    </row>
    <row r="3843" spans="1:14" x14ac:dyDescent="0.3">
      <c r="A3843" s="42"/>
      <c r="C3843" s="52"/>
      <c r="D3843"/>
      <c r="E3843"/>
      <c r="F3843"/>
      <c r="N3843" s="44"/>
    </row>
    <row r="3844" spans="1:14" x14ac:dyDescent="0.3">
      <c r="A3844" s="42"/>
      <c r="C3844" s="52"/>
      <c r="D3844"/>
      <c r="E3844"/>
      <c r="F3844"/>
      <c r="N3844" s="44"/>
    </row>
    <row r="3845" spans="1:14" x14ac:dyDescent="0.3">
      <c r="A3845" s="42"/>
      <c r="C3845" s="52"/>
      <c r="D3845"/>
      <c r="E3845"/>
      <c r="F3845"/>
      <c r="N3845" s="44"/>
    </row>
    <row r="3846" spans="1:14" x14ac:dyDescent="0.3">
      <c r="A3846" s="42"/>
      <c r="C3846" s="52"/>
      <c r="D3846"/>
      <c r="E3846"/>
      <c r="F3846"/>
      <c r="N3846" s="44"/>
    </row>
    <row r="3847" spans="1:14" x14ac:dyDescent="0.3">
      <c r="A3847" s="42"/>
      <c r="C3847" s="52"/>
      <c r="D3847"/>
      <c r="E3847"/>
      <c r="F3847"/>
      <c r="L3847" s="45"/>
      <c r="N3847" s="44"/>
    </row>
    <row r="3848" spans="1:14" x14ac:dyDescent="0.3">
      <c r="A3848" s="42"/>
      <c r="C3848" s="52"/>
      <c r="D3848"/>
      <c r="E3848"/>
      <c r="F3848"/>
      <c r="L3848" s="45"/>
      <c r="N3848" s="44"/>
    </row>
    <row r="3849" spans="1:14" x14ac:dyDescent="0.3">
      <c r="A3849" s="42"/>
      <c r="C3849" s="52"/>
      <c r="D3849"/>
      <c r="E3849"/>
      <c r="F3849"/>
      <c r="N3849" s="44"/>
    </row>
    <row r="3850" spans="1:14" x14ac:dyDescent="0.3">
      <c r="A3850" s="42"/>
      <c r="C3850" s="52"/>
      <c r="D3850"/>
      <c r="E3850"/>
      <c r="F3850"/>
      <c r="N3850" s="44"/>
    </row>
    <row r="3851" spans="1:14" x14ac:dyDescent="0.3">
      <c r="A3851" s="42"/>
      <c r="C3851" s="52"/>
      <c r="D3851"/>
      <c r="E3851"/>
      <c r="F3851"/>
      <c r="N3851" s="44"/>
    </row>
    <row r="3852" spans="1:14" x14ac:dyDescent="0.3">
      <c r="A3852" s="42"/>
      <c r="C3852" s="52"/>
      <c r="D3852"/>
      <c r="E3852"/>
      <c r="F3852"/>
      <c r="N3852" s="44"/>
    </row>
    <row r="3853" spans="1:14" x14ac:dyDescent="0.3">
      <c r="A3853" s="42"/>
      <c r="C3853" s="52"/>
      <c r="D3853"/>
      <c r="E3853"/>
      <c r="F3853"/>
      <c r="L3853" s="45"/>
      <c r="N3853" s="44"/>
    </row>
    <row r="3854" spans="1:14" x14ac:dyDescent="0.3">
      <c r="A3854" s="42"/>
      <c r="C3854" s="52"/>
      <c r="D3854"/>
      <c r="E3854"/>
      <c r="F3854"/>
      <c r="L3854" s="45"/>
      <c r="N3854" s="44"/>
    </row>
    <row r="3855" spans="1:14" x14ac:dyDescent="0.3">
      <c r="A3855" s="42"/>
      <c r="C3855" s="52"/>
      <c r="D3855"/>
      <c r="E3855"/>
      <c r="F3855"/>
      <c r="L3855" s="45"/>
      <c r="N3855" s="44"/>
    </row>
    <row r="3856" spans="1:14" x14ac:dyDescent="0.3">
      <c r="A3856" s="42"/>
      <c r="C3856" s="52"/>
      <c r="D3856"/>
      <c r="E3856"/>
      <c r="F3856"/>
      <c r="N3856" s="44"/>
    </row>
    <row r="3857" spans="1:14" x14ac:dyDescent="0.3">
      <c r="A3857" s="42"/>
      <c r="C3857" s="52"/>
      <c r="D3857"/>
      <c r="E3857"/>
      <c r="F3857"/>
      <c r="N3857" s="44"/>
    </row>
    <row r="3858" spans="1:14" x14ac:dyDescent="0.3">
      <c r="A3858" s="42"/>
      <c r="C3858" s="52"/>
      <c r="D3858"/>
      <c r="E3858"/>
      <c r="F3858"/>
      <c r="N3858" s="44"/>
    </row>
    <row r="3859" spans="1:14" x14ac:dyDescent="0.3">
      <c r="A3859" s="42"/>
      <c r="C3859" s="52"/>
      <c r="D3859"/>
      <c r="E3859"/>
      <c r="F3859"/>
      <c r="N3859" s="44"/>
    </row>
    <row r="3860" spans="1:14" x14ac:dyDescent="0.3">
      <c r="A3860" s="42"/>
      <c r="C3860" s="52"/>
      <c r="D3860"/>
      <c r="E3860"/>
      <c r="F3860"/>
      <c r="N3860" s="44"/>
    </row>
    <row r="3861" spans="1:14" x14ac:dyDescent="0.3">
      <c r="A3861" s="42"/>
      <c r="C3861" s="52"/>
      <c r="D3861"/>
      <c r="E3861"/>
      <c r="F3861"/>
      <c r="N3861" s="44"/>
    </row>
    <row r="3862" spans="1:14" x14ac:dyDescent="0.3">
      <c r="A3862" s="42"/>
      <c r="C3862" s="52"/>
      <c r="D3862"/>
      <c r="E3862"/>
      <c r="F3862"/>
      <c r="L3862" s="45"/>
      <c r="N3862" s="44"/>
    </row>
    <row r="3863" spans="1:14" x14ac:dyDescent="0.3">
      <c r="A3863" s="42"/>
      <c r="C3863" s="52"/>
      <c r="D3863"/>
      <c r="E3863"/>
      <c r="F3863"/>
      <c r="L3863" s="45"/>
      <c r="N3863" s="44"/>
    </row>
    <row r="3864" spans="1:14" x14ac:dyDescent="0.3">
      <c r="A3864" s="42"/>
      <c r="C3864" s="52"/>
      <c r="D3864"/>
      <c r="E3864"/>
      <c r="F3864"/>
      <c r="N3864" s="44"/>
    </row>
    <row r="3865" spans="1:14" x14ac:dyDescent="0.3">
      <c r="A3865" s="42"/>
      <c r="C3865" s="52"/>
      <c r="D3865"/>
      <c r="E3865"/>
      <c r="F3865"/>
      <c r="N3865" s="44"/>
    </row>
    <row r="3866" spans="1:14" x14ac:dyDescent="0.3">
      <c r="A3866" s="42"/>
      <c r="C3866" s="52"/>
      <c r="D3866"/>
      <c r="E3866"/>
      <c r="F3866"/>
      <c r="L3866" s="45"/>
      <c r="N3866" s="44"/>
    </row>
    <row r="3867" spans="1:14" x14ac:dyDescent="0.3">
      <c r="A3867" s="42"/>
      <c r="C3867" s="52"/>
      <c r="D3867"/>
      <c r="E3867"/>
      <c r="F3867"/>
      <c r="N3867" s="44"/>
    </row>
    <row r="3868" spans="1:14" x14ac:dyDescent="0.3">
      <c r="A3868" s="42"/>
      <c r="C3868" s="52"/>
      <c r="D3868"/>
      <c r="E3868"/>
      <c r="F3868"/>
      <c r="N3868" s="44"/>
    </row>
    <row r="3869" spans="1:14" x14ac:dyDescent="0.3">
      <c r="A3869" s="42"/>
      <c r="C3869" s="52"/>
      <c r="D3869"/>
      <c r="E3869"/>
      <c r="F3869"/>
      <c r="N3869" s="44"/>
    </row>
    <row r="3870" spans="1:14" x14ac:dyDescent="0.3">
      <c r="A3870" s="42"/>
      <c r="C3870" s="52"/>
      <c r="D3870"/>
      <c r="E3870"/>
      <c r="F3870"/>
      <c r="N3870" s="44"/>
    </row>
    <row r="3871" spans="1:14" x14ac:dyDescent="0.3">
      <c r="A3871" s="42"/>
      <c r="C3871" s="52"/>
      <c r="D3871"/>
      <c r="E3871"/>
      <c r="F3871"/>
      <c r="N3871" s="44"/>
    </row>
    <row r="3872" spans="1:14" x14ac:dyDescent="0.3">
      <c r="A3872" s="42"/>
      <c r="C3872" s="52"/>
      <c r="D3872"/>
      <c r="E3872"/>
      <c r="F3872"/>
      <c r="N3872" s="44"/>
    </row>
    <row r="3873" spans="1:14" x14ac:dyDescent="0.3">
      <c r="A3873" s="42"/>
      <c r="C3873" s="52"/>
      <c r="D3873"/>
      <c r="E3873"/>
      <c r="F3873"/>
      <c r="N3873" s="44"/>
    </row>
    <row r="3874" spans="1:14" x14ac:dyDescent="0.3">
      <c r="A3874" s="42"/>
      <c r="C3874" s="52"/>
      <c r="D3874"/>
      <c r="E3874"/>
      <c r="F3874"/>
      <c r="N3874" s="44"/>
    </row>
    <row r="3875" spans="1:14" x14ac:dyDescent="0.3">
      <c r="A3875" s="42"/>
      <c r="C3875" s="52"/>
      <c r="D3875"/>
      <c r="E3875"/>
      <c r="F3875"/>
      <c r="N3875" s="44"/>
    </row>
    <row r="3876" spans="1:14" x14ac:dyDescent="0.3">
      <c r="A3876" s="42"/>
      <c r="C3876" s="52"/>
      <c r="D3876"/>
      <c r="E3876"/>
      <c r="F3876"/>
      <c r="N3876" s="44"/>
    </row>
    <row r="3877" spans="1:14" x14ac:dyDescent="0.3">
      <c r="A3877" s="42"/>
      <c r="C3877" s="52"/>
      <c r="D3877"/>
      <c r="E3877"/>
      <c r="F3877"/>
      <c r="N3877" s="44"/>
    </row>
    <row r="3878" spans="1:14" x14ac:dyDescent="0.3">
      <c r="A3878" s="42"/>
      <c r="C3878" s="52"/>
      <c r="D3878"/>
      <c r="E3878"/>
      <c r="F3878"/>
      <c r="N3878" s="44"/>
    </row>
    <row r="3879" spans="1:14" x14ac:dyDescent="0.3">
      <c r="A3879" s="42"/>
      <c r="C3879" s="52"/>
      <c r="D3879"/>
      <c r="E3879"/>
      <c r="F3879"/>
      <c r="N3879" s="44"/>
    </row>
    <row r="3880" spans="1:14" x14ac:dyDescent="0.3">
      <c r="A3880" s="42"/>
      <c r="C3880" s="52"/>
      <c r="D3880"/>
      <c r="E3880"/>
      <c r="F3880"/>
      <c r="N3880" s="44"/>
    </row>
    <row r="3881" spans="1:14" x14ac:dyDescent="0.3">
      <c r="A3881" s="42"/>
      <c r="C3881" s="52"/>
      <c r="D3881"/>
      <c r="E3881"/>
      <c r="F3881"/>
      <c r="N3881" s="44"/>
    </row>
    <row r="3882" spans="1:14" x14ac:dyDescent="0.3">
      <c r="A3882" s="42"/>
      <c r="C3882" s="52"/>
      <c r="D3882"/>
      <c r="E3882"/>
      <c r="F3882"/>
      <c r="N3882" s="44"/>
    </row>
    <row r="3883" spans="1:14" x14ac:dyDescent="0.3">
      <c r="A3883" s="42"/>
      <c r="C3883" s="52"/>
      <c r="D3883"/>
      <c r="E3883"/>
      <c r="F3883"/>
      <c r="N3883" s="44"/>
    </row>
    <row r="3884" spans="1:14" x14ac:dyDescent="0.3">
      <c r="A3884" s="42"/>
      <c r="C3884" s="52"/>
      <c r="D3884"/>
      <c r="E3884"/>
      <c r="F3884"/>
      <c r="N3884" s="44"/>
    </row>
    <row r="3885" spans="1:14" x14ac:dyDescent="0.3">
      <c r="A3885" s="42"/>
      <c r="C3885" s="52"/>
      <c r="D3885"/>
      <c r="E3885"/>
      <c r="F3885"/>
      <c r="N3885" s="44"/>
    </row>
    <row r="3886" spans="1:14" x14ac:dyDescent="0.3">
      <c r="A3886" s="42"/>
      <c r="C3886" s="52"/>
      <c r="D3886"/>
      <c r="E3886"/>
      <c r="F3886"/>
      <c r="N3886" s="44"/>
    </row>
    <row r="3887" spans="1:14" x14ac:dyDescent="0.3">
      <c r="A3887" s="42"/>
      <c r="C3887" s="52"/>
      <c r="D3887"/>
      <c r="E3887"/>
      <c r="F3887"/>
      <c r="N3887" s="44"/>
    </row>
    <row r="3888" spans="1:14" x14ac:dyDescent="0.3">
      <c r="A3888" s="42"/>
      <c r="C3888" s="52"/>
      <c r="D3888"/>
      <c r="E3888"/>
      <c r="F3888"/>
      <c r="N3888" s="44"/>
    </row>
    <row r="3889" spans="1:14" x14ac:dyDescent="0.3">
      <c r="A3889" s="42"/>
      <c r="C3889" s="52"/>
      <c r="D3889"/>
      <c r="E3889"/>
      <c r="F3889"/>
      <c r="N3889" s="44"/>
    </row>
    <row r="3890" spans="1:14" x14ac:dyDescent="0.3">
      <c r="A3890" s="42"/>
      <c r="C3890" s="52"/>
      <c r="D3890"/>
      <c r="E3890"/>
      <c r="F3890"/>
      <c r="N3890" s="44"/>
    </row>
    <row r="3891" spans="1:14" x14ac:dyDescent="0.3">
      <c r="A3891" s="42"/>
      <c r="C3891" s="52"/>
      <c r="D3891"/>
      <c r="E3891"/>
      <c r="F3891"/>
      <c r="N3891" s="44"/>
    </row>
    <row r="3892" spans="1:14" x14ac:dyDescent="0.3">
      <c r="A3892" s="42"/>
      <c r="C3892" s="52"/>
      <c r="D3892"/>
      <c r="E3892"/>
      <c r="F3892"/>
      <c r="N3892" s="44"/>
    </row>
    <row r="3893" spans="1:14" x14ac:dyDescent="0.3">
      <c r="A3893" s="42"/>
      <c r="C3893" s="52"/>
      <c r="D3893"/>
      <c r="E3893"/>
      <c r="F3893"/>
      <c r="N3893" s="44"/>
    </row>
    <row r="3894" spans="1:14" x14ac:dyDescent="0.3">
      <c r="A3894" s="42"/>
      <c r="C3894" s="52"/>
      <c r="D3894"/>
      <c r="E3894"/>
      <c r="F3894"/>
      <c r="N3894" s="44"/>
    </row>
    <row r="3895" spans="1:14" x14ac:dyDescent="0.3">
      <c r="A3895" s="42"/>
      <c r="C3895" s="52"/>
      <c r="D3895"/>
      <c r="E3895"/>
      <c r="F3895"/>
      <c r="N3895" s="44"/>
    </row>
    <row r="3896" spans="1:14" x14ac:dyDescent="0.3">
      <c r="A3896" s="42"/>
      <c r="C3896" s="52"/>
      <c r="D3896"/>
      <c r="E3896"/>
      <c r="F3896"/>
      <c r="N3896" s="44"/>
    </row>
    <row r="3897" spans="1:14" x14ac:dyDescent="0.3">
      <c r="A3897" s="42"/>
      <c r="C3897" s="52"/>
      <c r="D3897"/>
      <c r="E3897"/>
      <c r="F3897"/>
      <c r="N3897" s="44"/>
    </row>
    <row r="3898" spans="1:14" x14ac:dyDescent="0.3">
      <c r="A3898" s="42"/>
      <c r="C3898" s="52"/>
      <c r="D3898"/>
      <c r="E3898"/>
      <c r="F3898"/>
      <c r="N3898" s="44"/>
    </row>
    <row r="3899" spans="1:14" x14ac:dyDescent="0.3">
      <c r="A3899" s="42"/>
      <c r="C3899" s="52"/>
      <c r="D3899"/>
      <c r="E3899"/>
      <c r="F3899"/>
      <c r="N3899" s="44"/>
    </row>
    <row r="3900" spans="1:14" x14ac:dyDescent="0.3">
      <c r="A3900" s="42"/>
      <c r="C3900" s="52"/>
      <c r="D3900"/>
      <c r="E3900"/>
      <c r="F3900"/>
      <c r="N3900" s="44"/>
    </row>
    <row r="3901" spans="1:14" x14ac:dyDescent="0.3">
      <c r="A3901" s="42"/>
      <c r="C3901" s="52"/>
      <c r="D3901"/>
      <c r="E3901"/>
      <c r="F3901"/>
      <c r="N3901" s="44"/>
    </row>
    <row r="3902" spans="1:14" x14ac:dyDescent="0.3">
      <c r="A3902" s="42"/>
      <c r="C3902" s="52"/>
      <c r="D3902"/>
      <c r="E3902"/>
      <c r="F3902"/>
      <c r="N3902" s="44"/>
    </row>
    <row r="3903" spans="1:14" x14ac:dyDescent="0.3">
      <c r="A3903" s="42"/>
      <c r="C3903" s="52"/>
      <c r="D3903"/>
      <c r="E3903"/>
      <c r="F3903"/>
      <c r="N3903" s="44"/>
    </row>
    <row r="3904" spans="1:14" x14ac:dyDescent="0.3">
      <c r="A3904" s="42"/>
      <c r="C3904" s="52"/>
      <c r="D3904"/>
      <c r="E3904"/>
      <c r="F3904"/>
      <c r="N3904" s="44"/>
    </row>
    <row r="3905" spans="1:14" x14ac:dyDescent="0.3">
      <c r="A3905" s="42"/>
      <c r="C3905" s="52"/>
      <c r="D3905"/>
      <c r="E3905"/>
      <c r="F3905"/>
      <c r="N3905" s="44"/>
    </row>
    <row r="3906" spans="1:14" x14ac:dyDescent="0.3">
      <c r="A3906" s="42"/>
      <c r="C3906" s="52"/>
      <c r="D3906"/>
      <c r="E3906"/>
      <c r="F3906"/>
      <c r="N3906" s="44"/>
    </row>
    <row r="3907" spans="1:14" x14ac:dyDescent="0.3">
      <c r="A3907" s="42"/>
      <c r="C3907" s="52"/>
      <c r="D3907"/>
      <c r="E3907"/>
      <c r="F3907"/>
      <c r="N3907" s="44"/>
    </row>
    <row r="3908" spans="1:14" x14ac:dyDescent="0.3">
      <c r="A3908" s="42"/>
      <c r="C3908" s="52"/>
      <c r="D3908"/>
      <c r="E3908"/>
      <c r="F3908"/>
      <c r="N3908" s="44"/>
    </row>
    <row r="3909" spans="1:14" x14ac:dyDescent="0.3">
      <c r="A3909" s="42"/>
      <c r="C3909" s="52"/>
      <c r="D3909"/>
      <c r="E3909"/>
      <c r="F3909"/>
      <c r="N3909" s="44"/>
    </row>
    <row r="3910" spans="1:14" x14ac:dyDescent="0.3">
      <c r="A3910" s="42"/>
      <c r="C3910" s="52"/>
      <c r="D3910"/>
      <c r="E3910"/>
      <c r="F3910"/>
      <c r="N3910" s="44"/>
    </row>
    <row r="3911" spans="1:14" x14ac:dyDescent="0.3">
      <c r="A3911" s="42"/>
      <c r="C3911" s="52"/>
      <c r="D3911"/>
      <c r="E3911"/>
      <c r="F3911"/>
      <c r="N3911" s="44"/>
    </row>
    <row r="3912" spans="1:14" x14ac:dyDescent="0.3">
      <c r="A3912" s="42"/>
      <c r="C3912" s="52"/>
      <c r="D3912"/>
      <c r="E3912"/>
      <c r="F3912"/>
      <c r="N3912" s="44"/>
    </row>
    <row r="3913" spans="1:14" x14ac:dyDescent="0.3">
      <c r="A3913" s="42"/>
      <c r="C3913" s="52"/>
      <c r="D3913"/>
      <c r="E3913"/>
      <c r="F3913"/>
      <c r="N3913" s="44"/>
    </row>
    <row r="3914" spans="1:14" x14ac:dyDescent="0.3">
      <c r="A3914" s="42"/>
      <c r="C3914" s="52"/>
      <c r="D3914"/>
      <c r="E3914"/>
      <c r="F3914"/>
      <c r="N3914" s="44"/>
    </row>
    <row r="3915" spans="1:14" x14ac:dyDescent="0.3">
      <c r="A3915" s="42"/>
      <c r="C3915" s="52"/>
      <c r="D3915"/>
      <c r="E3915"/>
      <c r="F3915"/>
      <c r="N3915" s="44"/>
    </row>
    <row r="3916" spans="1:14" x14ac:dyDescent="0.3">
      <c r="A3916" s="42"/>
      <c r="C3916" s="52"/>
      <c r="D3916"/>
      <c r="E3916"/>
      <c r="F3916"/>
      <c r="N3916" s="44"/>
    </row>
    <row r="3917" spans="1:14" x14ac:dyDescent="0.3">
      <c r="A3917" s="42"/>
      <c r="C3917" s="52"/>
      <c r="D3917"/>
      <c r="E3917"/>
      <c r="F3917"/>
      <c r="N3917" s="44"/>
    </row>
    <row r="3918" spans="1:14" x14ac:dyDescent="0.3">
      <c r="A3918" s="42"/>
      <c r="C3918" s="52"/>
      <c r="D3918"/>
      <c r="E3918"/>
      <c r="F3918"/>
      <c r="N3918" s="44"/>
    </row>
    <row r="3919" spans="1:14" x14ac:dyDescent="0.3">
      <c r="A3919" s="42"/>
      <c r="C3919" s="52"/>
      <c r="D3919"/>
      <c r="E3919"/>
      <c r="F3919"/>
      <c r="N3919" s="44"/>
    </row>
    <row r="3920" spans="1:14" x14ac:dyDescent="0.3">
      <c r="A3920" s="42"/>
      <c r="C3920" s="52"/>
      <c r="D3920"/>
      <c r="E3920"/>
      <c r="F3920"/>
      <c r="N3920" s="44"/>
    </row>
    <row r="3921" spans="1:14" x14ac:dyDescent="0.3">
      <c r="A3921" s="42"/>
      <c r="C3921" s="52"/>
      <c r="D3921"/>
      <c r="E3921"/>
      <c r="F3921"/>
      <c r="N3921" s="44"/>
    </row>
    <row r="3922" spans="1:14" x14ac:dyDescent="0.3">
      <c r="A3922" s="42"/>
      <c r="C3922" s="52"/>
      <c r="D3922"/>
      <c r="E3922"/>
      <c r="F3922"/>
      <c r="N3922" s="44"/>
    </row>
    <row r="3923" spans="1:14" x14ac:dyDescent="0.3">
      <c r="A3923" s="42"/>
      <c r="C3923" s="52"/>
      <c r="D3923"/>
      <c r="E3923"/>
      <c r="F3923"/>
      <c r="N3923" s="44"/>
    </row>
    <row r="3924" spans="1:14" x14ac:dyDescent="0.3">
      <c r="A3924" s="42"/>
      <c r="C3924" s="52"/>
      <c r="D3924"/>
      <c r="E3924"/>
      <c r="F3924"/>
      <c r="N3924" s="44"/>
    </row>
    <row r="3925" spans="1:14" x14ac:dyDescent="0.3">
      <c r="A3925" s="42"/>
      <c r="C3925" s="52"/>
      <c r="D3925"/>
      <c r="E3925"/>
      <c r="F3925"/>
      <c r="N3925" s="44"/>
    </row>
    <row r="3926" spans="1:14" x14ac:dyDescent="0.3">
      <c r="A3926" s="42"/>
      <c r="C3926" s="52"/>
      <c r="D3926"/>
      <c r="E3926"/>
      <c r="F3926"/>
      <c r="N3926" s="44"/>
    </row>
    <row r="3927" spans="1:14" x14ac:dyDescent="0.3">
      <c r="A3927" s="42"/>
      <c r="C3927" s="52"/>
      <c r="D3927"/>
      <c r="E3927"/>
      <c r="F3927"/>
      <c r="N3927" s="44"/>
    </row>
    <row r="3928" spans="1:14" x14ac:dyDescent="0.3">
      <c r="A3928" s="42"/>
      <c r="C3928" s="52"/>
      <c r="D3928"/>
      <c r="E3928"/>
      <c r="F3928"/>
      <c r="N3928" s="44"/>
    </row>
    <row r="3929" spans="1:14" x14ac:dyDescent="0.3">
      <c r="A3929" s="42"/>
      <c r="C3929" s="52"/>
      <c r="D3929"/>
      <c r="E3929"/>
      <c r="F3929"/>
      <c r="N3929" s="44"/>
    </row>
    <row r="3930" spans="1:14" x14ac:dyDescent="0.3">
      <c r="A3930" s="42"/>
      <c r="C3930" s="52"/>
      <c r="D3930"/>
      <c r="E3930"/>
      <c r="F3930"/>
      <c r="N3930" s="44"/>
    </row>
    <row r="3931" spans="1:14" x14ac:dyDescent="0.3">
      <c r="A3931" s="42"/>
      <c r="C3931" s="52"/>
      <c r="D3931"/>
      <c r="E3931"/>
      <c r="F3931"/>
      <c r="N3931" s="44"/>
    </row>
    <row r="3932" spans="1:14" x14ac:dyDescent="0.3">
      <c r="A3932" s="42"/>
      <c r="C3932" s="52"/>
      <c r="D3932"/>
      <c r="E3932"/>
      <c r="F3932"/>
      <c r="N3932" s="44"/>
    </row>
    <row r="3933" spans="1:14" x14ac:dyDescent="0.3">
      <c r="A3933" s="42"/>
      <c r="C3933" s="52"/>
      <c r="D3933"/>
      <c r="E3933"/>
      <c r="F3933"/>
      <c r="N3933" s="44"/>
    </row>
    <row r="3934" spans="1:14" x14ac:dyDescent="0.3">
      <c r="A3934" s="42"/>
      <c r="C3934" s="52"/>
      <c r="D3934"/>
      <c r="E3934"/>
      <c r="F3934"/>
      <c r="N3934" s="44"/>
    </row>
    <row r="3935" spans="1:14" x14ac:dyDescent="0.3">
      <c r="A3935" s="42"/>
      <c r="C3935" s="52"/>
      <c r="D3935"/>
      <c r="E3935"/>
      <c r="F3935"/>
      <c r="N3935" s="44"/>
    </row>
    <row r="3936" spans="1:14" x14ac:dyDescent="0.3">
      <c r="A3936" s="42"/>
      <c r="C3936" s="52"/>
      <c r="D3936"/>
      <c r="E3936"/>
      <c r="F3936"/>
      <c r="N3936" s="44"/>
    </row>
    <row r="3937" spans="1:14" x14ac:dyDescent="0.3">
      <c r="A3937" s="42"/>
      <c r="C3937" s="52"/>
      <c r="D3937"/>
      <c r="E3937"/>
      <c r="F3937"/>
      <c r="N3937" s="44"/>
    </row>
    <row r="3938" spans="1:14" x14ac:dyDescent="0.3">
      <c r="A3938" s="42"/>
      <c r="C3938" s="52"/>
      <c r="D3938"/>
      <c r="E3938"/>
      <c r="F3938"/>
      <c r="N3938" s="44"/>
    </row>
    <row r="3939" spans="1:14" x14ac:dyDescent="0.3">
      <c r="A3939" s="42"/>
      <c r="C3939" s="52"/>
      <c r="D3939"/>
      <c r="E3939"/>
      <c r="F3939"/>
      <c r="N3939" s="44"/>
    </row>
    <row r="3940" spans="1:14" x14ac:dyDescent="0.3">
      <c r="A3940" s="42"/>
      <c r="C3940" s="52"/>
      <c r="D3940"/>
      <c r="E3940"/>
      <c r="F3940"/>
      <c r="N3940" s="44"/>
    </row>
    <row r="3941" spans="1:14" x14ac:dyDescent="0.3">
      <c r="A3941" s="42"/>
      <c r="C3941" s="52"/>
      <c r="D3941"/>
      <c r="E3941"/>
      <c r="F3941"/>
      <c r="N3941" s="44"/>
    </row>
    <row r="3942" spans="1:14" x14ac:dyDescent="0.3">
      <c r="A3942" s="42"/>
      <c r="C3942" s="52"/>
      <c r="D3942"/>
      <c r="E3942"/>
      <c r="F3942"/>
      <c r="N3942" s="44"/>
    </row>
    <row r="3943" spans="1:14" x14ac:dyDescent="0.3">
      <c r="A3943" s="42"/>
      <c r="C3943" s="52"/>
      <c r="D3943"/>
      <c r="E3943"/>
      <c r="F3943"/>
      <c r="N3943" s="44"/>
    </row>
    <row r="3944" spans="1:14" x14ac:dyDescent="0.3">
      <c r="A3944" s="42"/>
      <c r="C3944" s="52"/>
      <c r="D3944"/>
      <c r="E3944"/>
      <c r="F3944"/>
      <c r="N3944" s="44"/>
    </row>
    <row r="3945" spans="1:14" x14ac:dyDescent="0.3">
      <c r="A3945" s="42"/>
      <c r="C3945" s="52"/>
      <c r="D3945"/>
      <c r="E3945"/>
      <c r="F3945"/>
      <c r="N3945" s="44"/>
    </row>
    <row r="3946" spans="1:14" x14ac:dyDescent="0.3">
      <c r="A3946" s="42"/>
      <c r="C3946" s="52"/>
      <c r="D3946"/>
      <c r="E3946"/>
      <c r="F3946"/>
      <c r="N3946" s="44"/>
    </row>
    <row r="3947" spans="1:14" x14ac:dyDescent="0.3">
      <c r="A3947" s="42"/>
      <c r="C3947" s="52"/>
      <c r="D3947"/>
      <c r="E3947"/>
      <c r="F3947"/>
      <c r="N3947" s="44"/>
    </row>
    <row r="3948" spans="1:14" x14ac:dyDescent="0.3">
      <c r="A3948" s="42"/>
      <c r="C3948" s="52"/>
      <c r="D3948"/>
      <c r="E3948"/>
      <c r="F3948"/>
      <c r="N3948" s="44"/>
    </row>
    <row r="3949" spans="1:14" x14ac:dyDescent="0.3">
      <c r="A3949" s="42"/>
      <c r="C3949" s="52"/>
      <c r="D3949"/>
      <c r="E3949"/>
      <c r="F3949"/>
      <c r="N3949" s="44"/>
    </row>
    <row r="3950" spans="1:14" x14ac:dyDescent="0.3">
      <c r="A3950" s="42"/>
      <c r="C3950" s="52"/>
      <c r="D3950"/>
      <c r="E3950"/>
      <c r="F3950"/>
      <c r="N3950" s="44"/>
    </row>
    <row r="3951" spans="1:14" x14ac:dyDescent="0.3">
      <c r="A3951" s="42"/>
      <c r="C3951" s="52"/>
      <c r="D3951"/>
      <c r="E3951"/>
      <c r="F3951"/>
      <c r="N3951" s="44"/>
    </row>
    <row r="3952" spans="1:14" x14ac:dyDescent="0.3">
      <c r="A3952" s="42"/>
      <c r="C3952" s="52"/>
      <c r="D3952"/>
      <c r="E3952"/>
      <c r="F3952"/>
      <c r="N3952" s="44"/>
    </row>
    <row r="3953" spans="1:14" x14ac:dyDescent="0.3">
      <c r="A3953" s="42"/>
      <c r="C3953" s="52"/>
      <c r="D3953"/>
      <c r="E3953"/>
      <c r="F3953"/>
      <c r="N3953" s="44"/>
    </row>
    <row r="3954" spans="1:14" x14ac:dyDescent="0.3">
      <c r="A3954" s="42"/>
      <c r="C3954" s="52"/>
      <c r="D3954"/>
      <c r="E3954"/>
      <c r="F3954"/>
      <c r="N3954" s="44"/>
    </row>
    <row r="3955" spans="1:14" x14ac:dyDescent="0.3">
      <c r="A3955" s="42"/>
      <c r="C3955" s="52"/>
      <c r="D3955"/>
      <c r="E3955"/>
      <c r="F3955"/>
      <c r="N3955" s="44"/>
    </row>
    <row r="3956" spans="1:14" x14ac:dyDescent="0.3">
      <c r="A3956" s="42"/>
      <c r="C3956" s="52"/>
      <c r="D3956"/>
      <c r="E3956"/>
      <c r="F3956"/>
      <c r="N3956" s="44"/>
    </row>
    <row r="3957" spans="1:14" x14ac:dyDescent="0.3">
      <c r="A3957" s="42"/>
      <c r="C3957" s="52"/>
      <c r="D3957"/>
      <c r="E3957"/>
      <c r="F3957"/>
      <c r="N3957" s="44"/>
    </row>
    <row r="3958" spans="1:14" x14ac:dyDescent="0.3">
      <c r="A3958" s="42"/>
      <c r="C3958" s="52"/>
      <c r="D3958"/>
      <c r="E3958"/>
      <c r="F3958"/>
      <c r="N3958" s="44"/>
    </row>
    <row r="3959" spans="1:14" x14ac:dyDescent="0.3">
      <c r="A3959" s="42"/>
      <c r="C3959" s="52"/>
      <c r="D3959"/>
      <c r="E3959"/>
      <c r="F3959"/>
      <c r="N3959" s="44"/>
    </row>
    <row r="3960" spans="1:14" x14ac:dyDescent="0.3">
      <c r="A3960" s="42"/>
      <c r="C3960" s="52"/>
      <c r="D3960"/>
      <c r="E3960"/>
      <c r="F3960"/>
      <c r="N3960" s="44"/>
    </row>
    <row r="3961" spans="1:14" x14ac:dyDescent="0.3">
      <c r="A3961" s="42"/>
      <c r="C3961" s="52"/>
      <c r="D3961"/>
      <c r="E3961"/>
      <c r="F3961"/>
      <c r="N3961" s="44"/>
    </row>
    <row r="3962" spans="1:14" x14ac:dyDescent="0.3">
      <c r="A3962" s="42"/>
      <c r="C3962" s="52"/>
      <c r="D3962"/>
      <c r="E3962"/>
      <c r="F3962"/>
      <c r="N3962" s="44"/>
    </row>
    <row r="3963" spans="1:14" x14ac:dyDescent="0.3">
      <c r="A3963" s="42"/>
      <c r="C3963" s="52"/>
      <c r="D3963"/>
      <c r="E3963"/>
      <c r="F3963"/>
      <c r="N3963" s="44"/>
    </row>
    <row r="3964" spans="1:14" x14ac:dyDescent="0.3">
      <c r="A3964" s="42"/>
      <c r="C3964" s="52"/>
      <c r="D3964"/>
      <c r="E3964"/>
      <c r="F3964"/>
      <c r="N3964" s="44"/>
    </row>
    <row r="3965" spans="1:14" x14ac:dyDescent="0.3">
      <c r="A3965" s="42"/>
      <c r="C3965" s="52"/>
      <c r="D3965"/>
      <c r="E3965"/>
      <c r="F3965"/>
      <c r="N3965" s="44"/>
    </row>
    <row r="3966" spans="1:14" x14ac:dyDescent="0.3">
      <c r="A3966" s="42"/>
      <c r="C3966" s="52"/>
      <c r="D3966"/>
      <c r="E3966"/>
      <c r="F3966"/>
      <c r="N3966" s="44"/>
    </row>
    <row r="3967" spans="1:14" x14ac:dyDescent="0.3">
      <c r="A3967" s="42"/>
      <c r="C3967" s="52"/>
      <c r="D3967"/>
      <c r="E3967"/>
      <c r="F3967"/>
      <c r="N3967" s="44"/>
    </row>
    <row r="3968" spans="1:14" x14ac:dyDescent="0.3">
      <c r="A3968" s="42"/>
      <c r="C3968" s="52"/>
      <c r="D3968"/>
      <c r="E3968"/>
      <c r="F3968"/>
      <c r="N3968" s="44"/>
    </row>
    <row r="3969" spans="1:14" x14ac:dyDescent="0.3">
      <c r="A3969" s="42"/>
      <c r="C3969" s="52"/>
      <c r="D3969"/>
      <c r="E3969"/>
      <c r="F3969"/>
      <c r="N3969" s="44"/>
    </row>
    <row r="3970" spans="1:14" x14ac:dyDescent="0.3">
      <c r="A3970" s="42"/>
      <c r="C3970" s="52"/>
      <c r="D3970"/>
      <c r="E3970"/>
      <c r="F3970"/>
      <c r="N3970" s="44"/>
    </row>
    <row r="3971" spans="1:14" x14ac:dyDescent="0.3">
      <c r="A3971" s="42"/>
      <c r="C3971" s="52"/>
      <c r="D3971"/>
      <c r="E3971"/>
      <c r="F3971"/>
      <c r="N3971" s="44"/>
    </row>
    <row r="3972" spans="1:14" x14ac:dyDescent="0.3">
      <c r="A3972" s="42"/>
      <c r="C3972" s="52"/>
      <c r="D3972"/>
      <c r="E3972"/>
      <c r="F3972"/>
      <c r="N3972" s="44"/>
    </row>
    <row r="3973" spans="1:14" x14ac:dyDescent="0.3">
      <c r="A3973" s="42"/>
      <c r="C3973" s="52"/>
      <c r="D3973"/>
      <c r="E3973"/>
      <c r="F3973"/>
      <c r="N3973" s="44"/>
    </row>
    <row r="3974" spans="1:14" x14ac:dyDescent="0.3">
      <c r="A3974" s="42"/>
      <c r="C3974" s="52"/>
      <c r="D3974"/>
      <c r="E3974"/>
      <c r="F3974"/>
      <c r="N3974" s="44"/>
    </row>
    <row r="3975" spans="1:14" x14ac:dyDescent="0.3">
      <c r="A3975" s="42"/>
      <c r="C3975" s="52"/>
      <c r="D3975"/>
      <c r="E3975"/>
      <c r="F3975"/>
      <c r="N3975" s="44"/>
    </row>
    <row r="3976" spans="1:14" x14ac:dyDescent="0.3">
      <c r="A3976" s="42"/>
      <c r="C3976" s="52"/>
      <c r="D3976"/>
      <c r="E3976"/>
      <c r="F3976"/>
      <c r="N3976" s="44"/>
    </row>
    <row r="3977" spans="1:14" x14ac:dyDescent="0.3">
      <c r="A3977" s="42"/>
      <c r="C3977" s="52"/>
      <c r="D3977"/>
      <c r="E3977"/>
      <c r="F3977"/>
      <c r="N3977" s="44"/>
    </row>
    <row r="3978" spans="1:14" x14ac:dyDescent="0.3">
      <c r="A3978" s="42"/>
      <c r="C3978" s="52"/>
      <c r="D3978"/>
      <c r="E3978"/>
      <c r="F3978"/>
      <c r="N3978" s="44"/>
    </row>
    <row r="3979" spans="1:14" x14ac:dyDescent="0.3">
      <c r="A3979" s="42"/>
      <c r="C3979" s="52"/>
      <c r="D3979"/>
      <c r="E3979"/>
      <c r="F3979"/>
      <c r="N3979" s="44"/>
    </row>
    <row r="3980" spans="1:14" x14ac:dyDescent="0.3">
      <c r="A3980" s="42"/>
      <c r="C3980" s="52"/>
      <c r="D3980"/>
      <c r="E3980"/>
      <c r="F3980"/>
      <c r="N3980" s="44"/>
    </row>
    <row r="3981" spans="1:14" x14ac:dyDescent="0.3">
      <c r="A3981" s="42"/>
      <c r="C3981" s="52"/>
      <c r="D3981"/>
      <c r="E3981"/>
      <c r="F3981"/>
      <c r="N3981" s="44"/>
    </row>
    <row r="3982" spans="1:14" x14ac:dyDescent="0.3">
      <c r="A3982" s="42"/>
      <c r="C3982" s="52"/>
      <c r="D3982"/>
      <c r="E3982"/>
      <c r="F3982"/>
      <c r="N3982" s="44"/>
    </row>
    <row r="3983" spans="1:14" x14ac:dyDescent="0.3">
      <c r="A3983" s="42"/>
      <c r="C3983" s="52"/>
      <c r="D3983"/>
      <c r="E3983"/>
      <c r="F3983"/>
      <c r="N3983" s="44"/>
    </row>
    <row r="3984" spans="1:14" x14ac:dyDescent="0.3">
      <c r="A3984" s="42"/>
      <c r="C3984" s="52"/>
      <c r="D3984"/>
      <c r="E3984"/>
      <c r="F3984"/>
      <c r="N3984" s="44"/>
    </row>
    <row r="3985" spans="1:14" x14ac:dyDescent="0.3">
      <c r="A3985" s="42"/>
      <c r="C3985" s="52"/>
      <c r="D3985"/>
      <c r="E3985"/>
      <c r="F3985"/>
      <c r="N3985" s="44"/>
    </row>
    <row r="3986" spans="1:14" x14ac:dyDescent="0.3">
      <c r="A3986" s="42"/>
      <c r="C3986" s="52"/>
      <c r="D3986"/>
      <c r="E3986"/>
      <c r="F3986"/>
      <c r="N3986" s="44"/>
    </row>
    <row r="3987" spans="1:14" x14ac:dyDescent="0.3">
      <c r="A3987" s="42"/>
      <c r="C3987" s="52"/>
      <c r="D3987"/>
      <c r="E3987"/>
      <c r="F3987"/>
      <c r="N3987" s="44"/>
    </row>
    <row r="3988" spans="1:14" x14ac:dyDescent="0.3">
      <c r="A3988" s="42"/>
      <c r="C3988" s="52"/>
      <c r="D3988"/>
      <c r="E3988"/>
      <c r="F3988"/>
      <c r="N3988" s="44"/>
    </row>
    <row r="3989" spans="1:14" x14ac:dyDescent="0.3">
      <c r="A3989" s="42"/>
      <c r="C3989" s="52"/>
      <c r="D3989"/>
      <c r="E3989"/>
      <c r="F3989"/>
      <c r="N3989" s="44"/>
    </row>
    <row r="3990" spans="1:14" x14ac:dyDescent="0.3">
      <c r="A3990" s="42"/>
      <c r="C3990" s="52"/>
      <c r="D3990"/>
      <c r="E3990"/>
      <c r="F3990"/>
      <c r="N3990" s="44"/>
    </row>
    <row r="3991" spans="1:14" x14ac:dyDescent="0.3">
      <c r="A3991" s="42"/>
      <c r="C3991" s="52"/>
      <c r="D3991"/>
      <c r="E3991"/>
      <c r="F3991"/>
      <c r="N3991" s="44"/>
    </row>
    <row r="3992" spans="1:14" x14ac:dyDescent="0.3">
      <c r="A3992" s="42"/>
      <c r="C3992" s="52"/>
      <c r="D3992"/>
      <c r="E3992"/>
      <c r="F3992"/>
      <c r="N3992" s="44"/>
    </row>
    <row r="3993" spans="1:14" x14ac:dyDescent="0.3">
      <c r="A3993" s="42"/>
      <c r="C3993" s="52"/>
      <c r="D3993"/>
      <c r="E3993"/>
      <c r="F3993"/>
      <c r="N3993" s="44"/>
    </row>
    <row r="3994" spans="1:14" x14ac:dyDescent="0.3">
      <c r="A3994" s="42"/>
      <c r="C3994" s="52"/>
      <c r="D3994"/>
      <c r="E3994"/>
      <c r="F3994"/>
      <c r="N3994" s="44"/>
    </row>
    <row r="3995" spans="1:14" x14ac:dyDescent="0.3">
      <c r="A3995" s="42"/>
      <c r="C3995" s="52"/>
      <c r="D3995"/>
      <c r="E3995"/>
      <c r="F3995"/>
      <c r="N3995" s="44"/>
    </row>
    <row r="3996" spans="1:14" x14ac:dyDescent="0.3">
      <c r="A3996" s="42"/>
      <c r="C3996" s="52"/>
      <c r="D3996"/>
      <c r="E3996"/>
      <c r="F3996"/>
      <c r="N3996" s="44"/>
    </row>
    <row r="3997" spans="1:14" x14ac:dyDescent="0.3">
      <c r="A3997" s="42"/>
      <c r="C3997" s="52"/>
      <c r="D3997"/>
      <c r="E3997"/>
      <c r="F3997"/>
      <c r="N3997" s="44"/>
    </row>
    <row r="3998" spans="1:14" x14ac:dyDescent="0.3">
      <c r="A3998" s="42"/>
      <c r="C3998" s="52"/>
      <c r="D3998"/>
      <c r="E3998"/>
      <c r="F3998"/>
      <c r="N3998" s="44"/>
    </row>
    <row r="3999" spans="1:14" x14ac:dyDescent="0.3">
      <c r="A3999" s="42"/>
      <c r="C3999" s="52"/>
      <c r="D3999"/>
      <c r="E3999"/>
      <c r="F3999"/>
      <c r="N3999" s="44"/>
    </row>
    <row r="4000" spans="1:14" x14ac:dyDescent="0.3">
      <c r="A4000" s="42"/>
      <c r="C4000" s="52"/>
      <c r="D4000"/>
      <c r="E4000"/>
      <c r="F4000"/>
      <c r="N4000" s="44"/>
    </row>
    <row r="4001" spans="1:14" x14ac:dyDescent="0.3">
      <c r="A4001" s="42"/>
      <c r="C4001" s="52"/>
      <c r="D4001"/>
      <c r="E4001"/>
      <c r="F4001"/>
      <c r="N4001" s="44"/>
    </row>
    <row r="4002" spans="1:14" x14ac:dyDescent="0.3">
      <c r="A4002" s="42"/>
      <c r="C4002" s="52"/>
      <c r="D4002"/>
      <c r="E4002"/>
      <c r="F4002"/>
      <c r="N4002" s="44"/>
    </row>
    <row r="4003" spans="1:14" x14ac:dyDescent="0.3">
      <c r="A4003" s="42"/>
      <c r="C4003" s="52"/>
      <c r="D4003"/>
      <c r="E4003"/>
      <c r="F4003"/>
      <c r="N4003" s="44"/>
    </row>
    <row r="4004" spans="1:14" x14ac:dyDescent="0.3">
      <c r="A4004" s="42"/>
      <c r="C4004" s="52"/>
      <c r="D4004"/>
      <c r="E4004"/>
      <c r="F4004"/>
      <c r="N4004" s="44"/>
    </row>
    <row r="4005" spans="1:14" x14ac:dyDescent="0.3">
      <c r="A4005" s="42"/>
      <c r="C4005" s="52"/>
      <c r="D4005"/>
      <c r="E4005"/>
      <c r="F4005"/>
      <c r="N4005" s="44"/>
    </row>
    <row r="4006" spans="1:14" x14ac:dyDescent="0.3">
      <c r="A4006" s="42"/>
      <c r="C4006" s="52"/>
      <c r="D4006"/>
      <c r="E4006"/>
      <c r="F4006"/>
      <c r="N4006" s="44"/>
    </row>
    <row r="4007" spans="1:14" x14ac:dyDescent="0.3">
      <c r="A4007" s="42"/>
      <c r="C4007" s="52"/>
      <c r="D4007"/>
      <c r="E4007"/>
      <c r="F4007"/>
      <c r="N4007" s="44"/>
    </row>
    <row r="4008" spans="1:14" x14ac:dyDescent="0.3">
      <c r="A4008" s="42"/>
      <c r="C4008" s="52"/>
      <c r="D4008"/>
      <c r="E4008"/>
      <c r="F4008"/>
      <c r="N4008" s="44"/>
    </row>
    <row r="4009" spans="1:14" x14ac:dyDescent="0.3">
      <c r="A4009" s="42"/>
      <c r="C4009" s="52"/>
      <c r="D4009"/>
      <c r="E4009"/>
      <c r="F4009"/>
      <c r="N4009" s="44"/>
    </row>
    <row r="4010" spans="1:14" x14ac:dyDescent="0.3">
      <c r="A4010" s="42"/>
      <c r="C4010" s="52"/>
      <c r="D4010"/>
      <c r="E4010"/>
      <c r="F4010"/>
      <c r="N4010" s="44"/>
    </row>
    <row r="4011" spans="1:14" x14ac:dyDescent="0.3">
      <c r="A4011" s="42"/>
      <c r="C4011" s="52"/>
      <c r="D4011"/>
      <c r="E4011"/>
      <c r="F4011"/>
      <c r="N4011" s="44"/>
    </row>
    <row r="4012" spans="1:14" x14ac:dyDescent="0.3">
      <c r="A4012" s="42"/>
      <c r="C4012" s="52"/>
      <c r="D4012"/>
      <c r="E4012"/>
      <c r="F4012"/>
      <c r="N4012" s="44"/>
    </row>
    <row r="4013" spans="1:14" x14ac:dyDescent="0.3">
      <c r="A4013" s="42"/>
      <c r="C4013" s="52"/>
      <c r="D4013"/>
      <c r="E4013"/>
      <c r="F4013"/>
      <c r="N4013" s="44"/>
    </row>
    <row r="4014" spans="1:14" x14ac:dyDescent="0.3">
      <c r="A4014" s="42"/>
      <c r="C4014" s="52"/>
      <c r="D4014"/>
      <c r="E4014"/>
      <c r="F4014"/>
      <c r="N4014" s="44"/>
    </row>
    <row r="4015" spans="1:14" x14ac:dyDescent="0.3">
      <c r="A4015" s="42"/>
      <c r="C4015" s="52"/>
      <c r="D4015"/>
      <c r="E4015"/>
      <c r="F4015"/>
      <c r="N4015" s="44"/>
    </row>
    <row r="4016" spans="1:14" x14ac:dyDescent="0.3">
      <c r="A4016" s="42"/>
      <c r="C4016" s="52"/>
      <c r="D4016"/>
      <c r="E4016"/>
      <c r="F4016"/>
      <c r="N4016" s="44"/>
    </row>
    <row r="4017" spans="1:14" x14ac:dyDescent="0.3">
      <c r="A4017" s="42"/>
      <c r="C4017" s="52"/>
      <c r="D4017"/>
      <c r="E4017"/>
      <c r="F4017"/>
      <c r="N4017" s="44"/>
    </row>
    <row r="4018" spans="1:14" x14ac:dyDescent="0.3">
      <c r="A4018" s="42"/>
      <c r="C4018" s="52"/>
      <c r="D4018"/>
      <c r="E4018"/>
      <c r="F4018"/>
      <c r="N4018" s="44"/>
    </row>
    <row r="4019" spans="1:14" x14ac:dyDescent="0.3">
      <c r="A4019" s="42"/>
      <c r="C4019" s="52"/>
      <c r="D4019"/>
      <c r="E4019"/>
      <c r="F4019"/>
      <c r="N4019" s="44"/>
    </row>
    <row r="4020" spans="1:14" x14ac:dyDescent="0.3">
      <c r="A4020" s="42"/>
      <c r="C4020" s="52"/>
      <c r="D4020"/>
      <c r="E4020"/>
      <c r="F4020"/>
      <c r="N4020" s="44"/>
    </row>
    <row r="4021" spans="1:14" x14ac:dyDescent="0.3">
      <c r="A4021" s="42"/>
      <c r="C4021" s="52"/>
      <c r="D4021"/>
      <c r="E4021"/>
      <c r="F4021"/>
      <c r="N4021" s="44"/>
    </row>
    <row r="4022" spans="1:14" x14ac:dyDescent="0.3">
      <c r="A4022" s="42"/>
      <c r="C4022" s="52"/>
      <c r="D4022"/>
      <c r="E4022"/>
      <c r="F4022"/>
      <c r="N4022" s="44"/>
    </row>
    <row r="4023" spans="1:14" x14ac:dyDescent="0.3">
      <c r="A4023" s="42"/>
      <c r="C4023" s="52"/>
      <c r="D4023"/>
      <c r="E4023"/>
      <c r="F4023"/>
      <c r="N4023" s="44"/>
    </row>
    <row r="4024" spans="1:14" x14ac:dyDescent="0.3">
      <c r="A4024" s="42"/>
      <c r="C4024" s="52"/>
      <c r="D4024"/>
      <c r="E4024"/>
      <c r="F4024"/>
      <c r="N4024" s="44"/>
    </row>
    <row r="4025" spans="1:14" x14ac:dyDescent="0.3">
      <c r="A4025" s="42"/>
      <c r="C4025" s="52"/>
      <c r="D4025"/>
      <c r="E4025"/>
      <c r="F4025"/>
      <c r="N4025" s="44"/>
    </row>
    <row r="4026" spans="1:14" x14ac:dyDescent="0.3">
      <c r="A4026" s="42"/>
      <c r="C4026" s="52"/>
      <c r="D4026"/>
      <c r="E4026"/>
      <c r="F4026"/>
      <c r="N4026" s="44"/>
    </row>
    <row r="4027" spans="1:14" x14ac:dyDescent="0.3">
      <c r="A4027" s="42"/>
      <c r="C4027" s="52"/>
      <c r="D4027"/>
      <c r="E4027"/>
      <c r="F4027"/>
      <c r="N4027" s="44"/>
    </row>
    <row r="4028" spans="1:14" x14ac:dyDescent="0.3">
      <c r="A4028" s="42"/>
      <c r="C4028" s="52"/>
      <c r="D4028"/>
      <c r="E4028"/>
      <c r="F4028"/>
      <c r="N4028" s="44"/>
    </row>
    <row r="4029" spans="1:14" x14ac:dyDescent="0.3">
      <c r="A4029" s="42"/>
      <c r="C4029" s="52"/>
      <c r="D4029"/>
      <c r="E4029"/>
      <c r="F4029"/>
      <c r="N4029" s="44"/>
    </row>
    <row r="4030" spans="1:14" x14ac:dyDescent="0.3">
      <c r="A4030" s="42"/>
      <c r="C4030" s="52"/>
      <c r="D4030"/>
      <c r="E4030"/>
      <c r="F4030"/>
      <c r="N4030" s="44"/>
    </row>
    <row r="4031" spans="1:14" x14ac:dyDescent="0.3">
      <c r="A4031" s="42"/>
      <c r="C4031" s="52"/>
      <c r="D4031"/>
      <c r="E4031"/>
      <c r="F4031"/>
      <c r="N4031" s="44"/>
    </row>
    <row r="4032" spans="1:14" x14ac:dyDescent="0.3">
      <c r="A4032" s="42"/>
      <c r="C4032" s="52"/>
      <c r="D4032"/>
      <c r="E4032"/>
      <c r="F4032"/>
      <c r="N4032" s="44"/>
    </row>
    <row r="4033" spans="1:14" x14ac:dyDescent="0.3">
      <c r="A4033" s="42"/>
      <c r="C4033" s="52"/>
      <c r="D4033"/>
      <c r="E4033"/>
      <c r="F4033"/>
      <c r="N4033" s="44"/>
    </row>
    <row r="4034" spans="1:14" x14ac:dyDescent="0.3">
      <c r="A4034" s="42"/>
      <c r="C4034" s="52"/>
      <c r="D4034"/>
      <c r="E4034"/>
      <c r="F4034"/>
      <c r="N4034" s="44"/>
    </row>
    <row r="4035" spans="1:14" x14ac:dyDescent="0.3">
      <c r="A4035" s="42"/>
      <c r="C4035" s="52"/>
      <c r="D4035"/>
      <c r="E4035"/>
      <c r="F4035"/>
      <c r="N4035" s="44"/>
    </row>
    <row r="4036" spans="1:14" x14ac:dyDescent="0.3">
      <c r="A4036" s="42"/>
      <c r="C4036" s="52"/>
      <c r="D4036"/>
      <c r="E4036"/>
      <c r="F4036"/>
      <c r="N4036" s="44"/>
    </row>
    <row r="4037" spans="1:14" x14ac:dyDescent="0.3">
      <c r="A4037" s="42"/>
      <c r="C4037" s="52"/>
      <c r="D4037"/>
      <c r="E4037"/>
      <c r="F4037"/>
      <c r="N4037" s="44"/>
    </row>
    <row r="4038" spans="1:14" x14ac:dyDescent="0.3">
      <c r="A4038" s="42"/>
      <c r="C4038" s="52"/>
      <c r="D4038"/>
      <c r="E4038"/>
      <c r="F4038"/>
      <c r="N4038" s="44"/>
    </row>
    <row r="4039" spans="1:14" x14ac:dyDescent="0.3">
      <c r="A4039" s="42"/>
      <c r="C4039" s="52"/>
      <c r="D4039"/>
      <c r="E4039"/>
      <c r="F4039"/>
      <c r="N4039" s="44"/>
    </row>
    <row r="4040" spans="1:14" x14ac:dyDescent="0.3">
      <c r="A4040" s="42"/>
      <c r="C4040" s="52"/>
      <c r="D4040"/>
      <c r="E4040"/>
      <c r="F4040"/>
      <c r="N4040" s="44"/>
    </row>
    <row r="4041" spans="1:14" x14ac:dyDescent="0.3">
      <c r="A4041" s="42"/>
      <c r="C4041" s="52"/>
      <c r="D4041"/>
      <c r="E4041"/>
      <c r="F4041"/>
      <c r="N4041" s="44"/>
    </row>
    <row r="4042" spans="1:14" x14ac:dyDescent="0.3">
      <c r="A4042" s="42"/>
      <c r="C4042" s="52"/>
      <c r="D4042"/>
      <c r="E4042"/>
      <c r="F4042"/>
      <c r="N4042" s="44"/>
    </row>
    <row r="4043" spans="1:14" x14ac:dyDescent="0.3">
      <c r="A4043" s="42"/>
      <c r="C4043" s="52"/>
      <c r="D4043"/>
      <c r="E4043"/>
      <c r="F4043"/>
      <c r="N4043" s="44"/>
    </row>
    <row r="4044" spans="1:14" x14ac:dyDescent="0.3">
      <c r="A4044" s="42"/>
      <c r="C4044" s="52"/>
      <c r="D4044"/>
      <c r="E4044"/>
      <c r="F4044"/>
      <c r="N4044" s="44"/>
    </row>
    <row r="4045" spans="1:14" x14ac:dyDescent="0.3">
      <c r="A4045" s="42"/>
      <c r="C4045" s="52"/>
      <c r="D4045"/>
      <c r="E4045"/>
      <c r="F4045"/>
      <c r="N4045" s="44"/>
    </row>
    <row r="4046" spans="1:14" x14ac:dyDescent="0.3">
      <c r="A4046" s="42"/>
      <c r="C4046" s="52"/>
      <c r="D4046"/>
      <c r="E4046"/>
      <c r="F4046"/>
      <c r="N4046" s="44"/>
    </row>
    <row r="4047" spans="1:14" x14ac:dyDescent="0.3">
      <c r="A4047" s="42"/>
      <c r="C4047" s="52"/>
      <c r="D4047"/>
      <c r="E4047"/>
      <c r="F4047"/>
      <c r="N4047" s="44"/>
    </row>
    <row r="4048" spans="1:14" x14ac:dyDescent="0.3">
      <c r="A4048" s="42"/>
      <c r="C4048" s="52"/>
      <c r="D4048"/>
      <c r="E4048"/>
      <c r="F4048"/>
      <c r="N4048" s="44"/>
    </row>
    <row r="4049" spans="1:14" x14ac:dyDescent="0.3">
      <c r="A4049" s="42"/>
      <c r="C4049" s="52"/>
      <c r="D4049"/>
      <c r="E4049"/>
      <c r="F4049"/>
      <c r="N4049" s="44"/>
    </row>
    <row r="4050" spans="1:14" x14ac:dyDescent="0.3">
      <c r="A4050" s="42"/>
      <c r="C4050" s="52"/>
      <c r="D4050"/>
      <c r="E4050"/>
      <c r="F4050"/>
      <c r="N4050" s="44"/>
    </row>
    <row r="4051" spans="1:14" x14ac:dyDescent="0.3">
      <c r="A4051" s="42"/>
      <c r="C4051" s="52"/>
      <c r="D4051"/>
      <c r="E4051"/>
      <c r="F4051"/>
      <c r="N4051" s="44"/>
    </row>
    <row r="4052" spans="1:14" x14ac:dyDescent="0.3">
      <c r="A4052" s="42"/>
      <c r="C4052" s="52"/>
      <c r="D4052"/>
      <c r="E4052"/>
      <c r="F4052"/>
      <c r="N4052" s="44"/>
    </row>
    <row r="4053" spans="1:14" x14ac:dyDescent="0.3">
      <c r="A4053" s="42"/>
      <c r="C4053" s="52"/>
      <c r="D4053"/>
      <c r="E4053"/>
      <c r="F4053"/>
      <c r="N4053" s="44"/>
    </row>
    <row r="4054" spans="1:14" x14ac:dyDescent="0.3">
      <c r="A4054" s="42"/>
      <c r="C4054" s="52"/>
      <c r="D4054"/>
      <c r="E4054"/>
      <c r="F4054"/>
      <c r="N4054" s="44"/>
    </row>
    <row r="4055" spans="1:14" x14ac:dyDescent="0.3">
      <c r="A4055" s="42"/>
      <c r="C4055" s="52"/>
      <c r="D4055"/>
      <c r="E4055"/>
      <c r="F4055"/>
      <c r="N4055" s="44"/>
    </row>
    <row r="4056" spans="1:14" x14ac:dyDescent="0.3">
      <c r="A4056" s="42"/>
      <c r="C4056" s="52"/>
      <c r="D4056"/>
      <c r="E4056"/>
      <c r="F4056"/>
      <c r="N4056" s="44"/>
    </row>
    <row r="4057" spans="1:14" x14ac:dyDescent="0.3">
      <c r="A4057" s="42"/>
      <c r="C4057" s="52"/>
      <c r="D4057"/>
      <c r="E4057"/>
      <c r="F4057"/>
      <c r="N4057" s="44"/>
    </row>
    <row r="4058" spans="1:14" x14ac:dyDescent="0.3">
      <c r="A4058" s="42"/>
      <c r="C4058" s="52"/>
      <c r="D4058"/>
      <c r="E4058"/>
      <c r="F4058"/>
      <c r="N4058" s="44"/>
    </row>
    <row r="4059" spans="1:14" x14ac:dyDescent="0.3">
      <c r="A4059" s="42"/>
      <c r="C4059" s="52"/>
      <c r="D4059"/>
      <c r="E4059"/>
      <c r="F4059"/>
      <c r="N4059" s="44"/>
    </row>
    <row r="4060" spans="1:14" x14ac:dyDescent="0.3">
      <c r="A4060" s="42"/>
      <c r="C4060" s="52"/>
      <c r="D4060"/>
      <c r="E4060"/>
      <c r="F4060"/>
      <c r="N4060" s="44"/>
    </row>
    <row r="4061" spans="1:14" x14ac:dyDescent="0.3">
      <c r="A4061" s="42"/>
      <c r="C4061" s="52"/>
      <c r="D4061"/>
      <c r="E4061"/>
      <c r="F4061"/>
      <c r="N4061" s="44"/>
    </row>
    <row r="4062" spans="1:14" x14ac:dyDescent="0.3">
      <c r="A4062" s="42"/>
      <c r="C4062" s="52"/>
      <c r="D4062"/>
      <c r="E4062"/>
      <c r="F4062"/>
      <c r="N4062" s="44"/>
    </row>
    <row r="4063" spans="1:14" x14ac:dyDescent="0.3">
      <c r="A4063" s="42"/>
      <c r="C4063" s="52"/>
      <c r="D4063"/>
      <c r="E4063"/>
      <c r="F4063"/>
      <c r="N4063" s="44"/>
    </row>
    <row r="4064" spans="1:14" x14ac:dyDescent="0.3">
      <c r="A4064" s="42"/>
      <c r="C4064" s="52"/>
      <c r="D4064"/>
      <c r="E4064"/>
      <c r="F4064"/>
      <c r="N4064" s="44"/>
    </row>
    <row r="4065" spans="1:14" x14ac:dyDescent="0.3">
      <c r="A4065" s="42"/>
      <c r="C4065" s="52"/>
      <c r="D4065"/>
      <c r="E4065"/>
      <c r="F4065"/>
      <c r="N4065" s="44"/>
    </row>
    <row r="4066" spans="1:14" x14ac:dyDescent="0.3">
      <c r="A4066" s="42"/>
      <c r="C4066" s="52"/>
      <c r="D4066"/>
      <c r="E4066"/>
      <c r="F4066"/>
      <c r="N4066" s="44"/>
    </row>
    <row r="4067" spans="1:14" x14ac:dyDescent="0.3">
      <c r="A4067" s="42"/>
      <c r="C4067" s="52"/>
      <c r="D4067"/>
      <c r="E4067"/>
      <c r="F4067"/>
      <c r="N4067" s="44"/>
    </row>
    <row r="4068" spans="1:14" x14ac:dyDescent="0.3">
      <c r="A4068" s="42"/>
      <c r="C4068" s="52"/>
      <c r="D4068"/>
      <c r="E4068"/>
      <c r="F4068"/>
      <c r="N4068" s="44"/>
    </row>
    <row r="4069" spans="1:14" x14ac:dyDescent="0.3">
      <c r="A4069" s="42"/>
      <c r="C4069" s="52"/>
      <c r="D4069"/>
      <c r="E4069"/>
      <c r="F4069"/>
      <c r="N4069" s="44"/>
    </row>
    <row r="4070" spans="1:14" x14ac:dyDescent="0.3">
      <c r="A4070" s="42"/>
      <c r="C4070" s="52"/>
      <c r="D4070"/>
      <c r="E4070"/>
      <c r="F4070"/>
      <c r="N4070" s="44"/>
    </row>
    <row r="4071" spans="1:14" x14ac:dyDescent="0.3">
      <c r="A4071" s="42"/>
      <c r="C4071" s="52"/>
      <c r="D4071"/>
      <c r="E4071"/>
      <c r="F4071"/>
      <c r="N4071" s="44"/>
    </row>
    <row r="4072" spans="1:14" x14ac:dyDescent="0.3">
      <c r="A4072" s="42"/>
      <c r="C4072" s="52"/>
      <c r="D4072"/>
      <c r="E4072"/>
      <c r="F4072"/>
      <c r="N4072" s="44"/>
    </row>
    <row r="4073" spans="1:14" x14ac:dyDescent="0.3">
      <c r="A4073" s="42"/>
      <c r="C4073" s="52"/>
      <c r="D4073"/>
      <c r="E4073"/>
      <c r="F4073"/>
      <c r="N4073" s="44"/>
    </row>
    <row r="4074" spans="1:14" x14ac:dyDescent="0.3">
      <c r="A4074" s="42"/>
      <c r="C4074" s="52"/>
      <c r="D4074"/>
      <c r="E4074"/>
      <c r="F4074"/>
      <c r="N4074" s="44"/>
    </row>
    <row r="4075" spans="1:14" x14ac:dyDescent="0.3">
      <c r="A4075" s="42"/>
      <c r="C4075" s="52"/>
      <c r="D4075"/>
      <c r="E4075"/>
      <c r="F4075"/>
      <c r="N4075" s="44"/>
    </row>
    <row r="4076" spans="1:14" x14ac:dyDescent="0.3">
      <c r="A4076" s="42"/>
      <c r="C4076" s="52"/>
      <c r="D4076"/>
      <c r="E4076"/>
      <c r="F4076"/>
      <c r="N4076" s="44"/>
    </row>
    <row r="4077" spans="1:14" x14ac:dyDescent="0.3">
      <c r="A4077" s="42"/>
      <c r="C4077" s="52"/>
      <c r="D4077"/>
      <c r="E4077"/>
      <c r="F4077"/>
      <c r="N4077" s="44"/>
    </row>
    <row r="4078" spans="1:14" x14ac:dyDescent="0.3">
      <c r="A4078" s="42"/>
      <c r="C4078" s="52"/>
      <c r="D4078"/>
      <c r="E4078"/>
      <c r="F4078"/>
      <c r="N4078" s="44"/>
    </row>
    <row r="4079" spans="1:14" x14ac:dyDescent="0.3">
      <c r="A4079" s="42"/>
      <c r="C4079" s="52"/>
      <c r="D4079"/>
      <c r="E4079"/>
      <c r="F4079"/>
      <c r="N4079" s="44"/>
    </row>
    <row r="4080" spans="1:14" x14ac:dyDescent="0.3">
      <c r="A4080" s="42"/>
      <c r="C4080" s="52"/>
      <c r="D4080"/>
      <c r="E4080"/>
      <c r="F4080"/>
      <c r="N4080" s="44"/>
    </row>
    <row r="4081" spans="1:14" x14ac:dyDescent="0.3">
      <c r="A4081" s="42"/>
      <c r="C4081" s="52"/>
      <c r="D4081"/>
      <c r="E4081"/>
      <c r="F4081"/>
      <c r="N4081" s="44"/>
    </row>
    <row r="4082" spans="1:14" x14ac:dyDescent="0.3">
      <c r="A4082" s="42"/>
      <c r="C4082" s="52"/>
      <c r="D4082"/>
      <c r="E4082"/>
      <c r="F4082"/>
      <c r="N4082" s="44"/>
    </row>
    <row r="4083" spans="1:14" x14ac:dyDescent="0.3">
      <c r="A4083" s="42"/>
      <c r="C4083" s="52"/>
      <c r="D4083"/>
      <c r="E4083"/>
      <c r="F4083"/>
      <c r="N4083" s="44"/>
    </row>
    <row r="4084" spans="1:14" x14ac:dyDescent="0.3">
      <c r="A4084" s="42"/>
      <c r="C4084" s="52"/>
      <c r="D4084"/>
      <c r="E4084"/>
      <c r="F4084"/>
      <c r="N4084" s="44"/>
    </row>
    <row r="4085" spans="1:14" x14ac:dyDescent="0.3">
      <c r="A4085" s="42"/>
      <c r="C4085" s="52"/>
      <c r="D4085"/>
      <c r="E4085"/>
      <c r="F4085"/>
      <c r="N4085" s="44"/>
    </row>
    <row r="4086" spans="1:14" x14ac:dyDescent="0.3">
      <c r="A4086" s="42"/>
      <c r="C4086" s="52"/>
      <c r="D4086"/>
      <c r="E4086"/>
      <c r="F4086"/>
      <c r="N4086" s="44"/>
    </row>
    <row r="4087" spans="1:14" x14ac:dyDescent="0.3">
      <c r="A4087" s="42"/>
      <c r="C4087" s="52"/>
      <c r="D4087"/>
      <c r="E4087"/>
      <c r="F4087"/>
      <c r="N4087" s="44"/>
    </row>
    <row r="4088" spans="1:14" x14ac:dyDescent="0.3">
      <c r="A4088" s="42"/>
      <c r="C4088" s="52"/>
      <c r="D4088"/>
      <c r="E4088"/>
      <c r="F4088"/>
      <c r="N4088" s="44"/>
    </row>
    <row r="4089" spans="1:14" x14ac:dyDescent="0.3">
      <c r="A4089" s="42"/>
      <c r="C4089" s="52"/>
      <c r="D4089"/>
      <c r="E4089"/>
      <c r="F4089"/>
      <c r="N4089" s="44"/>
    </row>
    <row r="4090" spans="1:14" x14ac:dyDescent="0.3">
      <c r="A4090" s="42"/>
      <c r="C4090" s="52"/>
      <c r="D4090"/>
      <c r="E4090"/>
      <c r="F4090"/>
      <c r="N4090" s="44"/>
    </row>
    <row r="4091" spans="1:14" x14ac:dyDescent="0.3">
      <c r="A4091" s="42"/>
      <c r="C4091" s="52"/>
      <c r="D4091"/>
      <c r="E4091"/>
      <c r="F4091"/>
      <c r="N4091" s="44"/>
    </row>
    <row r="4092" spans="1:14" x14ac:dyDescent="0.3">
      <c r="A4092" s="42"/>
      <c r="C4092" s="52"/>
      <c r="D4092"/>
      <c r="E4092"/>
      <c r="F4092"/>
      <c r="N4092" s="44"/>
    </row>
    <row r="4093" spans="1:14" x14ac:dyDescent="0.3">
      <c r="A4093" s="42"/>
      <c r="C4093" s="52"/>
      <c r="D4093"/>
      <c r="E4093"/>
      <c r="F4093"/>
      <c r="N4093" s="44"/>
    </row>
    <row r="4094" spans="1:14" x14ac:dyDescent="0.3">
      <c r="A4094" s="42"/>
      <c r="C4094" s="52"/>
      <c r="D4094"/>
      <c r="E4094"/>
      <c r="F4094"/>
      <c r="N4094" s="44"/>
    </row>
    <row r="4095" spans="1:14" x14ac:dyDescent="0.3">
      <c r="A4095" s="42"/>
      <c r="C4095" s="52"/>
      <c r="D4095"/>
      <c r="E4095"/>
      <c r="F4095"/>
      <c r="N4095" s="44"/>
    </row>
    <row r="4096" spans="1:14" x14ac:dyDescent="0.3">
      <c r="A4096" s="42"/>
      <c r="C4096" s="52"/>
      <c r="D4096"/>
      <c r="E4096"/>
      <c r="F4096"/>
      <c r="N4096" s="44"/>
    </row>
    <row r="4097" spans="1:14" x14ac:dyDescent="0.3">
      <c r="A4097" s="42"/>
      <c r="C4097" s="52"/>
      <c r="D4097"/>
      <c r="E4097"/>
      <c r="F4097"/>
      <c r="N4097" s="44"/>
    </row>
    <row r="4098" spans="1:14" x14ac:dyDescent="0.3">
      <c r="A4098" s="42"/>
      <c r="C4098" s="52"/>
      <c r="D4098"/>
      <c r="E4098"/>
      <c r="F4098"/>
      <c r="N4098" s="44"/>
    </row>
    <row r="4099" spans="1:14" x14ac:dyDescent="0.3">
      <c r="A4099" s="42"/>
      <c r="C4099" s="52"/>
      <c r="D4099"/>
      <c r="E4099"/>
      <c r="F4099"/>
      <c r="N4099" s="44"/>
    </row>
    <row r="4100" spans="1:14" x14ac:dyDescent="0.3">
      <c r="A4100" s="42"/>
      <c r="C4100" s="52"/>
      <c r="D4100"/>
      <c r="E4100"/>
      <c r="F4100"/>
      <c r="N4100" s="44"/>
    </row>
    <row r="4101" spans="1:14" x14ac:dyDescent="0.3">
      <c r="A4101" s="42"/>
      <c r="C4101" s="52"/>
      <c r="D4101"/>
      <c r="E4101"/>
      <c r="F4101"/>
      <c r="N4101" s="44"/>
    </row>
    <row r="4102" spans="1:14" x14ac:dyDescent="0.3">
      <c r="A4102" s="42"/>
      <c r="C4102" s="52"/>
      <c r="D4102"/>
      <c r="E4102"/>
      <c r="F4102"/>
      <c r="N4102" s="44"/>
    </row>
    <row r="4103" spans="1:14" x14ac:dyDescent="0.3">
      <c r="A4103" s="42"/>
      <c r="C4103" s="52"/>
      <c r="D4103"/>
      <c r="E4103"/>
      <c r="F4103"/>
      <c r="N4103" s="44"/>
    </row>
    <row r="4104" spans="1:14" x14ac:dyDescent="0.3">
      <c r="A4104" s="42"/>
      <c r="C4104" s="52"/>
      <c r="D4104"/>
      <c r="E4104"/>
      <c r="F4104"/>
      <c r="N4104" s="44"/>
    </row>
    <row r="4105" spans="1:14" x14ac:dyDescent="0.3">
      <c r="A4105" s="42"/>
      <c r="C4105" s="52"/>
      <c r="D4105"/>
      <c r="E4105"/>
      <c r="F4105"/>
      <c r="N4105" s="44"/>
    </row>
    <row r="4106" spans="1:14" x14ac:dyDescent="0.3">
      <c r="A4106" s="42"/>
      <c r="C4106" s="52"/>
      <c r="D4106"/>
      <c r="E4106"/>
      <c r="F4106"/>
      <c r="N4106" s="44"/>
    </row>
    <row r="4107" spans="1:14" x14ac:dyDescent="0.3">
      <c r="A4107" s="42"/>
      <c r="C4107" s="52"/>
      <c r="D4107"/>
      <c r="E4107"/>
      <c r="F4107"/>
      <c r="N4107" s="44"/>
    </row>
    <row r="4108" spans="1:14" x14ac:dyDescent="0.3">
      <c r="A4108" s="42"/>
      <c r="C4108" s="52"/>
      <c r="D4108"/>
      <c r="E4108"/>
      <c r="F4108"/>
      <c r="N4108" s="44"/>
    </row>
    <row r="4109" spans="1:14" x14ac:dyDescent="0.3">
      <c r="A4109" s="42"/>
      <c r="C4109" s="52"/>
      <c r="D4109"/>
      <c r="E4109"/>
      <c r="F4109"/>
      <c r="N4109" s="44"/>
    </row>
    <row r="4110" spans="1:14" x14ac:dyDescent="0.3">
      <c r="A4110" s="42"/>
      <c r="C4110" s="52"/>
      <c r="D4110"/>
      <c r="E4110"/>
      <c r="F4110"/>
      <c r="N4110" s="44"/>
    </row>
    <row r="4111" spans="1:14" x14ac:dyDescent="0.3">
      <c r="A4111" s="42"/>
      <c r="C4111" s="52"/>
      <c r="D4111"/>
      <c r="E4111"/>
      <c r="F4111"/>
      <c r="N4111" s="44"/>
    </row>
    <row r="4112" spans="1:14" x14ac:dyDescent="0.3">
      <c r="A4112" s="42"/>
      <c r="C4112" s="52"/>
      <c r="D4112"/>
      <c r="E4112"/>
      <c r="F4112"/>
      <c r="N4112" s="44"/>
    </row>
    <row r="4113" spans="1:14" x14ac:dyDescent="0.3">
      <c r="A4113" s="42"/>
      <c r="C4113" s="52"/>
      <c r="D4113"/>
      <c r="E4113"/>
      <c r="F4113"/>
      <c r="N4113" s="44"/>
    </row>
    <row r="4114" spans="1:14" x14ac:dyDescent="0.3">
      <c r="A4114" s="42"/>
      <c r="C4114" s="52"/>
      <c r="D4114"/>
      <c r="E4114"/>
      <c r="F4114"/>
      <c r="N4114" s="44"/>
    </row>
    <row r="4115" spans="1:14" x14ac:dyDescent="0.3">
      <c r="A4115" s="42"/>
      <c r="C4115" s="52"/>
      <c r="D4115"/>
      <c r="E4115"/>
      <c r="F4115"/>
      <c r="N4115" s="44"/>
    </row>
    <row r="4116" spans="1:14" x14ac:dyDescent="0.3">
      <c r="A4116" s="42"/>
      <c r="C4116" s="52"/>
      <c r="D4116"/>
      <c r="E4116"/>
      <c r="F4116"/>
      <c r="N4116" s="44"/>
    </row>
    <row r="4117" spans="1:14" x14ac:dyDescent="0.3">
      <c r="A4117" s="42"/>
      <c r="C4117" s="52"/>
      <c r="D4117"/>
      <c r="E4117"/>
      <c r="F4117"/>
      <c r="N4117" s="44"/>
    </row>
    <row r="4118" spans="1:14" x14ac:dyDescent="0.3">
      <c r="A4118" s="42"/>
      <c r="C4118" s="52"/>
      <c r="D4118"/>
      <c r="E4118"/>
      <c r="F4118"/>
      <c r="N4118" s="44"/>
    </row>
    <row r="4119" spans="1:14" x14ac:dyDescent="0.3">
      <c r="A4119" s="42"/>
      <c r="C4119" s="52"/>
      <c r="D4119"/>
      <c r="E4119"/>
      <c r="F4119"/>
      <c r="N4119" s="44"/>
    </row>
    <row r="4120" spans="1:14" x14ac:dyDescent="0.3">
      <c r="A4120" s="42"/>
      <c r="C4120" s="52"/>
      <c r="D4120"/>
      <c r="E4120"/>
      <c r="F4120"/>
      <c r="N4120" s="44"/>
    </row>
    <row r="4121" spans="1:14" x14ac:dyDescent="0.3">
      <c r="A4121" s="42"/>
      <c r="C4121" s="52"/>
      <c r="D4121"/>
      <c r="E4121"/>
      <c r="F4121"/>
      <c r="N4121" s="44"/>
    </row>
    <row r="4122" spans="1:14" x14ac:dyDescent="0.3">
      <c r="A4122" s="42"/>
      <c r="C4122" s="52"/>
      <c r="D4122"/>
      <c r="E4122"/>
      <c r="F4122"/>
      <c r="N4122" s="44"/>
    </row>
    <row r="4123" spans="1:14" x14ac:dyDescent="0.3">
      <c r="A4123" s="42"/>
      <c r="C4123" s="52"/>
      <c r="D4123"/>
      <c r="E4123"/>
      <c r="F4123"/>
      <c r="N4123" s="44"/>
    </row>
    <row r="4124" spans="1:14" x14ac:dyDescent="0.3">
      <c r="A4124" s="42"/>
      <c r="C4124" s="52"/>
      <c r="D4124"/>
      <c r="E4124"/>
      <c r="F4124"/>
      <c r="N4124" s="44"/>
    </row>
    <row r="4125" spans="1:14" x14ac:dyDescent="0.3">
      <c r="A4125" s="42"/>
      <c r="C4125" s="52"/>
      <c r="D4125"/>
      <c r="E4125"/>
      <c r="F4125"/>
      <c r="N4125" s="44"/>
    </row>
    <row r="4126" spans="1:14" x14ac:dyDescent="0.3">
      <c r="A4126" s="42"/>
      <c r="C4126" s="52"/>
      <c r="D4126"/>
      <c r="E4126"/>
      <c r="F4126"/>
      <c r="N4126" s="44"/>
    </row>
    <row r="4127" spans="1:14" x14ac:dyDescent="0.3">
      <c r="A4127" s="42"/>
      <c r="C4127" s="52"/>
      <c r="D4127"/>
      <c r="E4127"/>
      <c r="F4127"/>
      <c r="N4127" s="44"/>
    </row>
    <row r="4128" spans="1:14" x14ac:dyDescent="0.3">
      <c r="A4128" s="42"/>
      <c r="C4128" s="52"/>
      <c r="D4128"/>
      <c r="E4128"/>
      <c r="F4128"/>
      <c r="N4128" s="44"/>
    </row>
    <row r="4129" spans="1:14" x14ac:dyDescent="0.3">
      <c r="A4129" s="42"/>
      <c r="C4129" s="52"/>
      <c r="D4129"/>
      <c r="E4129"/>
      <c r="F4129"/>
      <c r="N4129" s="44"/>
    </row>
    <row r="4130" spans="1:14" x14ac:dyDescent="0.3">
      <c r="A4130" s="42"/>
      <c r="C4130" s="52"/>
      <c r="D4130"/>
      <c r="E4130"/>
      <c r="F4130"/>
      <c r="N4130" s="44"/>
    </row>
    <row r="4131" spans="1:14" x14ac:dyDescent="0.3">
      <c r="A4131" s="42"/>
      <c r="C4131" s="52"/>
      <c r="D4131"/>
      <c r="E4131"/>
      <c r="F4131"/>
      <c r="N4131" s="44"/>
    </row>
    <row r="4132" spans="1:14" x14ac:dyDescent="0.3">
      <c r="A4132" s="42"/>
      <c r="C4132" s="52"/>
      <c r="D4132"/>
      <c r="E4132"/>
      <c r="F4132"/>
      <c r="N4132" s="44"/>
    </row>
    <row r="4133" spans="1:14" x14ac:dyDescent="0.3">
      <c r="A4133" s="42"/>
      <c r="C4133" s="52"/>
      <c r="D4133"/>
      <c r="E4133"/>
      <c r="F4133"/>
      <c r="N4133" s="44"/>
    </row>
    <row r="4134" spans="1:14" x14ac:dyDescent="0.3">
      <c r="A4134" s="42"/>
      <c r="C4134" s="52"/>
      <c r="D4134"/>
      <c r="E4134"/>
      <c r="F4134"/>
      <c r="N4134" s="44"/>
    </row>
    <row r="4135" spans="1:14" x14ac:dyDescent="0.3">
      <c r="A4135" s="42"/>
      <c r="C4135" s="52"/>
      <c r="D4135"/>
      <c r="E4135"/>
      <c r="F4135"/>
      <c r="N4135" s="44"/>
    </row>
    <row r="4136" spans="1:14" x14ac:dyDescent="0.3">
      <c r="A4136" s="42"/>
      <c r="C4136" s="52"/>
      <c r="D4136"/>
      <c r="E4136"/>
      <c r="F4136"/>
      <c r="N4136" s="44"/>
    </row>
    <row r="4137" spans="1:14" x14ac:dyDescent="0.3">
      <c r="A4137" s="42"/>
      <c r="C4137" s="52"/>
      <c r="D4137"/>
      <c r="E4137"/>
      <c r="F4137"/>
      <c r="N4137" s="44"/>
    </row>
    <row r="4138" spans="1:14" x14ac:dyDescent="0.3">
      <c r="A4138" s="42"/>
      <c r="C4138" s="52"/>
      <c r="D4138"/>
      <c r="E4138"/>
      <c r="F4138"/>
      <c r="N4138" s="44"/>
    </row>
    <row r="4139" spans="1:14" x14ac:dyDescent="0.3">
      <c r="A4139" s="42"/>
      <c r="C4139" s="52"/>
      <c r="D4139"/>
      <c r="E4139"/>
      <c r="F4139"/>
      <c r="N4139" s="44"/>
    </row>
    <row r="4140" spans="1:14" x14ac:dyDescent="0.3">
      <c r="A4140" s="42"/>
      <c r="C4140" s="52"/>
      <c r="D4140"/>
      <c r="E4140"/>
      <c r="F4140"/>
      <c r="N4140" s="44"/>
    </row>
    <row r="4141" spans="1:14" x14ac:dyDescent="0.3">
      <c r="A4141" s="42"/>
      <c r="C4141" s="52"/>
      <c r="D4141"/>
      <c r="E4141"/>
      <c r="F4141"/>
      <c r="N4141" s="44"/>
    </row>
    <row r="4142" spans="1:14" x14ac:dyDescent="0.3">
      <c r="A4142" s="42"/>
      <c r="C4142" s="52"/>
      <c r="D4142"/>
      <c r="E4142"/>
      <c r="F4142"/>
      <c r="N4142" s="44"/>
    </row>
    <row r="4143" spans="1:14" x14ac:dyDescent="0.3">
      <c r="A4143" s="42"/>
      <c r="C4143" s="52"/>
      <c r="D4143"/>
      <c r="E4143"/>
      <c r="F4143"/>
      <c r="N4143" s="44"/>
    </row>
    <row r="4144" spans="1:14" x14ac:dyDescent="0.3">
      <c r="A4144" s="42"/>
      <c r="C4144" s="52"/>
      <c r="D4144"/>
      <c r="E4144"/>
      <c r="F4144"/>
      <c r="N4144" s="44"/>
    </row>
    <row r="4145" spans="1:14" x14ac:dyDescent="0.3">
      <c r="A4145" s="42"/>
      <c r="C4145" s="52"/>
      <c r="D4145"/>
      <c r="E4145"/>
      <c r="F4145"/>
      <c r="N4145" s="44"/>
    </row>
    <row r="4146" spans="1:14" x14ac:dyDescent="0.3">
      <c r="A4146" s="42"/>
      <c r="C4146" s="52"/>
      <c r="D4146"/>
      <c r="E4146"/>
      <c r="F4146"/>
      <c r="N4146" s="44"/>
    </row>
    <row r="4147" spans="1:14" x14ac:dyDescent="0.3">
      <c r="A4147" s="42"/>
      <c r="C4147" s="52"/>
      <c r="D4147"/>
      <c r="E4147"/>
      <c r="F4147"/>
      <c r="N4147" s="44"/>
    </row>
    <row r="4148" spans="1:14" x14ac:dyDescent="0.3">
      <c r="A4148" s="42"/>
      <c r="C4148" s="52"/>
      <c r="D4148"/>
      <c r="E4148"/>
      <c r="F4148"/>
      <c r="N4148" s="44"/>
    </row>
    <row r="4149" spans="1:14" x14ac:dyDescent="0.3">
      <c r="A4149" s="42"/>
      <c r="C4149" s="52"/>
      <c r="D4149"/>
      <c r="E4149"/>
      <c r="F4149"/>
      <c r="N4149" s="44"/>
    </row>
    <row r="4150" spans="1:14" x14ac:dyDescent="0.3">
      <c r="A4150" s="42"/>
      <c r="C4150" s="52"/>
      <c r="D4150"/>
      <c r="E4150"/>
      <c r="F4150"/>
      <c r="N4150" s="44"/>
    </row>
    <row r="4151" spans="1:14" x14ac:dyDescent="0.3">
      <c r="A4151" s="42"/>
      <c r="C4151" s="52"/>
      <c r="D4151"/>
      <c r="E4151"/>
      <c r="F4151"/>
      <c r="N4151" s="44"/>
    </row>
    <row r="4152" spans="1:14" x14ac:dyDescent="0.3">
      <c r="A4152" s="42"/>
      <c r="C4152" s="52"/>
      <c r="D4152"/>
      <c r="E4152"/>
      <c r="F4152"/>
      <c r="N4152" s="44"/>
    </row>
    <row r="4153" spans="1:14" x14ac:dyDescent="0.3">
      <c r="A4153" s="42"/>
      <c r="C4153" s="52"/>
      <c r="D4153"/>
      <c r="E4153"/>
      <c r="F4153"/>
      <c r="N4153" s="44"/>
    </row>
    <row r="4154" spans="1:14" x14ac:dyDescent="0.3">
      <c r="A4154" s="42"/>
      <c r="C4154" s="52"/>
      <c r="D4154"/>
      <c r="E4154"/>
      <c r="F4154"/>
      <c r="N4154" s="44"/>
    </row>
    <row r="4155" spans="1:14" x14ac:dyDescent="0.3">
      <c r="A4155" s="42"/>
      <c r="C4155" s="52"/>
      <c r="D4155"/>
      <c r="E4155"/>
      <c r="F4155"/>
      <c r="N4155" s="44"/>
    </row>
    <row r="4156" spans="1:14" x14ac:dyDescent="0.3">
      <c r="A4156" s="42"/>
      <c r="C4156" s="52"/>
      <c r="D4156"/>
      <c r="E4156"/>
      <c r="F4156"/>
      <c r="N4156" s="44"/>
    </row>
    <row r="4157" spans="1:14" x14ac:dyDescent="0.3">
      <c r="A4157" s="42"/>
      <c r="C4157" s="52"/>
      <c r="D4157"/>
      <c r="E4157"/>
      <c r="F4157"/>
      <c r="N4157" s="44"/>
    </row>
    <row r="4158" spans="1:14" x14ac:dyDescent="0.3">
      <c r="A4158" s="42"/>
      <c r="C4158" s="52"/>
      <c r="D4158"/>
      <c r="E4158"/>
      <c r="F4158"/>
      <c r="N4158" s="44"/>
    </row>
    <row r="4159" spans="1:14" x14ac:dyDescent="0.3">
      <c r="A4159" s="42"/>
      <c r="C4159" s="52"/>
      <c r="D4159"/>
      <c r="E4159"/>
      <c r="F4159"/>
      <c r="N4159" s="44"/>
    </row>
    <row r="4160" spans="1:14" x14ac:dyDescent="0.3">
      <c r="A4160" s="42"/>
      <c r="C4160" s="52"/>
      <c r="D4160"/>
      <c r="E4160"/>
      <c r="F4160"/>
      <c r="N4160" s="44"/>
    </row>
    <row r="4161" spans="1:14" x14ac:dyDescent="0.3">
      <c r="A4161" s="42"/>
      <c r="C4161" s="52"/>
      <c r="D4161"/>
      <c r="E4161"/>
      <c r="F4161"/>
      <c r="M4161" s="45"/>
      <c r="N4161" s="44"/>
    </row>
    <row r="4162" spans="1:14" x14ac:dyDescent="0.3">
      <c r="A4162" s="42"/>
      <c r="C4162" s="52"/>
      <c r="D4162"/>
      <c r="E4162"/>
      <c r="F4162"/>
      <c r="N4162" s="44"/>
    </row>
    <row r="4163" spans="1:14" x14ac:dyDescent="0.3">
      <c r="A4163" s="42"/>
      <c r="C4163" s="52"/>
      <c r="D4163"/>
      <c r="E4163"/>
      <c r="F4163"/>
      <c r="N4163" s="44"/>
    </row>
    <row r="4164" spans="1:14" x14ac:dyDescent="0.3">
      <c r="A4164" s="42"/>
      <c r="C4164" s="52"/>
      <c r="D4164"/>
      <c r="E4164"/>
      <c r="F4164"/>
      <c r="N4164" s="44"/>
    </row>
    <row r="4165" spans="1:14" x14ac:dyDescent="0.3">
      <c r="A4165" s="42"/>
      <c r="C4165" s="52"/>
      <c r="D4165"/>
      <c r="E4165"/>
      <c r="F4165"/>
      <c r="N4165" s="44"/>
    </row>
    <row r="4166" spans="1:14" x14ac:dyDescent="0.3">
      <c r="A4166" s="42"/>
      <c r="C4166" s="52"/>
      <c r="D4166"/>
      <c r="E4166"/>
      <c r="F4166"/>
      <c r="N4166" s="44"/>
    </row>
    <row r="4167" spans="1:14" x14ac:dyDescent="0.3">
      <c r="A4167" s="42"/>
      <c r="C4167" s="52"/>
      <c r="D4167"/>
      <c r="E4167"/>
      <c r="F4167"/>
      <c r="N4167" s="44"/>
    </row>
    <row r="4168" spans="1:14" x14ac:dyDescent="0.3">
      <c r="A4168" s="42"/>
      <c r="C4168" s="52"/>
      <c r="D4168"/>
      <c r="E4168"/>
      <c r="F4168"/>
      <c r="N4168" s="44"/>
    </row>
    <row r="4169" spans="1:14" x14ac:dyDescent="0.3">
      <c r="A4169" s="42"/>
      <c r="C4169" s="52"/>
      <c r="D4169"/>
      <c r="E4169"/>
      <c r="F4169"/>
      <c r="N4169" s="44"/>
    </row>
    <row r="4170" spans="1:14" x14ac:dyDescent="0.3">
      <c r="A4170" s="42"/>
      <c r="C4170" s="52"/>
      <c r="D4170"/>
      <c r="E4170"/>
      <c r="F4170"/>
      <c r="N4170" s="44"/>
    </row>
    <row r="4171" spans="1:14" x14ac:dyDescent="0.3">
      <c r="A4171" s="42"/>
      <c r="C4171" s="52"/>
      <c r="D4171"/>
      <c r="E4171"/>
      <c r="F4171"/>
      <c r="N4171" s="44"/>
    </row>
    <row r="4172" spans="1:14" x14ac:dyDescent="0.3">
      <c r="A4172" s="42"/>
      <c r="C4172" s="52"/>
      <c r="D4172"/>
      <c r="E4172"/>
      <c r="F4172"/>
      <c r="N4172" s="44"/>
    </row>
    <row r="4173" spans="1:14" x14ac:dyDescent="0.3">
      <c r="A4173" s="42"/>
      <c r="C4173" s="52"/>
      <c r="D4173"/>
      <c r="E4173"/>
      <c r="F4173"/>
      <c r="N4173" s="44"/>
    </row>
    <row r="4174" spans="1:14" x14ac:dyDescent="0.3">
      <c r="A4174" s="42"/>
      <c r="C4174" s="52"/>
      <c r="D4174"/>
      <c r="E4174"/>
      <c r="F4174"/>
      <c r="N4174" s="44"/>
    </row>
    <row r="4175" spans="1:14" x14ac:dyDescent="0.3">
      <c r="A4175" s="42"/>
      <c r="C4175" s="52"/>
      <c r="D4175"/>
      <c r="E4175"/>
      <c r="F4175"/>
      <c r="N4175" s="44"/>
    </row>
    <row r="4176" spans="1:14" x14ac:dyDescent="0.3">
      <c r="A4176" s="42"/>
      <c r="C4176" s="52"/>
      <c r="D4176"/>
      <c r="E4176"/>
      <c r="F4176"/>
      <c r="N4176" s="44"/>
    </row>
    <row r="4177" spans="1:14" x14ac:dyDescent="0.3">
      <c r="A4177" s="42"/>
      <c r="C4177" s="52"/>
      <c r="D4177"/>
      <c r="E4177"/>
      <c r="F4177"/>
      <c r="N4177" s="44"/>
    </row>
    <row r="4178" spans="1:14" x14ac:dyDescent="0.3">
      <c r="A4178" s="42"/>
      <c r="C4178" s="52"/>
      <c r="D4178"/>
      <c r="E4178"/>
      <c r="F4178"/>
      <c r="N4178" s="44"/>
    </row>
    <row r="4179" spans="1:14" x14ac:dyDescent="0.3">
      <c r="A4179" s="42"/>
      <c r="C4179" s="52"/>
      <c r="D4179"/>
      <c r="E4179"/>
      <c r="F4179"/>
      <c r="N4179" s="44"/>
    </row>
    <row r="4180" spans="1:14" x14ac:dyDescent="0.3">
      <c r="A4180" s="42"/>
      <c r="C4180" s="52"/>
      <c r="D4180"/>
      <c r="E4180"/>
      <c r="F4180"/>
      <c r="N4180" s="44"/>
    </row>
    <row r="4181" spans="1:14" x14ac:dyDescent="0.3">
      <c r="A4181" s="42"/>
      <c r="C4181" s="52"/>
      <c r="D4181"/>
      <c r="E4181"/>
      <c r="F4181"/>
      <c r="N4181" s="44"/>
    </row>
    <row r="4182" spans="1:14" x14ac:dyDescent="0.3">
      <c r="A4182" s="42"/>
      <c r="C4182" s="52"/>
      <c r="D4182"/>
      <c r="E4182"/>
      <c r="F4182"/>
      <c r="N4182" s="44"/>
    </row>
    <row r="4183" spans="1:14" x14ac:dyDescent="0.3">
      <c r="A4183" s="42"/>
      <c r="C4183" s="52"/>
      <c r="D4183"/>
      <c r="E4183"/>
      <c r="F4183"/>
      <c r="N4183" s="44"/>
    </row>
    <row r="4184" spans="1:14" x14ac:dyDescent="0.3">
      <c r="A4184" s="42"/>
      <c r="C4184" s="52"/>
      <c r="D4184"/>
      <c r="E4184"/>
      <c r="F4184"/>
      <c r="N4184" s="44"/>
    </row>
    <row r="4185" spans="1:14" x14ac:dyDescent="0.3">
      <c r="A4185" s="42"/>
      <c r="C4185" s="52"/>
      <c r="D4185"/>
      <c r="E4185"/>
      <c r="F4185"/>
      <c r="N4185" s="44"/>
    </row>
    <row r="4186" spans="1:14" x14ac:dyDescent="0.3">
      <c r="A4186" s="42"/>
      <c r="C4186" s="52"/>
      <c r="D4186"/>
      <c r="E4186"/>
      <c r="F4186"/>
      <c r="N4186" s="44"/>
    </row>
    <row r="4187" spans="1:14" x14ac:dyDescent="0.3">
      <c r="A4187" s="42"/>
      <c r="C4187" s="52"/>
      <c r="D4187"/>
      <c r="E4187"/>
      <c r="F4187"/>
      <c r="N4187" s="44"/>
    </row>
    <row r="4188" spans="1:14" x14ac:dyDescent="0.3">
      <c r="A4188" s="42"/>
      <c r="C4188" s="52"/>
      <c r="D4188"/>
      <c r="E4188"/>
      <c r="F4188"/>
      <c r="N4188" s="44"/>
    </row>
    <row r="4189" spans="1:14" x14ac:dyDescent="0.3">
      <c r="A4189" s="42"/>
      <c r="C4189" s="52"/>
      <c r="D4189"/>
      <c r="E4189"/>
      <c r="F4189"/>
      <c r="N4189" s="44"/>
    </row>
    <row r="4190" spans="1:14" x14ac:dyDescent="0.3">
      <c r="A4190" s="42"/>
      <c r="C4190" s="52"/>
      <c r="D4190"/>
      <c r="E4190"/>
      <c r="F4190"/>
      <c r="N4190" s="44"/>
    </row>
    <row r="4191" spans="1:14" x14ac:dyDescent="0.3">
      <c r="A4191" s="42"/>
      <c r="C4191" s="52"/>
      <c r="D4191"/>
      <c r="E4191"/>
      <c r="F4191"/>
      <c r="N4191" s="44"/>
    </row>
    <row r="4192" spans="1:14" x14ac:dyDescent="0.3">
      <c r="A4192" s="42"/>
      <c r="C4192" s="52"/>
      <c r="D4192"/>
      <c r="E4192"/>
      <c r="F4192"/>
      <c r="N4192" s="44"/>
    </row>
    <row r="4193" spans="1:14" x14ac:dyDescent="0.3">
      <c r="A4193" s="42"/>
      <c r="C4193" s="52"/>
      <c r="D4193"/>
      <c r="E4193"/>
      <c r="F4193"/>
      <c r="N4193" s="44"/>
    </row>
    <row r="4194" spans="1:14" x14ac:dyDescent="0.3">
      <c r="A4194" s="42"/>
      <c r="C4194" s="52"/>
      <c r="D4194"/>
      <c r="E4194"/>
      <c r="F4194"/>
      <c r="N4194" s="44"/>
    </row>
    <row r="4195" spans="1:14" x14ac:dyDescent="0.3">
      <c r="A4195" s="42"/>
      <c r="C4195" s="52"/>
      <c r="D4195"/>
      <c r="E4195"/>
      <c r="F4195"/>
      <c r="N4195" s="44"/>
    </row>
    <row r="4196" spans="1:14" x14ac:dyDescent="0.3">
      <c r="A4196" s="42"/>
      <c r="C4196" s="52"/>
      <c r="D4196"/>
      <c r="E4196"/>
      <c r="F4196"/>
      <c r="N4196" s="44"/>
    </row>
    <row r="4197" spans="1:14" x14ac:dyDescent="0.3">
      <c r="A4197" s="42"/>
      <c r="C4197" s="52"/>
      <c r="D4197"/>
      <c r="E4197"/>
      <c r="F4197"/>
      <c r="N4197" s="44"/>
    </row>
    <row r="4198" spans="1:14" x14ac:dyDescent="0.3">
      <c r="A4198" s="42"/>
      <c r="C4198" s="52"/>
      <c r="D4198"/>
      <c r="E4198"/>
      <c r="F4198"/>
      <c r="N4198" s="44"/>
    </row>
    <row r="4199" spans="1:14" x14ac:dyDescent="0.3">
      <c r="A4199" s="42"/>
      <c r="C4199" s="52"/>
      <c r="D4199"/>
      <c r="E4199"/>
      <c r="F4199"/>
      <c r="N4199" s="44"/>
    </row>
    <row r="4200" spans="1:14" x14ac:dyDescent="0.3">
      <c r="A4200" s="42"/>
      <c r="C4200" s="52"/>
      <c r="D4200"/>
      <c r="E4200"/>
      <c r="F4200"/>
      <c r="N4200" s="44"/>
    </row>
    <row r="4201" spans="1:14" x14ac:dyDescent="0.3">
      <c r="A4201" s="42"/>
      <c r="C4201" s="52"/>
      <c r="D4201"/>
      <c r="E4201"/>
      <c r="F4201"/>
      <c r="N4201" s="44"/>
    </row>
    <row r="4202" spans="1:14" x14ac:dyDescent="0.3">
      <c r="A4202" s="42"/>
      <c r="C4202" s="52"/>
      <c r="D4202"/>
      <c r="E4202"/>
      <c r="F4202"/>
      <c r="N4202" s="44"/>
    </row>
    <row r="4203" spans="1:14" x14ac:dyDescent="0.3">
      <c r="A4203" s="42"/>
      <c r="C4203" s="52"/>
      <c r="D4203"/>
      <c r="E4203"/>
      <c r="F4203"/>
      <c r="N4203" s="44"/>
    </row>
    <row r="4204" spans="1:14" x14ac:dyDescent="0.3">
      <c r="A4204" s="42"/>
      <c r="C4204" s="52"/>
      <c r="D4204"/>
      <c r="E4204"/>
      <c r="F4204"/>
      <c r="N4204" s="44"/>
    </row>
    <row r="4205" spans="1:14" x14ac:dyDescent="0.3">
      <c r="A4205" s="42"/>
      <c r="C4205" s="52"/>
      <c r="D4205"/>
      <c r="E4205"/>
      <c r="F4205"/>
      <c r="N4205" s="44"/>
    </row>
    <row r="4206" spans="1:14" x14ac:dyDescent="0.3">
      <c r="A4206" s="42"/>
      <c r="C4206" s="52"/>
      <c r="D4206"/>
      <c r="E4206"/>
      <c r="F4206"/>
      <c r="N4206" s="44"/>
    </row>
    <row r="4207" spans="1:14" x14ac:dyDescent="0.3">
      <c r="A4207" s="42"/>
      <c r="C4207" s="52"/>
      <c r="D4207"/>
      <c r="E4207"/>
      <c r="F4207"/>
      <c r="N4207" s="44"/>
    </row>
    <row r="4208" spans="1:14" x14ac:dyDescent="0.3">
      <c r="A4208" s="42"/>
      <c r="C4208" s="52"/>
      <c r="D4208"/>
      <c r="E4208"/>
      <c r="F4208"/>
      <c r="N4208" s="44"/>
    </row>
    <row r="4209" spans="1:14" x14ac:dyDescent="0.3">
      <c r="A4209" s="42"/>
      <c r="C4209" s="52"/>
      <c r="D4209"/>
      <c r="E4209"/>
      <c r="F4209"/>
      <c r="N4209" s="44"/>
    </row>
    <row r="4210" spans="1:14" x14ac:dyDescent="0.3">
      <c r="A4210" s="42"/>
      <c r="C4210" s="52"/>
      <c r="D4210"/>
      <c r="E4210"/>
      <c r="F4210"/>
      <c r="N4210" s="44"/>
    </row>
    <row r="4211" spans="1:14" x14ac:dyDescent="0.3">
      <c r="A4211" s="42"/>
      <c r="C4211" s="52"/>
      <c r="D4211"/>
      <c r="E4211"/>
      <c r="F4211"/>
      <c r="N4211" s="44"/>
    </row>
    <row r="4212" spans="1:14" x14ac:dyDescent="0.3">
      <c r="A4212" s="42"/>
      <c r="C4212" s="52"/>
      <c r="D4212"/>
      <c r="E4212"/>
      <c r="F4212"/>
      <c r="N4212" s="44"/>
    </row>
    <row r="4213" spans="1:14" x14ac:dyDescent="0.3">
      <c r="A4213" s="42"/>
      <c r="C4213" s="52"/>
      <c r="D4213"/>
      <c r="E4213"/>
      <c r="F4213"/>
      <c r="N4213" s="44"/>
    </row>
    <row r="4214" spans="1:14" x14ac:dyDescent="0.3">
      <c r="A4214" s="42"/>
      <c r="C4214" s="52"/>
      <c r="D4214"/>
      <c r="E4214"/>
      <c r="F4214"/>
      <c r="N4214" s="44"/>
    </row>
    <row r="4215" spans="1:14" x14ac:dyDescent="0.3">
      <c r="A4215" s="42"/>
      <c r="C4215" s="52"/>
      <c r="D4215"/>
      <c r="E4215"/>
      <c r="F4215"/>
      <c r="N4215" s="44"/>
    </row>
    <row r="4216" spans="1:14" x14ac:dyDescent="0.3">
      <c r="A4216" s="42"/>
      <c r="C4216" s="52"/>
      <c r="D4216"/>
      <c r="E4216"/>
      <c r="F4216"/>
      <c r="N4216" s="44"/>
    </row>
    <row r="4217" spans="1:14" x14ac:dyDescent="0.3">
      <c r="A4217" s="42"/>
      <c r="C4217" s="52"/>
      <c r="D4217"/>
      <c r="E4217"/>
      <c r="F4217"/>
      <c r="N4217" s="44"/>
    </row>
    <row r="4218" spans="1:14" x14ac:dyDescent="0.3">
      <c r="A4218" s="42"/>
      <c r="C4218" s="52"/>
      <c r="D4218"/>
      <c r="E4218"/>
      <c r="F4218"/>
      <c r="N4218" s="44"/>
    </row>
    <row r="4219" spans="1:14" x14ac:dyDescent="0.3">
      <c r="A4219" s="42"/>
      <c r="C4219" s="52"/>
      <c r="D4219"/>
      <c r="E4219"/>
      <c r="F4219"/>
      <c r="N4219" s="44"/>
    </row>
    <row r="4220" spans="1:14" x14ac:dyDescent="0.3">
      <c r="A4220" s="42"/>
      <c r="C4220" s="52"/>
      <c r="D4220"/>
      <c r="E4220"/>
      <c r="F4220"/>
      <c r="N4220" s="44"/>
    </row>
    <row r="4221" spans="1:14" x14ac:dyDescent="0.3">
      <c r="A4221" s="42"/>
      <c r="C4221" s="52"/>
      <c r="D4221"/>
      <c r="E4221"/>
      <c r="F4221"/>
      <c r="N4221" s="44"/>
    </row>
    <row r="4222" spans="1:14" x14ac:dyDescent="0.3">
      <c r="A4222" s="42"/>
      <c r="C4222" s="52"/>
      <c r="D4222"/>
      <c r="E4222"/>
      <c r="F4222"/>
      <c r="N4222" s="44"/>
    </row>
    <row r="4223" spans="1:14" x14ac:dyDescent="0.3">
      <c r="A4223" s="42"/>
      <c r="C4223" s="52"/>
      <c r="D4223"/>
      <c r="E4223"/>
      <c r="F4223"/>
      <c r="N4223" s="44"/>
    </row>
    <row r="4224" spans="1:14" x14ac:dyDescent="0.3">
      <c r="A4224" s="42"/>
      <c r="C4224" s="52"/>
      <c r="D4224"/>
      <c r="E4224"/>
      <c r="F4224"/>
      <c r="N4224" s="44"/>
    </row>
    <row r="4225" spans="1:14" x14ac:dyDescent="0.3">
      <c r="A4225" s="42"/>
      <c r="C4225" s="52"/>
      <c r="D4225"/>
      <c r="E4225"/>
      <c r="F4225"/>
      <c r="N4225" s="44"/>
    </row>
    <row r="4226" spans="1:14" x14ac:dyDescent="0.3">
      <c r="A4226" s="42"/>
      <c r="C4226" s="52"/>
      <c r="D4226"/>
      <c r="E4226"/>
      <c r="F4226"/>
      <c r="N4226" s="44"/>
    </row>
    <row r="4227" spans="1:14" x14ac:dyDescent="0.3">
      <c r="A4227" s="42"/>
      <c r="C4227" s="52"/>
      <c r="D4227"/>
      <c r="E4227"/>
      <c r="F4227"/>
      <c r="N4227" s="44"/>
    </row>
    <row r="4228" spans="1:14" x14ac:dyDescent="0.3">
      <c r="A4228" s="42"/>
      <c r="C4228" s="52"/>
      <c r="D4228"/>
      <c r="E4228"/>
      <c r="F4228"/>
      <c r="N4228" s="44"/>
    </row>
    <row r="4229" spans="1:14" x14ac:dyDescent="0.3">
      <c r="A4229" s="42"/>
      <c r="C4229" s="52"/>
      <c r="D4229"/>
      <c r="E4229"/>
      <c r="F4229"/>
      <c r="N4229" s="44"/>
    </row>
    <row r="4230" spans="1:14" x14ac:dyDescent="0.3">
      <c r="A4230" s="42"/>
      <c r="C4230" s="52"/>
      <c r="D4230"/>
      <c r="E4230"/>
      <c r="F4230"/>
      <c r="N4230" s="44"/>
    </row>
    <row r="4231" spans="1:14" x14ac:dyDescent="0.3">
      <c r="A4231" s="42"/>
      <c r="C4231" s="52"/>
      <c r="D4231"/>
      <c r="E4231"/>
      <c r="F4231"/>
      <c r="N4231" s="44"/>
    </row>
    <row r="4232" spans="1:14" x14ac:dyDescent="0.3">
      <c r="A4232" s="42"/>
      <c r="C4232" s="52"/>
      <c r="D4232"/>
      <c r="E4232"/>
      <c r="F4232"/>
      <c r="N4232" s="44"/>
    </row>
    <row r="4233" spans="1:14" x14ac:dyDescent="0.3">
      <c r="A4233" s="42"/>
      <c r="C4233" s="52"/>
      <c r="D4233"/>
      <c r="E4233"/>
      <c r="F4233"/>
      <c r="N4233" s="44"/>
    </row>
    <row r="4234" spans="1:14" x14ac:dyDescent="0.3">
      <c r="A4234" s="42"/>
      <c r="C4234" s="52"/>
      <c r="D4234"/>
      <c r="E4234"/>
      <c r="F4234"/>
      <c r="N4234" s="44"/>
    </row>
    <row r="4235" spans="1:14" x14ac:dyDescent="0.3">
      <c r="A4235" s="42"/>
      <c r="C4235" s="52"/>
      <c r="D4235"/>
      <c r="E4235"/>
      <c r="F4235"/>
      <c r="N4235" s="44"/>
    </row>
    <row r="4236" spans="1:14" x14ac:dyDescent="0.3">
      <c r="A4236" s="42"/>
      <c r="C4236" s="52"/>
      <c r="D4236"/>
      <c r="E4236"/>
      <c r="F4236"/>
      <c r="N4236" s="44"/>
    </row>
    <row r="4237" spans="1:14" x14ac:dyDescent="0.3">
      <c r="A4237" s="42"/>
      <c r="C4237" s="52"/>
      <c r="D4237"/>
      <c r="E4237"/>
      <c r="F4237"/>
      <c r="N4237" s="44"/>
    </row>
    <row r="4238" spans="1:14" x14ac:dyDescent="0.3">
      <c r="A4238" s="42"/>
      <c r="C4238" s="52"/>
      <c r="D4238"/>
      <c r="E4238"/>
      <c r="F4238"/>
      <c r="N4238" s="44"/>
    </row>
    <row r="4239" spans="1:14" x14ac:dyDescent="0.3">
      <c r="A4239" s="42"/>
      <c r="C4239" s="52"/>
      <c r="D4239"/>
      <c r="E4239"/>
      <c r="F4239"/>
      <c r="N4239" s="44"/>
    </row>
    <row r="4240" spans="1:14" x14ac:dyDescent="0.3">
      <c r="A4240" s="42"/>
      <c r="C4240" s="52"/>
      <c r="D4240"/>
      <c r="E4240"/>
      <c r="F4240"/>
      <c r="N4240" s="44"/>
    </row>
    <row r="4241" spans="1:14" x14ac:dyDescent="0.3">
      <c r="A4241" s="42"/>
      <c r="C4241" s="52"/>
      <c r="D4241"/>
      <c r="E4241"/>
      <c r="F4241"/>
      <c r="N4241" s="44"/>
    </row>
    <row r="4242" spans="1:14" x14ac:dyDescent="0.3">
      <c r="A4242" s="42"/>
      <c r="C4242" s="52"/>
      <c r="D4242"/>
      <c r="E4242"/>
      <c r="F4242"/>
      <c r="N4242" s="44"/>
    </row>
    <row r="4243" spans="1:14" x14ac:dyDescent="0.3">
      <c r="A4243" s="42"/>
      <c r="C4243" s="52"/>
      <c r="D4243"/>
      <c r="E4243"/>
      <c r="F4243"/>
      <c r="N4243" s="44"/>
    </row>
    <row r="4244" spans="1:14" x14ac:dyDescent="0.3">
      <c r="A4244" s="42"/>
      <c r="C4244" s="52"/>
      <c r="D4244"/>
      <c r="E4244"/>
      <c r="F4244"/>
      <c r="N4244" s="44"/>
    </row>
    <row r="4245" spans="1:14" x14ac:dyDescent="0.3">
      <c r="A4245" s="42"/>
      <c r="C4245" s="52"/>
      <c r="D4245"/>
      <c r="E4245"/>
      <c r="F4245"/>
      <c r="N4245" s="44"/>
    </row>
    <row r="4246" spans="1:14" x14ac:dyDescent="0.3">
      <c r="A4246" s="42"/>
      <c r="C4246" s="52"/>
      <c r="D4246"/>
      <c r="E4246"/>
      <c r="F4246"/>
      <c r="N4246" s="44"/>
    </row>
    <row r="4247" spans="1:14" x14ac:dyDescent="0.3">
      <c r="A4247" s="42"/>
      <c r="C4247" s="52"/>
      <c r="D4247"/>
      <c r="E4247"/>
      <c r="F4247"/>
      <c r="N4247" s="44"/>
    </row>
    <row r="4248" spans="1:14" x14ac:dyDescent="0.3">
      <c r="A4248" s="42"/>
      <c r="C4248" s="52"/>
      <c r="D4248"/>
      <c r="E4248"/>
      <c r="F4248"/>
      <c r="M4248" s="45"/>
      <c r="N4248" s="44"/>
    </row>
    <row r="4249" spans="1:14" x14ac:dyDescent="0.3">
      <c r="A4249" s="42"/>
      <c r="C4249" s="52"/>
      <c r="D4249"/>
      <c r="E4249"/>
      <c r="F4249"/>
      <c r="N4249" s="44"/>
    </row>
    <row r="4250" spans="1:14" x14ac:dyDescent="0.3">
      <c r="A4250" s="42"/>
      <c r="C4250" s="52"/>
      <c r="D4250"/>
      <c r="E4250"/>
      <c r="F4250"/>
      <c r="N4250" s="44"/>
    </row>
    <row r="4251" spans="1:14" x14ac:dyDescent="0.3">
      <c r="A4251" s="42"/>
      <c r="C4251" s="52"/>
      <c r="D4251"/>
      <c r="E4251"/>
      <c r="F4251"/>
      <c r="N4251" s="44"/>
    </row>
    <row r="4252" spans="1:14" x14ac:dyDescent="0.3">
      <c r="A4252" s="42"/>
      <c r="C4252" s="52"/>
      <c r="D4252"/>
      <c r="E4252"/>
      <c r="F4252"/>
      <c r="N4252" s="44"/>
    </row>
    <row r="4253" spans="1:14" x14ac:dyDescent="0.3">
      <c r="A4253" s="42"/>
      <c r="C4253" s="52"/>
      <c r="D4253"/>
      <c r="E4253"/>
      <c r="F4253"/>
      <c r="N4253" s="44"/>
    </row>
    <row r="4254" spans="1:14" x14ac:dyDescent="0.3">
      <c r="A4254" s="42"/>
      <c r="C4254" s="52"/>
      <c r="D4254"/>
      <c r="E4254"/>
      <c r="F4254"/>
      <c r="M4254" s="45"/>
      <c r="N4254" s="44"/>
    </row>
    <row r="4255" spans="1:14" x14ac:dyDescent="0.3">
      <c r="A4255" s="42"/>
      <c r="C4255" s="52"/>
      <c r="D4255"/>
      <c r="E4255"/>
      <c r="F4255"/>
      <c r="N4255" s="44"/>
    </row>
    <row r="4256" spans="1:14" x14ac:dyDescent="0.3">
      <c r="A4256" s="42"/>
      <c r="C4256" s="52"/>
      <c r="D4256"/>
      <c r="E4256"/>
      <c r="F4256"/>
      <c r="N4256" s="44"/>
    </row>
    <row r="4257" spans="1:14" x14ac:dyDescent="0.3">
      <c r="A4257" s="42"/>
      <c r="C4257" s="52"/>
      <c r="D4257"/>
      <c r="E4257"/>
      <c r="F4257"/>
      <c r="N4257" s="44"/>
    </row>
    <row r="4258" spans="1:14" x14ac:dyDescent="0.3">
      <c r="A4258" s="42"/>
      <c r="C4258" s="52"/>
      <c r="D4258"/>
      <c r="E4258"/>
      <c r="F4258"/>
      <c r="N4258" s="44"/>
    </row>
    <row r="4259" spans="1:14" x14ac:dyDescent="0.3">
      <c r="A4259" s="42"/>
      <c r="C4259" s="52"/>
      <c r="D4259"/>
      <c r="E4259"/>
      <c r="F4259"/>
      <c r="N4259" s="44"/>
    </row>
    <row r="4260" spans="1:14" x14ac:dyDescent="0.3">
      <c r="A4260" s="42"/>
      <c r="C4260" s="52"/>
      <c r="D4260"/>
      <c r="E4260"/>
      <c r="F4260"/>
      <c r="N4260" s="44"/>
    </row>
    <row r="4261" spans="1:14" x14ac:dyDescent="0.3">
      <c r="A4261" s="42"/>
      <c r="C4261" s="52"/>
      <c r="D4261"/>
      <c r="E4261"/>
      <c r="F4261"/>
      <c r="N4261" s="44"/>
    </row>
    <row r="4262" spans="1:14" x14ac:dyDescent="0.3">
      <c r="A4262" s="42"/>
      <c r="C4262" s="52"/>
      <c r="D4262"/>
      <c r="E4262"/>
      <c r="F4262"/>
      <c r="N4262" s="44"/>
    </row>
    <row r="4263" spans="1:14" x14ac:dyDescent="0.3">
      <c r="A4263" s="42"/>
      <c r="C4263" s="52"/>
      <c r="D4263"/>
      <c r="E4263"/>
      <c r="F4263"/>
      <c r="N4263" s="44"/>
    </row>
    <row r="4264" spans="1:14" x14ac:dyDescent="0.3">
      <c r="A4264" s="42"/>
      <c r="C4264" s="52"/>
      <c r="D4264"/>
      <c r="E4264"/>
      <c r="F4264"/>
      <c r="N4264" s="44"/>
    </row>
    <row r="4265" spans="1:14" x14ac:dyDescent="0.3">
      <c r="A4265" s="42"/>
      <c r="C4265" s="52"/>
      <c r="D4265"/>
      <c r="E4265"/>
      <c r="F4265"/>
      <c r="N4265" s="44"/>
    </row>
    <row r="4266" spans="1:14" x14ac:dyDescent="0.3">
      <c r="A4266" s="42"/>
      <c r="C4266" s="52"/>
      <c r="D4266"/>
      <c r="E4266"/>
      <c r="F4266"/>
      <c r="N4266" s="44"/>
    </row>
    <row r="4267" spans="1:14" x14ac:dyDescent="0.3">
      <c r="A4267" s="42"/>
      <c r="C4267" s="52"/>
      <c r="D4267"/>
      <c r="E4267"/>
      <c r="F4267"/>
      <c r="N4267" s="44"/>
    </row>
    <row r="4268" spans="1:14" x14ac:dyDescent="0.3">
      <c r="A4268" s="42"/>
      <c r="C4268" s="52"/>
      <c r="D4268"/>
      <c r="E4268"/>
      <c r="F4268"/>
      <c r="N4268" s="44"/>
    </row>
    <row r="4269" spans="1:14" x14ac:dyDescent="0.3">
      <c r="A4269" s="42"/>
      <c r="C4269" s="52"/>
      <c r="D4269"/>
      <c r="E4269"/>
      <c r="F4269"/>
      <c r="N4269" s="44"/>
    </row>
    <row r="4270" spans="1:14" x14ac:dyDescent="0.3">
      <c r="A4270" s="42"/>
      <c r="C4270" s="52"/>
      <c r="D4270"/>
      <c r="E4270"/>
      <c r="F4270"/>
      <c r="N4270" s="44"/>
    </row>
    <row r="4271" spans="1:14" x14ac:dyDescent="0.3">
      <c r="A4271" s="42"/>
      <c r="C4271" s="52"/>
      <c r="D4271"/>
      <c r="E4271"/>
      <c r="F4271"/>
      <c r="N4271" s="44"/>
    </row>
    <row r="4272" spans="1:14" x14ac:dyDescent="0.3">
      <c r="A4272" s="42"/>
      <c r="C4272" s="52"/>
      <c r="D4272"/>
      <c r="E4272"/>
      <c r="F4272"/>
      <c r="N4272" s="44"/>
    </row>
    <row r="4273" spans="1:14" x14ac:dyDescent="0.3">
      <c r="A4273" s="42"/>
      <c r="C4273" s="52"/>
      <c r="D4273"/>
      <c r="E4273"/>
      <c r="F4273"/>
      <c r="N4273" s="44"/>
    </row>
    <row r="4274" spans="1:14" x14ac:dyDescent="0.3">
      <c r="A4274" s="42"/>
      <c r="C4274" s="52"/>
      <c r="D4274"/>
      <c r="E4274"/>
      <c r="F4274"/>
      <c r="N4274" s="44"/>
    </row>
    <row r="4275" spans="1:14" x14ac:dyDescent="0.3">
      <c r="A4275" s="42"/>
      <c r="C4275" s="52"/>
      <c r="D4275"/>
      <c r="E4275"/>
      <c r="F4275"/>
      <c r="N4275" s="44"/>
    </row>
    <row r="4276" spans="1:14" x14ac:dyDescent="0.3">
      <c r="A4276" s="42"/>
      <c r="C4276" s="52"/>
      <c r="D4276"/>
      <c r="E4276"/>
      <c r="F4276"/>
      <c r="N4276" s="44"/>
    </row>
    <row r="4277" spans="1:14" x14ac:dyDescent="0.3">
      <c r="A4277" s="42"/>
      <c r="C4277" s="52"/>
      <c r="D4277"/>
      <c r="E4277"/>
      <c r="F4277"/>
      <c r="N4277" s="44"/>
    </row>
    <row r="4278" spans="1:14" x14ac:dyDescent="0.3">
      <c r="A4278" s="42"/>
      <c r="C4278" s="52"/>
      <c r="D4278"/>
      <c r="E4278"/>
      <c r="F4278"/>
      <c r="N4278" s="44"/>
    </row>
    <row r="4279" spans="1:14" x14ac:dyDescent="0.3">
      <c r="A4279" s="42"/>
      <c r="C4279" s="52"/>
      <c r="D4279"/>
      <c r="E4279"/>
      <c r="F4279"/>
      <c r="N4279" s="44"/>
    </row>
    <row r="4280" spans="1:14" x14ac:dyDescent="0.3">
      <c r="A4280" s="42"/>
      <c r="C4280" s="52"/>
      <c r="D4280"/>
      <c r="E4280"/>
      <c r="F4280"/>
      <c r="N4280" s="44"/>
    </row>
    <row r="4281" spans="1:14" x14ac:dyDescent="0.3">
      <c r="A4281" s="42"/>
      <c r="C4281" s="52"/>
      <c r="D4281"/>
      <c r="E4281"/>
      <c r="F4281"/>
      <c r="N4281" s="44"/>
    </row>
    <row r="4282" spans="1:14" x14ac:dyDescent="0.3">
      <c r="A4282" s="42"/>
      <c r="C4282" s="52"/>
      <c r="D4282"/>
      <c r="E4282"/>
      <c r="F4282"/>
      <c r="N4282" s="44"/>
    </row>
    <row r="4283" spans="1:14" x14ac:dyDescent="0.3">
      <c r="A4283" s="42"/>
      <c r="C4283" s="52"/>
      <c r="D4283"/>
      <c r="E4283"/>
      <c r="F4283"/>
      <c r="M4283" s="45"/>
      <c r="N4283" s="44"/>
    </row>
    <row r="4284" spans="1:14" x14ac:dyDescent="0.3">
      <c r="A4284" s="42"/>
      <c r="C4284" s="52"/>
      <c r="D4284"/>
      <c r="E4284"/>
      <c r="F4284"/>
      <c r="N4284" s="44"/>
    </row>
    <row r="4285" spans="1:14" x14ac:dyDescent="0.3">
      <c r="A4285" s="42"/>
      <c r="C4285" s="52"/>
      <c r="D4285"/>
      <c r="E4285"/>
      <c r="F4285"/>
      <c r="N4285" s="44"/>
    </row>
    <row r="4286" spans="1:14" x14ac:dyDescent="0.3">
      <c r="A4286" s="42"/>
      <c r="C4286" s="52"/>
      <c r="D4286"/>
      <c r="E4286"/>
      <c r="F4286"/>
      <c r="N4286" s="44"/>
    </row>
    <row r="4287" spans="1:14" x14ac:dyDescent="0.3">
      <c r="A4287" s="42"/>
      <c r="C4287" s="52"/>
      <c r="D4287"/>
      <c r="E4287"/>
      <c r="F4287"/>
      <c r="N4287" s="44"/>
    </row>
    <row r="4288" spans="1:14" x14ac:dyDescent="0.3">
      <c r="A4288" s="42"/>
      <c r="C4288" s="52"/>
      <c r="D4288"/>
      <c r="E4288"/>
      <c r="F4288"/>
      <c r="N4288" s="44"/>
    </row>
    <row r="4289" spans="1:14" x14ac:dyDescent="0.3">
      <c r="A4289" s="42"/>
      <c r="C4289" s="52"/>
      <c r="D4289"/>
      <c r="E4289"/>
      <c r="F4289"/>
      <c r="N4289" s="44"/>
    </row>
    <row r="4290" spans="1:14" x14ac:dyDescent="0.3">
      <c r="A4290" s="42"/>
      <c r="C4290" s="52"/>
      <c r="D4290"/>
      <c r="E4290"/>
      <c r="F4290"/>
      <c r="N4290" s="44"/>
    </row>
    <row r="4291" spans="1:14" x14ac:dyDescent="0.3">
      <c r="A4291" s="42"/>
      <c r="C4291" s="52"/>
      <c r="D4291"/>
      <c r="E4291"/>
      <c r="F4291"/>
      <c r="N4291" s="44"/>
    </row>
    <row r="4292" spans="1:14" x14ac:dyDescent="0.3">
      <c r="A4292" s="42"/>
      <c r="C4292" s="52"/>
      <c r="D4292"/>
      <c r="E4292"/>
      <c r="F4292"/>
      <c r="N4292" s="44"/>
    </row>
    <row r="4293" spans="1:14" x14ac:dyDescent="0.3">
      <c r="A4293" s="42"/>
      <c r="C4293" s="52"/>
      <c r="D4293"/>
      <c r="E4293"/>
      <c r="F4293"/>
      <c r="N4293" s="44"/>
    </row>
    <row r="4294" spans="1:14" x14ac:dyDescent="0.3">
      <c r="A4294" s="42"/>
      <c r="C4294" s="52"/>
      <c r="D4294"/>
      <c r="E4294"/>
      <c r="F4294"/>
      <c r="N4294" s="44"/>
    </row>
    <row r="4295" spans="1:14" x14ac:dyDescent="0.3">
      <c r="A4295" s="42"/>
      <c r="C4295" s="52"/>
      <c r="D4295"/>
      <c r="E4295"/>
      <c r="F4295"/>
      <c r="N4295" s="44"/>
    </row>
    <row r="4296" spans="1:14" x14ac:dyDescent="0.3">
      <c r="A4296" s="42"/>
      <c r="C4296" s="52"/>
      <c r="D4296"/>
      <c r="E4296"/>
      <c r="F4296"/>
      <c r="N4296" s="44"/>
    </row>
    <row r="4297" spans="1:14" x14ac:dyDescent="0.3">
      <c r="A4297" s="42"/>
      <c r="C4297" s="52"/>
      <c r="D4297"/>
      <c r="E4297"/>
      <c r="F4297"/>
      <c r="N4297" s="44"/>
    </row>
    <row r="4298" spans="1:14" x14ac:dyDescent="0.3">
      <c r="A4298" s="42"/>
      <c r="C4298" s="52"/>
      <c r="D4298"/>
      <c r="E4298"/>
      <c r="F4298"/>
      <c r="N4298" s="44"/>
    </row>
    <row r="4299" spans="1:14" x14ac:dyDescent="0.3">
      <c r="A4299" s="42"/>
      <c r="C4299" s="52"/>
      <c r="D4299"/>
      <c r="E4299"/>
      <c r="F4299"/>
      <c r="N4299" s="44"/>
    </row>
    <row r="4300" spans="1:14" x14ac:dyDescent="0.3">
      <c r="A4300" s="42"/>
      <c r="C4300" s="52"/>
      <c r="D4300"/>
      <c r="E4300"/>
      <c r="F4300"/>
      <c r="N4300" s="44"/>
    </row>
    <row r="4301" spans="1:14" x14ac:dyDescent="0.3">
      <c r="A4301" s="42"/>
      <c r="C4301" s="52"/>
      <c r="D4301"/>
      <c r="E4301"/>
      <c r="F4301"/>
      <c r="N4301" s="44"/>
    </row>
    <row r="4302" spans="1:14" x14ac:dyDescent="0.3">
      <c r="A4302" s="42"/>
      <c r="C4302" s="52"/>
      <c r="D4302"/>
      <c r="E4302"/>
      <c r="F4302"/>
      <c r="N4302" s="44"/>
    </row>
    <row r="4303" spans="1:14" x14ac:dyDescent="0.3">
      <c r="A4303" s="42"/>
      <c r="C4303" s="52"/>
      <c r="D4303"/>
      <c r="E4303"/>
      <c r="F4303"/>
      <c r="N4303" s="44"/>
    </row>
    <row r="4304" spans="1:14" x14ac:dyDescent="0.3">
      <c r="A4304" s="42"/>
      <c r="C4304" s="52"/>
      <c r="D4304"/>
      <c r="E4304"/>
      <c r="F4304"/>
      <c r="N4304" s="44"/>
    </row>
    <row r="4305" spans="1:14" x14ac:dyDescent="0.3">
      <c r="A4305" s="42"/>
      <c r="C4305" s="52"/>
      <c r="D4305"/>
      <c r="E4305"/>
      <c r="F4305"/>
      <c r="N4305" s="44"/>
    </row>
    <row r="4306" spans="1:14" x14ac:dyDescent="0.3">
      <c r="A4306" s="42"/>
      <c r="C4306" s="52"/>
      <c r="D4306"/>
      <c r="E4306"/>
      <c r="F4306"/>
      <c r="N4306" s="44"/>
    </row>
    <row r="4307" spans="1:14" x14ac:dyDescent="0.3">
      <c r="A4307" s="42"/>
      <c r="C4307" s="52"/>
      <c r="D4307"/>
      <c r="E4307"/>
      <c r="F4307"/>
      <c r="N4307" s="44"/>
    </row>
    <row r="4308" spans="1:14" x14ac:dyDescent="0.3">
      <c r="A4308" s="42"/>
      <c r="C4308" s="52"/>
      <c r="D4308"/>
      <c r="E4308"/>
      <c r="F4308"/>
      <c r="N4308" s="44"/>
    </row>
    <row r="4309" spans="1:14" x14ac:dyDescent="0.3">
      <c r="A4309" s="42"/>
      <c r="C4309" s="52"/>
      <c r="D4309"/>
      <c r="E4309"/>
      <c r="F4309"/>
      <c r="N4309" s="44"/>
    </row>
    <row r="4310" spans="1:14" x14ac:dyDescent="0.3">
      <c r="A4310" s="42"/>
      <c r="C4310" s="52"/>
      <c r="D4310"/>
      <c r="E4310"/>
      <c r="F4310"/>
      <c r="N4310" s="44"/>
    </row>
    <row r="4311" spans="1:14" x14ac:dyDescent="0.3">
      <c r="A4311" s="42"/>
      <c r="C4311" s="52"/>
      <c r="D4311"/>
      <c r="E4311"/>
      <c r="F4311"/>
      <c r="N4311" s="44"/>
    </row>
    <row r="4312" spans="1:14" x14ac:dyDescent="0.3">
      <c r="A4312" s="42"/>
      <c r="C4312" s="52"/>
      <c r="D4312"/>
      <c r="E4312"/>
      <c r="F4312"/>
      <c r="N4312" s="44"/>
    </row>
    <row r="4313" spans="1:14" x14ac:dyDescent="0.3">
      <c r="A4313" s="42"/>
      <c r="C4313" s="52"/>
      <c r="D4313"/>
      <c r="E4313"/>
      <c r="F4313"/>
      <c r="N4313" s="44"/>
    </row>
    <row r="4314" spans="1:14" x14ac:dyDescent="0.3">
      <c r="A4314" s="42"/>
      <c r="C4314" s="52"/>
      <c r="D4314"/>
      <c r="E4314"/>
      <c r="F4314"/>
      <c r="N4314" s="44"/>
    </row>
    <row r="4315" spans="1:14" x14ac:dyDescent="0.3">
      <c r="A4315" s="42"/>
      <c r="C4315" s="52"/>
      <c r="D4315"/>
      <c r="E4315"/>
      <c r="F4315"/>
      <c r="N4315" s="44"/>
    </row>
    <row r="4316" spans="1:14" x14ac:dyDescent="0.3">
      <c r="A4316" s="42"/>
      <c r="C4316" s="52"/>
      <c r="D4316"/>
      <c r="E4316"/>
      <c r="F4316"/>
      <c r="N4316" s="44"/>
    </row>
    <row r="4317" spans="1:14" x14ac:dyDescent="0.3">
      <c r="A4317" s="42"/>
      <c r="C4317" s="52"/>
      <c r="D4317"/>
      <c r="E4317"/>
      <c r="F4317"/>
      <c r="N4317" s="44"/>
    </row>
    <row r="4318" spans="1:14" x14ac:dyDescent="0.3">
      <c r="A4318" s="42"/>
      <c r="C4318" s="52"/>
      <c r="D4318"/>
      <c r="E4318"/>
      <c r="F4318"/>
      <c r="N4318" s="44"/>
    </row>
    <row r="4319" spans="1:14" x14ac:dyDescent="0.3">
      <c r="A4319" s="42"/>
      <c r="C4319" s="52"/>
      <c r="D4319"/>
      <c r="E4319"/>
      <c r="F4319"/>
      <c r="N4319" s="44"/>
    </row>
    <row r="4320" spans="1:14" x14ac:dyDescent="0.3">
      <c r="A4320" s="42"/>
      <c r="C4320" s="52"/>
      <c r="D4320"/>
      <c r="E4320"/>
      <c r="F4320"/>
      <c r="N4320" s="44"/>
    </row>
    <row r="4321" spans="1:14" x14ac:dyDescent="0.3">
      <c r="A4321" s="42"/>
      <c r="C4321" s="52"/>
      <c r="D4321"/>
      <c r="E4321"/>
      <c r="F4321"/>
      <c r="N4321" s="44"/>
    </row>
    <row r="4322" spans="1:14" x14ac:dyDescent="0.3">
      <c r="A4322" s="42"/>
      <c r="C4322" s="52"/>
      <c r="D4322"/>
      <c r="E4322"/>
      <c r="F4322"/>
      <c r="N4322" s="44"/>
    </row>
    <row r="4323" spans="1:14" x14ac:dyDescent="0.3">
      <c r="A4323" s="42"/>
      <c r="C4323" s="52"/>
      <c r="D4323"/>
      <c r="E4323"/>
      <c r="F4323"/>
      <c r="N4323" s="44"/>
    </row>
    <row r="4324" spans="1:14" x14ac:dyDescent="0.3">
      <c r="A4324" s="42"/>
      <c r="C4324" s="52"/>
      <c r="D4324"/>
      <c r="E4324"/>
      <c r="F4324"/>
      <c r="N4324" s="44"/>
    </row>
    <row r="4325" spans="1:14" x14ac:dyDescent="0.3">
      <c r="A4325" s="42"/>
      <c r="C4325" s="52"/>
      <c r="D4325"/>
      <c r="E4325"/>
      <c r="F4325"/>
      <c r="N4325" s="44"/>
    </row>
    <row r="4326" spans="1:14" x14ac:dyDescent="0.3">
      <c r="A4326" s="42"/>
      <c r="C4326" s="52"/>
      <c r="D4326"/>
      <c r="E4326"/>
      <c r="F4326"/>
      <c r="N4326" s="44"/>
    </row>
    <row r="4327" spans="1:14" x14ac:dyDescent="0.3">
      <c r="A4327" s="42"/>
      <c r="C4327" s="52"/>
      <c r="D4327"/>
      <c r="E4327"/>
      <c r="F4327"/>
      <c r="N4327" s="44"/>
    </row>
    <row r="4328" spans="1:14" x14ac:dyDescent="0.3">
      <c r="A4328" s="42"/>
      <c r="C4328" s="52"/>
      <c r="D4328"/>
      <c r="E4328"/>
      <c r="F4328"/>
      <c r="N4328" s="44"/>
    </row>
    <row r="4329" spans="1:14" x14ac:dyDescent="0.3">
      <c r="A4329" s="42"/>
      <c r="C4329" s="52"/>
      <c r="D4329"/>
      <c r="E4329"/>
      <c r="F4329"/>
      <c r="N4329" s="44"/>
    </row>
    <row r="4330" spans="1:14" x14ac:dyDescent="0.3">
      <c r="A4330" s="42"/>
      <c r="C4330" s="52"/>
      <c r="D4330"/>
      <c r="E4330"/>
      <c r="F4330"/>
      <c r="N4330" s="44"/>
    </row>
    <row r="4331" spans="1:14" x14ac:dyDescent="0.3">
      <c r="A4331" s="42"/>
      <c r="C4331" s="52"/>
      <c r="D4331"/>
      <c r="E4331"/>
      <c r="F4331"/>
      <c r="N4331" s="44"/>
    </row>
    <row r="4332" spans="1:14" x14ac:dyDescent="0.3">
      <c r="A4332" s="42"/>
      <c r="C4332" s="52"/>
      <c r="D4332"/>
      <c r="E4332"/>
      <c r="F4332"/>
      <c r="N4332" s="44"/>
    </row>
    <row r="4333" spans="1:14" x14ac:dyDescent="0.3">
      <c r="A4333" s="42"/>
      <c r="C4333" s="52"/>
      <c r="D4333"/>
      <c r="E4333"/>
      <c r="F4333"/>
      <c r="N4333" s="44"/>
    </row>
    <row r="4334" spans="1:14" x14ac:dyDescent="0.3">
      <c r="A4334" s="42"/>
      <c r="C4334" s="52"/>
      <c r="D4334"/>
      <c r="E4334"/>
      <c r="F4334"/>
      <c r="N4334" s="44"/>
    </row>
    <row r="4335" spans="1:14" x14ac:dyDescent="0.3">
      <c r="A4335" s="42"/>
      <c r="C4335" s="52"/>
      <c r="D4335"/>
      <c r="E4335"/>
      <c r="F4335"/>
      <c r="N4335" s="44"/>
    </row>
    <row r="4336" spans="1:14" x14ac:dyDescent="0.3">
      <c r="A4336" s="42"/>
      <c r="C4336" s="52"/>
      <c r="D4336"/>
      <c r="E4336"/>
      <c r="F4336"/>
      <c r="N4336" s="44"/>
    </row>
    <row r="4337" spans="1:14" x14ac:dyDescent="0.3">
      <c r="A4337" s="42"/>
      <c r="C4337" s="52"/>
      <c r="D4337"/>
      <c r="E4337"/>
      <c r="F4337"/>
      <c r="N4337" s="44"/>
    </row>
    <row r="4338" spans="1:14" x14ac:dyDescent="0.3">
      <c r="A4338" s="42"/>
      <c r="C4338" s="52"/>
      <c r="D4338"/>
      <c r="E4338"/>
      <c r="F4338"/>
      <c r="N4338" s="44"/>
    </row>
    <row r="4339" spans="1:14" x14ac:dyDescent="0.3">
      <c r="A4339" s="42"/>
      <c r="C4339" s="52"/>
      <c r="D4339"/>
      <c r="E4339"/>
      <c r="F4339"/>
      <c r="N4339" s="44"/>
    </row>
    <row r="4340" spans="1:14" x14ac:dyDescent="0.3">
      <c r="A4340" s="42"/>
      <c r="C4340" s="52"/>
      <c r="D4340"/>
      <c r="E4340"/>
      <c r="F4340"/>
      <c r="N4340" s="44"/>
    </row>
    <row r="4341" spans="1:14" x14ac:dyDescent="0.3">
      <c r="A4341" s="42"/>
      <c r="C4341" s="52"/>
      <c r="D4341"/>
      <c r="E4341"/>
      <c r="F4341"/>
      <c r="N4341" s="44"/>
    </row>
    <row r="4342" spans="1:14" x14ac:dyDescent="0.3">
      <c r="A4342" s="42"/>
      <c r="C4342" s="52"/>
      <c r="D4342"/>
      <c r="E4342"/>
      <c r="F4342"/>
      <c r="N4342" s="44"/>
    </row>
    <row r="4343" spans="1:14" x14ac:dyDescent="0.3">
      <c r="A4343" s="42"/>
      <c r="C4343" s="52"/>
      <c r="D4343"/>
      <c r="E4343"/>
      <c r="F4343"/>
      <c r="N4343" s="44"/>
    </row>
    <row r="4344" spans="1:14" x14ac:dyDescent="0.3">
      <c r="A4344" s="42"/>
      <c r="C4344" s="52"/>
      <c r="D4344"/>
      <c r="E4344"/>
      <c r="F4344"/>
      <c r="N4344" s="44"/>
    </row>
    <row r="4345" spans="1:14" x14ac:dyDescent="0.3">
      <c r="A4345" s="42"/>
      <c r="C4345" s="52"/>
      <c r="D4345"/>
      <c r="E4345"/>
      <c r="F4345"/>
      <c r="N4345" s="44"/>
    </row>
    <row r="4346" spans="1:14" x14ac:dyDescent="0.3">
      <c r="A4346" s="42"/>
      <c r="C4346" s="52"/>
      <c r="D4346"/>
      <c r="E4346"/>
      <c r="F4346"/>
      <c r="N4346" s="44"/>
    </row>
    <row r="4347" spans="1:14" x14ac:dyDescent="0.3">
      <c r="A4347" s="42"/>
      <c r="C4347" s="52"/>
      <c r="D4347"/>
      <c r="E4347"/>
      <c r="F4347"/>
      <c r="N4347" s="44"/>
    </row>
    <row r="4348" spans="1:14" x14ac:dyDescent="0.3">
      <c r="A4348" s="42"/>
      <c r="C4348" s="52"/>
      <c r="D4348"/>
      <c r="E4348"/>
      <c r="F4348"/>
      <c r="N4348" s="44"/>
    </row>
    <row r="4349" spans="1:14" x14ac:dyDescent="0.3">
      <c r="A4349" s="42"/>
      <c r="C4349" s="52"/>
      <c r="D4349"/>
      <c r="E4349"/>
      <c r="F4349"/>
      <c r="N4349" s="44"/>
    </row>
    <row r="4350" spans="1:14" x14ac:dyDescent="0.3">
      <c r="A4350" s="42"/>
      <c r="C4350" s="52"/>
      <c r="D4350"/>
      <c r="E4350"/>
      <c r="F4350"/>
      <c r="N4350" s="44"/>
    </row>
    <row r="4351" spans="1:14" x14ac:dyDescent="0.3">
      <c r="A4351" s="42"/>
      <c r="C4351" s="52"/>
      <c r="D4351"/>
      <c r="E4351"/>
      <c r="F4351"/>
      <c r="N4351" s="44"/>
    </row>
    <row r="4352" spans="1:14" x14ac:dyDescent="0.3">
      <c r="A4352" s="42"/>
      <c r="C4352" s="52"/>
      <c r="D4352"/>
      <c r="E4352"/>
      <c r="F4352"/>
      <c r="N4352" s="44"/>
    </row>
    <row r="4353" spans="1:14" x14ac:dyDescent="0.3">
      <c r="A4353" s="42"/>
      <c r="C4353" s="52"/>
      <c r="D4353"/>
      <c r="E4353"/>
      <c r="F4353"/>
      <c r="N4353" s="44"/>
    </row>
    <row r="4354" spans="1:14" x14ac:dyDescent="0.3">
      <c r="A4354" s="42"/>
      <c r="C4354" s="52"/>
      <c r="D4354"/>
      <c r="E4354"/>
      <c r="F4354"/>
      <c r="N4354" s="44"/>
    </row>
    <row r="4355" spans="1:14" x14ac:dyDescent="0.3">
      <c r="A4355" s="42"/>
      <c r="C4355" s="52"/>
      <c r="D4355"/>
      <c r="E4355"/>
      <c r="F4355"/>
      <c r="N4355" s="44"/>
    </row>
    <row r="4356" spans="1:14" x14ac:dyDescent="0.3">
      <c r="A4356" s="42"/>
      <c r="C4356" s="52"/>
      <c r="D4356"/>
      <c r="E4356"/>
      <c r="F4356"/>
      <c r="N4356" s="44"/>
    </row>
    <row r="4357" spans="1:14" x14ac:dyDescent="0.3">
      <c r="A4357" s="42"/>
      <c r="C4357" s="52"/>
      <c r="D4357"/>
      <c r="E4357"/>
      <c r="F4357"/>
      <c r="N4357" s="44"/>
    </row>
    <row r="4358" spans="1:14" x14ac:dyDescent="0.3">
      <c r="A4358" s="42"/>
      <c r="C4358" s="52"/>
      <c r="D4358"/>
      <c r="E4358"/>
      <c r="F4358"/>
      <c r="N4358" s="44"/>
    </row>
    <row r="4359" spans="1:14" x14ac:dyDescent="0.3">
      <c r="A4359" s="42"/>
      <c r="C4359" s="52"/>
      <c r="D4359"/>
      <c r="E4359"/>
      <c r="F4359"/>
      <c r="N4359" s="44"/>
    </row>
    <row r="4360" spans="1:14" x14ac:dyDescent="0.3">
      <c r="A4360" s="42"/>
      <c r="C4360" s="52"/>
      <c r="D4360"/>
      <c r="E4360"/>
      <c r="F4360"/>
      <c r="N4360" s="44"/>
    </row>
    <row r="4361" spans="1:14" x14ac:dyDescent="0.3">
      <c r="A4361" s="42"/>
      <c r="C4361" s="52"/>
      <c r="D4361"/>
      <c r="E4361"/>
      <c r="F4361"/>
      <c r="N4361" s="44"/>
    </row>
    <row r="4362" spans="1:14" x14ac:dyDescent="0.3">
      <c r="A4362" s="42"/>
      <c r="C4362" s="52"/>
      <c r="D4362"/>
      <c r="E4362"/>
      <c r="F4362"/>
      <c r="N4362" s="44"/>
    </row>
    <row r="4363" spans="1:14" x14ac:dyDescent="0.3">
      <c r="A4363" s="42"/>
      <c r="C4363" s="52"/>
      <c r="D4363"/>
      <c r="E4363"/>
      <c r="F4363"/>
      <c r="N4363" s="44"/>
    </row>
    <row r="4364" spans="1:14" x14ac:dyDescent="0.3">
      <c r="A4364" s="42"/>
      <c r="C4364" s="52"/>
      <c r="D4364"/>
      <c r="E4364"/>
      <c r="F4364"/>
      <c r="N4364" s="44"/>
    </row>
    <row r="4365" spans="1:14" x14ac:dyDescent="0.3">
      <c r="A4365" s="42"/>
      <c r="C4365" s="52"/>
      <c r="D4365"/>
      <c r="E4365"/>
      <c r="F4365"/>
      <c r="N4365" s="44"/>
    </row>
    <row r="4366" spans="1:14" x14ac:dyDescent="0.3">
      <c r="A4366" s="42"/>
      <c r="C4366" s="52"/>
      <c r="D4366"/>
      <c r="E4366"/>
      <c r="F4366"/>
      <c r="N4366" s="44"/>
    </row>
    <row r="4367" spans="1:14" x14ac:dyDescent="0.3">
      <c r="A4367" s="42"/>
      <c r="C4367" s="52"/>
      <c r="D4367"/>
      <c r="E4367"/>
      <c r="F4367"/>
      <c r="N4367" s="44"/>
    </row>
    <row r="4368" spans="1:14" x14ac:dyDescent="0.3">
      <c r="A4368" s="42"/>
      <c r="C4368" s="52"/>
      <c r="D4368"/>
      <c r="E4368"/>
      <c r="F4368"/>
      <c r="N4368" s="44"/>
    </row>
    <row r="4369" spans="1:14" x14ac:dyDescent="0.3">
      <c r="A4369" s="42"/>
      <c r="C4369" s="52"/>
      <c r="D4369"/>
      <c r="E4369"/>
      <c r="F4369"/>
      <c r="N4369" s="44"/>
    </row>
    <row r="4370" spans="1:14" x14ac:dyDescent="0.3">
      <c r="A4370" s="42"/>
      <c r="C4370" s="52"/>
      <c r="D4370"/>
      <c r="E4370"/>
      <c r="F4370"/>
      <c r="N4370" s="44"/>
    </row>
    <row r="4371" spans="1:14" x14ac:dyDescent="0.3">
      <c r="A4371" s="42"/>
      <c r="C4371" s="52"/>
      <c r="D4371"/>
      <c r="E4371"/>
      <c r="F4371"/>
      <c r="N4371" s="44"/>
    </row>
    <row r="4372" spans="1:14" x14ac:dyDescent="0.3">
      <c r="A4372" s="42"/>
      <c r="C4372" s="52"/>
      <c r="D4372"/>
      <c r="E4372"/>
      <c r="F4372"/>
      <c r="N4372" s="44"/>
    </row>
    <row r="4373" spans="1:14" x14ac:dyDescent="0.3">
      <c r="A4373" s="42"/>
      <c r="C4373" s="52"/>
      <c r="D4373"/>
      <c r="E4373"/>
      <c r="F4373"/>
      <c r="N4373" s="44"/>
    </row>
    <row r="4374" spans="1:14" x14ac:dyDescent="0.3">
      <c r="A4374" s="42"/>
      <c r="C4374" s="52"/>
      <c r="D4374"/>
      <c r="E4374"/>
      <c r="F4374"/>
      <c r="N4374" s="44"/>
    </row>
    <row r="4375" spans="1:14" x14ac:dyDescent="0.3">
      <c r="A4375" s="42"/>
      <c r="C4375" s="52"/>
      <c r="D4375"/>
      <c r="E4375"/>
      <c r="F4375"/>
      <c r="N4375" s="44"/>
    </row>
    <row r="4376" spans="1:14" x14ac:dyDescent="0.3">
      <c r="A4376" s="42"/>
      <c r="C4376" s="52"/>
      <c r="D4376"/>
      <c r="E4376"/>
      <c r="F4376"/>
      <c r="N4376" s="44"/>
    </row>
    <row r="4377" spans="1:14" x14ac:dyDescent="0.3">
      <c r="A4377" s="42"/>
      <c r="C4377" s="52"/>
      <c r="D4377"/>
      <c r="E4377"/>
      <c r="F4377"/>
      <c r="N4377" s="44"/>
    </row>
    <row r="4378" spans="1:14" x14ac:dyDescent="0.3">
      <c r="A4378" s="42"/>
      <c r="C4378" s="52"/>
      <c r="D4378"/>
      <c r="E4378"/>
      <c r="F4378"/>
      <c r="N4378" s="44"/>
    </row>
    <row r="4379" spans="1:14" x14ac:dyDescent="0.3">
      <c r="A4379" s="42"/>
      <c r="C4379" s="52"/>
      <c r="D4379"/>
      <c r="E4379"/>
      <c r="F4379"/>
      <c r="N4379" s="44"/>
    </row>
    <row r="4380" spans="1:14" x14ac:dyDescent="0.3">
      <c r="A4380" s="42"/>
      <c r="C4380" s="52"/>
      <c r="D4380"/>
      <c r="E4380"/>
      <c r="F4380"/>
      <c r="N4380" s="44"/>
    </row>
    <row r="4381" spans="1:14" x14ac:dyDescent="0.3">
      <c r="A4381" s="42"/>
      <c r="C4381" s="52"/>
      <c r="D4381"/>
      <c r="E4381"/>
      <c r="F4381"/>
      <c r="N4381" s="44"/>
    </row>
    <row r="4382" spans="1:14" x14ac:dyDescent="0.3">
      <c r="A4382" s="42"/>
      <c r="C4382" s="52"/>
      <c r="D4382"/>
      <c r="E4382"/>
      <c r="F4382"/>
      <c r="N4382" s="44"/>
    </row>
    <row r="4383" spans="1:14" x14ac:dyDescent="0.3">
      <c r="A4383" s="42"/>
      <c r="C4383" s="52"/>
      <c r="D4383"/>
      <c r="E4383"/>
      <c r="F4383"/>
      <c r="N4383" s="44"/>
    </row>
    <row r="4384" spans="1:14" x14ac:dyDescent="0.3">
      <c r="A4384" s="42"/>
      <c r="C4384" s="52"/>
      <c r="D4384"/>
      <c r="E4384"/>
      <c r="F4384"/>
      <c r="N4384" s="44"/>
    </row>
    <row r="4385" spans="1:14" x14ac:dyDescent="0.3">
      <c r="A4385" s="42"/>
      <c r="C4385" s="52"/>
      <c r="D4385"/>
      <c r="E4385"/>
      <c r="F4385"/>
      <c r="N4385" s="44"/>
    </row>
    <row r="4386" spans="1:14" x14ac:dyDescent="0.3">
      <c r="A4386" s="42"/>
      <c r="C4386" s="52"/>
      <c r="D4386"/>
      <c r="E4386"/>
      <c r="F4386"/>
      <c r="N4386" s="44"/>
    </row>
    <row r="4387" spans="1:14" x14ac:dyDescent="0.3">
      <c r="A4387" s="42"/>
      <c r="C4387" s="52"/>
      <c r="D4387"/>
      <c r="E4387"/>
      <c r="F4387"/>
      <c r="N4387" s="44"/>
    </row>
    <row r="4388" spans="1:14" x14ac:dyDescent="0.3">
      <c r="A4388" s="42"/>
      <c r="C4388" s="52"/>
      <c r="D4388"/>
      <c r="E4388"/>
      <c r="F4388"/>
      <c r="N4388" s="44"/>
    </row>
    <row r="4389" spans="1:14" x14ac:dyDescent="0.3">
      <c r="A4389" s="42"/>
      <c r="C4389" s="52"/>
      <c r="D4389"/>
      <c r="E4389"/>
      <c r="F4389"/>
      <c r="N4389" s="44"/>
    </row>
    <row r="4390" spans="1:14" x14ac:dyDescent="0.3">
      <c r="A4390" s="42"/>
      <c r="C4390" s="52"/>
      <c r="D4390"/>
      <c r="E4390"/>
      <c r="F4390"/>
      <c r="N4390" s="44"/>
    </row>
    <row r="4391" spans="1:14" x14ac:dyDescent="0.3">
      <c r="A4391" s="42"/>
      <c r="C4391" s="52"/>
      <c r="D4391"/>
      <c r="E4391"/>
      <c r="F4391"/>
      <c r="N4391" s="44"/>
    </row>
    <row r="4392" spans="1:14" x14ac:dyDescent="0.3">
      <c r="A4392" s="42"/>
      <c r="C4392" s="52"/>
      <c r="D4392"/>
      <c r="E4392"/>
      <c r="F4392"/>
      <c r="N4392" s="44"/>
    </row>
    <row r="4393" spans="1:14" x14ac:dyDescent="0.3">
      <c r="A4393" s="42"/>
      <c r="C4393" s="52"/>
      <c r="D4393"/>
      <c r="E4393"/>
      <c r="F4393"/>
      <c r="N4393" s="44"/>
    </row>
    <row r="4394" spans="1:14" x14ac:dyDescent="0.3">
      <c r="A4394" s="42"/>
      <c r="C4394" s="52"/>
      <c r="D4394"/>
      <c r="E4394"/>
      <c r="F4394"/>
      <c r="N4394" s="44"/>
    </row>
    <row r="4395" spans="1:14" x14ac:dyDescent="0.3">
      <c r="A4395" s="42"/>
      <c r="C4395" s="52"/>
      <c r="D4395"/>
      <c r="E4395"/>
      <c r="F4395"/>
      <c r="N4395" s="44"/>
    </row>
    <row r="4396" spans="1:14" x14ac:dyDescent="0.3">
      <c r="A4396" s="42"/>
      <c r="C4396" s="52"/>
      <c r="D4396"/>
      <c r="E4396"/>
      <c r="F4396"/>
      <c r="N4396" s="44"/>
    </row>
    <row r="4397" spans="1:14" x14ac:dyDescent="0.3">
      <c r="A4397" s="42"/>
      <c r="C4397" s="52"/>
      <c r="D4397"/>
      <c r="E4397"/>
      <c r="F4397"/>
      <c r="N4397" s="44"/>
    </row>
    <row r="4398" spans="1:14" x14ac:dyDescent="0.3">
      <c r="A4398" s="42"/>
      <c r="C4398" s="52"/>
      <c r="D4398"/>
      <c r="E4398"/>
      <c r="F4398"/>
      <c r="N4398" s="44"/>
    </row>
    <row r="4399" spans="1:14" x14ac:dyDescent="0.3">
      <c r="A4399" s="42"/>
      <c r="C4399" s="52"/>
      <c r="D4399"/>
      <c r="E4399"/>
      <c r="F4399"/>
      <c r="N4399" s="44"/>
    </row>
    <row r="4400" spans="1:14" x14ac:dyDescent="0.3">
      <c r="A4400" s="42"/>
      <c r="C4400" s="52"/>
      <c r="D4400"/>
      <c r="E4400"/>
      <c r="F4400"/>
      <c r="N4400" s="44"/>
    </row>
    <row r="4401" spans="1:14" x14ac:dyDescent="0.3">
      <c r="A4401" s="42"/>
      <c r="C4401" s="52"/>
      <c r="D4401"/>
      <c r="E4401"/>
      <c r="F4401"/>
      <c r="N4401" s="44"/>
    </row>
    <row r="4402" spans="1:14" x14ac:dyDescent="0.3">
      <c r="A4402" s="42"/>
      <c r="C4402" s="52"/>
      <c r="D4402"/>
      <c r="E4402"/>
      <c r="F4402"/>
      <c r="N4402" s="44"/>
    </row>
    <row r="4403" spans="1:14" x14ac:dyDescent="0.3">
      <c r="A4403" s="42"/>
      <c r="C4403" s="52"/>
      <c r="D4403"/>
      <c r="E4403"/>
      <c r="F4403"/>
      <c r="N4403" s="44"/>
    </row>
    <row r="4404" spans="1:14" x14ac:dyDescent="0.3">
      <c r="A4404" s="42"/>
      <c r="C4404" s="52"/>
      <c r="D4404"/>
      <c r="E4404"/>
      <c r="F4404"/>
      <c r="N4404" s="44"/>
    </row>
    <row r="4405" spans="1:14" x14ac:dyDescent="0.3">
      <c r="A4405" s="42"/>
      <c r="C4405" s="52"/>
      <c r="D4405"/>
      <c r="E4405"/>
      <c r="F4405"/>
      <c r="N4405" s="44"/>
    </row>
    <row r="4406" spans="1:14" x14ac:dyDescent="0.3">
      <c r="A4406" s="42"/>
      <c r="C4406" s="52"/>
      <c r="D4406"/>
      <c r="E4406"/>
      <c r="F4406"/>
      <c r="N4406" s="44"/>
    </row>
    <row r="4407" spans="1:14" x14ac:dyDescent="0.3">
      <c r="A4407" s="42"/>
      <c r="C4407" s="52"/>
      <c r="D4407"/>
      <c r="E4407"/>
      <c r="F4407"/>
      <c r="N4407" s="44"/>
    </row>
    <row r="4408" spans="1:14" x14ac:dyDescent="0.3">
      <c r="A4408" s="42"/>
      <c r="C4408" s="52"/>
      <c r="D4408"/>
      <c r="E4408"/>
      <c r="F4408"/>
      <c r="N4408" s="44"/>
    </row>
    <row r="4409" spans="1:14" x14ac:dyDescent="0.3">
      <c r="A4409" s="42"/>
      <c r="C4409" s="52"/>
      <c r="D4409"/>
      <c r="E4409"/>
      <c r="F4409"/>
      <c r="N4409" s="44"/>
    </row>
    <row r="4410" spans="1:14" x14ac:dyDescent="0.3">
      <c r="A4410" s="42"/>
      <c r="C4410" s="52"/>
      <c r="D4410"/>
      <c r="E4410"/>
      <c r="F4410"/>
      <c r="N4410" s="44"/>
    </row>
    <row r="4411" spans="1:14" x14ac:dyDescent="0.3">
      <c r="A4411" s="42"/>
      <c r="C4411" s="52"/>
      <c r="D4411"/>
      <c r="E4411"/>
      <c r="F4411"/>
      <c r="N4411" s="44"/>
    </row>
    <row r="4412" spans="1:14" x14ac:dyDescent="0.3">
      <c r="A4412" s="42"/>
      <c r="C4412" s="52"/>
      <c r="D4412"/>
      <c r="E4412"/>
      <c r="F4412"/>
      <c r="N4412" s="44"/>
    </row>
    <row r="4413" spans="1:14" x14ac:dyDescent="0.3">
      <c r="A4413" s="42"/>
      <c r="C4413" s="52"/>
      <c r="D4413"/>
      <c r="E4413"/>
      <c r="F4413"/>
      <c r="N4413" s="44"/>
    </row>
    <row r="4414" spans="1:14" x14ac:dyDescent="0.3">
      <c r="A4414" s="42"/>
      <c r="C4414" s="52"/>
      <c r="D4414"/>
      <c r="E4414"/>
      <c r="F4414"/>
      <c r="N4414" s="44"/>
    </row>
    <row r="4415" spans="1:14" x14ac:dyDescent="0.3">
      <c r="A4415" s="42"/>
      <c r="C4415" s="52"/>
      <c r="D4415"/>
      <c r="E4415"/>
      <c r="F4415"/>
      <c r="N4415" s="44"/>
    </row>
    <row r="4416" spans="1:14" x14ac:dyDescent="0.3">
      <c r="A4416" s="42"/>
      <c r="C4416" s="52"/>
      <c r="D4416"/>
      <c r="E4416"/>
      <c r="F4416"/>
      <c r="N4416" s="44"/>
    </row>
    <row r="4417" spans="1:14" x14ac:dyDescent="0.3">
      <c r="A4417" s="42"/>
      <c r="C4417" s="52"/>
      <c r="D4417"/>
      <c r="E4417"/>
      <c r="F4417"/>
      <c r="N4417" s="44"/>
    </row>
    <row r="4418" spans="1:14" x14ac:dyDescent="0.3">
      <c r="A4418" s="42"/>
      <c r="C4418" s="52"/>
      <c r="D4418"/>
      <c r="E4418"/>
      <c r="F4418"/>
      <c r="N4418" s="44"/>
    </row>
    <row r="4419" spans="1:14" x14ac:dyDescent="0.3">
      <c r="A4419" s="42"/>
      <c r="C4419" s="52"/>
      <c r="D4419"/>
      <c r="E4419"/>
      <c r="F4419"/>
      <c r="N4419" s="44"/>
    </row>
    <row r="4420" spans="1:14" x14ac:dyDescent="0.3">
      <c r="A4420" s="42"/>
      <c r="C4420" s="52"/>
      <c r="D4420"/>
      <c r="E4420"/>
      <c r="F4420"/>
      <c r="N4420" s="44"/>
    </row>
    <row r="4421" spans="1:14" x14ac:dyDescent="0.3">
      <c r="A4421" s="42"/>
      <c r="C4421" s="52"/>
      <c r="D4421"/>
      <c r="E4421"/>
      <c r="F4421"/>
      <c r="N4421" s="44"/>
    </row>
    <row r="4422" spans="1:14" x14ac:dyDescent="0.3">
      <c r="A4422" s="42"/>
      <c r="C4422" s="52"/>
      <c r="D4422"/>
      <c r="E4422"/>
      <c r="F4422"/>
      <c r="N4422" s="44"/>
    </row>
    <row r="4423" spans="1:14" x14ac:dyDescent="0.3">
      <c r="A4423" s="42"/>
      <c r="C4423" s="52"/>
      <c r="D4423"/>
      <c r="E4423"/>
      <c r="F4423"/>
      <c r="N4423" s="44"/>
    </row>
    <row r="4424" spans="1:14" x14ac:dyDescent="0.3">
      <c r="A4424" s="42"/>
      <c r="C4424" s="52"/>
      <c r="D4424"/>
      <c r="E4424"/>
      <c r="F4424"/>
      <c r="N4424" s="44"/>
    </row>
    <row r="4425" spans="1:14" x14ac:dyDescent="0.3">
      <c r="A4425" s="42"/>
      <c r="C4425" s="52"/>
      <c r="D4425"/>
      <c r="E4425"/>
      <c r="F4425"/>
      <c r="N4425" s="44"/>
    </row>
    <row r="4426" spans="1:14" x14ac:dyDescent="0.3">
      <c r="A4426" s="42"/>
      <c r="C4426" s="52"/>
      <c r="D4426"/>
      <c r="E4426"/>
      <c r="F4426"/>
      <c r="N4426" s="44"/>
    </row>
    <row r="4427" spans="1:14" x14ac:dyDescent="0.3">
      <c r="A4427" s="42"/>
      <c r="C4427" s="52"/>
      <c r="D4427"/>
      <c r="E4427"/>
      <c r="F4427"/>
      <c r="N4427" s="44"/>
    </row>
    <row r="4428" spans="1:14" x14ac:dyDescent="0.3">
      <c r="A4428" s="42"/>
      <c r="C4428" s="52"/>
      <c r="D4428"/>
      <c r="E4428"/>
      <c r="F4428"/>
      <c r="N4428" s="44"/>
    </row>
    <row r="4429" spans="1:14" x14ac:dyDescent="0.3">
      <c r="A4429" s="42"/>
      <c r="C4429" s="52"/>
      <c r="D4429"/>
      <c r="E4429"/>
      <c r="F4429"/>
      <c r="N4429" s="44"/>
    </row>
    <row r="4430" spans="1:14" x14ac:dyDescent="0.3">
      <c r="A4430" s="42"/>
      <c r="C4430" s="52"/>
      <c r="D4430"/>
      <c r="E4430"/>
      <c r="F4430"/>
      <c r="N4430" s="44"/>
    </row>
    <row r="4431" spans="1:14" x14ac:dyDescent="0.3">
      <c r="A4431" s="42"/>
      <c r="C4431" s="52"/>
      <c r="D4431"/>
      <c r="E4431"/>
      <c r="F4431"/>
      <c r="N4431" s="44"/>
    </row>
    <row r="4432" spans="1:14" x14ac:dyDescent="0.3">
      <c r="A4432" s="42"/>
      <c r="C4432" s="52"/>
      <c r="D4432"/>
      <c r="E4432"/>
      <c r="F4432"/>
      <c r="N4432" s="44"/>
    </row>
    <row r="4433" spans="1:14" x14ac:dyDescent="0.3">
      <c r="A4433" s="42"/>
      <c r="C4433" s="52"/>
      <c r="D4433"/>
      <c r="E4433"/>
      <c r="F4433"/>
      <c r="N4433" s="44"/>
    </row>
    <row r="4434" spans="1:14" x14ac:dyDescent="0.3">
      <c r="A4434" s="42"/>
      <c r="C4434" s="52"/>
      <c r="D4434"/>
      <c r="E4434"/>
      <c r="F4434"/>
      <c r="N4434" s="44"/>
    </row>
    <row r="4435" spans="1:14" x14ac:dyDescent="0.3">
      <c r="A4435" s="42"/>
      <c r="C4435" s="52"/>
      <c r="D4435"/>
      <c r="E4435"/>
      <c r="F4435"/>
      <c r="N4435" s="44"/>
    </row>
    <row r="4436" spans="1:14" x14ac:dyDescent="0.3">
      <c r="A4436" s="42"/>
      <c r="C4436" s="52"/>
      <c r="D4436"/>
      <c r="E4436"/>
      <c r="F4436"/>
      <c r="N4436" s="44"/>
    </row>
    <row r="4437" spans="1:14" x14ac:dyDescent="0.3">
      <c r="A4437" s="42"/>
      <c r="C4437" s="52"/>
      <c r="D4437"/>
      <c r="E4437"/>
      <c r="F4437"/>
      <c r="N4437" s="44"/>
    </row>
    <row r="4438" spans="1:14" x14ac:dyDescent="0.3">
      <c r="A4438" s="42"/>
      <c r="C4438" s="52"/>
      <c r="D4438"/>
      <c r="E4438"/>
      <c r="F4438"/>
      <c r="N4438" s="44"/>
    </row>
    <row r="4439" spans="1:14" x14ac:dyDescent="0.3">
      <c r="A4439" s="42"/>
      <c r="C4439" s="52"/>
      <c r="D4439"/>
      <c r="E4439"/>
      <c r="F4439"/>
      <c r="N4439" s="44"/>
    </row>
    <row r="4440" spans="1:14" x14ac:dyDescent="0.3">
      <c r="A4440" s="42"/>
      <c r="C4440" s="52"/>
      <c r="D4440"/>
      <c r="E4440"/>
      <c r="F4440"/>
      <c r="N4440" s="44"/>
    </row>
    <row r="4441" spans="1:14" x14ac:dyDescent="0.3">
      <c r="A4441" s="42"/>
      <c r="C4441" s="52"/>
      <c r="D4441"/>
      <c r="E4441"/>
      <c r="F4441"/>
      <c r="N4441" s="44"/>
    </row>
    <row r="4442" spans="1:14" x14ac:dyDescent="0.3">
      <c r="A4442" s="42"/>
      <c r="C4442" s="52"/>
      <c r="D4442"/>
      <c r="E4442"/>
      <c r="F4442"/>
      <c r="M4442" s="45"/>
      <c r="N4442" s="44"/>
    </row>
    <row r="4443" spans="1:14" x14ac:dyDescent="0.3">
      <c r="A4443" s="42"/>
      <c r="C4443" s="52"/>
      <c r="D4443"/>
      <c r="E4443"/>
      <c r="F4443"/>
      <c r="N4443" s="44"/>
    </row>
    <row r="4444" spans="1:14" x14ac:dyDescent="0.3">
      <c r="A4444" s="42"/>
      <c r="C4444" s="52"/>
      <c r="D4444"/>
      <c r="E4444"/>
      <c r="F4444"/>
      <c r="N4444" s="44"/>
    </row>
    <row r="4445" spans="1:14" x14ac:dyDescent="0.3">
      <c r="A4445" s="42"/>
      <c r="C4445" s="52"/>
      <c r="D4445"/>
      <c r="E4445"/>
      <c r="F4445"/>
      <c r="N4445" s="44"/>
    </row>
    <row r="4446" spans="1:14" x14ac:dyDescent="0.3">
      <c r="A4446" s="42"/>
      <c r="C4446" s="52"/>
      <c r="D4446"/>
      <c r="E4446"/>
      <c r="F4446"/>
      <c r="N4446" s="44"/>
    </row>
    <row r="4447" spans="1:14" x14ac:dyDescent="0.3">
      <c r="A4447" s="42"/>
      <c r="C4447" s="52"/>
      <c r="D4447"/>
      <c r="E4447"/>
      <c r="F4447"/>
      <c r="N4447" s="44"/>
    </row>
    <row r="4448" spans="1:14" x14ac:dyDescent="0.3">
      <c r="A4448" s="42"/>
      <c r="C4448" s="52"/>
      <c r="D4448"/>
      <c r="E4448"/>
      <c r="F4448"/>
      <c r="N4448" s="44"/>
    </row>
    <row r="4449" spans="1:14" x14ac:dyDescent="0.3">
      <c r="A4449" s="42"/>
      <c r="C4449" s="52"/>
      <c r="D4449"/>
      <c r="E4449"/>
      <c r="F4449"/>
      <c r="N4449" s="44"/>
    </row>
    <row r="4450" spans="1:14" x14ac:dyDescent="0.3">
      <c r="A4450" s="42"/>
      <c r="C4450" s="52"/>
      <c r="D4450"/>
      <c r="E4450"/>
      <c r="F4450"/>
      <c r="N4450" s="44"/>
    </row>
    <row r="4451" spans="1:14" x14ac:dyDescent="0.3">
      <c r="A4451" s="42"/>
      <c r="C4451" s="52"/>
      <c r="D4451"/>
      <c r="E4451"/>
      <c r="F4451"/>
      <c r="N4451" s="44"/>
    </row>
    <row r="4452" spans="1:14" x14ac:dyDescent="0.3">
      <c r="A4452" s="42"/>
      <c r="C4452" s="52"/>
      <c r="D4452"/>
      <c r="E4452"/>
      <c r="F4452"/>
      <c r="N4452" s="44"/>
    </row>
    <row r="4453" spans="1:14" x14ac:dyDescent="0.3">
      <c r="A4453" s="42"/>
      <c r="C4453" s="52"/>
      <c r="D4453"/>
      <c r="E4453"/>
      <c r="F4453"/>
      <c r="N4453" s="44"/>
    </row>
    <row r="4454" spans="1:14" x14ac:dyDescent="0.3">
      <c r="A4454" s="42"/>
      <c r="C4454" s="52"/>
      <c r="D4454"/>
      <c r="E4454"/>
      <c r="F4454"/>
      <c r="N4454" s="44"/>
    </row>
    <row r="4455" spans="1:14" x14ac:dyDescent="0.3">
      <c r="A4455" s="42"/>
      <c r="C4455" s="52"/>
      <c r="D4455"/>
      <c r="E4455"/>
      <c r="F4455"/>
      <c r="N4455" s="44"/>
    </row>
    <row r="4456" spans="1:14" x14ac:dyDescent="0.3">
      <c r="A4456" s="42"/>
      <c r="C4456" s="52"/>
      <c r="D4456"/>
      <c r="E4456"/>
      <c r="F4456"/>
      <c r="N4456" s="44"/>
    </row>
    <row r="4457" spans="1:14" x14ac:dyDescent="0.3">
      <c r="A4457" s="42"/>
      <c r="C4457" s="52"/>
      <c r="D4457"/>
      <c r="E4457"/>
      <c r="F4457"/>
      <c r="N4457" s="44"/>
    </row>
    <row r="4458" spans="1:14" x14ac:dyDescent="0.3">
      <c r="A4458" s="42"/>
      <c r="C4458" s="52"/>
      <c r="D4458"/>
      <c r="E4458"/>
      <c r="F4458"/>
      <c r="N4458" s="44"/>
    </row>
    <row r="4459" spans="1:14" x14ac:dyDescent="0.3">
      <c r="A4459" s="42"/>
      <c r="C4459" s="52"/>
      <c r="D4459"/>
      <c r="E4459"/>
      <c r="F4459"/>
      <c r="N4459" s="44"/>
    </row>
    <row r="4460" spans="1:14" x14ac:dyDescent="0.3">
      <c r="A4460" s="42"/>
      <c r="C4460" s="52"/>
      <c r="D4460"/>
      <c r="E4460"/>
      <c r="F4460"/>
      <c r="N4460" s="44"/>
    </row>
    <row r="4461" spans="1:14" x14ac:dyDescent="0.3">
      <c r="A4461" s="42"/>
      <c r="C4461" s="52"/>
      <c r="D4461"/>
      <c r="E4461"/>
      <c r="F4461"/>
      <c r="N4461" s="44"/>
    </row>
    <row r="4462" spans="1:14" x14ac:dyDescent="0.3">
      <c r="A4462" s="42"/>
      <c r="C4462" s="52"/>
      <c r="D4462"/>
      <c r="E4462"/>
      <c r="F4462"/>
      <c r="N4462" s="44"/>
    </row>
    <row r="4463" spans="1:14" x14ac:dyDescent="0.3">
      <c r="A4463" s="42"/>
      <c r="C4463" s="52"/>
      <c r="D4463"/>
      <c r="E4463"/>
      <c r="F4463"/>
      <c r="N4463" s="44"/>
    </row>
    <row r="4464" spans="1:14" x14ac:dyDescent="0.3">
      <c r="A4464" s="42"/>
      <c r="C4464" s="52"/>
      <c r="D4464"/>
      <c r="E4464"/>
      <c r="F4464"/>
      <c r="N4464" s="44"/>
    </row>
    <row r="4465" spans="1:14" x14ac:dyDescent="0.3">
      <c r="A4465" s="42"/>
      <c r="C4465" s="52"/>
      <c r="D4465"/>
      <c r="E4465"/>
      <c r="F4465"/>
      <c r="N4465" s="44"/>
    </row>
    <row r="4466" spans="1:14" x14ac:dyDescent="0.3">
      <c r="A4466" s="42"/>
      <c r="C4466" s="52"/>
      <c r="D4466"/>
      <c r="E4466"/>
      <c r="F4466"/>
      <c r="N4466" s="44"/>
    </row>
    <row r="4467" spans="1:14" x14ac:dyDescent="0.3">
      <c r="A4467" s="42"/>
      <c r="C4467" s="52"/>
      <c r="D4467"/>
      <c r="E4467"/>
      <c r="F4467"/>
      <c r="N4467" s="44"/>
    </row>
    <row r="4468" spans="1:14" x14ac:dyDescent="0.3">
      <c r="A4468" s="42"/>
      <c r="C4468" s="52"/>
      <c r="D4468"/>
      <c r="E4468"/>
      <c r="F4468"/>
      <c r="N4468" s="44"/>
    </row>
    <row r="4469" spans="1:14" x14ac:dyDescent="0.3">
      <c r="A4469" s="42"/>
      <c r="C4469" s="52"/>
      <c r="D4469"/>
      <c r="E4469"/>
      <c r="F4469"/>
      <c r="N4469" s="44"/>
    </row>
    <row r="4470" spans="1:14" x14ac:dyDescent="0.3">
      <c r="A4470" s="42"/>
      <c r="C4470" s="52"/>
      <c r="D4470"/>
      <c r="E4470"/>
      <c r="F4470"/>
      <c r="N4470" s="44"/>
    </row>
    <row r="4471" spans="1:14" x14ac:dyDescent="0.3">
      <c r="A4471" s="42"/>
      <c r="C4471" s="52"/>
      <c r="D4471"/>
      <c r="E4471"/>
      <c r="F4471"/>
      <c r="N4471" s="44"/>
    </row>
    <row r="4472" spans="1:14" x14ac:dyDescent="0.3">
      <c r="A4472" s="42"/>
      <c r="C4472" s="52"/>
      <c r="D4472"/>
      <c r="E4472"/>
      <c r="F4472"/>
      <c r="N4472" s="44"/>
    </row>
    <row r="4473" spans="1:14" x14ac:dyDescent="0.3">
      <c r="A4473" s="42"/>
      <c r="C4473" s="52"/>
      <c r="D4473"/>
      <c r="E4473"/>
      <c r="F4473"/>
      <c r="N4473" s="44"/>
    </row>
    <row r="4474" spans="1:14" x14ac:dyDescent="0.3">
      <c r="A4474" s="42"/>
      <c r="C4474" s="52"/>
      <c r="D4474"/>
      <c r="E4474"/>
      <c r="F4474"/>
      <c r="N4474" s="44"/>
    </row>
    <row r="4475" spans="1:14" x14ac:dyDescent="0.3">
      <c r="A4475" s="42"/>
      <c r="C4475" s="52"/>
      <c r="D4475"/>
      <c r="E4475"/>
      <c r="F4475"/>
      <c r="N4475" s="44"/>
    </row>
    <row r="4476" spans="1:14" x14ac:dyDescent="0.3">
      <c r="A4476" s="42"/>
      <c r="C4476" s="52"/>
      <c r="D4476"/>
      <c r="E4476"/>
      <c r="F4476"/>
      <c r="N4476" s="44"/>
    </row>
    <row r="4477" spans="1:14" x14ac:dyDescent="0.3">
      <c r="A4477" s="42"/>
      <c r="C4477" s="52"/>
      <c r="D4477"/>
      <c r="E4477"/>
      <c r="F4477"/>
      <c r="N4477" s="44"/>
    </row>
    <row r="4478" spans="1:14" x14ac:dyDescent="0.3">
      <c r="A4478" s="42"/>
      <c r="C4478" s="52"/>
      <c r="D4478"/>
      <c r="E4478"/>
      <c r="F4478"/>
      <c r="N4478" s="44"/>
    </row>
    <row r="4479" spans="1:14" x14ac:dyDescent="0.3">
      <c r="A4479" s="42"/>
      <c r="C4479" s="52"/>
      <c r="D4479"/>
      <c r="E4479"/>
      <c r="F4479"/>
      <c r="N4479" s="44"/>
    </row>
    <row r="4480" spans="1:14" x14ac:dyDescent="0.3">
      <c r="A4480" s="42"/>
      <c r="C4480" s="52"/>
      <c r="D4480"/>
      <c r="E4480"/>
      <c r="F4480"/>
      <c r="N4480" s="44"/>
    </row>
    <row r="4481" spans="1:14" x14ac:dyDescent="0.3">
      <c r="A4481" s="42"/>
      <c r="C4481" s="52"/>
      <c r="D4481"/>
      <c r="E4481"/>
      <c r="F4481"/>
      <c r="N4481" s="44"/>
    </row>
    <row r="4482" spans="1:14" x14ac:dyDescent="0.3">
      <c r="A4482" s="42"/>
      <c r="C4482" s="52"/>
      <c r="D4482"/>
      <c r="E4482"/>
      <c r="F4482"/>
      <c r="N4482" s="44"/>
    </row>
    <row r="4483" spans="1:14" x14ac:dyDescent="0.3">
      <c r="A4483" s="42"/>
      <c r="C4483" s="52"/>
      <c r="D4483"/>
      <c r="E4483"/>
      <c r="F4483"/>
      <c r="N4483" s="44"/>
    </row>
    <row r="4484" spans="1:14" x14ac:dyDescent="0.3">
      <c r="A4484" s="42"/>
      <c r="C4484" s="52"/>
      <c r="D4484"/>
      <c r="E4484"/>
      <c r="F4484"/>
      <c r="N4484" s="44"/>
    </row>
    <row r="4485" spans="1:14" x14ac:dyDescent="0.3">
      <c r="A4485" s="42"/>
      <c r="C4485" s="52"/>
      <c r="D4485"/>
      <c r="E4485"/>
      <c r="F4485"/>
      <c r="N4485" s="44"/>
    </row>
    <row r="4486" spans="1:14" x14ac:dyDescent="0.3">
      <c r="A4486" s="42"/>
      <c r="C4486" s="52"/>
      <c r="D4486"/>
      <c r="E4486"/>
      <c r="F4486"/>
      <c r="N4486" s="44"/>
    </row>
    <row r="4487" spans="1:14" x14ac:dyDescent="0.3">
      <c r="A4487" s="42"/>
      <c r="C4487" s="52"/>
      <c r="D4487"/>
      <c r="E4487"/>
      <c r="F4487"/>
      <c r="N4487" s="44"/>
    </row>
    <row r="4488" spans="1:14" x14ac:dyDescent="0.3">
      <c r="A4488" s="42"/>
      <c r="C4488" s="52"/>
      <c r="D4488"/>
      <c r="E4488"/>
      <c r="F4488"/>
      <c r="N4488" s="44"/>
    </row>
    <row r="4489" spans="1:14" x14ac:dyDescent="0.3">
      <c r="A4489" s="42"/>
      <c r="C4489" s="52"/>
      <c r="D4489"/>
      <c r="E4489"/>
      <c r="F4489"/>
      <c r="N4489" s="44"/>
    </row>
    <row r="4490" spans="1:14" x14ac:dyDescent="0.3">
      <c r="A4490" s="42"/>
      <c r="C4490" s="52"/>
      <c r="D4490"/>
      <c r="E4490"/>
      <c r="F4490"/>
      <c r="N4490" s="44"/>
    </row>
    <row r="4491" spans="1:14" x14ac:dyDescent="0.3">
      <c r="A4491" s="42"/>
      <c r="C4491" s="52"/>
      <c r="D4491"/>
      <c r="E4491"/>
      <c r="F4491"/>
      <c r="N4491" s="44"/>
    </row>
    <row r="4492" spans="1:14" x14ac:dyDescent="0.3">
      <c r="A4492" s="42"/>
      <c r="C4492" s="52"/>
      <c r="D4492"/>
      <c r="E4492"/>
      <c r="F4492"/>
      <c r="N4492" s="44"/>
    </row>
    <row r="4493" spans="1:14" x14ac:dyDescent="0.3">
      <c r="A4493" s="42"/>
      <c r="C4493" s="52"/>
      <c r="D4493"/>
      <c r="E4493"/>
      <c r="F4493"/>
      <c r="N4493" s="44"/>
    </row>
    <row r="4494" spans="1:14" x14ac:dyDescent="0.3">
      <c r="A4494" s="42"/>
      <c r="C4494" s="52"/>
      <c r="D4494"/>
      <c r="E4494"/>
      <c r="F4494"/>
      <c r="N4494" s="44"/>
    </row>
    <row r="4495" spans="1:14" x14ac:dyDescent="0.3">
      <c r="A4495" s="42"/>
      <c r="C4495" s="52"/>
      <c r="D4495"/>
      <c r="E4495"/>
      <c r="F4495"/>
      <c r="N4495" s="44"/>
    </row>
    <row r="4496" spans="1:14" x14ac:dyDescent="0.3">
      <c r="A4496" s="42"/>
      <c r="C4496" s="52"/>
      <c r="D4496"/>
      <c r="E4496"/>
      <c r="F4496"/>
      <c r="N4496" s="44"/>
    </row>
    <row r="4497" spans="1:14" x14ac:dyDescent="0.3">
      <c r="A4497" s="42"/>
      <c r="C4497" s="52"/>
      <c r="D4497"/>
      <c r="E4497"/>
      <c r="F4497"/>
      <c r="N4497" s="44"/>
    </row>
    <row r="4498" spans="1:14" x14ac:dyDescent="0.3">
      <c r="A4498" s="42"/>
      <c r="C4498" s="52"/>
      <c r="D4498"/>
      <c r="E4498"/>
      <c r="F4498"/>
      <c r="N4498" s="44"/>
    </row>
    <row r="4499" spans="1:14" x14ac:dyDescent="0.3">
      <c r="A4499" s="42"/>
      <c r="C4499" s="52"/>
      <c r="D4499"/>
      <c r="E4499"/>
      <c r="F4499"/>
      <c r="N4499" s="44"/>
    </row>
    <row r="4500" spans="1:14" x14ac:dyDescent="0.3">
      <c r="A4500" s="42"/>
      <c r="C4500" s="52"/>
      <c r="D4500"/>
      <c r="E4500"/>
      <c r="F4500"/>
      <c r="N4500" s="44"/>
    </row>
    <row r="4501" spans="1:14" x14ac:dyDescent="0.3">
      <c r="A4501" s="42"/>
      <c r="C4501" s="52"/>
      <c r="D4501"/>
      <c r="E4501"/>
      <c r="F4501"/>
      <c r="N4501" s="44"/>
    </row>
    <row r="4502" spans="1:14" x14ac:dyDescent="0.3">
      <c r="A4502" s="42"/>
      <c r="C4502" s="52"/>
      <c r="D4502"/>
      <c r="E4502"/>
      <c r="F4502"/>
      <c r="N4502" s="44"/>
    </row>
    <row r="4503" spans="1:14" x14ac:dyDescent="0.3">
      <c r="A4503" s="42"/>
      <c r="C4503" s="52"/>
      <c r="D4503"/>
      <c r="E4503"/>
      <c r="F4503"/>
      <c r="N4503" s="44"/>
    </row>
    <row r="4504" spans="1:14" x14ac:dyDescent="0.3">
      <c r="A4504" s="42"/>
      <c r="C4504" s="52"/>
      <c r="D4504"/>
      <c r="E4504"/>
      <c r="F4504"/>
      <c r="N4504" s="44"/>
    </row>
    <row r="4505" spans="1:14" x14ac:dyDescent="0.3">
      <c r="A4505" s="42"/>
      <c r="C4505" s="52"/>
      <c r="D4505"/>
      <c r="E4505"/>
      <c r="F4505"/>
      <c r="N4505" s="44"/>
    </row>
    <row r="4506" spans="1:14" x14ac:dyDescent="0.3">
      <c r="A4506" s="42"/>
      <c r="C4506" s="52"/>
      <c r="D4506"/>
      <c r="E4506"/>
      <c r="F4506"/>
      <c r="N4506" s="44"/>
    </row>
    <row r="4507" spans="1:14" x14ac:dyDescent="0.3">
      <c r="A4507" s="42"/>
      <c r="C4507" s="52"/>
      <c r="D4507"/>
      <c r="E4507"/>
      <c r="F4507"/>
      <c r="N4507" s="44"/>
    </row>
    <row r="4508" spans="1:14" x14ac:dyDescent="0.3">
      <c r="A4508" s="42"/>
      <c r="C4508" s="52"/>
      <c r="D4508"/>
      <c r="E4508"/>
      <c r="F4508"/>
      <c r="N4508" s="44"/>
    </row>
    <row r="4509" spans="1:14" x14ac:dyDescent="0.3">
      <c r="A4509" s="42"/>
      <c r="C4509" s="52"/>
      <c r="D4509"/>
      <c r="E4509"/>
      <c r="F4509"/>
      <c r="N4509" s="44"/>
    </row>
    <row r="4510" spans="1:14" x14ac:dyDescent="0.3">
      <c r="A4510" s="42"/>
      <c r="C4510" s="52"/>
      <c r="D4510"/>
      <c r="E4510"/>
      <c r="F4510"/>
      <c r="N4510" s="44"/>
    </row>
    <row r="4511" spans="1:14" x14ac:dyDescent="0.3">
      <c r="A4511" s="42"/>
      <c r="C4511" s="52"/>
      <c r="D4511"/>
      <c r="E4511"/>
      <c r="F4511"/>
      <c r="N4511" s="44"/>
    </row>
    <row r="4512" spans="1:14" x14ac:dyDescent="0.3">
      <c r="A4512" s="42"/>
      <c r="C4512" s="52"/>
      <c r="D4512"/>
      <c r="E4512"/>
      <c r="F4512"/>
      <c r="N4512" s="44"/>
    </row>
    <row r="4513" spans="1:14" x14ac:dyDescent="0.3">
      <c r="A4513" s="42"/>
      <c r="C4513" s="52"/>
      <c r="D4513"/>
      <c r="E4513"/>
      <c r="F4513"/>
      <c r="N4513" s="44"/>
    </row>
    <row r="4514" spans="1:14" x14ac:dyDescent="0.3">
      <c r="A4514" s="42"/>
      <c r="C4514" s="52"/>
      <c r="D4514"/>
      <c r="E4514"/>
      <c r="F4514"/>
      <c r="N4514" s="44"/>
    </row>
    <row r="4515" spans="1:14" x14ac:dyDescent="0.3">
      <c r="A4515" s="42"/>
      <c r="C4515" s="52"/>
      <c r="D4515"/>
      <c r="E4515"/>
      <c r="F4515"/>
      <c r="N4515" s="44"/>
    </row>
    <row r="4516" spans="1:14" x14ac:dyDescent="0.3">
      <c r="A4516" s="42"/>
      <c r="C4516" s="52"/>
      <c r="D4516"/>
      <c r="E4516"/>
      <c r="F4516"/>
      <c r="N4516" s="44"/>
    </row>
    <row r="4517" spans="1:14" x14ac:dyDescent="0.3">
      <c r="A4517" s="42"/>
      <c r="C4517" s="52"/>
      <c r="D4517"/>
      <c r="E4517"/>
      <c r="F4517"/>
      <c r="N4517" s="44"/>
    </row>
    <row r="4518" spans="1:14" x14ac:dyDescent="0.3">
      <c r="A4518" s="42"/>
      <c r="C4518" s="52"/>
      <c r="D4518"/>
      <c r="E4518"/>
      <c r="F4518"/>
      <c r="N4518" s="44"/>
    </row>
    <row r="4519" spans="1:14" x14ac:dyDescent="0.3">
      <c r="A4519" s="42"/>
      <c r="C4519" s="52"/>
      <c r="D4519"/>
      <c r="E4519"/>
      <c r="F4519"/>
      <c r="N4519" s="44"/>
    </row>
    <row r="4520" spans="1:14" x14ac:dyDescent="0.3">
      <c r="A4520" s="42"/>
      <c r="C4520" s="52"/>
      <c r="D4520"/>
      <c r="E4520"/>
      <c r="F4520"/>
      <c r="N4520" s="44"/>
    </row>
    <row r="4521" spans="1:14" x14ac:dyDescent="0.3">
      <c r="A4521" s="42"/>
      <c r="C4521" s="52"/>
      <c r="D4521"/>
      <c r="E4521"/>
      <c r="F4521"/>
      <c r="N4521" s="44"/>
    </row>
    <row r="4522" spans="1:14" x14ac:dyDescent="0.3">
      <c r="A4522" s="42"/>
      <c r="C4522" s="52"/>
      <c r="D4522"/>
      <c r="E4522"/>
      <c r="F4522"/>
      <c r="N4522" s="44"/>
    </row>
    <row r="4523" spans="1:14" x14ac:dyDescent="0.3">
      <c r="A4523" s="42"/>
      <c r="C4523" s="52"/>
      <c r="D4523"/>
      <c r="E4523"/>
      <c r="F4523"/>
      <c r="N4523" s="44"/>
    </row>
    <row r="4524" spans="1:14" x14ac:dyDescent="0.3">
      <c r="A4524" s="42"/>
      <c r="C4524" s="52"/>
      <c r="D4524"/>
      <c r="E4524"/>
      <c r="F4524"/>
      <c r="N4524" s="44"/>
    </row>
    <row r="4525" spans="1:14" x14ac:dyDescent="0.3">
      <c r="A4525" s="42"/>
      <c r="C4525" s="52"/>
      <c r="D4525"/>
      <c r="E4525"/>
      <c r="F4525"/>
      <c r="N4525" s="44"/>
    </row>
    <row r="4526" spans="1:14" x14ac:dyDescent="0.3">
      <c r="A4526" s="42"/>
      <c r="C4526" s="52"/>
      <c r="D4526"/>
      <c r="E4526"/>
      <c r="F4526"/>
      <c r="N4526" s="44"/>
    </row>
    <row r="4527" spans="1:14" x14ac:dyDescent="0.3">
      <c r="A4527" s="42"/>
      <c r="C4527" s="52"/>
      <c r="D4527"/>
      <c r="E4527"/>
      <c r="F4527"/>
      <c r="N4527" s="44"/>
    </row>
    <row r="4528" spans="1:14" x14ac:dyDescent="0.3">
      <c r="A4528" s="42"/>
      <c r="C4528" s="52"/>
      <c r="D4528"/>
      <c r="E4528"/>
      <c r="F4528"/>
      <c r="N4528" s="44"/>
    </row>
    <row r="4529" spans="1:14" x14ac:dyDescent="0.3">
      <c r="A4529" s="42"/>
      <c r="C4529" s="52"/>
      <c r="D4529"/>
      <c r="E4529"/>
      <c r="F4529"/>
      <c r="N4529" s="44"/>
    </row>
    <row r="4530" spans="1:14" x14ac:dyDescent="0.3">
      <c r="A4530" s="42"/>
      <c r="C4530" s="52"/>
      <c r="D4530"/>
      <c r="E4530"/>
      <c r="F4530"/>
      <c r="N4530" s="44"/>
    </row>
    <row r="4531" spans="1:14" x14ac:dyDescent="0.3">
      <c r="A4531" s="42"/>
      <c r="C4531" s="52"/>
      <c r="D4531"/>
      <c r="E4531"/>
      <c r="F4531"/>
      <c r="N4531" s="44"/>
    </row>
    <row r="4532" spans="1:14" x14ac:dyDescent="0.3">
      <c r="A4532" s="42"/>
      <c r="C4532" s="52"/>
      <c r="D4532"/>
      <c r="E4532"/>
      <c r="F4532"/>
      <c r="N4532" s="44"/>
    </row>
    <row r="4533" spans="1:14" x14ac:dyDescent="0.3">
      <c r="A4533" s="42"/>
      <c r="C4533" s="52"/>
      <c r="D4533"/>
      <c r="E4533"/>
      <c r="F4533"/>
      <c r="N4533" s="44"/>
    </row>
    <row r="4534" spans="1:14" x14ac:dyDescent="0.3">
      <c r="A4534" s="42"/>
      <c r="C4534" s="52"/>
      <c r="D4534"/>
      <c r="E4534"/>
      <c r="F4534"/>
      <c r="N4534" s="44"/>
    </row>
    <row r="4535" spans="1:14" x14ac:dyDescent="0.3">
      <c r="A4535" s="42"/>
      <c r="C4535" s="52"/>
      <c r="D4535"/>
      <c r="E4535"/>
      <c r="F4535"/>
      <c r="N4535" s="44"/>
    </row>
    <row r="4536" spans="1:14" x14ac:dyDescent="0.3">
      <c r="A4536" s="42"/>
      <c r="C4536" s="52"/>
      <c r="D4536"/>
      <c r="E4536"/>
      <c r="F4536"/>
      <c r="N4536" s="44"/>
    </row>
    <row r="4537" spans="1:14" x14ac:dyDescent="0.3">
      <c r="A4537" s="42"/>
      <c r="C4537" s="52"/>
      <c r="D4537"/>
      <c r="E4537"/>
      <c r="F4537"/>
      <c r="N4537" s="44"/>
    </row>
    <row r="4538" spans="1:14" x14ac:dyDescent="0.3">
      <c r="A4538" s="42"/>
      <c r="C4538" s="52"/>
      <c r="D4538"/>
      <c r="E4538"/>
      <c r="F4538"/>
      <c r="N4538" s="44"/>
    </row>
    <row r="4539" spans="1:14" x14ac:dyDescent="0.3">
      <c r="A4539" s="42"/>
      <c r="C4539" s="52"/>
      <c r="D4539"/>
      <c r="E4539"/>
      <c r="F4539"/>
      <c r="N4539" s="44"/>
    </row>
    <row r="4540" spans="1:14" x14ac:dyDescent="0.3">
      <c r="A4540" s="42"/>
      <c r="C4540" s="52"/>
      <c r="D4540"/>
      <c r="E4540"/>
      <c r="F4540"/>
      <c r="N4540" s="44"/>
    </row>
    <row r="4541" spans="1:14" x14ac:dyDescent="0.3">
      <c r="A4541" s="42"/>
      <c r="C4541" s="52"/>
      <c r="D4541"/>
      <c r="E4541"/>
      <c r="F4541"/>
      <c r="N4541" s="44"/>
    </row>
    <row r="4542" spans="1:14" x14ac:dyDescent="0.3">
      <c r="A4542" s="42"/>
      <c r="C4542" s="52"/>
      <c r="D4542"/>
      <c r="E4542"/>
      <c r="F4542"/>
      <c r="N4542" s="44"/>
    </row>
    <row r="4543" spans="1:14" x14ac:dyDescent="0.3">
      <c r="A4543" s="42"/>
      <c r="C4543" s="52"/>
      <c r="D4543"/>
      <c r="E4543"/>
      <c r="F4543"/>
      <c r="N4543" s="44"/>
    </row>
    <row r="4544" spans="1:14" x14ac:dyDescent="0.3">
      <c r="A4544" s="42"/>
      <c r="C4544" s="52"/>
      <c r="D4544"/>
      <c r="E4544"/>
      <c r="F4544"/>
      <c r="N4544" s="44"/>
    </row>
    <row r="4545" spans="1:14" x14ac:dyDescent="0.3">
      <c r="A4545" s="42"/>
      <c r="C4545" s="52"/>
      <c r="D4545"/>
      <c r="E4545"/>
      <c r="F4545"/>
      <c r="N4545" s="44"/>
    </row>
    <row r="4546" spans="1:14" x14ac:dyDescent="0.3">
      <c r="A4546" s="42"/>
      <c r="C4546" s="52"/>
      <c r="D4546"/>
      <c r="E4546"/>
      <c r="F4546"/>
      <c r="N4546" s="44"/>
    </row>
    <row r="4547" spans="1:14" x14ac:dyDescent="0.3">
      <c r="A4547" s="42"/>
      <c r="C4547" s="52"/>
      <c r="D4547"/>
      <c r="E4547"/>
      <c r="F4547"/>
      <c r="N4547" s="44"/>
    </row>
    <row r="4548" spans="1:14" x14ac:dyDescent="0.3">
      <c r="A4548" s="42"/>
      <c r="C4548" s="52"/>
      <c r="D4548"/>
      <c r="E4548"/>
      <c r="F4548"/>
      <c r="N4548" s="44"/>
    </row>
    <row r="4549" spans="1:14" x14ac:dyDescent="0.3">
      <c r="A4549" s="42"/>
      <c r="C4549" s="52"/>
      <c r="D4549"/>
      <c r="E4549"/>
      <c r="F4549"/>
      <c r="N4549" s="44"/>
    </row>
    <row r="4550" spans="1:14" x14ac:dyDescent="0.3">
      <c r="A4550" s="42"/>
      <c r="C4550" s="52"/>
      <c r="D4550"/>
      <c r="E4550"/>
      <c r="F4550"/>
      <c r="N4550" s="44"/>
    </row>
    <row r="4551" spans="1:14" x14ac:dyDescent="0.3">
      <c r="A4551" s="42"/>
      <c r="C4551" s="52"/>
      <c r="D4551"/>
      <c r="E4551"/>
      <c r="F4551"/>
      <c r="N4551" s="44"/>
    </row>
    <row r="4552" spans="1:14" x14ac:dyDescent="0.3">
      <c r="A4552" s="42"/>
      <c r="C4552" s="52"/>
      <c r="D4552"/>
      <c r="E4552"/>
      <c r="F4552"/>
      <c r="N4552" s="44"/>
    </row>
    <row r="4553" spans="1:14" x14ac:dyDescent="0.3">
      <c r="A4553" s="42"/>
      <c r="C4553" s="52"/>
      <c r="D4553"/>
      <c r="E4553"/>
      <c r="F4553"/>
      <c r="N4553" s="44"/>
    </row>
    <row r="4554" spans="1:14" x14ac:dyDescent="0.3">
      <c r="A4554" s="42"/>
      <c r="C4554" s="52"/>
      <c r="D4554"/>
      <c r="E4554"/>
      <c r="F4554"/>
      <c r="N4554" s="44"/>
    </row>
    <row r="4555" spans="1:14" x14ac:dyDescent="0.3">
      <c r="A4555" s="42"/>
      <c r="C4555" s="52"/>
      <c r="D4555"/>
      <c r="E4555"/>
      <c r="F4555"/>
      <c r="N4555" s="44"/>
    </row>
    <row r="4556" spans="1:14" x14ac:dyDescent="0.3">
      <c r="A4556" s="42"/>
      <c r="C4556" s="52"/>
      <c r="D4556"/>
      <c r="E4556"/>
      <c r="F4556"/>
      <c r="N4556" s="44"/>
    </row>
    <row r="4557" spans="1:14" x14ac:dyDescent="0.3">
      <c r="A4557" s="42"/>
      <c r="C4557" s="52"/>
      <c r="D4557"/>
      <c r="E4557"/>
      <c r="F4557"/>
      <c r="N4557" s="44"/>
    </row>
    <row r="4558" spans="1:14" x14ac:dyDescent="0.3">
      <c r="A4558" s="42"/>
      <c r="C4558" s="52"/>
      <c r="D4558"/>
      <c r="E4558"/>
      <c r="F4558"/>
      <c r="N4558" s="44"/>
    </row>
    <row r="4559" spans="1:14" x14ac:dyDescent="0.3">
      <c r="A4559" s="42"/>
      <c r="C4559" s="52"/>
      <c r="D4559"/>
      <c r="E4559"/>
      <c r="F4559"/>
      <c r="N4559" s="44"/>
    </row>
    <row r="4560" spans="1:14" x14ac:dyDescent="0.3">
      <c r="A4560" s="42"/>
      <c r="C4560" s="52"/>
      <c r="D4560"/>
      <c r="E4560"/>
      <c r="F4560"/>
      <c r="N4560" s="44"/>
    </row>
    <row r="4561" spans="1:14" x14ac:dyDescent="0.3">
      <c r="A4561" s="42"/>
      <c r="C4561" s="52"/>
      <c r="D4561"/>
      <c r="E4561"/>
      <c r="F4561"/>
      <c r="N4561" s="44"/>
    </row>
    <row r="4562" spans="1:14" x14ac:dyDescent="0.3">
      <c r="A4562" s="42"/>
      <c r="C4562" s="52"/>
      <c r="D4562"/>
      <c r="E4562"/>
      <c r="F4562"/>
      <c r="N4562" s="44"/>
    </row>
    <row r="4563" spans="1:14" x14ac:dyDescent="0.3">
      <c r="A4563" s="42"/>
      <c r="C4563" s="52"/>
      <c r="D4563"/>
      <c r="E4563"/>
      <c r="F4563"/>
      <c r="N4563" s="44"/>
    </row>
    <row r="4564" spans="1:14" x14ac:dyDescent="0.3">
      <c r="A4564" s="42"/>
      <c r="C4564" s="52"/>
      <c r="D4564"/>
      <c r="E4564"/>
      <c r="F4564"/>
      <c r="N4564" s="44"/>
    </row>
    <row r="4565" spans="1:14" x14ac:dyDescent="0.3">
      <c r="A4565" s="42"/>
      <c r="C4565" s="52"/>
      <c r="D4565"/>
      <c r="E4565"/>
      <c r="F4565"/>
      <c r="N4565" s="44"/>
    </row>
    <row r="4566" spans="1:14" x14ac:dyDescent="0.3">
      <c r="A4566" s="42"/>
      <c r="C4566" s="52"/>
      <c r="D4566"/>
      <c r="E4566"/>
      <c r="F4566"/>
      <c r="N4566" s="44"/>
    </row>
    <row r="4567" spans="1:14" x14ac:dyDescent="0.3">
      <c r="A4567" s="42"/>
      <c r="C4567" s="52"/>
      <c r="D4567"/>
      <c r="E4567"/>
      <c r="F4567"/>
      <c r="N4567" s="44"/>
    </row>
    <row r="4568" spans="1:14" x14ac:dyDescent="0.3">
      <c r="A4568" s="42"/>
      <c r="C4568" s="52"/>
      <c r="D4568"/>
      <c r="E4568"/>
      <c r="F4568"/>
      <c r="N4568" s="44"/>
    </row>
    <row r="4569" spans="1:14" x14ac:dyDescent="0.3">
      <c r="A4569" s="42"/>
      <c r="C4569" s="52"/>
      <c r="D4569"/>
      <c r="E4569"/>
      <c r="F4569"/>
      <c r="N4569" s="44"/>
    </row>
    <row r="4570" spans="1:14" x14ac:dyDescent="0.3">
      <c r="A4570" s="42"/>
      <c r="C4570" s="52"/>
      <c r="D4570"/>
      <c r="E4570"/>
      <c r="F4570"/>
      <c r="N4570" s="44"/>
    </row>
    <row r="4571" spans="1:14" x14ac:dyDescent="0.3">
      <c r="A4571" s="42"/>
      <c r="C4571" s="52"/>
      <c r="D4571"/>
      <c r="E4571"/>
      <c r="F4571"/>
      <c r="N4571" s="44"/>
    </row>
    <row r="4572" spans="1:14" x14ac:dyDescent="0.3">
      <c r="A4572" s="42"/>
      <c r="C4572" s="52"/>
      <c r="D4572"/>
      <c r="E4572"/>
      <c r="F4572"/>
      <c r="N4572" s="44"/>
    </row>
    <row r="4573" spans="1:14" x14ac:dyDescent="0.3">
      <c r="A4573" s="42"/>
      <c r="C4573" s="52"/>
      <c r="D4573"/>
      <c r="E4573"/>
      <c r="F4573"/>
      <c r="N4573" s="44"/>
    </row>
    <row r="4574" spans="1:14" x14ac:dyDescent="0.3">
      <c r="A4574" s="42"/>
      <c r="C4574" s="52"/>
      <c r="D4574"/>
      <c r="E4574"/>
      <c r="F4574"/>
      <c r="N4574" s="44"/>
    </row>
    <row r="4575" spans="1:14" x14ac:dyDescent="0.3">
      <c r="A4575" s="42"/>
      <c r="C4575" s="52"/>
      <c r="D4575"/>
      <c r="E4575"/>
      <c r="F4575"/>
      <c r="N4575" s="44"/>
    </row>
    <row r="4576" spans="1:14" x14ac:dyDescent="0.3">
      <c r="A4576" s="42"/>
      <c r="C4576" s="52"/>
      <c r="D4576"/>
      <c r="E4576"/>
      <c r="F4576"/>
      <c r="M4576" s="45"/>
      <c r="N4576" s="44"/>
    </row>
    <row r="4577" spans="1:14" x14ac:dyDescent="0.3">
      <c r="A4577" s="42"/>
      <c r="C4577" s="52"/>
      <c r="D4577"/>
      <c r="E4577"/>
      <c r="F4577"/>
      <c r="N4577" s="44"/>
    </row>
    <row r="4578" spans="1:14" x14ac:dyDescent="0.3">
      <c r="A4578" s="42"/>
      <c r="C4578" s="52"/>
      <c r="D4578"/>
      <c r="E4578"/>
      <c r="F4578"/>
      <c r="N4578" s="44"/>
    </row>
    <row r="4579" spans="1:14" x14ac:dyDescent="0.3">
      <c r="A4579" s="42"/>
      <c r="C4579" s="52"/>
      <c r="D4579"/>
      <c r="E4579"/>
      <c r="F4579"/>
      <c r="N4579" s="44"/>
    </row>
    <row r="4580" spans="1:14" x14ac:dyDescent="0.3">
      <c r="A4580" s="42"/>
      <c r="C4580" s="52"/>
      <c r="D4580"/>
      <c r="E4580"/>
      <c r="F4580"/>
      <c r="N4580" s="44"/>
    </row>
    <row r="4581" spans="1:14" x14ac:dyDescent="0.3">
      <c r="A4581" s="42"/>
      <c r="C4581" s="52"/>
      <c r="D4581"/>
      <c r="E4581"/>
      <c r="F4581"/>
      <c r="N4581" s="44"/>
    </row>
    <row r="4582" spans="1:14" x14ac:dyDescent="0.3">
      <c r="A4582" s="42"/>
      <c r="C4582" s="52"/>
      <c r="D4582"/>
      <c r="E4582"/>
      <c r="F4582"/>
      <c r="N4582" s="44"/>
    </row>
    <row r="4583" spans="1:14" x14ac:dyDescent="0.3">
      <c r="A4583" s="42"/>
      <c r="C4583" s="52"/>
      <c r="D4583"/>
      <c r="E4583"/>
      <c r="F4583"/>
      <c r="N4583" s="44"/>
    </row>
    <row r="4584" spans="1:14" x14ac:dyDescent="0.3">
      <c r="A4584" s="42"/>
      <c r="C4584" s="52"/>
      <c r="D4584"/>
      <c r="E4584"/>
      <c r="F4584"/>
      <c r="N4584" s="44"/>
    </row>
    <row r="4585" spans="1:14" x14ac:dyDescent="0.3">
      <c r="A4585" s="42"/>
      <c r="C4585" s="52"/>
      <c r="D4585"/>
      <c r="E4585"/>
      <c r="F4585"/>
      <c r="N4585" s="44"/>
    </row>
    <row r="4586" spans="1:14" x14ac:dyDescent="0.3">
      <c r="A4586" s="42"/>
      <c r="C4586" s="52"/>
      <c r="D4586"/>
      <c r="E4586"/>
      <c r="F4586"/>
      <c r="N4586" s="44"/>
    </row>
    <row r="4587" spans="1:14" x14ac:dyDescent="0.3">
      <c r="A4587" s="42"/>
      <c r="C4587" s="52"/>
      <c r="D4587"/>
      <c r="E4587"/>
      <c r="F4587"/>
      <c r="N4587" s="44"/>
    </row>
    <row r="4588" spans="1:14" x14ac:dyDescent="0.3">
      <c r="A4588" s="42"/>
      <c r="C4588" s="52"/>
      <c r="D4588"/>
      <c r="E4588"/>
      <c r="F4588"/>
      <c r="N4588" s="44"/>
    </row>
    <row r="4589" spans="1:14" x14ac:dyDescent="0.3">
      <c r="A4589" s="42"/>
      <c r="C4589" s="52"/>
      <c r="D4589"/>
      <c r="E4589"/>
      <c r="F4589"/>
      <c r="N4589" s="44"/>
    </row>
    <row r="4590" spans="1:14" x14ac:dyDescent="0.3">
      <c r="A4590" s="42"/>
      <c r="C4590" s="52"/>
      <c r="D4590"/>
      <c r="E4590"/>
      <c r="F4590"/>
      <c r="N4590" s="44"/>
    </row>
    <row r="4591" spans="1:14" x14ac:dyDescent="0.3">
      <c r="A4591" s="42"/>
      <c r="C4591" s="52"/>
      <c r="D4591"/>
      <c r="E4591"/>
      <c r="F4591"/>
      <c r="N4591" s="44"/>
    </row>
    <row r="4592" spans="1:14" x14ac:dyDescent="0.3">
      <c r="A4592" s="42"/>
      <c r="C4592" s="52"/>
      <c r="D4592"/>
      <c r="E4592"/>
      <c r="F4592"/>
      <c r="N4592" s="44"/>
    </row>
    <row r="4593" spans="1:14" x14ac:dyDescent="0.3">
      <c r="A4593" s="42"/>
      <c r="C4593" s="52"/>
      <c r="D4593"/>
      <c r="E4593"/>
      <c r="F4593"/>
      <c r="N4593" s="44"/>
    </row>
    <row r="4594" spans="1:14" x14ac:dyDescent="0.3">
      <c r="A4594" s="42"/>
      <c r="C4594" s="52"/>
      <c r="D4594"/>
      <c r="E4594"/>
      <c r="F4594"/>
      <c r="N4594" s="44"/>
    </row>
    <row r="4595" spans="1:14" x14ac:dyDescent="0.3">
      <c r="A4595" s="42"/>
      <c r="C4595" s="52"/>
      <c r="D4595"/>
      <c r="E4595"/>
      <c r="F4595"/>
      <c r="N4595" s="44"/>
    </row>
    <row r="4596" spans="1:14" x14ac:dyDescent="0.3">
      <c r="A4596" s="42"/>
      <c r="C4596" s="52"/>
      <c r="D4596"/>
      <c r="E4596"/>
      <c r="F4596"/>
      <c r="N4596" s="44"/>
    </row>
    <row r="4597" spans="1:14" x14ac:dyDescent="0.3">
      <c r="A4597" s="42"/>
      <c r="C4597" s="52"/>
      <c r="D4597"/>
      <c r="E4597"/>
      <c r="F4597"/>
      <c r="N4597" s="44"/>
    </row>
    <row r="4598" spans="1:14" x14ac:dyDescent="0.3">
      <c r="A4598" s="42"/>
      <c r="C4598" s="52"/>
      <c r="D4598"/>
      <c r="E4598"/>
      <c r="F4598"/>
      <c r="N4598" s="44"/>
    </row>
    <row r="4599" spans="1:14" x14ac:dyDescent="0.3">
      <c r="A4599" s="42"/>
      <c r="C4599" s="52"/>
      <c r="D4599"/>
      <c r="E4599"/>
      <c r="F4599"/>
      <c r="N4599" s="44"/>
    </row>
    <row r="4600" spans="1:14" x14ac:dyDescent="0.3">
      <c r="A4600" s="42"/>
      <c r="C4600" s="52"/>
      <c r="D4600"/>
      <c r="E4600"/>
      <c r="F4600"/>
      <c r="N4600" s="44"/>
    </row>
    <row r="4601" spans="1:14" x14ac:dyDescent="0.3">
      <c r="A4601" s="42"/>
      <c r="C4601" s="52"/>
      <c r="D4601"/>
      <c r="E4601"/>
      <c r="F4601"/>
      <c r="N4601" s="44"/>
    </row>
    <row r="4602" spans="1:14" x14ac:dyDescent="0.3">
      <c r="A4602" s="42"/>
      <c r="C4602" s="52"/>
      <c r="D4602"/>
      <c r="E4602"/>
      <c r="F4602"/>
      <c r="N4602" s="44"/>
    </row>
    <row r="4603" spans="1:14" x14ac:dyDescent="0.3">
      <c r="A4603" s="42"/>
      <c r="C4603" s="52"/>
      <c r="D4603"/>
      <c r="E4603"/>
      <c r="F4603"/>
      <c r="N4603" s="44"/>
    </row>
    <row r="4604" spans="1:14" x14ac:dyDescent="0.3">
      <c r="A4604" s="42"/>
      <c r="C4604" s="52"/>
      <c r="D4604"/>
      <c r="E4604"/>
      <c r="F4604"/>
      <c r="N4604" s="44"/>
    </row>
    <row r="4605" spans="1:14" x14ac:dyDescent="0.3">
      <c r="A4605" s="42"/>
      <c r="C4605" s="52"/>
      <c r="D4605"/>
      <c r="E4605"/>
      <c r="F4605"/>
      <c r="N4605" s="44"/>
    </row>
    <row r="4606" spans="1:14" x14ac:dyDescent="0.3">
      <c r="A4606" s="42"/>
      <c r="C4606" s="52"/>
      <c r="D4606"/>
      <c r="E4606"/>
      <c r="F4606"/>
      <c r="N4606" s="44"/>
    </row>
    <row r="4607" spans="1:14" x14ac:dyDescent="0.3">
      <c r="A4607" s="42"/>
      <c r="C4607" s="52"/>
      <c r="D4607"/>
      <c r="E4607"/>
      <c r="F4607"/>
      <c r="N4607" s="44"/>
    </row>
    <row r="4608" spans="1:14" x14ac:dyDescent="0.3">
      <c r="A4608" s="42"/>
      <c r="C4608" s="52"/>
      <c r="D4608"/>
      <c r="E4608"/>
      <c r="F4608"/>
      <c r="N4608" s="44"/>
    </row>
    <row r="4609" spans="1:14" x14ac:dyDescent="0.3">
      <c r="A4609" s="42"/>
      <c r="C4609" s="52"/>
      <c r="D4609"/>
      <c r="E4609"/>
      <c r="F4609"/>
      <c r="N4609" s="44"/>
    </row>
    <row r="4610" spans="1:14" x14ac:dyDescent="0.3">
      <c r="A4610" s="42"/>
      <c r="C4610" s="52"/>
      <c r="D4610"/>
      <c r="E4610"/>
      <c r="F4610"/>
      <c r="N4610" s="44"/>
    </row>
    <row r="4611" spans="1:14" x14ac:dyDescent="0.3">
      <c r="A4611" s="42"/>
      <c r="C4611" s="52"/>
      <c r="D4611"/>
      <c r="E4611"/>
      <c r="F4611"/>
      <c r="N4611" s="44"/>
    </row>
    <row r="4612" spans="1:14" x14ac:dyDescent="0.3">
      <c r="A4612" s="42"/>
      <c r="C4612" s="52"/>
      <c r="D4612"/>
      <c r="E4612"/>
      <c r="F4612"/>
      <c r="N4612" s="44"/>
    </row>
    <row r="4613" spans="1:14" x14ac:dyDescent="0.3">
      <c r="A4613" s="42"/>
      <c r="C4613" s="52"/>
      <c r="D4613"/>
      <c r="E4613"/>
      <c r="F4613"/>
      <c r="N4613" s="44"/>
    </row>
    <row r="4614" spans="1:14" x14ac:dyDescent="0.3">
      <c r="A4614" s="42"/>
      <c r="C4614" s="52"/>
      <c r="D4614"/>
      <c r="E4614"/>
      <c r="F4614"/>
      <c r="N4614" s="44"/>
    </row>
    <row r="4615" spans="1:14" x14ac:dyDescent="0.3">
      <c r="A4615" s="42"/>
      <c r="C4615" s="52"/>
      <c r="D4615"/>
      <c r="E4615"/>
      <c r="F4615"/>
      <c r="N4615" s="44"/>
    </row>
    <row r="4616" spans="1:14" x14ac:dyDescent="0.3">
      <c r="A4616" s="42"/>
      <c r="C4616" s="52"/>
      <c r="D4616"/>
      <c r="E4616"/>
      <c r="F4616"/>
      <c r="N4616" s="44"/>
    </row>
    <row r="4617" spans="1:14" x14ac:dyDescent="0.3">
      <c r="A4617" s="42"/>
      <c r="C4617" s="52"/>
      <c r="D4617"/>
      <c r="E4617"/>
      <c r="F4617"/>
      <c r="N4617" s="44"/>
    </row>
    <row r="4618" spans="1:14" x14ac:dyDescent="0.3">
      <c r="A4618" s="42"/>
      <c r="C4618" s="52"/>
      <c r="D4618"/>
      <c r="E4618"/>
      <c r="F4618"/>
      <c r="N4618" s="44"/>
    </row>
    <row r="4619" spans="1:14" x14ac:dyDescent="0.3">
      <c r="A4619" s="42"/>
      <c r="C4619" s="52"/>
      <c r="D4619"/>
      <c r="E4619"/>
      <c r="F4619"/>
      <c r="N4619" s="44"/>
    </row>
    <row r="4620" spans="1:14" x14ac:dyDescent="0.3">
      <c r="A4620" s="42"/>
      <c r="C4620" s="52"/>
      <c r="D4620"/>
      <c r="E4620"/>
      <c r="F4620"/>
      <c r="N4620" s="44"/>
    </row>
    <row r="4621" spans="1:14" x14ac:dyDescent="0.3">
      <c r="A4621" s="42"/>
      <c r="C4621" s="52"/>
      <c r="D4621"/>
      <c r="E4621"/>
      <c r="F4621"/>
      <c r="N4621" s="44"/>
    </row>
    <row r="4622" spans="1:14" x14ac:dyDescent="0.3">
      <c r="A4622" s="42"/>
      <c r="C4622" s="52"/>
      <c r="D4622"/>
      <c r="E4622"/>
      <c r="F4622"/>
      <c r="N4622" s="44"/>
    </row>
    <row r="4623" spans="1:14" x14ac:dyDescent="0.3">
      <c r="A4623" s="42"/>
      <c r="C4623" s="52"/>
      <c r="D4623"/>
      <c r="E4623"/>
      <c r="F4623"/>
      <c r="N4623" s="44"/>
    </row>
    <row r="4624" spans="1:14" x14ac:dyDescent="0.3">
      <c r="A4624" s="42"/>
      <c r="C4624" s="52"/>
      <c r="D4624"/>
      <c r="E4624"/>
      <c r="F4624"/>
      <c r="N4624" s="44"/>
    </row>
    <row r="4625" spans="1:14" x14ac:dyDescent="0.3">
      <c r="A4625" s="42"/>
      <c r="C4625" s="52"/>
      <c r="D4625"/>
      <c r="E4625"/>
      <c r="F4625"/>
      <c r="N4625" s="44"/>
    </row>
    <row r="4626" spans="1:14" x14ac:dyDescent="0.3">
      <c r="A4626" s="42"/>
      <c r="C4626" s="52"/>
      <c r="D4626"/>
      <c r="E4626"/>
      <c r="F4626"/>
      <c r="N4626" s="44"/>
    </row>
    <row r="4627" spans="1:14" x14ac:dyDescent="0.3">
      <c r="A4627" s="42"/>
      <c r="C4627" s="52"/>
      <c r="D4627"/>
      <c r="E4627"/>
      <c r="F4627"/>
      <c r="N4627" s="44"/>
    </row>
    <row r="4628" spans="1:14" x14ac:dyDescent="0.3">
      <c r="A4628" s="42"/>
      <c r="C4628" s="52"/>
      <c r="D4628"/>
      <c r="E4628"/>
      <c r="F4628"/>
      <c r="N4628" s="44"/>
    </row>
    <row r="4629" spans="1:14" x14ac:dyDescent="0.3">
      <c r="A4629" s="42"/>
      <c r="C4629" s="52"/>
      <c r="D4629"/>
      <c r="E4629"/>
      <c r="F4629"/>
      <c r="N4629" s="44"/>
    </row>
    <row r="4630" spans="1:14" x14ac:dyDescent="0.3">
      <c r="A4630" s="42"/>
      <c r="C4630" s="52"/>
      <c r="D4630"/>
      <c r="E4630"/>
      <c r="F4630"/>
      <c r="N4630" s="44"/>
    </row>
    <row r="4631" spans="1:14" x14ac:dyDescent="0.3">
      <c r="A4631" s="42"/>
      <c r="C4631" s="52"/>
      <c r="D4631"/>
      <c r="E4631"/>
      <c r="F4631"/>
      <c r="N4631" s="44"/>
    </row>
    <row r="4632" spans="1:14" x14ac:dyDescent="0.3">
      <c r="A4632" s="42"/>
      <c r="C4632" s="52"/>
      <c r="D4632"/>
      <c r="E4632"/>
      <c r="F4632"/>
      <c r="N4632" s="44"/>
    </row>
    <row r="4633" spans="1:14" x14ac:dyDescent="0.3">
      <c r="A4633" s="42"/>
      <c r="C4633" s="52"/>
      <c r="D4633"/>
      <c r="E4633"/>
      <c r="F4633"/>
      <c r="N4633" s="44"/>
    </row>
    <row r="4634" spans="1:14" x14ac:dyDescent="0.3">
      <c r="A4634" s="42"/>
      <c r="C4634" s="52"/>
      <c r="D4634"/>
      <c r="E4634"/>
      <c r="F4634"/>
      <c r="N4634" s="44"/>
    </row>
    <row r="4635" spans="1:14" x14ac:dyDescent="0.3">
      <c r="A4635" s="42"/>
      <c r="C4635" s="52"/>
      <c r="D4635"/>
      <c r="E4635"/>
      <c r="F4635"/>
      <c r="N4635" s="44"/>
    </row>
    <row r="4636" spans="1:14" x14ac:dyDescent="0.3">
      <c r="A4636" s="42"/>
      <c r="C4636" s="52"/>
      <c r="D4636"/>
      <c r="E4636"/>
      <c r="F4636"/>
      <c r="N4636" s="44"/>
    </row>
    <row r="4637" spans="1:14" x14ac:dyDescent="0.3">
      <c r="A4637" s="42"/>
      <c r="C4637" s="52"/>
      <c r="D4637"/>
      <c r="E4637"/>
      <c r="F4637"/>
      <c r="N4637" s="44"/>
    </row>
    <row r="4638" spans="1:14" x14ac:dyDescent="0.3">
      <c r="A4638" s="42"/>
      <c r="C4638" s="52"/>
      <c r="D4638"/>
      <c r="E4638"/>
      <c r="F4638"/>
      <c r="N4638" s="44"/>
    </row>
    <row r="4639" spans="1:14" x14ac:dyDescent="0.3">
      <c r="A4639" s="42"/>
      <c r="C4639" s="52"/>
      <c r="D4639"/>
      <c r="E4639"/>
      <c r="F4639"/>
      <c r="N4639" s="44"/>
    </row>
    <row r="4640" spans="1:14" x14ac:dyDescent="0.3">
      <c r="A4640" s="42"/>
      <c r="C4640" s="52"/>
      <c r="D4640"/>
      <c r="E4640"/>
      <c r="F4640"/>
      <c r="N4640" s="44"/>
    </row>
    <row r="4641" spans="1:14" x14ac:dyDescent="0.3">
      <c r="A4641" s="42"/>
      <c r="C4641" s="52"/>
      <c r="D4641"/>
      <c r="E4641"/>
      <c r="F4641"/>
      <c r="N4641" s="44"/>
    </row>
    <row r="4642" spans="1:14" x14ac:dyDescent="0.3">
      <c r="A4642" s="42"/>
      <c r="C4642" s="52"/>
      <c r="D4642"/>
      <c r="E4642"/>
      <c r="F4642"/>
      <c r="N4642" s="44"/>
    </row>
    <row r="4643" spans="1:14" x14ac:dyDescent="0.3">
      <c r="A4643" s="42"/>
      <c r="C4643" s="52"/>
      <c r="D4643"/>
      <c r="E4643"/>
      <c r="F4643"/>
      <c r="N4643" s="44"/>
    </row>
    <row r="4644" spans="1:14" x14ac:dyDescent="0.3">
      <c r="A4644" s="42"/>
      <c r="C4644" s="52"/>
      <c r="D4644"/>
      <c r="E4644"/>
      <c r="F4644"/>
      <c r="N4644" s="44"/>
    </row>
    <row r="4645" spans="1:14" x14ac:dyDescent="0.3">
      <c r="A4645" s="42"/>
      <c r="C4645" s="52"/>
      <c r="D4645"/>
      <c r="E4645"/>
      <c r="F4645"/>
      <c r="N4645" s="44"/>
    </row>
    <row r="4646" spans="1:14" x14ac:dyDescent="0.3">
      <c r="A4646" s="42"/>
      <c r="C4646" s="52"/>
      <c r="D4646"/>
      <c r="E4646"/>
      <c r="F4646"/>
      <c r="N4646" s="44"/>
    </row>
    <row r="4647" spans="1:14" x14ac:dyDescent="0.3">
      <c r="A4647" s="42"/>
      <c r="C4647" s="52"/>
      <c r="D4647"/>
      <c r="E4647"/>
      <c r="F4647"/>
      <c r="N4647" s="44"/>
    </row>
    <row r="4648" spans="1:14" x14ac:dyDescent="0.3">
      <c r="A4648" s="42"/>
      <c r="C4648" s="52"/>
      <c r="D4648"/>
      <c r="E4648"/>
      <c r="F4648"/>
      <c r="N4648" s="44"/>
    </row>
    <row r="4649" spans="1:14" x14ac:dyDescent="0.3">
      <c r="A4649" s="42"/>
      <c r="C4649" s="52"/>
      <c r="D4649"/>
      <c r="E4649"/>
      <c r="F4649"/>
      <c r="N4649" s="44"/>
    </row>
    <row r="4650" spans="1:14" x14ac:dyDescent="0.3">
      <c r="A4650" s="42"/>
      <c r="C4650" s="52"/>
      <c r="D4650"/>
      <c r="E4650"/>
      <c r="F4650"/>
      <c r="N4650" s="44"/>
    </row>
    <row r="4651" spans="1:14" x14ac:dyDescent="0.3">
      <c r="A4651" s="42"/>
      <c r="C4651" s="52"/>
      <c r="D4651"/>
      <c r="E4651"/>
      <c r="F4651"/>
      <c r="N4651" s="44"/>
    </row>
    <row r="4652" spans="1:14" x14ac:dyDescent="0.3">
      <c r="A4652" s="42"/>
      <c r="C4652" s="52"/>
      <c r="D4652"/>
      <c r="E4652"/>
      <c r="F4652"/>
      <c r="N4652" s="44"/>
    </row>
    <row r="4653" spans="1:14" x14ac:dyDescent="0.3">
      <c r="A4653" s="42"/>
      <c r="C4653" s="52"/>
      <c r="D4653"/>
      <c r="E4653"/>
      <c r="F4653"/>
      <c r="N4653" s="44"/>
    </row>
    <row r="4654" spans="1:14" x14ac:dyDescent="0.3">
      <c r="A4654" s="42"/>
      <c r="C4654" s="52"/>
      <c r="D4654"/>
      <c r="E4654"/>
      <c r="F4654"/>
      <c r="N4654" s="44"/>
    </row>
    <row r="4655" spans="1:14" x14ac:dyDescent="0.3">
      <c r="A4655" s="42"/>
      <c r="C4655" s="52"/>
      <c r="D4655"/>
      <c r="E4655"/>
      <c r="F4655"/>
      <c r="N4655" s="44"/>
    </row>
    <row r="4656" spans="1:14" x14ac:dyDescent="0.3">
      <c r="A4656" s="42"/>
      <c r="C4656" s="52"/>
      <c r="D4656"/>
      <c r="E4656"/>
      <c r="F4656"/>
      <c r="M4656" s="45"/>
      <c r="N4656" s="44"/>
    </row>
    <row r="4657" spans="1:14" x14ac:dyDescent="0.3">
      <c r="A4657" s="42"/>
      <c r="C4657" s="52"/>
      <c r="D4657"/>
      <c r="E4657"/>
      <c r="F4657"/>
      <c r="N4657" s="44"/>
    </row>
    <row r="4658" spans="1:14" x14ac:dyDescent="0.3">
      <c r="A4658" s="42"/>
      <c r="C4658" s="52"/>
      <c r="D4658"/>
      <c r="E4658"/>
      <c r="F4658"/>
      <c r="N4658" s="44"/>
    </row>
    <row r="4659" spans="1:14" x14ac:dyDescent="0.3">
      <c r="A4659" s="42"/>
      <c r="C4659" s="52"/>
      <c r="D4659"/>
      <c r="E4659"/>
      <c r="F4659"/>
      <c r="N4659" s="44"/>
    </row>
    <row r="4660" spans="1:14" x14ac:dyDescent="0.3">
      <c r="A4660" s="42"/>
      <c r="C4660" s="52"/>
      <c r="D4660"/>
      <c r="E4660"/>
      <c r="F4660"/>
      <c r="N4660" s="44"/>
    </row>
    <row r="4661" spans="1:14" x14ac:dyDescent="0.3">
      <c r="A4661" s="42"/>
      <c r="C4661" s="52"/>
      <c r="D4661"/>
      <c r="E4661"/>
      <c r="F4661"/>
      <c r="N4661" s="44"/>
    </row>
    <row r="4662" spans="1:14" x14ac:dyDescent="0.3">
      <c r="A4662" s="42"/>
      <c r="C4662" s="52"/>
      <c r="D4662"/>
      <c r="E4662"/>
      <c r="F4662"/>
      <c r="N4662" s="44"/>
    </row>
    <row r="4663" spans="1:14" x14ac:dyDescent="0.3">
      <c r="A4663" s="42"/>
      <c r="C4663" s="52"/>
      <c r="D4663"/>
      <c r="E4663"/>
      <c r="F4663"/>
      <c r="N4663" s="44"/>
    </row>
    <row r="4664" spans="1:14" x14ac:dyDescent="0.3">
      <c r="A4664" s="42"/>
      <c r="C4664" s="52"/>
      <c r="D4664"/>
      <c r="E4664"/>
      <c r="F4664"/>
      <c r="N4664" s="44"/>
    </row>
    <row r="4665" spans="1:14" x14ac:dyDescent="0.3">
      <c r="A4665" s="42"/>
      <c r="C4665" s="52"/>
      <c r="D4665"/>
      <c r="E4665"/>
      <c r="F4665"/>
      <c r="M4665" s="45"/>
      <c r="N4665" s="44"/>
    </row>
    <row r="4666" spans="1:14" x14ac:dyDescent="0.3">
      <c r="A4666" s="42"/>
      <c r="C4666" s="52"/>
      <c r="D4666"/>
      <c r="E4666"/>
      <c r="F4666"/>
      <c r="N4666" s="44"/>
    </row>
    <row r="4667" spans="1:14" x14ac:dyDescent="0.3">
      <c r="A4667" s="42"/>
      <c r="C4667" s="52"/>
      <c r="D4667"/>
      <c r="E4667"/>
      <c r="F4667"/>
      <c r="N4667" s="44"/>
    </row>
    <row r="4668" spans="1:14" x14ac:dyDescent="0.3">
      <c r="A4668" s="42"/>
      <c r="C4668" s="52"/>
      <c r="D4668"/>
      <c r="E4668"/>
      <c r="F4668"/>
      <c r="N4668" s="44"/>
    </row>
    <row r="4669" spans="1:14" x14ac:dyDescent="0.3">
      <c r="A4669" s="42"/>
      <c r="C4669" s="52"/>
      <c r="D4669"/>
      <c r="E4669"/>
      <c r="F4669"/>
      <c r="N4669" s="44"/>
    </row>
    <row r="4670" spans="1:14" x14ac:dyDescent="0.3">
      <c r="A4670" s="42"/>
      <c r="C4670" s="52"/>
      <c r="D4670"/>
      <c r="E4670"/>
      <c r="F4670"/>
      <c r="N4670" s="44"/>
    </row>
    <row r="4671" spans="1:14" x14ac:dyDescent="0.3">
      <c r="A4671" s="42"/>
      <c r="C4671" s="52"/>
      <c r="D4671"/>
      <c r="E4671"/>
      <c r="F4671"/>
      <c r="N4671" s="44"/>
    </row>
    <row r="4672" spans="1:14" x14ac:dyDescent="0.3">
      <c r="A4672" s="42"/>
      <c r="C4672" s="52"/>
      <c r="D4672"/>
      <c r="E4672"/>
      <c r="F4672"/>
      <c r="N4672" s="44"/>
    </row>
    <row r="4673" spans="1:14" x14ac:dyDescent="0.3">
      <c r="A4673" s="42"/>
      <c r="C4673" s="52"/>
      <c r="D4673"/>
      <c r="E4673"/>
      <c r="F4673"/>
      <c r="N4673" s="44"/>
    </row>
    <row r="4674" spans="1:14" x14ac:dyDescent="0.3">
      <c r="A4674" s="42"/>
      <c r="C4674" s="52"/>
      <c r="D4674"/>
      <c r="E4674"/>
      <c r="F4674"/>
      <c r="N4674" s="44"/>
    </row>
    <row r="4675" spans="1:14" x14ac:dyDescent="0.3">
      <c r="A4675" s="42"/>
      <c r="C4675" s="52"/>
      <c r="D4675"/>
      <c r="E4675"/>
      <c r="F4675"/>
      <c r="N4675" s="44"/>
    </row>
    <row r="4676" spans="1:14" x14ac:dyDescent="0.3">
      <c r="A4676" s="42"/>
      <c r="C4676" s="52"/>
      <c r="D4676"/>
      <c r="E4676"/>
      <c r="F4676"/>
      <c r="N4676" s="44"/>
    </row>
    <row r="4677" spans="1:14" x14ac:dyDescent="0.3">
      <c r="A4677" s="42"/>
      <c r="C4677" s="52"/>
      <c r="D4677"/>
      <c r="E4677"/>
      <c r="F4677"/>
      <c r="N4677" s="44"/>
    </row>
    <row r="4678" spans="1:14" x14ac:dyDescent="0.3">
      <c r="A4678" s="42"/>
      <c r="C4678" s="52"/>
      <c r="D4678"/>
      <c r="E4678"/>
      <c r="F4678"/>
      <c r="N4678" s="44"/>
    </row>
    <row r="4679" spans="1:14" x14ac:dyDescent="0.3">
      <c r="A4679" s="42"/>
      <c r="C4679" s="52"/>
      <c r="D4679"/>
      <c r="E4679"/>
      <c r="F4679"/>
      <c r="N4679" s="44"/>
    </row>
    <row r="4680" spans="1:14" x14ac:dyDescent="0.3">
      <c r="A4680" s="42"/>
      <c r="C4680" s="52"/>
      <c r="D4680"/>
      <c r="E4680"/>
      <c r="F4680"/>
      <c r="N4680" s="44"/>
    </row>
    <row r="4681" spans="1:14" x14ac:dyDescent="0.3">
      <c r="A4681" s="42"/>
      <c r="C4681" s="52"/>
      <c r="D4681"/>
      <c r="E4681"/>
      <c r="F4681"/>
      <c r="N4681" s="44"/>
    </row>
    <row r="4682" spans="1:14" x14ac:dyDescent="0.3">
      <c r="A4682" s="42"/>
      <c r="C4682" s="52"/>
      <c r="D4682"/>
      <c r="E4682"/>
      <c r="F4682"/>
      <c r="N4682" s="44"/>
    </row>
    <row r="4683" spans="1:14" x14ac:dyDescent="0.3">
      <c r="A4683" s="42"/>
      <c r="C4683" s="52"/>
      <c r="D4683"/>
      <c r="E4683"/>
      <c r="F4683"/>
      <c r="N4683" s="44"/>
    </row>
    <row r="4684" spans="1:14" x14ac:dyDescent="0.3">
      <c r="A4684" s="42"/>
      <c r="C4684" s="52"/>
      <c r="D4684"/>
      <c r="E4684"/>
      <c r="F4684"/>
      <c r="N4684" s="44"/>
    </row>
    <row r="4685" spans="1:14" x14ac:dyDescent="0.3">
      <c r="A4685" s="42"/>
      <c r="C4685" s="52"/>
      <c r="D4685"/>
      <c r="E4685"/>
      <c r="F4685"/>
      <c r="N4685" s="44"/>
    </row>
    <row r="4686" spans="1:14" x14ac:dyDescent="0.3">
      <c r="A4686" s="42"/>
      <c r="C4686" s="52"/>
      <c r="D4686"/>
      <c r="E4686"/>
      <c r="F4686"/>
      <c r="N4686" s="44"/>
    </row>
    <row r="4687" spans="1:14" x14ac:dyDescent="0.3">
      <c r="A4687" s="42"/>
      <c r="C4687" s="52"/>
      <c r="D4687"/>
      <c r="E4687"/>
      <c r="F4687"/>
      <c r="N4687" s="44"/>
    </row>
    <row r="4688" spans="1:14" x14ac:dyDescent="0.3">
      <c r="A4688" s="42"/>
      <c r="C4688" s="52"/>
      <c r="D4688"/>
      <c r="E4688"/>
      <c r="F4688"/>
      <c r="N4688" s="44"/>
    </row>
    <row r="4689" spans="1:14" x14ac:dyDescent="0.3">
      <c r="A4689" s="42"/>
      <c r="C4689" s="52"/>
      <c r="D4689"/>
      <c r="E4689"/>
      <c r="F4689"/>
      <c r="N4689" s="44"/>
    </row>
    <row r="4690" spans="1:14" x14ac:dyDescent="0.3">
      <c r="A4690" s="42"/>
      <c r="C4690" s="52"/>
      <c r="D4690"/>
      <c r="E4690"/>
      <c r="F4690"/>
      <c r="N4690" s="44"/>
    </row>
    <row r="4691" spans="1:14" x14ac:dyDescent="0.3">
      <c r="A4691" s="42"/>
      <c r="C4691" s="52"/>
      <c r="D4691"/>
      <c r="E4691"/>
      <c r="F4691"/>
      <c r="N4691" s="44"/>
    </row>
    <row r="4692" spans="1:14" x14ac:dyDescent="0.3">
      <c r="A4692" s="42"/>
      <c r="C4692" s="52"/>
      <c r="D4692"/>
      <c r="E4692"/>
      <c r="F4692"/>
      <c r="N4692" s="44"/>
    </row>
    <row r="4693" spans="1:14" x14ac:dyDescent="0.3">
      <c r="A4693" s="42"/>
      <c r="C4693" s="52"/>
      <c r="D4693"/>
      <c r="E4693"/>
      <c r="F4693"/>
      <c r="N4693" s="44"/>
    </row>
    <row r="4694" spans="1:14" x14ac:dyDescent="0.3">
      <c r="A4694" s="42"/>
      <c r="C4694" s="52"/>
      <c r="D4694"/>
      <c r="E4694"/>
      <c r="F4694"/>
      <c r="N4694" s="44"/>
    </row>
    <row r="4695" spans="1:14" x14ac:dyDescent="0.3">
      <c r="A4695" s="42"/>
      <c r="C4695" s="52"/>
      <c r="D4695"/>
      <c r="E4695"/>
      <c r="F4695"/>
      <c r="N4695" s="44"/>
    </row>
    <row r="4696" spans="1:14" x14ac:dyDescent="0.3">
      <c r="A4696" s="42"/>
      <c r="C4696" s="52"/>
      <c r="D4696"/>
      <c r="E4696"/>
      <c r="F4696"/>
      <c r="N4696" s="44"/>
    </row>
    <row r="4697" spans="1:14" x14ac:dyDescent="0.3">
      <c r="A4697" s="42"/>
      <c r="C4697" s="52"/>
      <c r="D4697"/>
      <c r="E4697"/>
      <c r="F4697"/>
      <c r="N4697" s="44"/>
    </row>
    <row r="4698" spans="1:14" x14ac:dyDescent="0.3">
      <c r="A4698" s="42"/>
      <c r="C4698" s="52"/>
      <c r="D4698"/>
      <c r="E4698"/>
      <c r="F4698"/>
      <c r="N4698" s="44"/>
    </row>
    <row r="4699" spans="1:14" x14ac:dyDescent="0.3">
      <c r="A4699" s="42"/>
      <c r="C4699" s="52"/>
      <c r="D4699"/>
      <c r="E4699"/>
      <c r="F4699"/>
      <c r="N4699" s="44"/>
    </row>
    <row r="4700" spans="1:14" x14ac:dyDescent="0.3">
      <c r="A4700" s="42"/>
      <c r="C4700" s="52"/>
      <c r="D4700"/>
      <c r="E4700"/>
      <c r="F4700"/>
      <c r="N4700" s="44"/>
    </row>
    <row r="4701" spans="1:14" x14ac:dyDescent="0.3">
      <c r="A4701" s="42"/>
      <c r="C4701" s="52"/>
      <c r="D4701"/>
      <c r="E4701"/>
      <c r="F4701"/>
      <c r="N4701" s="44"/>
    </row>
    <row r="4702" spans="1:14" x14ac:dyDescent="0.3">
      <c r="A4702" s="42"/>
      <c r="C4702" s="52"/>
      <c r="D4702"/>
      <c r="E4702"/>
      <c r="F4702"/>
      <c r="N4702" s="44"/>
    </row>
    <row r="4703" spans="1:14" x14ac:dyDescent="0.3">
      <c r="A4703" s="42"/>
      <c r="C4703" s="52"/>
      <c r="D4703"/>
      <c r="E4703"/>
      <c r="F4703"/>
      <c r="N4703" s="44"/>
    </row>
    <row r="4704" spans="1:14" x14ac:dyDescent="0.3">
      <c r="A4704" s="42"/>
      <c r="C4704" s="52"/>
      <c r="D4704"/>
      <c r="E4704"/>
      <c r="F4704"/>
      <c r="N4704" s="44"/>
    </row>
    <row r="4705" spans="1:14" x14ac:dyDescent="0.3">
      <c r="A4705" s="42"/>
      <c r="C4705" s="52"/>
      <c r="D4705"/>
      <c r="E4705"/>
      <c r="F4705"/>
      <c r="N4705" s="44"/>
    </row>
    <row r="4706" spans="1:14" x14ac:dyDescent="0.3">
      <c r="A4706" s="42"/>
      <c r="C4706" s="52"/>
      <c r="D4706"/>
      <c r="E4706"/>
      <c r="F4706"/>
      <c r="N4706" s="44"/>
    </row>
    <row r="4707" spans="1:14" x14ac:dyDescent="0.3">
      <c r="A4707" s="42"/>
      <c r="C4707" s="52"/>
      <c r="D4707"/>
      <c r="E4707"/>
      <c r="F4707"/>
      <c r="N4707" s="44"/>
    </row>
    <row r="4708" spans="1:14" x14ac:dyDescent="0.3">
      <c r="A4708" s="42"/>
      <c r="C4708" s="52"/>
      <c r="D4708"/>
      <c r="E4708"/>
      <c r="F4708"/>
      <c r="N4708" s="44"/>
    </row>
    <row r="4709" spans="1:14" x14ac:dyDescent="0.3">
      <c r="A4709" s="42"/>
      <c r="C4709" s="52"/>
      <c r="D4709"/>
      <c r="E4709"/>
      <c r="F4709"/>
      <c r="N4709" s="44"/>
    </row>
    <row r="4710" spans="1:14" x14ac:dyDescent="0.3">
      <c r="A4710" s="42"/>
      <c r="C4710" s="52"/>
      <c r="D4710"/>
      <c r="E4710"/>
      <c r="F4710"/>
      <c r="N4710" s="44"/>
    </row>
    <row r="4711" spans="1:14" x14ac:dyDescent="0.3">
      <c r="A4711" s="42"/>
      <c r="C4711" s="52"/>
      <c r="D4711"/>
      <c r="E4711"/>
      <c r="F4711"/>
      <c r="N4711" s="44"/>
    </row>
    <row r="4712" spans="1:14" x14ac:dyDescent="0.3">
      <c r="A4712" s="42"/>
      <c r="C4712" s="52"/>
      <c r="D4712"/>
      <c r="E4712"/>
      <c r="F4712"/>
      <c r="N4712" s="44"/>
    </row>
    <row r="4713" spans="1:14" x14ac:dyDescent="0.3">
      <c r="A4713" s="42"/>
      <c r="C4713" s="52"/>
      <c r="D4713"/>
      <c r="E4713"/>
      <c r="F4713"/>
      <c r="N4713" s="44"/>
    </row>
    <row r="4714" spans="1:14" x14ac:dyDescent="0.3">
      <c r="A4714" s="42"/>
      <c r="C4714" s="52"/>
      <c r="D4714"/>
      <c r="E4714"/>
      <c r="F4714"/>
      <c r="N4714" s="44"/>
    </row>
    <row r="4715" spans="1:14" x14ac:dyDescent="0.3">
      <c r="A4715" s="42"/>
      <c r="C4715" s="52"/>
      <c r="D4715"/>
      <c r="E4715"/>
      <c r="F4715"/>
      <c r="N4715" s="44"/>
    </row>
    <row r="4716" spans="1:14" x14ac:dyDescent="0.3">
      <c r="A4716" s="42"/>
      <c r="C4716" s="52"/>
      <c r="D4716"/>
      <c r="E4716"/>
      <c r="F4716"/>
      <c r="N4716" s="44"/>
    </row>
    <row r="4717" spans="1:14" x14ac:dyDescent="0.3">
      <c r="A4717" s="42"/>
      <c r="C4717" s="52"/>
      <c r="D4717"/>
      <c r="E4717"/>
      <c r="F4717"/>
      <c r="N4717" s="44"/>
    </row>
    <row r="4718" spans="1:14" x14ac:dyDescent="0.3">
      <c r="A4718" s="42"/>
      <c r="C4718" s="52"/>
      <c r="D4718"/>
      <c r="E4718"/>
      <c r="F4718"/>
      <c r="N4718" s="44"/>
    </row>
    <row r="4719" spans="1:14" x14ac:dyDescent="0.3">
      <c r="A4719" s="42"/>
      <c r="C4719" s="52"/>
      <c r="D4719"/>
      <c r="E4719"/>
      <c r="F4719"/>
      <c r="N4719" s="44"/>
    </row>
    <row r="4720" spans="1:14" x14ac:dyDescent="0.3">
      <c r="A4720" s="42"/>
      <c r="C4720" s="52"/>
      <c r="D4720"/>
      <c r="E4720"/>
      <c r="F4720"/>
      <c r="N4720" s="44"/>
    </row>
    <row r="4721" spans="1:14" x14ac:dyDescent="0.3">
      <c r="A4721" s="42"/>
      <c r="C4721" s="52"/>
      <c r="D4721"/>
      <c r="E4721"/>
      <c r="F4721"/>
      <c r="N4721" s="44"/>
    </row>
    <row r="4722" spans="1:14" x14ac:dyDescent="0.3">
      <c r="A4722" s="42"/>
      <c r="C4722" s="52"/>
      <c r="D4722"/>
      <c r="E4722"/>
      <c r="F4722"/>
      <c r="N4722" s="44"/>
    </row>
    <row r="4723" spans="1:14" x14ac:dyDescent="0.3">
      <c r="A4723" s="42"/>
      <c r="C4723" s="52"/>
      <c r="D4723"/>
      <c r="E4723"/>
      <c r="F4723"/>
      <c r="N4723" s="44"/>
    </row>
    <row r="4724" spans="1:14" x14ac:dyDescent="0.3">
      <c r="A4724" s="42"/>
      <c r="C4724" s="52"/>
      <c r="D4724"/>
      <c r="E4724"/>
      <c r="F4724"/>
      <c r="N4724" s="44"/>
    </row>
    <row r="4725" spans="1:14" x14ac:dyDescent="0.3">
      <c r="A4725" s="42"/>
      <c r="C4725" s="52"/>
      <c r="D4725"/>
      <c r="E4725"/>
      <c r="F4725"/>
      <c r="N4725" s="44"/>
    </row>
    <row r="4726" spans="1:14" x14ac:dyDescent="0.3">
      <c r="A4726" s="42"/>
      <c r="C4726" s="52"/>
      <c r="D4726"/>
      <c r="E4726"/>
      <c r="F4726"/>
      <c r="N4726" s="44"/>
    </row>
    <row r="4727" spans="1:14" x14ac:dyDescent="0.3">
      <c r="A4727" s="42"/>
      <c r="C4727" s="52"/>
      <c r="D4727"/>
      <c r="E4727"/>
      <c r="F4727"/>
      <c r="N4727" s="44"/>
    </row>
    <row r="4728" spans="1:14" x14ac:dyDescent="0.3">
      <c r="A4728" s="42"/>
      <c r="C4728" s="52"/>
      <c r="D4728"/>
      <c r="E4728"/>
      <c r="F4728"/>
      <c r="N4728" s="44"/>
    </row>
    <row r="4729" spans="1:14" x14ac:dyDescent="0.3">
      <c r="A4729" s="42"/>
      <c r="C4729" s="52"/>
      <c r="D4729"/>
      <c r="E4729"/>
      <c r="F4729"/>
      <c r="N4729" s="44"/>
    </row>
    <row r="4730" spans="1:14" x14ac:dyDescent="0.3">
      <c r="A4730" s="42"/>
      <c r="C4730" s="52"/>
      <c r="D4730"/>
      <c r="E4730"/>
      <c r="F4730"/>
      <c r="N4730" s="44"/>
    </row>
    <row r="4731" spans="1:14" x14ac:dyDescent="0.3">
      <c r="A4731" s="42"/>
      <c r="C4731" s="52"/>
      <c r="D4731"/>
      <c r="E4731"/>
      <c r="F4731"/>
      <c r="N4731" s="44"/>
    </row>
    <row r="4732" spans="1:14" x14ac:dyDescent="0.3">
      <c r="A4732" s="42"/>
      <c r="C4732" s="52"/>
      <c r="D4732"/>
      <c r="E4732"/>
      <c r="F4732"/>
      <c r="N4732" s="44"/>
    </row>
    <row r="4733" spans="1:14" x14ac:dyDescent="0.3">
      <c r="A4733" s="42"/>
      <c r="C4733" s="52"/>
      <c r="D4733"/>
      <c r="E4733"/>
      <c r="F4733"/>
      <c r="N4733" s="44"/>
    </row>
    <row r="4734" spans="1:14" x14ac:dyDescent="0.3">
      <c r="A4734" s="42"/>
      <c r="C4734" s="52"/>
      <c r="D4734"/>
      <c r="E4734"/>
      <c r="F4734"/>
      <c r="N4734" s="44"/>
    </row>
    <row r="4735" spans="1:14" x14ac:dyDescent="0.3">
      <c r="A4735" s="42"/>
      <c r="C4735" s="52"/>
      <c r="D4735"/>
      <c r="E4735"/>
      <c r="F4735"/>
      <c r="N4735" s="44"/>
    </row>
    <row r="4736" spans="1:14" x14ac:dyDescent="0.3">
      <c r="A4736" s="42"/>
      <c r="C4736" s="52"/>
      <c r="D4736"/>
      <c r="E4736"/>
      <c r="F4736"/>
      <c r="N4736" s="44"/>
    </row>
    <row r="4737" spans="1:14" x14ac:dyDescent="0.3">
      <c r="A4737" s="42"/>
      <c r="C4737" s="52"/>
      <c r="D4737"/>
      <c r="E4737"/>
      <c r="F4737"/>
      <c r="N4737" s="44"/>
    </row>
    <row r="4738" spans="1:14" x14ac:dyDescent="0.3">
      <c r="A4738" s="42"/>
      <c r="C4738" s="52"/>
      <c r="D4738"/>
      <c r="E4738"/>
      <c r="F4738"/>
      <c r="N4738" s="44"/>
    </row>
    <row r="4739" spans="1:14" x14ac:dyDescent="0.3">
      <c r="A4739" s="42"/>
      <c r="C4739" s="52"/>
      <c r="D4739"/>
      <c r="E4739"/>
      <c r="F4739"/>
      <c r="N4739" s="44"/>
    </row>
    <row r="4740" spans="1:14" x14ac:dyDescent="0.3">
      <c r="A4740" s="42"/>
      <c r="C4740" s="52"/>
      <c r="D4740"/>
      <c r="E4740"/>
      <c r="F4740"/>
      <c r="N4740" s="44"/>
    </row>
    <row r="4741" spans="1:14" x14ac:dyDescent="0.3">
      <c r="A4741" s="42"/>
      <c r="C4741" s="52"/>
      <c r="D4741"/>
      <c r="E4741"/>
      <c r="F4741"/>
      <c r="N4741" s="44"/>
    </row>
    <row r="4742" spans="1:14" x14ac:dyDescent="0.3">
      <c r="A4742" s="42"/>
      <c r="C4742" s="52"/>
      <c r="D4742"/>
      <c r="E4742"/>
      <c r="F4742"/>
      <c r="N4742" s="44"/>
    </row>
    <row r="4743" spans="1:14" x14ac:dyDescent="0.3">
      <c r="A4743" s="42"/>
      <c r="C4743" s="52"/>
      <c r="D4743"/>
      <c r="E4743"/>
      <c r="F4743"/>
      <c r="N4743" s="44"/>
    </row>
    <row r="4744" spans="1:14" x14ac:dyDescent="0.3">
      <c r="A4744" s="42"/>
      <c r="C4744" s="52"/>
      <c r="D4744"/>
      <c r="E4744"/>
      <c r="F4744"/>
      <c r="N4744" s="44"/>
    </row>
    <row r="4745" spans="1:14" x14ac:dyDescent="0.3">
      <c r="A4745" s="42"/>
      <c r="C4745" s="52"/>
      <c r="D4745"/>
      <c r="E4745"/>
      <c r="F4745"/>
      <c r="N4745" s="44"/>
    </row>
    <row r="4746" spans="1:14" x14ac:dyDescent="0.3">
      <c r="A4746" s="42"/>
      <c r="C4746" s="52"/>
      <c r="D4746"/>
      <c r="E4746"/>
      <c r="F4746"/>
      <c r="N4746" s="44"/>
    </row>
    <row r="4747" spans="1:14" x14ac:dyDescent="0.3">
      <c r="A4747" s="42"/>
      <c r="C4747" s="52"/>
      <c r="D4747"/>
      <c r="E4747"/>
      <c r="F4747"/>
      <c r="N4747" s="44"/>
    </row>
    <row r="4748" spans="1:14" x14ac:dyDescent="0.3">
      <c r="A4748" s="42"/>
      <c r="C4748" s="52"/>
      <c r="D4748"/>
      <c r="E4748"/>
      <c r="F4748"/>
      <c r="N4748" s="44"/>
    </row>
    <row r="4749" spans="1:14" x14ac:dyDescent="0.3">
      <c r="A4749" s="42"/>
      <c r="C4749" s="52"/>
      <c r="D4749"/>
      <c r="E4749"/>
      <c r="F4749"/>
      <c r="N4749" s="44"/>
    </row>
    <row r="4750" spans="1:14" x14ac:dyDescent="0.3">
      <c r="A4750" s="42"/>
      <c r="C4750" s="52"/>
      <c r="D4750"/>
      <c r="E4750"/>
      <c r="F4750"/>
      <c r="N4750" s="44"/>
    </row>
    <row r="4751" spans="1:14" x14ac:dyDescent="0.3">
      <c r="A4751" s="42"/>
      <c r="C4751" s="52"/>
      <c r="D4751"/>
      <c r="E4751"/>
      <c r="F4751"/>
      <c r="N4751" s="44"/>
    </row>
    <row r="4752" spans="1:14" x14ac:dyDescent="0.3">
      <c r="A4752" s="42"/>
      <c r="C4752" s="52"/>
      <c r="D4752"/>
      <c r="E4752"/>
      <c r="F4752"/>
      <c r="N4752" s="44"/>
    </row>
    <row r="4753" spans="1:14" x14ac:dyDescent="0.3">
      <c r="A4753" s="42"/>
      <c r="C4753" s="52"/>
      <c r="D4753"/>
      <c r="E4753"/>
      <c r="F4753"/>
      <c r="N4753" s="44"/>
    </row>
    <row r="4754" spans="1:14" x14ac:dyDescent="0.3">
      <c r="A4754" s="42"/>
      <c r="C4754" s="52"/>
      <c r="D4754"/>
      <c r="E4754"/>
      <c r="F4754"/>
      <c r="N4754" s="44"/>
    </row>
    <row r="4755" spans="1:14" x14ac:dyDescent="0.3">
      <c r="A4755" s="42"/>
      <c r="C4755" s="52"/>
      <c r="D4755"/>
      <c r="E4755"/>
      <c r="F4755"/>
      <c r="N4755" s="44"/>
    </row>
    <row r="4756" spans="1:14" x14ac:dyDescent="0.3">
      <c r="A4756" s="42"/>
      <c r="C4756" s="52"/>
      <c r="D4756"/>
      <c r="E4756"/>
      <c r="F4756"/>
      <c r="N4756" s="44"/>
    </row>
    <row r="4757" spans="1:14" x14ac:dyDescent="0.3">
      <c r="A4757" s="42"/>
      <c r="C4757" s="52"/>
      <c r="D4757"/>
      <c r="E4757"/>
      <c r="F4757"/>
      <c r="N4757" s="44"/>
    </row>
    <row r="4758" spans="1:14" x14ac:dyDescent="0.3">
      <c r="A4758" s="42"/>
      <c r="C4758" s="52"/>
      <c r="D4758"/>
      <c r="E4758"/>
      <c r="F4758"/>
      <c r="N4758" s="44"/>
    </row>
    <row r="4759" spans="1:14" x14ac:dyDescent="0.3">
      <c r="A4759" s="42"/>
      <c r="C4759" s="52"/>
      <c r="D4759"/>
      <c r="E4759"/>
      <c r="F4759"/>
      <c r="N4759" s="44"/>
    </row>
    <row r="4760" spans="1:14" x14ac:dyDescent="0.3">
      <c r="A4760" s="42"/>
      <c r="C4760" s="52"/>
      <c r="D4760"/>
      <c r="E4760"/>
      <c r="F4760"/>
      <c r="N4760" s="44"/>
    </row>
    <row r="4761" spans="1:14" x14ac:dyDescent="0.3">
      <c r="A4761" s="42"/>
      <c r="C4761" s="52"/>
      <c r="D4761"/>
      <c r="E4761"/>
      <c r="F4761"/>
      <c r="N4761" s="44"/>
    </row>
    <row r="4762" spans="1:14" x14ac:dyDescent="0.3">
      <c r="A4762" s="42"/>
      <c r="C4762" s="52"/>
      <c r="D4762"/>
      <c r="E4762"/>
      <c r="F4762"/>
      <c r="N4762" s="44"/>
    </row>
    <row r="4763" spans="1:14" x14ac:dyDescent="0.3">
      <c r="A4763" s="42"/>
      <c r="C4763" s="52"/>
      <c r="D4763"/>
      <c r="E4763"/>
      <c r="F4763"/>
      <c r="N4763" s="44"/>
    </row>
    <row r="4764" spans="1:14" x14ac:dyDescent="0.3">
      <c r="A4764" s="42"/>
      <c r="C4764" s="52"/>
      <c r="D4764"/>
      <c r="E4764"/>
      <c r="F4764"/>
      <c r="N4764" s="44"/>
    </row>
    <row r="4765" spans="1:14" x14ac:dyDescent="0.3">
      <c r="A4765" s="42"/>
      <c r="C4765" s="52"/>
      <c r="D4765"/>
      <c r="E4765"/>
      <c r="F4765"/>
      <c r="N4765" s="44"/>
    </row>
    <row r="4766" spans="1:14" x14ac:dyDescent="0.3">
      <c r="A4766" s="42"/>
      <c r="C4766" s="52"/>
      <c r="D4766"/>
      <c r="E4766"/>
      <c r="F4766"/>
      <c r="N4766" s="44"/>
    </row>
    <row r="4767" spans="1:14" x14ac:dyDescent="0.3">
      <c r="A4767" s="42"/>
      <c r="C4767" s="52"/>
      <c r="D4767"/>
      <c r="E4767"/>
      <c r="F4767"/>
      <c r="N4767" s="44"/>
    </row>
    <row r="4768" spans="1:14" x14ac:dyDescent="0.3">
      <c r="A4768" s="42"/>
      <c r="C4768" s="52"/>
      <c r="D4768"/>
      <c r="E4768"/>
      <c r="F4768"/>
      <c r="N4768" s="44"/>
    </row>
    <row r="4769" spans="1:14" x14ac:dyDescent="0.3">
      <c r="A4769" s="42"/>
      <c r="C4769" s="52"/>
      <c r="D4769"/>
      <c r="E4769"/>
      <c r="F4769"/>
      <c r="N4769" s="44"/>
    </row>
    <row r="4770" spans="1:14" x14ac:dyDescent="0.3">
      <c r="A4770" s="42"/>
      <c r="C4770" s="52"/>
      <c r="D4770"/>
      <c r="E4770"/>
      <c r="F4770"/>
      <c r="N4770" s="44"/>
    </row>
    <row r="4771" spans="1:14" x14ac:dyDescent="0.3">
      <c r="A4771" s="42"/>
      <c r="C4771" s="52"/>
      <c r="D4771"/>
      <c r="E4771"/>
      <c r="F4771"/>
      <c r="N4771" s="44"/>
    </row>
    <row r="4772" spans="1:14" x14ac:dyDescent="0.3">
      <c r="A4772" s="42"/>
      <c r="C4772" s="52"/>
      <c r="D4772"/>
      <c r="E4772"/>
      <c r="F4772"/>
      <c r="N4772" s="44"/>
    </row>
    <row r="4773" spans="1:14" x14ac:dyDescent="0.3">
      <c r="A4773" s="42"/>
      <c r="C4773" s="52"/>
      <c r="D4773"/>
      <c r="E4773"/>
      <c r="F4773"/>
      <c r="N4773" s="44"/>
    </row>
    <row r="4774" spans="1:14" x14ac:dyDescent="0.3">
      <c r="A4774" s="42"/>
      <c r="C4774" s="52"/>
      <c r="D4774"/>
      <c r="E4774"/>
      <c r="F4774"/>
      <c r="N4774" s="44"/>
    </row>
    <row r="4775" spans="1:14" x14ac:dyDescent="0.3">
      <c r="A4775" s="42"/>
      <c r="C4775" s="52"/>
      <c r="D4775"/>
      <c r="E4775"/>
      <c r="F4775"/>
      <c r="N4775" s="44"/>
    </row>
    <row r="4776" spans="1:14" x14ac:dyDescent="0.3">
      <c r="A4776" s="42"/>
      <c r="C4776" s="52"/>
      <c r="D4776"/>
      <c r="E4776"/>
      <c r="F4776"/>
      <c r="N4776" s="44"/>
    </row>
    <row r="4777" spans="1:14" x14ac:dyDescent="0.3">
      <c r="A4777" s="42"/>
      <c r="C4777" s="52"/>
      <c r="D4777"/>
      <c r="E4777"/>
      <c r="F4777"/>
      <c r="N4777" s="44"/>
    </row>
    <row r="4778" spans="1:14" x14ac:dyDescent="0.3">
      <c r="A4778" s="42"/>
      <c r="C4778" s="52"/>
      <c r="D4778"/>
      <c r="E4778"/>
      <c r="F4778"/>
      <c r="N4778" s="44"/>
    </row>
    <row r="4779" spans="1:14" x14ac:dyDescent="0.3">
      <c r="A4779" s="42"/>
      <c r="C4779" s="52"/>
      <c r="D4779"/>
      <c r="E4779"/>
      <c r="F4779"/>
      <c r="N4779" s="44"/>
    </row>
    <row r="4780" spans="1:14" x14ac:dyDescent="0.3">
      <c r="A4780" s="42"/>
      <c r="C4780" s="52"/>
      <c r="D4780"/>
      <c r="E4780"/>
      <c r="F4780"/>
      <c r="N4780" s="44"/>
    </row>
    <row r="4781" spans="1:14" x14ac:dyDescent="0.3">
      <c r="A4781" s="42"/>
      <c r="C4781" s="52"/>
      <c r="D4781"/>
      <c r="E4781"/>
      <c r="F4781"/>
      <c r="N4781" s="44"/>
    </row>
    <row r="4782" spans="1:14" x14ac:dyDescent="0.3">
      <c r="A4782" s="42"/>
      <c r="C4782" s="52"/>
      <c r="D4782"/>
      <c r="E4782"/>
      <c r="F4782"/>
      <c r="N4782" s="44"/>
    </row>
    <row r="4783" spans="1:14" x14ac:dyDescent="0.3">
      <c r="A4783" s="42"/>
      <c r="C4783" s="52"/>
      <c r="D4783"/>
      <c r="E4783"/>
      <c r="F4783"/>
      <c r="N4783" s="44"/>
    </row>
    <row r="4784" spans="1:14" x14ac:dyDescent="0.3">
      <c r="A4784" s="42"/>
      <c r="C4784" s="52"/>
      <c r="D4784"/>
      <c r="E4784"/>
      <c r="F4784"/>
      <c r="N4784" s="44"/>
    </row>
    <row r="4785" spans="1:14" x14ac:dyDescent="0.3">
      <c r="A4785" s="42"/>
      <c r="C4785" s="52"/>
      <c r="D4785"/>
      <c r="E4785"/>
      <c r="F4785"/>
      <c r="N4785" s="44"/>
    </row>
    <row r="4786" spans="1:14" x14ac:dyDescent="0.3">
      <c r="A4786" s="42"/>
      <c r="C4786" s="52"/>
      <c r="D4786"/>
      <c r="E4786"/>
      <c r="F4786"/>
      <c r="N4786" s="44"/>
    </row>
    <row r="4787" spans="1:14" x14ac:dyDescent="0.3">
      <c r="A4787" s="42"/>
      <c r="C4787" s="52"/>
      <c r="D4787"/>
      <c r="E4787"/>
      <c r="F4787"/>
      <c r="N4787" s="44"/>
    </row>
    <row r="4788" spans="1:14" x14ac:dyDescent="0.3">
      <c r="A4788" s="42"/>
      <c r="C4788" s="52"/>
      <c r="D4788"/>
      <c r="E4788"/>
      <c r="F4788"/>
      <c r="N4788" s="44"/>
    </row>
    <row r="4789" spans="1:14" x14ac:dyDescent="0.3">
      <c r="A4789" s="42"/>
      <c r="C4789" s="52"/>
      <c r="D4789"/>
      <c r="E4789"/>
      <c r="F4789"/>
      <c r="N4789" s="44"/>
    </row>
    <row r="4790" spans="1:14" x14ac:dyDescent="0.3">
      <c r="A4790" s="42"/>
      <c r="C4790" s="52"/>
      <c r="D4790"/>
      <c r="E4790"/>
      <c r="F4790"/>
      <c r="N4790" s="44"/>
    </row>
    <row r="4791" spans="1:14" x14ac:dyDescent="0.3">
      <c r="A4791" s="42"/>
      <c r="C4791" s="52"/>
      <c r="D4791"/>
      <c r="E4791"/>
      <c r="F4791"/>
      <c r="N4791" s="44"/>
    </row>
    <row r="4792" spans="1:14" x14ac:dyDescent="0.3">
      <c r="A4792" s="42"/>
      <c r="C4792" s="52"/>
      <c r="D4792"/>
      <c r="E4792"/>
      <c r="F4792"/>
      <c r="N4792" s="44"/>
    </row>
    <row r="4793" spans="1:14" x14ac:dyDescent="0.3">
      <c r="A4793" s="42"/>
      <c r="C4793" s="52"/>
      <c r="D4793"/>
      <c r="E4793"/>
      <c r="F4793"/>
      <c r="N4793" s="44"/>
    </row>
    <row r="4794" spans="1:14" x14ac:dyDescent="0.3">
      <c r="A4794" s="42"/>
      <c r="C4794" s="52"/>
      <c r="D4794"/>
      <c r="E4794"/>
      <c r="F4794"/>
      <c r="N4794" s="44"/>
    </row>
    <row r="4795" spans="1:14" x14ac:dyDescent="0.3">
      <c r="A4795" s="42"/>
      <c r="C4795" s="52"/>
      <c r="D4795"/>
      <c r="E4795"/>
      <c r="F4795"/>
      <c r="N4795" s="44"/>
    </row>
    <row r="4796" spans="1:14" x14ac:dyDescent="0.3">
      <c r="A4796" s="42"/>
      <c r="C4796" s="52"/>
      <c r="D4796"/>
      <c r="E4796"/>
      <c r="F4796"/>
      <c r="N4796" s="44"/>
    </row>
    <row r="4797" spans="1:14" x14ac:dyDescent="0.3">
      <c r="A4797" s="42"/>
      <c r="C4797" s="52"/>
      <c r="D4797"/>
      <c r="E4797"/>
      <c r="F4797"/>
      <c r="N4797" s="44"/>
    </row>
    <row r="4798" spans="1:14" x14ac:dyDescent="0.3">
      <c r="A4798" s="42"/>
      <c r="C4798" s="52"/>
      <c r="D4798"/>
      <c r="E4798"/>
      <c r="F4798"/>
      <c r="N4798" s="44"/>
    </row>
    <row r="4799" spans="1:14" x14ac:dyDescent="0.3">
      <c r="A4799" s="42"/>
      <c r="C4799" s="52"/>
      <c r="D4799"/>
      <c r="E4799"/>
      <c r="F4799"/>
      <c r="N4799" s="44"/>
    </row>
    <row r="4800" spans="1:14" x14ac:dyDescent="0.3">
      <c r="A4800" s="42"/>
      <c r="C4800" s="52"/>
      <c r="D4800"/>
      <c r="E4800"/>
      <c r="F4800"/>
      <c r="N4800" s="44"/>
    </row>
    <row r="4801" spans="1:14" x14ac:dyDescent="0.3">
      <c r="A4801" s="42"/>
      <c r="C4801" s="52"/>
      <c r="D4801"/>
      <c r="E4801"/>
      <c r="F4801"/>
      <c r="N4801" s="44"/>
    </row>
    <row r="4802" spans="1:14" x14ac:dyDescent="0.3">
      <c r="A4802" s="42"/>
      <c r="C4802" s="52"/>
      <c r="D4802"/>
      <c r="E4802"/>
      <c r="F4802"/>
      <c r="N4802" s="44"/>
    </row>
    <row r="4803" spans="1:14" x14ac:dyDescent="0.3">
      <c r="A4803" s="42"/>
      <c r="C4803" s="52"/>
      <c r="D4803"/>
      <c r="E4803"/>
      <c r="F4803"/>
      <c r="N4803" s="44"/>
    </row>
    <row r="4804" spans="1:14" x14ac:dyDescent="0.3">
      <c r="A4804" s="42"/>
      <c r="C4804" s="52"/>
      <c r="D4804"/>
      <c r="E4804"/>
      <c r="F4804"/>
      <c r="N4804" s="44"/>
    </row>
    <row r="4805" spans="1:14" x14ac:dyDescent="0.3">
      <c r="A4805" s="42"/>
      <c r="C4805" s="52"/>
      <c r="D4805"/>
      <c r="E4805"/>
      <c r="F4805"/>
      <c r="N4805" s="44"/>
    </row>
    <row r="4806" spans="1:14" x14ac:dyDescent="0.3">
      <c r="A4806" s="42"/>
      <c r="C4806" s="52"/>
      <c r="D4806"/>
      <c r="E4806"/>
      <c r="F4806"/>
      <c r="N4806" s="44"/>
    </row>
    <row r="4807" spans="1:14" x14ac:dyDescent="0.3">
      <c r="A4807" s="42"/>
      <c r="C4807" s="52"/>
      <c r="D4807"/>
      <c r="E4807"/>
      <c r="F4807"/>
      <c r="N4807" s="44"/>
    </row>
    <row r="4808" spans="1:14" x14ac:dyDescent="0.3">
      <c r="A4808" s="42"/>
      <c r="C4808" s="52"/>
      <c r="D4808"/>
      <c r="E4808"/>
      <c r="F4808"/>
      <c r="N4808" s="44"/>
    </row>
    <row r="4809" spans="1:14" x14ac:dyDescent="0.3">
      <c r="A4809" s="42"/>
      <c r="C4809" s="52"/>
      <c r="D4809"/>
      <c r="E4809"/>
      <c r="F4809"/>
      <c r="N4809" s="44"/>
    </row>
    <row r="4810" spans="1:14" x14ac:dyDescent="0.3">
      <c r="A4810" s="42"/>
      <c r="C4810" s="52"/>
      <c r="D4810"/>
      <c r="E4810"/>
      <c r="F4810"/>
      <c r="N4810" s="44"/>
    </row>
    <row r="4811" spans="1:14" x14ac:dyDescent="0.3">
      <c r="A4811" s="42"/>
      <c r="C4811" s="52"/>
      <c r="D4811"/>
      <c r="E4811"/>
      <c r="F4811"/>
      <c r="N4811" s="44"/>
    </row>
    <row r="4812" spans="1:14" x14ac:dyDescent="0.3">
      <c r="A4812" s="42"/>
      <c r="C4812" s="52"/>
      <c r="D4812"/>
      <c r="E4812"/>
      <c r="F4812"/>
      <c r="N4812" s="44"/>
    </row>
    <row r="4813" spans="1:14" x14ac:dyDescent="0.3">
      <c r="A4813" s="42"/>
      <c r="C4813" s="52"/>
      <c r="D4813"/>
      <c r="E4813"/>
      <c r="F4813"/>
      <c r="N4813" s="44"/>
    </row>
    <row r="4814" spans="1:14" x14ac:dyDescent="0.3">
      <c r="A4814" s="42"/>
      <c r="C4814" s="52"/>
      <c r="D4814"/>
      <c r="E4814"/>
      <c r="F4814"/>
      <c r="N4814" s="44"/>
    </row>
    <row r="4815" spans="1:14" x14ac:dyDescent="0.3">
      <c r="A4815" s="42"/>
      <c r="C4815" s="52"/>
      <c r="D4815"/>
      <c r="E4815"/>
      <c r="F4815"/>
      <c r="N4815" s="44"/>
    </row>
    <row r="4816" spans="1:14" x14ac:dyDescent="0.3">
      <c r="A4816" s="42"/>
      <c r="C4816" s="52"/>
      <c r="D4816"/>
      <c r="E4816"/>
      <c r="F4816"/>
      <c r="N4816" s="44"/>
    </row>
    <row r="4817" spans="1:14" x14ac:dyDescent="0.3">
      <c r="A4817" s="42"/>
      <c r="C4817" s="52"/>
      <c r="D4817"/>
      <c r="E4817"/>
      <c r="F4817"/>
      <c r="N4817" s="44"/>
    </row>
    <row r="4818" spans="1:14" x14ac:dyDescent="0.3">
      <c r="A4818" s="42"/>
      <c r="C4818" s="52"/>
      <c r="D4818"/>
      <c r="E4818"/>
      <c r="F4818"/>
      <c r="N4818" s="44"/>
    </row>
    <row r="4819" spans="1:14" x14ac:dyDescent="0.3">
      <c r="A4819" s="42"/>
      <c r="C4819" s="52"/>
      <c r="D4819"/>
      <c r="E4819"/>
      <c r="F4819"/>
      <c r="N4819" s="44"/>
    </row>
    <row r="4820" spans="1:14" x14ac:dyDescent="0.3">
      <c r="A4820" s="42"/>
      <c r="C4820" s="52"/>
      <c r="D4820"/>
      <c r="E4820"/>
      <c r="F4820"/>
      <c r="N4820" s="44"/>
    </row>
    <row r="4821" spans="1:14" x14ac:dyDescent="0.3">
      <c r="A4821" s="42"/>
      <c r="C4821" s="52"/>
      <c r="D4821"/>
      <c r="E4821"/>
      <c r="F4821"/>
      <c r="N4821" s="44"/>
    </row>
    <row r="4822" spans="1:14" x14ac:dyDescent="0.3">
      <c r="A4822" s="42"/>
      <c r="C4822" s="52"/>
      <c r="D4822"/>
      <c r="E4822"/>
      <c r="F4822"/>
      <c r="N4822" s="44"/>
    </row>
    <row r="4823" spans="1:14" x14ac:dyDescent="0.3">
      <c r="A4823" s="42"/>
      <c r="C4823" s="52"/>
      <c r="D4823"/>
      <c r="E4823"/>
      <c r="F4823"/>
      <c r="N4823" s="44"/>
    </row>
    <row r="4824" spans="1:14" x14ac:dyDescent="0.3">
      <c r="A4824" s="42"/>
      <c r="C4824" s="52"/>
      <c r="D4824"/>
      <c r="E4824"/>
      <c r="F4824"/>
      <c r="N4824" s="44"/>
    </row>
    <row r="4825" spans="1:14" x14ac:dyDescent="0.3">
      <c r="A4825" s="42"/>
      <c r="C4825" s="52"/>
      <c r="D4825"/>
      <c r="E4825"/>
      <c r="F4825"/>
      <c r="N4825" s="44"/>
    </row>
    <row r="4826" spans="1:14" x14ac:dyDescent="0.3">
      <c r="A4826" s="42"/>
      <c r="C4826" s="52"/>
      <c r="D4826"/>
      <c r="E4826"/>
      <c r="F4826"/>
      <c r="N4826" s="44"/>
    </row>
    <row r="4827" spans="1:14" x14ac:dyDescent="0.3">
      <c r="A4827" s="42"/>
      <c r="C4827" s="52"/>
      <c r="D4827"/>
      <c r="E4827"/>
      <c r="F4827"/>
      <c r="N4827" s="44"/>
    </row>
    <row r="4828" spans="1:14" x14ac:dyDescent="0.3">
      <c r="A4828" s="42"/>
      <c r="C4828" s="52"/>
      <c r="D4828"/>
      <c r="E4828"/>
      <c r="F4828"/>
      <c r="N4828" s="44"/>
    </row>
    <row r="4829" spans="1:14" x14ac:dyDescent="0.3">
      <c r="A4829" s="42"/>
      <c r="C4829" s="52"/>
      <c r="D4829"/>
      <c r="E4829"/>
      <c r="F4829"/>
      <c r="N4829" s="44"/>
    </row>
    <row r="4830" spans="1:14" x14ac:dyDescent="0.3">
      <c r="A4830" s="42"/>
      <c r="C4830" s="52"/>
      <c r="D4830"/>
      <c r="E4830"/>
      <c r="F4830"/>
      <c r="N4830" s="44"/>
    </row>
    <row r="4831" spans="1:14" x14ac:dyDescent="0.3">
      <c r="A4831" s="42"/>
      <c r="C4831" s="52"/>
      <c r="D4831"/>
      <c r="E4831"/>
      <c r="F4831"/>
      <c r="N4831" s="44"/>
    </row>
    <row r="4832" spans="1:14" x14ac:dyDescent="0.3">
      <c r="A4832" s="42"/>
      <c r="C4832" s="52"/>
      <c r="D4832"/>
      <c r="E4832"/>
      <c r="F4832"/>
      <c r="N4832" s="44"/>
    </row>
    <row r="4833" spans="1:14" x14ac:dyDescent="0.3">
      <c r="A4833" s="42"/>
      <c r="C4833" s="52"/>
      <c r="D4833"/>
      <c r="E4833"/>
      <c r="F4833"/>
      <c r="N4833" s="44"/>
    </row>
    <row r="4834" spans="1:14" x14ac:dyDescent="0.3">
      <c r="A4834" s="42"/>
      <c r="C4834" s="52"/>
      <c r="D4834"/>
      <c r="E4834"/>
      <c r="F4834"/>
      <c r="N4834" s="44"/>
    </row>
    <row r="4835" spans="1:14" x14ac:dyDescent="0.3">
      <c r="A4835" s="42"/>
      <c r="C4835" s="52"/>
      <c r="D4835"/>
      <c r="E4835"/>
      <c r="F4835"/>
      <c r="N4835" s="44"/>
    </row>
    <row r="4836" spans="1:14" x14ac:dyDescent="0.3">
      <c r="A4836" s="42"/>
      <c r="C4836" s="52"/>
      <c r="D4836"/>
      <c r="E4836"/>
      <c r="F4836"/>
      <c r="N4836" s="44"/>
    </row>
    <row r="4837" spans="1:14" x14ac:dyDescent="0.3">
      <c r="A4837" s="42"/>
      <c r="C4837" s="52"/>
      <c r="D4837"/>
      <c r="E4837"/>
      <c r="F4837"/>
      <c r="N4837" s="44"/>
    </row>
    <row r="4838" spans="1:14" x14ac:dyDescent="0.3">
      <c r="A4838" s="42"/>
      <c r="C4838" s="52"/>
      <c r="D4838"/>
      <c r="E4838"/>
      <c r="F4838"/>
      <c r="N4838" s="44"/>
    </row>
    <row r="4839" spans="1:14" x14ac:dyDescent="0.3">
      <c r="A4839" s="42"/>
      <c r="C4839" s="52"/>
      <c r="D4839"/>
      <c r="E4839"/>
      <c r="F4839"/>
      <c r="N4839" s="44"/>
    </row>
    <row r="4840" spans="1:14" x14ac:dyDescent="0.3">
      <c r="A4840" s="42"/>
      <c r="C4840" s="52"/>
      <c r="D4840"/>
      <c r="E4840"/>
      <c r="F4840"/>
      <c r="N4840" s="44"/>
    </row>
    <row r="4841" spans="1:14" x14ac:dyDescent="0.3">
      <c r="A4841" s="42"/>
      <c r="C4841" s="52"/>
      <c r="D4841"/>
      <c r="E4841"/>
      <c r="F4841"/>
      <c r="M4841" s="45"/>
      <c r="N4841" s="44"/>
    </row>
    <row r="4842" spans="1:14" x14ac:dyDescent="0.3">
      <c r="A4842" s="42"/>
      <c r="C4842" s="52"/>
      <c r="D4842"/>
      <c r="E4842"/>
      <c r="F4842"/>
      <c r="M4842" s="45"/>
      <c r="N4842" s="44"/>
    </row>
    <row r="4843" spans="1:14" x14ac:dyDescent="0.3">
      <c r="A4843" s="42"/>
      <c r="C4843" s="52"/>
      <c r="D4843"/>
      <c r="E4843"/>
      <c r="F4843"/>
      <c r="N4843" s="44"/>
    </row>
    <row r="4844" spans="1:14" x14ac:dyDescent="0.3">
      <c r="A4844" s="42"/>
      <c r="C4844" s="52"/>
      <c r="D4844"/>
      <c r="E4844"/>
      <c r="F4844"/>
      <c r="N4844" s="44"/>
    </row>
    <row r="4845" spans="1:14" x14ac:dyDescent="0.3">
      <c r="A4845" s="42"/>
      <c r="C4845" s="52"/>
      <c r="D4845"/>
      <c r="E4845"/>
      <c r="F4845"/>
      <c r="N4845" s="44"/>
    </row>
    <row r="4846" spans="1:14" x14ac:dyDescent="0.3">
      <c r="A4846" s="42"/>
      <c r="C4846" s="52"/>
      <c r="D4846"/>
      <c r="E4846"/>
      <c r="F4846"/>
      <c r="N4846" s="44"/>
    </row>
    <row r="4847" spans="1:14" x14ac:dyDescent="0.3">
      <c r="A4847" s="42"/>
      <c r="C4847" s="52"/>
      <c r="D4847"/>
      <c r="E4847"/>
      <c r="F4847"/>
      <c r="N4847" s="44"/>
    </row>
    <row r="4848" spans="1:14" x14ac:dyDescent="0.3">
      <c r="A4848" s="42"/>
      <c r="C4848" s="52"/>
      <c r="D4848"/>
      <c r="E4848"/>
      <c r="F4848"/>
      <c r="N4848" s="44"/>
    </row>
    <row r="4849" spans="1:14" x14ac:dyDescent="0.3">
      <c r="A4849" s="42"/>
      <c r="C4849" s="52"/>
      <c r="D4849"/>
      <c r="E4849"/>
      <c r="F4849"/>
      <c r="N4849" s="44"/>
    </row>
    <row r="4850" spans="1:14" x14ac:dyDescent="0.3">
      <c r="A4850" s="42"/>
      <c r="C4850" s="52"/>
      <c r="D4850"/>
      <c r="E4850"/>
      <c r="F4850"/>
      <c r="N4850" s="44"/>
    </row>
    <row r="4851" spans="1:14" x14ac:dyDescent="0.3">
      <c r="A4851" s="42"/>
      <c r="C4851" s="52"/>
      <c r="D4851"/>
      <c r="E4851"/>
      <c r="F4851"/>
      <c r="N4851" s="44"/>
    </row>
    <row r="4852" spans="1:14" x14ac:dyDescent="0.3">
      <c r="A4852" s="42"/>
      <c r="C4852" s="52"/>
      <c r="D4852"/>
      <c r="E4852"/>
      <c r="F4852"/>
      <c r="N4852" s="44"/>
    </row>
    <row r="4853" spans="1:14" x14ac:dyDescent="0.3">
      <c r="A4853" s="42"/>
      <c r="C4853" s="52"/>
      <c r="D4853"/>
      <c r="E4853"/>
      <c r="F4853"/>
      <c r="N4853" s="44"/>
    </row>
    <row r="4854" spans="1:14" x14ac:dyDescent="0.3">
      <c r="A4854" s="42"/>
      <c r="C4854" s="52"/>
      <c r="D4854"/>
      <c r="E4854"/>
      <c r="F4854"/>
      <c r="N4854" s="44"/>
    </row>
    <row r="4855" spans="1:14" x14ac:dyDescent="0.3">
      <c r="A4855" s="42"/>
      <c r="C4855" s="52"/>
      <c r="D4855"/>
      <c r="E4855"/>
      <c r="F4855"/>
      <c r="N4855" s="44"/>
    </row>
    <row r="4856" spans="1:14" x14ac:dyDescent="0.3">
      <c r="A4856" s="42"/>
      <c r="C4856" s="52"/>
      <c r="D4856"/>
      <c r="E4856"/>
      <c r="F4856"/>
      <c r="N4856" s="44"/>
    </row>
    <row r="4857" spans="1:14" x14ac:dyDescent="0.3">
      <c r="A4857" s="42"/>
      <c r="C4857" s="52"/>
      <c r="D4857"/>
      <c r="E4857"/>
      <c r="F4857"/>
      <c r="N4857" s="44"/>
    </row>
    <row r="4858" spans="1:14" x14ac:dyDescent="0.3">
      <c r="A4858" s="42"/>
      <c r="C4858" s="52"/>
      <c r="D4858"/>
      <c r="E4858"/>
      <c r="F4858"/>
      <c r="N4858" s="44"/>
    </row>
    <row r="4859" spans="1:14" x14ac:dyDescent="0.3">
      <c r="A4859" s="42"/>
      <c r="C4859" s="52"/>
      <c r="D4859"/>
      <c r="E4859"/>
      <c r="F4859"/>
      <c r="N4859" s="44"/>
    </row>
    <row r="4860" spans="1:14" x14ac:dyDescent="0.3">
      <c r="A4860" s="42"/>
      <c r="C4860" s="52"/>
      <c r="D4860"/>
      <c r="E4860"/>
      <c r="F4860"/>
      <c r="N4860" s="44"/>
    </row>
    <row r="4861" spans="1:14" x14ac:dyDescent="0.3">
      <c r="A4861" s="42"/>
      <c r="C4861" s="52"/>
      <c r="D4861"/>
      <c r="E4861"/>
      <c r="F4861"/>
      <c r="N4861" s="44"/>
    </row>
    <row r="4862" spans="1:14" x14ac:dyDescent="0.3">
      <c r="A4862" s="42"/>
      <c r="C4862" s="52"/>
      <c r="D4862"/>
      <c r="E4862"/>
      <c r="F4862"/>
      <c r="N4862" s="44"/>
    </row>
    <row r="4863" spans="1:14" x14ac:dyDescent="0.3">
      <c r="A4863" s="42"/>
      <c r="C4863" s="52"/>
      <c r="D4863"/>
      <c r="E4863"/>
      <c r="F4863"/>
      <c r="N4863" s="44"/>
    </row>
    <row r="4864" spans="1:14" x14ac:dyDescent="0.3">
      <c r="A4864" s="42"/>
      <c r="C4864" s="52"/>
      <c r="D4864"/>
      <c r="E4864"/>
      <c r="F4864"/>
      <c r="N4864" s="44"/>
    </row>
    <row r="4865" spans="1:14" x14ac:dyDescent="0.3">
      <c r="A4865" s="42"/>
      <c r="C4865" s="52"/>
      <c r="D4865"/>
      <c r="E4865"/>
      <c r="F4865"/>
      <c r="N4865" s="44"/>
    </row>
    <row r="4866" spans="1:14" x14ac:dyDescent="0.3">
      <c r="A4866" s="42"/>
      <c r="C4866" s="52"/>
      <c r="D4866"/>
      <c r="E4866"/>
      <c r="F4866"/>
      <c r="N4866" s="44"/>
    </row>
    <row r="4867" spans="1:14" x14ac:dyDescent="0.3">
      <c r="A4867" s="42"/>
      <c r="C4867" s="52"/>
      <c r="D4867"/>
      <c r="E4867"/>
      <c r="F4867"/>
      <c r="N4867" s="44"/>
    </row>
    <row r="4868" spans="1:14" x14ac:dyDescent="0.3">
      <c r="A4868" s="42"/>
      <c r="C4868" s="52"/>
      <c r="D4868"/>
      <c r="E4868"/>
      <c r="F4868"/>
      <c r="N4868" s="44"/>
    </row>
    <row r="4869" spans="1:14" x14ac:dyDescent="0.3">
      <c r="A4869" s="42"/>
      <c r="C4869" s="52"/>
      <c r="D4869"/>
      <c r="E4869"/>
      <c r="F4869"/>
      <c r="N4869" s="44"/>
    </row>
    <row r="4870" spans="1:14" x14ac:dyDescent="0.3">
      <c r="A4870" s="42"/>
      <c r="C4870" s="52"/>
      <c r="D4870"/>
      <c r="E4870"/>
      <c r="F4870"/>
      <c r="N4870" s="44"/>
    </row>
    <row r="4871" spans="1:14" x14ac:dyDescent="0.3">
      <c r="A4871" s="42"/>
      <c r="C4871" s="52"/>
      <c r="D4871"/>
      <c r="E4871"/>
      <c r="F4871"/>
      <c r="N4871" s="44"/>
    </row>
    <row r="4872" spans="1:14" x14ac:dyDescent="0.3">
      <c r="A4872" s="42"/>
      <c r="C4872" s="52"/>
      <c r="D4872"/>
      <c r="E4872"/>
      <c r="F4872"/>
      <c r="N4872" s="44"/>
    </row>
    <row r="4873" spans="1:14" x14ac:dyDescent="0.3">
      <c r="A4873" s="42"/>
      <c r="C4873" s="52"/>
      <c r="D4873"/>
      <c r="E4873"/>
      <c r="F4873"/>
      <c r="N4873" s="44"/>
    </row>
    <row r="4874" spans="1:14" x14ac:dyDescent="0.3">
      <c r="A4874" s="42"/>
      <c r="C4874" s="52"/>
      <c r="D4874"/>
      <c r="E4874"/>
      <c r="F4874"/>
      <c r="N4874" s="44"/>
    </row>
    <row r="4875" spans="1:14" x14ac:dyDescent="0.3">
      <c r="A4875" s="42"/>
      <c r="C4875" s="52"/>
      <c r="D4875"/>
      <c r="E4875"/>
      <c r="F4875"/>
      <c r="N4875" s="44"/>
    </row>
    <row r="4876" spans="1:14" x14ac:dyDescent="0.3">
      <c r="A4876" s="42"/>
      <c r="C4876" s="52"/>
      <c r="D4876"/>
      <c r="E4876"/>
      <c r="F4876"/>
      <c r="N4876" s="44"/>
    </row>
    <row r="4877" spans="1:14" x14ac:dyDescent="0.3">
      <c r="A4877" s="42"/>
      <c r="C4877" s="52"/>
      <c r="D4877"/>
      <c r="E4877"/>
      <c r="F4877"/>
      <c r="N4877" s="44"/>
    </row>
    <row r="4878" spans="1:14" x14ac:dyDescent="0.3">
      <c r="A4878" s="42"/>
      <c r="C4878" s="52"/>
      <c r="D4878"/>
      <c r="E4878"/>
      <c r="F4878"/>
      <c r="N4878" s="44"/>
    </row>
    <row r="4879" spans="1:14" x14ac:dyDescent="0.3">
      <c r="A4879" s="42"/>
      <c r="C4879" s="52"/>
      <c r="D4879"/>
      <c r="E4879"/>
      <c r="F4879"/>
      <c r="N4879" s="44"/>
    </row>
    <row r="4880" spans="1:14" x14ac:dyDescent="0.3">
      <c r="A4880" s="42"/>
      <c r="C4880" s="52"/>
      <c r="D4880"/>
      <c r="E4880"/>
      <c r="F4880"/>
      <c r="N4880" s="44"/>
    </row>
    <row r="4881" spans="1:14" x14ac:dyDescent="0.3">
      <c r="A4881" s="42"/>
      <c r="C4881" s="52"/>
      <c r="D4881"/>
      <c r="E4881"/>
      <c r="F4881"/>
      <c r="N4881" s="44"/>
    </row>
    <row r="4882" spans="1:14" x14ac:dyDescent="0.3">
      <c r="A4882" s="42"/>
      <c r="C4882" s="52"/>
      <c r="D4882"/>
      <c r="E4882"/>
      <c r="F4882"/>
      <c r="N4882" s="44"/>
    </row>
    <row r="4883" spans="1:14" x14ac:dyDescent="0.3">
      <c r="A4883" s="42"/>
      <c r="C4883" s="52"/>
      <c r="D4883"/>
      <c r="E4883"/>
      <c r="F4883"/>
      <c r="M4883" s="45"/>
      <c r="N4883" s="44"/>
    </row>
    <row r="4884" spans="1:14" x14ac:dyDescent="0.3">
      <c r="A4884" s="42"/>
      <c r="C4884" s="52"/>
      <c r="D4884"/>
      <c r="E4884"/>
      <c r="F4884"/>
      <c r="N4884" s="44"/>
    </row>
    <row r="4885" spans="1:14" x14ac:dyDescent="0.3">
      <c r="A4885" s="42"/>
      <c r="C4885" s="52"/>
      <c r="D4885"/>
      <c r="E4885"/>
      <c r="F4885"/>
      <c r="N4885" s="44"/>
    </row>
    <row r="4886" spans="1:14" x14ac:dyDescent="0.3">
      <c r="A4886" s="42"/>
      <c r="C4886" s="52"/>
      <c r="D4886"/>
      <c r="E4886"/>
      <c r="F4886"/>
      <c r="N4886" s="44"/>
    </row>
    <row r="4887" spans="1:14" x14ac:dyDescent="0.3">
      <c r="A4887" s="42"/>
      <c r="C4887" s="52"/>
      <c r="D4887"/>
      <c r="E4887"/>
      <c r="F4887"/>
      <c r="N4887" s="44"/>
    </row>
    <row r="4888" spans="1:14" x14ac:dyDescent="0.3">
      <c r="A4888" s="42"/>
      <c r="C4888" s="52"/>
      <c r="D4888"/>
      <c r="E4888"/>
      <c r="F4888"/>
      <c r="N4888" s="44"/>
    </row>
    <row r="4889" spans="1:14" x14ac:dyDescent="0.3">
      <c r="A4889" s="42"/>
      <c r="C4889" s="52"/>
      <c r="D4889"/>
      <c r="E4889"/>
      <c r="F4889"/>
      <c r="N4889" s="44"/>
    </row>
    <row r="4890" spans="1:14" x14ac:dyDescent="0.3">
      <c r="A4890" s="42"/>
      <c r="C4890" s="52"/>
      <c r="D4890"/>
      <c r="E4890"/>
      <c r="F4890"/>
      <c r="N4890" s="44"/>
    </row>
    <row r="4891" spans="1:14" x14ac:dyDescent="0.3">
      <c r="A4891" s="42"/>
      <c r="C4891" s="52"/>
      <c r="D4891"/>
      <c r="E4891"/>
      <c r="F4891"/>
      <c r="N4891" s="44"/>
    </row>
    <row r="4892" spans="1:14" x14ac:dyDescent="0.3">
      <c r="A4892" s="42"/>
      <c r="C4892" s="52"/>
      <c r="D4892"/>
      <c r="E4892"/>
      <c r="F4892"/>
      <c r="N4892" s="44"/>
    </row>
    <row r="4893" spans="1:14" x14ac:dyDescent="0.3">
      <c r="A4893" s="42"/>
      <c r="C4893" s="52"/>
      <c r="D4893"/>
      <c r="E4893"/>
      <c r="F4893"/>
      <c r="N4893" s="44"/>
    </row>
    <row r="4894" spans="1:14" x14ac:dyDescent="0.3">
      <c r="A4894" s="42"/>
      <c r="C4894" s="52"/>
      <c r="D4894"/>
      <c r="E4894"/>
      <c r="F4894"/>
      <c r="N4894" s="44"/>
    </row>
    <row r="4895" spans="1:14" x14ac:dyDescent="0.3">
      <c r="A4895" s="42"/>
      <c r="C4895" s="52"/>
      <c r="D4895"/>
      <c r="E4895"/>
      <c r="F4895"/>
      <c r="N4895" s="44"/>
    </row>
    <row r="4896" spans="1:14" x14ac:dyDescent="0.3">
      <c r="A4896" s="42"/>
      <c r="C4896" s="52"/>
      <c r="D4896"/>
      <c r="E4896"/>
      <c r="F4896"/>
      <c r="N4896" s="44"/>
    </row>
    <row r="4897" spans="1:14" x14ac:dyDescent="0.3">
      <c r="A4897" s="42"/>
      <c r="C4897" s="52"/>
      <c r="D4897"/>
      <c r="E4897"/>
      <c r="F4897"/>
      <c r="N4897" s="44"/>
    </row>
    <row r="4898" spans="1:14" x14ac:dyDescent="0.3">
      <c r="A4898" s="42"/>
      <c r="C4898" s="52"/>
      <c r="D4898"/>
      <c r="E4898"/>
      <c r="F4898"/>
      <c r="N4898" s="44"/>
    </row>
    <row r="4899" spans="1:14" x14ac:dyDescent="0.3">
      <c r="A4899" s="42"/>
      <c r="C4899" s="52"/>
      <c r="D4899"/>
      <c r="E4899"/>
      <c r="F4899"/>
      <c r="N4899" s="44"/>
    </row>
    <row r="4900" spans="1:14" x14ac:dyDescent="0.3">
      <c r="A4900" s="42"/>
      <c r="C4900" s="52"/>
      <c r="D4900"/>
      <c r="E4900"/>
      <c r="F4900"/>
      <c r="N4900" s="44"/>
    </row>
    <row r="4901" spans="1:14" x14ac:dyDescent="0.3">
      <c r="A4901" s="42"/>
      <c r="C4901" s="52"/>
      <c r="D4901"/>
      <c r="E4901"/>
      <c r="F4901"/>
      <c r="N4901" s="44"/>
    </row>
    <row r="4902" spans="1:14" x14ac:dyDescent="0.3">
      <c r="A4902" s="42"/>
      <c r="C4902" s="52"/>
      <c r="D4902"/>
      <c r="E4902"/>
      <c r="F4902"/>
      <c r="N4902" s="44"/>
    </row>
    <row r="4903" spans="1:14" x14ac:dyDescent="0.3">
      <c r="A4903" s="42"/>
      <c r="C4903" s="52"/>
      <c r="D4903"/>
      <c r="E4903"/>
      <c r="F4903"/>
      <c r="N4903" s="44"/>
    </row>
    <row r="4904" spans="1:14" x14ac:dyDescent="0.3">
      <c r="A4904" s="42"/>
      <c r="C4904" s="52"/>
      <c r="D4904"/>
      <c r="E4904"/>
      <c r="F4904"/>
      <c r="N4904" s="44"/>
    </row>
    <row r="4905" spans="1:14" x14ac:dyDescent="0.3">
      <c r="A4905" s="42"/>
      <c r="C4905" s="52"/>
      <c r="D4905"/>
      <c r="E4905"/>
      <c r="F4905"/>
      <c r="N4905" s="44"/>
    </row>
    <row r="4906" spans="1:14" x14ac:dyDescent="0.3">
      <c r="A4906" s="42"/>
      <c r="C4906" s="52"/>
      <c r="D4906"/>
      <c r="E4906"/>
      <c r="F4906"/>
      <c r="N4906" s="44"/>
    </row>
    <row r="4907" spans="1:14" x14ac:dyDescent="0.3">
      <c r="A4907" s="42"/>
      <c r="C4907" s="52"/>
      <c r="D4907"/>
      <c r="E4907"/>
      <c r="F4907"/>
      <c r="N4907" s="44"/>
    </row>
    <row r="4908" spans="1:14" x14ac:dyDescent="0.3">
      <c r="A4908" s="42"/>
      <c r="C4908" s="52"/>
      <c r="D4908"/>
      <c r="E4908"/>
      <c r="F4908"/>
      <c r="N4908" s="44"/>
    </row>
    <row r="4909" spans="1:14" x14ac:dyDescent="0.3">
      <c r="A4909" s="42"/>
      <c r="C4909" s="52"/>
      <c r="D4909"/>
      <c r="E4909"/>
      <c r="F4909"/>
      <c r="N4909" s="44"/>
    </row>
    <row r="4910" spans="1:14" x14ac:dyDescent="0.3">
      <c r="A4910" s="42"/>
      <c r="C4910" s="52"/>
      <c r="D4910"/>
      <c r="E4910"/>
      <c r="F4910"/>
      <c r="N4910" s="44"/>
    </row>
    <row r="4911" spans="1:14" x14ac:dyDescent="0.3">
      <c r="A4911" s="42"/>
      <c r="C4911" s="52"/>
      <c r="D4911"/>
      <c r="E4911"/>
      <c r="F4911"/>
      <c r="N4911" s="44"/>
    </row>
    <row r="4912" spans="1:14" x14ac:dyDescent="0.3">
      <c r="A4912" s="42"/>
      <c r="C4912" s="52"/>
      <c r="D4912"/>
      <c r="E4912"/>
      <c r="F4912"/>
      <c r="N4912" s="44"/>
    </row>
    <row r="4913" spans="1:14" x14ac:dyDescent="0.3">
      <c r="A4913" s="42"/>
      <c r="C4913" s="52"/>
      <c r="D4913"/>
      <c r="E4913"/>
      <c r="F4913"/>
      <c r="N4913" s="44"/>
    </row>
    <row r="4914" spans="1:14" x14ac:dyDescent="0.3">
      <c r="A4914" s="42"/>
      <c r="C4914" s="52"/>
      <c r="D4914"/>
      <c r="E4914"/>
      <c r="F4914"/>
      <c r="N4914" s="44"/>
    </row>
    <row r="4915" spans="1:14" x14ac:dyDescent="0.3">
      <c r="A4915" s="42"/>
      <c r="C4915" s="52"/>
      <c r="D4915"/>
      <c r="E4915"/>
      <c r="F4915"/>
      <c r="N4915" s="44"/>
    </row>
    <row r="4916" spans="1:14" x14ac:dyDescent="0.3">
      <c r="A4916" s="42"/>
      <c r="C4916" s="52"/>
      <c r="D4916"/>
      <c r="E4916"/>
      <c r="F4916"/>
      <c r="N4916" s="44"/>
    </row>
    <row r="4917" spans="1:14" x14ac:dyDescent="0.3">
      <c r="A4917" s="42"/>
      <c r="C4917" s="52"/>
      <c r="D4917"/>
      <c r="E4917"/>
      <c r="F4917"/>
      <c r="N4917" s="44"/>
    </row>
    <row r="4918" spans="1:14" x14ac:dyDescent="0.3">
      <c r="A4918" s="42"/>
      <c r="C4918" s="52"/>
      <c r="D4918"/>
      <c r="E4918"/>
      <c r="F4918"/>
      <c r="N4918" s="44"/>
    </row>
    <row r="4919" spans="1:14" x14ac:dyDescent="0.3">
      <c r="A4919" s="42"/>
      <c r="C4919" s="52"/>
      <c r="D4919"/>
      <c r="E4919"/>
      <c r="F4919"/>
      <c r="N4919" s="44"/>
    </row>
    <row r="4920" spans="1:14" x14ac:dyDescent="0.3">
      <c r="A4920" s="42"/>
      <c r="C4920" s="52"/>
      <c r="D4920"/>
      <c r="E4920"/>
      <c r="F4920"/>
      <c r="N4920" s="44"/>
    </row>
    <row r="4921" spans="1:14" x14ac:dyDescent="0.3">
      <c r="A4921" s="42"/>
      <c r="C4921" s="52"/>
      <c r="D4921"/>
      <c r="E4921"/>
      <c r="F4921"/>
      <c r="N4921" s="44"/>
    </row>
    <row r="4922" spans="1:14" x14ac:dyDescent="0.3">
      <c r="A4922" s="42"/>
      <c r="C4922" s="52"/>
      <c r="D4922"/>
      <c r="E4922"/>
      <c r="F4922"/>
      <c r="N4922" s="44"/>
    </row>
    <row r="4923" spans="1:14" x14ac:dyDescent="0.3">
      <c r="A4923" s="42"/>
      <c r="C4923" s="52"/>
      <c r="D4923"/>
      <c r="E4923"/>
      <c r="F4923"/>
      <c r="N4923" s="44"/>
    </row>
    <row r="4924" spans="1:14" x14ac:dyDescent="0.3">
      <c r="A4924" s="42"/>
      <c r="C4924" s="52"/>
      <c r="D4924"/>
      <c r="E4924"/>
      <c r="F4924"/>
      <c r="N4924" s="44"/>
    </row>
    <row r="4925" spans="1:14" x14ac:dyDescent="0.3">
      <c r="A4925" s="42"/>
      <c r="C4925" s="52"/>
      <c r="D4925"/>
      <c r="E4925"/>
      <c r="F4925"/>
      <c r="N4925" s="44"/>
    </row>
    <row r="4926" spans="1:14" x14ac:dyDescent="0.3">
      <c r="A4926" s="42"/>
      <c r="C4926" s="52"/>
      <c r="D4926"/>
      <c r="E4926"/>
      <c r="F4926"/>
      <c r="N4926" s="44"/>
    </row>
    <row r="4927" spans="1:14" x14ac:dyDescent="0.3">
      <c r="A4927" s="42"/>
      <c r="C4927" s="52"/>
      <c r="D4927"/>
      <c r="E4927"/>
      <c r="F4927"/>
      <c r="N4927" s="44"/>
    </row>
    <row r="4928" spans="1:14" x14ac:dyDescent="0.3">
      <c r="A4928" s="42"/>
      <c r="C4928" s="52"/>
      <c r="D4928"/>
      <c r="E4928"/>
      <c r="F4928"/>
      <c r="N4928" s="44"/>
    </row>
    <row r="4929" spans="1:14" x14ac:dyDescent="0.3">
      <c r="A4929" s="42"/>
      <c r="C4929" s="52"/>
      <c r="D4929"/>
      <c r="E4929"/>
      <c r="F4929"/>
      <c r="N4929" s="44"/>
    </row>
    <row r="4930" spans="1:14" x14ac:dyDescent="0.3">
      <c r="A4930" s="42"/>
      <c r="C4930" s="52"/>
      <c r="D4930"/>
      <c r="E4930"/>
      <c r="F4930"/>
      <c r="N4930" s="44"/>
    </row>
    <row r="4931" spans="1:14" x14ac:dyDescent="0.3">
      <c r="A4931" s="42"/>
      <c r="C4931" s="52"/>
      <c r="D4931"/>
      <c r="E4931"/>
      <c r="F4931"/>
      <c r="N4931" s="44"/>
    </row>
    <row r="4932" spans="1:14" x14ac:dyDescent="0.3">
      <c r="A4932" s="42"/>
      <c r="C4932" s="52"/>
      <c r="D4932"/>
      <c r="E4932"/>
      <c r="F4932"/>
      <c r="N4932" s="44"/>
    </row>
    <row r="4933" spans="1:14" x14ac:dyDescent="0.3">
      <c r="A4933" s="42"/>
      <c r="C4933" s="52"/>
      <c r="D4933"/>
      <c r="E4933"/>
      <c r="F4933"/>
      <c r="N4933" s="44"/>
    </row>
    <row r="4934" spans="1:14" x14ac:dyDescent="0.3">
      <c r="A4934" s="42"/>
      <c r="C4934" s="52"/>
      <c r="D4934"/>
      <c r="E4934"/>
      <c r="F4934"/>
      <c r="N4934" s="44"/>
    </row>
    <row r="4935" spans="1:14" x14ac:dyDescent="0.3">
      <c r="A4935" s="42"/>
      <c r="C4935" s="52"/>
      <c r="D4935"/>
      <c r="E4935"/>
      <c r="F4935"/>
      <c r="N4935" s="44"/>
    </row>
    <row r="4936" spans="1:14" x14ac:dyDescent="0.3">
      <c r="A4936" s="42"/>
      <c r="C4936" s="52"/>
      <c r="D4936"/>
      <c r="E4936"/>
      <c r="F4936"/>
      <c r="N4936" s="44"/>
    </row>
    <row r="4937" spans="1:14" x14ac:dyDescent="0.3">
      <c r="A4937" s="42"/>
      <c r="C4937" s="52"/>
      <c r="D4937"/>
      <c r="E4937"/>
      <c r="F4937"/>
      <c r="N4937" s="44"/>
    </row>
    <row r="4938" spans="1:14" x14ac:dyDescent="0.3">
      <c r="A4938" s="42"/>
      <c r="C4938" s="52"/>
      <c r="D4938"/>
      <c r="E4938"/>
      <c r="F4938"/>
      <c r="N4938" s="44"/>
    </row>
    <row r="4939" spans="1:14" x14ac:dyDescent="0.3">
      <c r="A4939" s="42"/>
      <c r="C4939" s="52"/>
      <c r="D4939"/>
      <c r="E4939"/>
      <c r="F4939"/>
      <c r="N4939" s="44"/>
    </row>
    <row r="4940" spans="1:14" x14ac:dyDescent="0.3">
      <c r="A4940" s="42"/>
      <c r="C4940" s="52"/>
      <c r="D4940"/>
      <c r="E4940"/>
      <c r="F4940"/>
      <c r="N4940" s="44"/>
    </row>
    <row r="4941" spans="1:14" x14ac:dyDescent="0.3">
      <c r="A4941" s="42"/>
      <c r="C4941" s="52"/>
      <c r="D4941"/>
      <c r="E4941"/>
      <c r="F4941"/>
      <c r="N4941" s="44"/>
    </row>
    <row r="4942" spans="1:14" x14ac:dyDescent="0.3">
      <c r="A4942" s="42"/>
      <c r="C4942" s="52"/>
      <c r="D4942"/>
      <c r="E4942"/>
      <c r="F4942"/>
      <c r="N4942" s="44"/>
    </row>
    <row r="4943" spans="1:14" x14ac:dyDescent="0.3">
      <c r="A4943" s="42"/>
      <c r="C4943" s="52"/>
      <c r="D4943"/>
      <c r="E4943"/>
      <c r="F4943"/>
      <c r="N4943" s="44"/>
    </row>
    <row r="4944" spans="1:14" x14ac:dyDescent="0.3">
      <c r="A4944" s="42"/>
      <c r="C4944" s="52"/>
      <c r="D4944"/>
      <c r="E4944"/>
      <c r="F4944"/>
      <c r="N4944" s="44"/>
    </row>
    <row r="4945" spans="1:14" x14ac:dyDescent="0.3">
      <c r="A4945" s="42"/>
      <c r="C4945" s="52"/>
      <c r="D4945"/>
      <c r="E4945"/>
      <c r="F4945"/>
      <c r="N4945" s="44"/>
    </row>
    <row r="4946" spans="1:14" x14ac:dyDescent="0.3">
      <c r="A4946" s="42"/>
      <c r="C4946" s="52"/>
      <c r="D4946"/>
      <c r="E4946"/>
      <c r="F4946"/>
      <c r="N4946" s="44"/>
    </row>
    <row r="4947" spans="1:14" x14ac:dyDescent="0.3">
      <c r="A4947" s="42"/>
      <c r="C4947" s="52"/>
      <c r="D4947"/>
      <c r="E4947"/>
      <c r="F4947"/>
      <c r="N4947" s="44"/>
    </row>
    <row r="4948" spans="1:14" x14ac:dyDescent="0.3">
      <c r="A4948" s="42"/>
      <c r="C4948" s="52"/>
      <c r="D4948"/>
      <c r="E4948"/>
      <c r="F4948"/>
      <c r="N4948" s="44"/>
    </row>
    <row r="4949" spans="1:14" x14ac:dyDescent="0.3">
      <c r="A4949" s="42"/>
      <c r="C4949" s="52"/>
      <c r="D4949"/>
      <c r="E4949"/>
      <c r="F4949"/>
      <c r="N4949" s="44"/>
    </row>
    <row r="4950" spans="1:14" x14ac:dyDescent="0.3">
      <c r="A4950" s="42"/>
      <c r="C4950" s="52"/>
      <c r="D4950"/>
      <c r="E4950"/>
      <c r="F4950"/>
      <c r="N4950" s="44"/>
    </row>
    <row r="4951" spans="1:14" x14ac:dyDescent="0.3">
      <c r="A4951" s="42"/>
      <c r="C4951" s="52"/>
      <c r="D4951"/>
      <c r="E4951"/>
      <c r="F4951"/>
      <c r="N4951" s="44"/>
    </row>
    <row r="4952" spans="1:14" x14ac:dyDescent="0.3">
      <c r="A4952" s="42"/>
      <c r="C4952" s="52"/>
      <c r="D4952"/>
      <c r="E4952"/>
      <c r="F4952"/>
      <c r="N4952" s="44"/>
    </row>
    <row r="4953" spans="1:14" x14ac:dyDescent="0.3">
      <c r="A4953" s="42"/>
      <c r="C4953" s="52"/>
      <c r="D4953"/>
      <c r="E4953"/>
      <c r="F4953"/>
      <c r="N4953" s="44"/>
    </row>
    <row r="4954" spans="1:14" x14ac:dyDescent="0.3">
      <c r="A4954" s="42"/>
      <c r="C4954" s="52"/>
      <c r="D4954"/>
      <c r="E4954"/>
      <c r="F4954"/>
      <c r="M4954" s="45"/>
      <c r="N4954" s="44"/>
    </row>
    <row r="4955" spans="1:14" x14ac:dyDescent="0.3">
      <c r="A4955" s="42"/>
      <c r="C4955" s="52"/>
      <c r="D4955"/>
      <c r="E4955"/>
      <c r="F4955"/>
      <c r="N4955" s="44"/>
    </row>
    <row r="4956" spans="1:14" x14ac:dyDescent="0.3">
      <c r="A4956" s="42"/>
      <c r="C4956" s="52"/>
      <c r="D4956"/>
      <c r="E4956"/>
      <c r="F4956"/>
      <c r="N4956" s="44"/>
    </row>
    <row r="4957" spans="1:14" x14ac:dyDescent="0.3">
      <c r="A4957" s="42"/>
      <c r="C4957" s="52"/>
      <c r="D4957"/>
      <c r="E4957"/>
      <c r="F4957"/>
      <c r="N4957" s="44"/>
    </row>
    <row r="4958" spans="1:14" x14ac:dyDescent="0.3">
      <c r="A4958" s="42"/>
      <c r="C4958" s="52"/>
      <c r="D4958"/>
      <c r="E4958"/>
      <c r="F4958"/>
      <c r="N4958" s="44"/>
    </row>
    <row r="4959" spans="1:14" x14ac:dyDescent="0.3">
      <c r="A4959" s="42"/>
      <c r="C4959" s="52"/>
      <c r="D4959"/>
      <c r="E4959"/>
      <c r="F4959"/>
      <c r="N4959" s="44"/>
    </row>
    <row r="4960" spans="1:14" x14ac:dyDescent="0.3">
      <c r="A4960" s="42"/>
      <c r="C4960" s="52"/>
      <c r="D4960"/>
      <c r="E4960"/>
      <c r="F4960"/>
      <c r="N4960" s="44"/>
    </row>
    <row r="4961" spans="1:14" x14ac:dyDescent="0.3">
      <c r="A4961" s="42"/>
      <c r="C4961" s="52"/>
      <c r="D4961"/>
      <c r="E4961"/>
      <c r="F4961"/>
      <c r="N4961" s="44"/>
    </row>
    <row r="4962" spans="1:14" x14ac:dyDescent="0.3">
      <c r="A4962" s="42"/>
      <c r="C4962" s="52"/>
      <c r="D4962"/>
      <c r="E4962"/>
      <c r="F4962"/>
      <c r="N4962" s="44"/>
    </row>
    <row r="4963" spans="1:14" x14ac:dyDescent="0.3">
      <c r="A4963" s="42"/>
      <c r="C4963" s="52"/>
      <c r="D4963"/>
      <c r="E4963"/>
      <c r="F4963"/>
      <c r="N4963" s="44"/>
    </row>
    <row r="4964" spans="1:14" x14ac:dyDescent="0.3">
      <c r="A4964" s="42"/>
      <c r="C4964" s="52"/>
      <c r="D4964"/>
      <c r="E4964"/>
      <c r="F4964"/>
      <c r="N4964" s="44"/>
    </row>
    <row r="4965" spans="1:14" x14ac:dyDescent="0.3">
      <c r="A4965" s="42"/>
      <c r="C4965" s="52"/>
      <c r="D4965"/>
      <c r="E4965"/>
      <c r="F4965"/>
      <c r="N4965" s="44"/>
    </row>
    <row r="4966" spans="1:14" x14ac:dyDescent="0.3">
      <c r="A4966" s="42"/>
      <c r="C4966" s="52"/>
      <c r="D4966"/>
      <c r="E4966"/>
      <c r="F4966"/>
      <c r="L4966" s="45"/>
      <c r="N4966" s="44"/>
    </row>
    <row r="4967" spans="1:14" x14ac:dyDescent="0.3">
      <c r="A4967" s="42"/>
      <c r="C4967" s="52"/>
      <c r="D4967"/>
      <c r="E4967"/>
      <c r="F4967"/>
      <c r="L4967" s="45"/>
      <c r="N4967" s="44"/>
    </row>
    <row r="4968" spans="1:14" x14ac:dyDescent="0.3">
      <c r="A4968" s="42"/>
      <c r="C4968" s="52"/>
      <c r="D4968"/>
      <c r="E4968"/>
      <c r="F4968"/>
      <c r="N4968" s="44"/>
    </row>
    <row r="4969" spans="1:14" x14ac:dyDescent="0.3">
      <c r="A4969" s="42"/>
      <c r="C4969" s="52"/>
      <c r="D4969"/>
      <c r="E4969"/>
      <c r="F4969"/>
      <c r="N4969" s="44"/>
    </row>
    <row r="4970" spans="1:14" x14ac:dyDescent="0.3">
      <c r="A4970" s="42"/>
      <c r="C4970" s="52"/>
      <c r="D4970"/>
      <c r="E4970"/>
      <c r="F4970"/>
      <c r="N4970" s="44"/>
    </row>
    <row r="4971" spans="1:14" x14ac:dyDescent="0.3">
      <c r="A4971" s="42"/>
      <c r="C4971" s="52"/>
      <c r="D4971"/>
      <c r="E4971"/>
      <c r="F4971"/>
      <c r="N4971" s="44"/>
    </row>
    <row r="4972" spans="1:14" x14ac:dyDescent="0.3">
      <c r="A4972" s="42"/>
      <c r="C4972" s="52"/>
      <c r="D4972"/>
      <c r="E4972"/>
      <c r="F4972"/>
      <c r="L4972" s="45"/>
      <c r="N4972" s="44"/>
    </row>
    <row r="4973" spans="1:14" x14ac:dyDescent="0.3">
      <c r="A4973" s="42"/>
      <c r="C4973" s="52"/>
      <c r="D4973"/>
      <c r="E4973"/>
      <c r="F4973"/>
      <c r="N4973" s="44"/>
    </row>
    <row r="4974" spans="1:14" x14ac:dyDescent="0.3">
      <c r="A4974" s="42"/>
      <c r="C4974" s="52"/>
      <c r="D4974"/>
      <c r="E4974"/>
      <c r="F4974"/>
      <c r="N4974" s="44"/>
    </row>
    <row r="4975" spans="1:14" x14ac:dyDescent="0.3">
      <c r="A4975" s="42"/>
      <c r="C4975" s="52"/>
      <c r="D4975"/>
      <c r="E4975"/>
      <c r="F4975"/>
      <c r="N4975" s="44"/>
    </row>
    <row r="4976" spans="1:14" x14ac:dyDescent="0.3">
      <c r="A4976" s="42"/>
      <c r="C4976" s="52"/>
      <c r="D4976"/>
      <c r="E4976"/>
      <c r="F4976"/>
      <c r="L4976" s="45"/>
      <c r="N4976" s="44"/>
    </row>
    <row r="4977" spans="1:14" x14ac:dyDescent="0.3">
      <c r="A4977" s="42"/>
      <c r="C4977" s="52"/>
      <c r="D4977"/>
      <c r="E4977"/>
      <c r="F4977"/>
      <c r="N4977" s="44"/>
    </row>
    <row r="4978" spans="1:14" x14ac:dyDescent="0.3">
      <c r="A4978" s="42"/>
      <c r="C4978" s="52"/>
      <c r="D4978"/>
      <c r="E4978"/>
      <c r="F4978"/>
      <c r="N4978" s="44"/>
    </row>
    <row r="4979" spans="1:14" x14ac:dyDescent="0.3">
      <c r="A4979" s="42"/>
      <c r="C4979" s="52"/>
      <c r="D4979"/>
      <c r="E4979"/>
      <c r="F4979"/>
      <c r="N4979" s="44"/>
    </row>
    <row r="4980" spans="1:14" x14ac:dyDescent="0.3">
      <c r="A4980" s="42"/>
      <c r="C4980" s="52"/>
      <c r="D4980"/>
      <c r="E4980"/>
      <c r="F4980"/>
      <c r="N4980" s="44"/>
    </row>
    <row r="4981" spans="1:14" x14ac:dyDescent="0.3">
      <c r="A4981" s="42"/>
      <c r="C4981" s="52"/>
      <c r="D4981"/>
      <c r="E4981"/>
      <c r="F4981"/>
      <c r="N4981" s="44"/>
    </row>
    <row r="4982" spans="1:14" x14ac:dyDescent="0.3">
      <c r="A4982" s="42"/>
      <c r="C4982" s="52"/>
      <c r="D4982"/>
      <c r="E4982"/>
      <c r="F4982"/>
      <c r="N4982" s="44"/>
    </row>
    <row r="4983" spans="1:14" x14ac:dyDescent="0.3">
      <c r="A4983" s="42"/>
      <c r="C4983" s="52"/>
      <c r="D4983"/>
      <c r="E4983"/>
      <c r="F4983"/>
      <c r="N4983" s="44"/>
    </row>
    <row r="4984" spans="1:14" x14ac:dyDescent="0.3">
      <c r="A4984" s="42"/>
      <c r="C4984" s="52"/>
      <c r="D4984"/>
      <c r="E4984"/>
      <c r="F4984"/>
      <c r="L4984" s="45"/>
      <c r="N4984" s="44"/>
    </row>
    <row r="4985" spans="1:14" x14ac:dyDescent="0.3">
      <c r="A4985" s="42"/>
      <c r="C4985" s="52"/>
      <c r="D4985"/>
      <c r="E4985"/>
      <c r="F4985"/>
      <c r="N4985" s="44"/>
    </row>
    <row r="4986" spans="1:14" x14ac:dyDescent="0.3">
      <c r="A4986" s="42"/>
      <c r="C4986" s="52"/>
      <c r="D4986"/>
      <c r="E4986"/>
      <c r="F4986"/>
      <c r="N4986" s="44"/>
    </row>
    <row r="4987" spans="1:14" x14ac:dyDescent="0.3">
      <c r="A4987" s="42"/>
      <c r="C4987" s="52"/>
      <c r="D4987"/>
      <c r="E4987"/>
      <c r="F4987"/>
      <c r="N4987" s="44"/>
    </row>
    <row r="4988" spans="1:14" x14ac:dyDescent="0.3">
      <c r="A4988" s="42"/>
      <c r="C4988" s="52"/>
      <c r="D4988"/>
      <c r="E4988"/>
      <c r="F4988"/>
      <c r="N4988" s="44"/>
    </row>
    <row r="4989" spans="1:14" x14ac:dyDescent="0.3">
      <c r="A4989" s="42"/>
      <c r="C4989" s="52"/>
      <c r="D4989"/>
      <c r="E4989"/>
      <c r="F4989"/>
      <c r="N4989" s="44"/>
    </row>
    <row r="4990" spans="1:14" x14ac:dyDescent="0.3">
      <c r="A4990" s="42"/>
      <c r="C4990" s="52"/>
      <c r="D4990"/>
      <c r="E4990"/>
      <c r="F4990"/>
      <c r="N4990" s="44"/>
    </row>
    <row r="4991" spans="1:14" x14ac:dyDescent="0.3">
      <c r="A4991" s="42"/>
      <c r="C4991" s="52"/>
      <c r="D4991"/>
      <c r="E4991"/>
      <c r="F4991"/>
      <c r="N4991" s="44"/>
    </row>
    <row r="4992" spans="1:14" x14ac:dyDescent="0.3">
      <c r="A4992" s="42"/>
      <c r="C4992" s="52"/>
      <c r="D4992"/>
      <c r="E4992"/>
      <c r="F4992"/>
      <c r="N4992" s="44"/>
    </row>
    <row r="4993" spans="1:14" x14ac:dyDescent="0.3">
      <c r="A4993" s="42"/>
      <c r="C4993" s="52"/>
      <c r="D4993"/>
      <c r="E4993"/>
      <c r="F4993"/>
      <c r="N4993" s="44"/>
    </row>
    <row r="4994" spans="1:14" x14ac:dyDescent="0.3">
      <c r="A4994" s="42"/>
      <c r="C4994" s="52"/>
      <c r="D4994"/>
      <c r="E4994"/>
      <c r="F4994"/>
      <c r="N4994" s="44"/>
    </row>
    <row r="4995" spans="1:14" x14ac:dyDescent="0.3">
      <c r="A4995" s="42"/>
      <c r="C4995" s="52"/>
      <c r="D4995"/>
      <c r="E4995"/>
      <c r="F4995"/>
      <c r="N4995" s="44"/>
    </row>
    <row r="4996" spans="1:14" x14ac:dyDescent="0.3">
      <c r="A4996" s="42"/>
      <c r="C4996" s="52"/>
      <c r="D4996"/>
      <c r="E4996"/>
      <c r="F4996"/>
      <c r="N4996" s="44"/>
    </row>
    <row r="4997" spans="1:14" x14ac:dyDescent="0.3">
      <c r="A4997" s="42"/>
      <c r="C4997" s="52"/>
      <c r="D4997"/>
      <c r="E4997"/>
      <c r="F4997"/>
      <c r="N4997" s="44"/>
    </row>
    <row r="4998" spans="1:14" x14ac:dyDescent="0.3">
      <c r="A4998" s="42"/>
      <c r="C4998" s="52"/>
      <c r="D4998"/>
      <c r="E4998"/>
      <c r="F4998"/>
      <c r="N4998" s="44"/>
    </row>
    <row r="4999" spans="1:14" x14ac:dyDescent="0.3">
      <c r="A4999" s="42"/>
      <c r="C4999" s="52"/>
      <c r="D4999"/>
      <c r="E4999"/>
      <c r="F4999"/>
      <c r="N4999" s="44"/>
    </row>
    <row r="5000" spans="1:14" x14ac:dyDescent="0.3">
      <c r="A5000" s="42"/>
      <c r="C5000" s="52"/>
      <c r="D5000"/>
      <c r="E5000"/>
      <c r="F5000"/>
      <c r="N5000" s="44"/>
    </row>
    <row r="5001" spans="1:14" x14ac:dyDescent="0.3">
      <c r="A5001" s="42"/>
      <c r="C5001" s="52"/>
      <c r="D5001"/>
      <c r="E5001"/>
      <c r="F5001"/>
      <c r="N5001" s="44"/>
    </row>
    <row r="5002" spans="1:14" x14ac:dyDescent="0.3">
      <c r="A5002" s="42"/>
      <c r="C5002" s="52"/>
      <c r="D5002"/>
      <c r="E5002"/>
      <c r="F5002"/>
      <c r="L5002" s="45"/>
      <c r="N5002" s="44"/>
    </row>
    <row r="5003" spans="1:14" x14ac:dyDescent="0.3">
      <c r="A5003" s="42"/>
      <c r="C5003" s="52"/>
      <c r="D5003"/>
      <c r="E5003"/>
      <c r="F5003"/>
      <c r="L5003" s="45"/>
      <c r="N5003" s="44"/>
    </row>
    <row r="5004" spans="1:14" x14ac:dyDescent="0.3">
      <c r="A5004" s="42"/>
      <c r="C5004" s="52"/>
      <c r="D5004"/>
      <c r="E5004"/>
      <c r="F5004"/>
      <c r="N5004" s="44"/>
    </row>
    <row r="5005" spans="1:14" x14ac:dyDescent="0.3">
      <c r="A5005" s="42"/>
      <c r="C5005" s="52"/>
      <c r="D5005"/>
      <c r="E5005"/>
      <c r="F5005"/>
      <c r="N5005" s="44"/>
    </row>
    <row r="5006" spans="1:14" x14ac:dyDescent="0.3">
      <c r="A5006" s="42"/>
      <c r="C5006" s="52"/>
      <c r="D5006"/>
      <c r="E5006"/>
      <c r="F5006"/>
      <c r="N5006" s="44"/>
    </row>
    <row r="5007" spans="1:14" x14ac:dyDescent="0.3">
      <c r="A5007" s="42"/>
      <c r="C5007" s="52"/>
      <c r="D5007"/>
      <c r="E5007"/>
      <c r="F5007"/>
      <c r="N5007" s="44"/>
    </row>
    <row r="5008" spans="1:14" x14ac:dyDescent="0.3">
      <c r="A5008" s="42"/>
      <c r="C5008" s="52"/>
      <c r="D5008"/>
      <c r="E5008"/>
      <c r="F5008"/>
      <c r="N5008" s="44"/>
    </row>
    <row r="5009" spans="1:14" x14ac:dyDescent="0.3">
      <c r="A5009" s="42"/>
      <c r="C5009" s="52"/>
      <c r="D5009"/>
      <c r="E5009"/>
      <c r="F5009"/>
      <c r="N5009" s="44"/>
    </row>
    <row r="5010" spans="1:14" x14ac:dyDescent="0.3">
      <c r="A5010" s="42"/>
      <c r="C5010" s="52"/>
      <c r="D5010"/>
      <c r="E5010"/>
      <c r="F5010"/>
      <c r="N5010" s="44"/>
    </row>
    <row r="5011" spans="1:14" x14ac:dyDescent="0.3">
      <c r="A5011" s="42"/>
      <c r="C5011" s="52"/>
      <c r="D5011"/>
      <c r="E5011"/>
      <c r="F5011"/>
      <c r="N5011" s="44"/>
    </row>
    <row r="5012" spans="1:14" x14ac:dyDescent="0.3">
      <c r="A5012" s="42"/>
      <c r="C5012" s="52"/>
      <c r="D5012"/>
      <c r="E5012"/>
      <c r="F5012"/>
      <c r="N5012" s="44"/>
    </row>
    <row r="5013" spans="1:14" x14ac:dyDescent="0.3">
      <c r="A5013" s="42"/>
      <c r="C5013" s="52"/>
      <c r="D5013"/>
      <c r="E5013"/>
      <c r="F5013"/>
      <c r="N5013" s="44"/>
    </row>
    <row r="5014" spans="1:14" x14ac:dyDescent="0.3">
      <c r="A5014" s="42"/>
      <c r="C5014" s="52"/>
      <c r="D5014"/>
      <c r="E5014"/>
      <c r="F5014"/>
      <c r="L5014" s="45"/>
      <c r="N5014" s="44"/>
    </row>
    <row r="5015" spans="1:14" x14ac:dyDescent="0.3">
      <c r="A5015" s="42"/>
      <c r="C5015" s="52"/>
      <c r="D5015"/>
      <c r="E5015"/>
      <c r="F5015"/>
      <c r="L5015" s="45"/>
      <c r="N5015" s="44"/>
    </row>
    <row r="5016" spans="1:14" x14ac:dyDescent="0.3">
      <c r="A5016" s="42"/>
      <c r="C5016" s="52"/>
      <c r="D5016"/>
      <c r="E5016"/>
      <c r="F5016"/>
      <c r="N5016" s="44"/>
    </row>
    <row r="5017" spans="1:14" x14ac:dyDescent="0.3">
      <c r="A5017" s="42"/>
      <c r="C5017" s="52"/>
      <c r="D5017"/>
      <c r="E5017"/>
      <c r="F5017"/>
      <c r="N5017" s="44"/>
    </row>
    <row r="5018" spans="1:14" x14ac:dyDescent="0.3">
      <c r="A5018" s="42"/>
      <c r="C5018" s="52"/>
      <c r="D5018"/>
      <c r="E5018"/>
      <c r="F5018"/>
      <c r="L5018" s="45"/>
      <c r="N5018" s="44"/>
    </row>
    <row r="5019" spans="1:14" x14ac:dyDescent="0.3">
      <c r="A5019" s="42"/>
      <c r="C5019" s="52"/>
      <c r="D5019"/>
      <c r="E5019"/>
      <c r="F5019"/>
      <c r="N5019" s="44"/>
    </row>
    <row r="5020" spans="1:14" x14ac:dyDescent="0.3">
      <c r="A5020" s="42"/>
      <c r="C5020" s="52"/>
      <c r="D5020"/>
      <c r="E5020"/>
      <c r="F5020"/>
      <c r="N5020" s="44"/>
    </row>
    <row r="5021" spans="1:14" x14ac:dyDescent="0.3">
      <c r="A5021" s="42"/>
      <c r="C5021" s="52"/>
      <c r="D5021"/>
      <c r="E5021"/>
      <c r="F5021"/>
      <c r="N5021" s="44"/>
    </row>
    <row r="5022" spans="1:14" x14ac:dyDescent="0.3">
      <c r="A5022" s="42"/>
      <c r="C5022" s="52"/>
      <c r="D5022"/>
      <c r="E5022"/>
      <c r="F5022"/>
      <c r="N5022" s="44"/>
    </row>
    <row r="5023" spans="1:14" x14ac:dyDescent="0.3">
      <c r="A5023" s="42"/>
      <c r="C5023" s="52"/>
      <c r="D5023"/>
      <c r="E5023"/>
      <c r="F5023"/>
      <c r="N5023" s="44"/>
    </row>
    <row r="5024" spans="1:14" x14ac:dyDescent="0.3">
      <c r="A5024" s="42"/>
      <c r="C5024" s="52"/>
      <c r="D5024"/>
      <c r="E5024"/>
      <c r="F5024"/>
      <c r="N5024" s="44"/>
    </row>
    <row r="5025" spans="1:14" x14ac:dyDescent="0.3">
      <c r="A5025" s="42"/>
      <c r="C5025" s="52"/>
      <c r="D5025"/>
      <c r="E5025"/>
      <c r="F5025"/>
      <c r="N5025" s="44"/>
    </row>
    <row r="5026" spans="1:14" x14ac:dyDescent="0.3">
      <c r="A5026" s="42"/>
      <c r="C5026" s="52"/>
      <c r="D5026"/>
      <c r="E5026"/>
      <c r="F5026"/>
      <c r="N5026" s="44"/>
    </row>
    <row r="5027" spans="1:14" x14ac:dyDescent="0.3">
      <c r="A5027" s="42"/>
      <c r="C5027" s="52"/>
      <c r="D5027"/>
      <c r="E5027"/>
      <c r="F5027"/>
      <c r="N5027" s="44"/>
    </row>
    <row r="5028" spans="1:14" x14ac:dyDescent="0.3">
      <c r="A5028" s="42"/>
      <c r="C5028" s="52"/>
      <c r="D5028"/>
      <c r="E5028"/>
      <c r="F5028"/>
      <c r="N5028" s="44"/>
    </row>
    <row r="5029" spans="1:14" x14ac:dyDescent="0.3">
      <c r="A5029" s="42"/>
      <c r="C5029" s="52"/>
      <c r="D5029"/>
      <c r="E5029"/>
      <c r="F5029"/>
      <c r="L5029" s="45"/>
      <c r="N5029" s="44"/>
    </row>
    <row r="5030" spans="1:14" x14ac:dyDescent="0.3">
      <c r="A5030" s="42"/>
      <c r="C5030" s="52"/>
      <c r="D5030"/>
      <c r="E5030"/>
      <c r="F5030"/>
      <c r="N5030" s="44"/>
    </row>
    <row r="5031" spans="1:14" x14ac:dyDescent="0.3">
      <c r="A5031" s="42"/>
      <c r="C5031" s="52"/>
      <c r="D5031"/>
      <c r="E5031"/>
      <c r="F5031"/>
      <c r="N5031" s="44"/>
    </row>
    <row r="5032" spans="1:14" x14ac:dyDescent="0.3">
      <c r="A5032" s="42"/>
      <c r="C5032" s="52"/>
      <c r="D5032"/>
      <c r="E5032"/>
      <c r="F5032"/>
      <c r="N5032" s="44"/>
    </row>
    <row r="5033" spans="1:14" x14ac:dyDescent="0.3">
      <c r="A5033" s="42"/>
      <c r="C5033" s="52"/>
      <c r="D5033"/>
      <c r="E5033"/>
      <c r="F5033"/>
      <c r="N5033" s="44"/>
    </row>
    <row r="5034" spans="1:14" x14ac:dyDescent="0.3">
      <c r="A5034" s="42"/>
      <c r="C5034" s="52"/>
      <c r="D5034"/>
      <c r="E5034"/>
      <c r="F5034"/>
      <c r="N5034" s="44"/>
    </row>
    <row r="5035" spans="1:14" x14ac:dyDescent="0.3">
      <c r="A5035" s="42"/>
      <c r="C5035" s="52"/>
      <c r="D5035"/>
      <c r="E5035"/>
      <c r="F5035"/>
      <c r="N5035" s="44"/>
    </row>
    <row r="5036" spans="1:14" x14ac:dyDescent="0.3">
      <c r="A5036" s="42"/>
      <c r="C5036" s="52"/>
      <c r="D5036"/>
      <c r="E5036"/>
      <c r="F5036"/>
      <c r="N5036" s="44"/>
    </row>
    <row r="5037" spans="1:14" x14ac:dyDescent="0.3">
      <c r="A5037" s="42"/>
      <c r="C5037" s="52"/>
      <c r="D5037"/>
      <c r="E5037"/>
      <c r="F5037"/>
      <c r="N5037" s="44"/>
    </row>
    <row r="5038" spans="1:14" x14ac:dyDescent="0.3">
      <c r="A5038" s="42"/>
      <c r="C5038" s="52"/>
      <c r="D5038"/>
      <c r="E5038"/>
      <c r="F5038"/>
      <c r="N5038" s="44"/>
    </row>
    <row r="5039" spans="1:14" x14ac:dyDescent="0.3">
      <c r="A5039" s="42"/>
      <c r="C5039" s="52"/>
      <c r="D5039"/>
      <c r="E5039"/>
      <c r="F5039"/>
      <c r="L5039" s="45"/>
      <c r="N5039" s="44"/>
    </row>
    <row r="5040" spans="1:14" x14ac:dyDescent="0.3">
      <c r="A5040" s="42"/>
      <c r="C5040" s="52"/>
      <c r="D5040"/>
      <c r="E5040"/>
      <c r="F5040"/>
      <c r="N5040" s="44"/>
    </row>
    <row r="5041" spans="1:14" x14ac:dyDescent="0.3">
      <c r="A5041" s="42"/>
      <c r="C5041" s="52"/>
      <c r="D5041"/>
      <c r="E5041"/>
      <c r="F5041"/>
      <c r="L5041" s="45"/>
      <c r="N5041" s="44"/>
    </row>
    <row r="5042" spans="1:14" x14ac:dyDescent="0.3">
      <c r="A5042" s="42"/>
      <c r="C5042" s="52"/>
      <c r="D5042"/>
      <c r="E5042"/>
      <c r="F5042"/>
      <c r="N5042" s="44"/>
    </row>
    <row r="5043" spans="1:14" x14ac:dyDescent="0.3">
      <c r="A5043" s="42"/>
      <c r="C5043" s="52"/>
      <c r="D5043"/>
      <c r="E5043"/>
      <c r="F5043"/>
      <c r="N5043" s="44"/>
    </row>
    <row r="5044" spans="1:14" x14ac:dyDescent="0.3">
      <c r="A5044" s="42"/>
      <c r="C5044" s="52"/>
      <c r="D5044"/>
      <c r="E5044"/>
      <c r="F5044"/>
      <c r="N5044" s="44"/>
    </row>
    <row r="5045" spans="1:14" x14ac:dyDescent="0.3">
      <c r="A5045" s="42"/>
      <c r="C5045" s="52"/>
      <c r="D5045"/>
      <c r="E5045"/>
      <c r="F5045"/>
      <c r="N5045" s="44"/>
    </row>
    <row r="5046" spans="1:14" x14ac:dyDescent="0.3">
      <c r="A5046" s="42"/>
      <c r="C5046" s="52"/>
      <c r="D5046"/>
      <c r="E5046"/>
      <c r="F5046"/>
      <c r="N5046" s="44"/>
    </row>
    <row r="5047" spans="1:14" x14ac:dyDescent="0.3">
      <c r="A5047" s="42"/>
      <c r="C5047" s="52"/>
      <c r="D5047"/>
      <c r="E5047"/>
      <c r="F5047"/>
      <c r="N5047" s="44"/>
    </row>
    <row r="5048" spans="1:14" x14ac:dyDescent="0.3">
      <c r="A5048" s="42"/>
      <c r="C5048" s="52"/>
      <c r="D5048"/>
      <c r="E5048"/>
      <c r="F5048"/>
      <c r="N5048" s="44"/>
    </row>
    <row r="5049" spans="1:14" x14ac:dyDescent="0.3">
      <c r="A5049" s="42"/>
      <c r="C5049" s="52"/>
      <c r="D5049"/>
      <c r="E5049"/>
      <c r="F5049"/>
      <c r="N5049" s="44"/>
    </row>
    <row r="5050" spans="1:14" x14ac:dyDescent="0.3">
      <c r="A5050" s="42"/>
      <c r="C5050" s="52"/>
      <c r="D5050"/>
      <c r="E5050"/>
      <c r="F5050"/>
      <c r="N5050" s="44"/>
    </row>
    <row r="5051" spans="1:14" x14ac:dyDescent="0.3">
      <c r="A5051" s="42"/>
      <c r="C5051" s="52"/>
      <c r="D5051"/>
      <c r="E5051"/>
      <c r="F5051"/>
      <c r="N5051" s="44"/>
    </row>
    <row r="5052" spans="1:14" x14ac:dyDescent="0.3">
      <c r="A5052" s="42"/>
      <c r="C5052" s="52"/>
      <c r="D5052"/>
      <c r="E5052"/>
      <c r="F5052"/>
      <c r="N5052" s="44"/>
    </row>
    <row r="5053" spans="1:14" x14ac:dyDescent="0.3">
      <c r="A5053" s="42"/>
      <c r="C5053" s="52"/>
      <c r="D5053"/>
      <c r="E5053"/>
      <c r="F5053"/>
      <c r="N5053" s="44"/>
    </row>
    <row r="5054" spans="1:14" x14ac:dyDescent="0.3">
      <c r="A5054" s="42"/>
      <c r="C5054" s="52"/>
      <c r="D5054"/>
      <c r="E5054"/>
      <c r="F5054"/>
      <c r="N5054" s="44"/>
    </row>
    <row r="5055" spans="1:14" x14ac:dyDescent="0.3">
      <c r="A5055" s="42"/>
      <c r="C5055" s="52"/>
      <c r="D5055"/>
      <c r="E5055"/>
      <c r="F5055"/>
      <c r="N5055" s="44"/>
    </row>
    <row r="5056" spans="1:14" x14ac:dyDescent="0.3">
      <c r="A5056" s="42"/>
      <c r="C5056" s="52"/>
      <c r="D5056"/>
      <c r="E5056"/>
      <c r="F5056"/>
      <c r="N5056" s="44"/>
    </row>
    <row r="5057" spans="1:14" x14ac:dyDescent="0.3">
      <c r="A5057" s="42"/>
      <c r="C5057" s="52"/>
      <c r="D5057"/>
      <c r="E5057"/>
      <c r="F5057"/>
      <c r="N5057" s="44"/>
    </row>
    <row r="5058" spans="1:14" x14ac:dyDescent="0.3">
      <c r="A5058" s="42"/>
      <c r="C5058" s="52"/>
      <c r="D5058"/>
      <c r="E5058"/>
      <c r="F5058"/>
      <c r="N5058" s="44"/>
    </row>
    <row r="5059" spans="1:14" x14ac:dyDescent="0.3">
      <c r="A5059" s="42"/>
      <c r="C5059" s="52"/>
      <c r="D5059"/>
      <c r="E5059"/>
      <c r="F5059"/>
      <c r="N5059" s="44"/>
    </row>
    <row r="5060" spans="1:14" x14ac:dyDescent="0.3">
      <c r="A5060" s="42"/>
      <c r="C5060" s="52"/>
      <c r="D5060"/>
      <c r="E5060"/>
      <c r="F5060"/>
      <c r="N5060" s="44"/>
    </row>
    <row r="5061" spans="1:14" x14ac:dyDescent="0.3">
      <c r="A5061" s="42"/>
      <c r="C5061" s="52"/>
      <c r="D5061"/>
      <c r="E5061"/>
      <c r="F5061"/>
      <c r="N5061" s="44"/>
    </row>
    <row r="5062" spans="1:14" x14ac:dyDescent="0.3">
      <c r="A5062" s="42"/>
      <c r="C5062" s="52"/>
      <c r="D5062"/>
      <c r="E5062"/>
      <c r="F5062"/>
      <c r="N5062" s="44"/>
    </row>
    <row r="5063" spans="1:14" x14ac:dyDescent="0.3">
      <c r="A5063" s="42"/>
      <c r="C5063" s="52"/>
      <c r="D5063"/>
      <c r="E5063"/>
      <c r="F5063"/>
      <c r="N5063" s="44"/>
    </row>
    <row r="5064" spans="1:14" x14ac:dyDescent="0.3">
      <c r="A5064" s="42"/>
      <c r="C5064" s="52"/>
      <c r="D5064"/>
      <c r="E5064"/>
      <c r="F5064"/>
      <c r="N5064" s="44"/>
    </row>
    <row r="5065" spans="1:14" x14ac:dyDescent="0.3">
      <c r="A5065" s="42"/>
      <c r="C5065" s="52"/>
      <c r="D5065"/>
      <c r="E5065"/>
      <c r="F5065"/>
      <c r="N5065" s="44"/>
    </row>
    <row r="5066" spans="1:14" x14ac:dyDescent="0.3">
      <c r="A5066" s="42"/>
      <c r="C5066" s="52"/>
      <c r="D5066"/>
      <c r="E5066"/>
      <c r="F5066"/>
      <c r="N5066" s="44"/>
    </row>
    <row r="5067" spans="1:14" x14ac:dyDescent="0.3">
      <c r="A5067" s="42"/>
      <c r="C5067" s="52"/>
      <c r="D5067"/>
      <c r="E5067"/>
      <c r="F5067"/>
      <c r="N5067" s="44"/>
    </row>
    <row r="5068" spans="1:14" x14ac:dyDescent="0.3">
      <c r="A5068" s="42"/>
      <c r="C5068" s="52"/>
      <c r="D5068"/>
      <c r="E5068"/>
      <c r="F5068"/>
      <c r="L5068" s="45"/>
      <c r="N5068" s="44"/>
    </row>
    <row r="5069" spans="1:14" x14ac:dyDescent="0.3">
      <c r="A5069" s="42"/>
      <c r="C5069" s="52"/>
      <c r="D5069"/>
      <c r="E5069"/>
      <c r="F5069"/>
      <c r="L5069" s="45"/>
      <c r="N5069" s="44"/>
    </row>
    <row r="5070" spans="1:14" x14ac:dyDescent="0.3">
      <c r="A5070" s="42"/>
      <c r="C5070" s="52"/>
      <c r="D5070"/>
      <c r="E5070"/>
      <c r="F5070"/>
      <c r="M5070" s="1"/>
      <c r="N5070" s="44"/>
    </row>
    <row r="5071" spans="1:14" x14ac:dyDescent="0.3">
      <c r="A5071" s="42"/>
      <c r="C5071" s="52"/>
      <c r="D5071"/>
      <c r="E5071"/>
      <c r="F5071"/>
      <c r="M5071" s="1"/>
      <c r="N5071" s="44"/>
    </row>
    <row r="5072" spans="1:14" x14ac:dyDescent="0.3">
      <c r="A5072" s="42"/>
      <c r="C5072" s="52"/>
      <c r="D5072"/>
      <c r="E5072"/>
      <c r="F5072"/>
      <c r="M5072" s="1"/>
      <c r="N5072" s="44"/>
    </row>
    <row r="5073" spans="1:14" x14ac:dyDescent="0.3">
      <c r="A5073" s="42"/>
      <c r="C5073" s="52"/>
      <c r="D5073"/>
      <c r="E5073"/>
      <c r="F5073"/>
      <c r="M5073" s="1"/>
      <c r="N5073" s="44"/>
    </row>
    <row r="5074" spans="1:14" x14ac:dyDescent="0.3">
      <c r="A5074" s="42"/>
      <c r="C5074" s="52"/>
      <c r="D5074"/>
      <c r="E5074"/>
      <c r="F5074"/>
      <c r="M5074" s="1"/>
      <c r="N5074" s="44"/>
    </row>
    <row r="5075" spans="1:14" x14ac:dyDescent="0.3">
      <c r="A5075" s="42"/>
      <c r="C5075" s="52"/>
      <c r="D5075"/>
      <c r="E5075"/>
      <c r="F5075"/>
      <c r="M5075" s="1"/>
      <c r="N5075" s="44"/>
    </row>
    <row r="5076" spans="1:14" x14ac:dyDescent="0.3">
      <c r="A5076" s="42"/>
      <c r="C5076" s="52"/>
      <c r="D5076"/>
      <c r="E5076"/>
      <c r="F5076"/>
      <c r="M5076" s="1"/>
      <c r="N5076" s="44"/>
    </row>
    <row r="5077" spans="1:14" x14ac:dyDescent="0.3">
      <c r="A5077" s="42"/>
      <c r="C5077" s="52"/>
      <c r="D5077"/>
      <c r="E5077"/>
      <c r="F5077"/>
      <c r="M5077" s="1"/>
      <c r="N5077" s="44"/>
    </row>
    <row r="5078" spans="1:14" x14ac:dyDescent="0.3">
      <c r="A5078" s="42"/>
      <c r="C5078" s="52"/>
      <c r="D5078"/>
      <c r="E5078"/>
      <c r="F5078"/>
      <c r="M5078" s="1"/>
      <c r="N5078" s="44"/>
    </row>
    <row r="5079" spans="1:14" x14ac:dyDescent="0.3">
      <c r="A5079" s="42"/>
      <c r="C5079" s="52"/>
      <c r="D5079"/>
      <c r="E5079"/>
      <c r="F5079"/>
      <c r="M5079" s="1"/>
      <c r="N5079" s="44"/>
    </row>
    <row r="5080" spans="1:14" x14ac:dyDescent="0.3">
      <c r="A5080" s="42"/>
      <c r="C5080" s="52"/>
      <c r="D5080"/>
      <c r="E5080"/>
      <c r="F5080"/>
      <c r="M5080" s="1"/>
      <c r="N5080" s="44"/>
    </row>
    <row r="5081" spans="1:14" x14ac:dyDescent="0.3">
      <c r="A5081" s="42"/>
      <c r="C5081" s="52"/>
      <c r="D5081"/>
      <c r="E5081"/>
      <c r="F5081"/>
      <c r="M5081" s="1"/>
      <c r="N5081" s="44"/>
    </row>
    <row r="5082" spans="1:14" x14ac:dyDescent="0.3">
      <c r="A5082" s="42"/>
      <c r="C5082" s="52"/>
      <c r="D5082"/>
      <c r="E5082"/>
      <c r="F5082"/>
      <c r="L5082" s="45"/>
      <c r="M5082" s="1"/>
      <c r="N5082" s="44"/>
    </row>
    <row r="5083" spans="1:14" x14ac:dyDescent="0.3">
      <c r="A5083" s="42"/>
      <c r="C5083" s="52"/>
      <c r="D5083"/>
      <c r="E5083"/>
      <c r="F5083"/>
      <c r="L5083" s="45"/>
      <c r="M5083" s="1"/>
      <c r="N5083" s="44"/>
    </row>
    <row r="5084" spans="1:14" x14ac:dyDescent="0.3">
      <c r="A5084" s="42"/>
      <c r="C5084" s="52"/>
      <c r="D5084"/>
      <c r="E5084"/>
      <c r="F5084"/>
      <c r="M5084" s="1"/>
      <c r="N5084" s="44"/>
    </row>
    <row r="5085" spans="1:14" x14ac:dyDescent="0.3">
      <c r="A5085" s="42"/>
      <c r="C5085" s="52"/>
      <c r="D5085"/>
      <c r="E5085"/>
      <c r="F5085"/>
      <c r="M5085" s="1"/>
      <c r="N5085" s="44"/>
    </row>
    <row r="5086" spans="1:14" x14ac:dyDescent="0.3">
      <c r="A5086" s="42"/>
      <c r="C5086" s="52"/>
      <c r="D5086"/>
      <c r="E5086"/>
      <c r="F5086"/>
      <c r="M5086" s="1"/>
      <c r="N5086" s="44"/>
    </row>
    <row r="5087" spans="1:14" x14ac:dyDescent="0.3">
      <c r="A5087" s="42"/>
      <c r="C5087" s="52"/>
      <c r="D5087"/>
      <c r="E5087"/>
      <c r="F5087"/>
      <c r="M5087" s="1"/>
      <c r="N5087" s="44"/>
    </row>
    <row r="5088" spans="1:14" x14ac:dyDescent="0.3">
      <c r="A5088" s="42"/>
      <c r="C5088" s="52"/>
      <c r="D5088"/>
      <c r="E5088"/>
      <c r="F5088"/>
      <c r="M5088" s="1"/>
      <c r="N5088" s="44"/>
    </row>
    <row r="5089" spans="1:14" x14ac:dyDescent="0.3">
      <c r="A5089" s="42"/>
      <c r="C5089" s="52"/>
      <c r="D5089"/>
      <c r="E5089"/>
      <c r="F5089"/>
      <c r="M5089" s="1"/>
      <c r="N5089" s="44"/>
    </row>
    <row r="5090" spans="1:14" x14ac:dyDescent="0.3">
      <c r="A5090" s="42"/>
      <c r="C5090" s="52"/>
      <c r="D5090"/>
      <c r="E5090"/>
      <c r="F5090"/>
      <c r="M5090" s="1"/>
      <c r="N5090" s="44"/>
    </row>
    <row r="5091" spans="1:14" x14ac:dyDescent="0.3">
      <c r="A5091" s="42"/>
      <c r="C5091" s="52"/>
      <c r="D5091"/>
      <c r="E5091"/>
      <c r="F5091"/>
      <c r="M5091" s="1"/>
      <c r="N5091" s="44"/>
    </row>
    <row r="5092" spans="1:14" x14ac:dyDescent="0.3">
      <c r="A5092" s="42"/>
      <c r="C5092" s="52"/>
      <c r="D5092"/>
      <c r="E5092"/>
      <c r="F5092"/>
      <c r="M5092" s="1"/>
      <c r="N5092" s="44"/>
    </row>
    <row r="5093" spans="1:14" x14ac:dyDescent="0.3">
      <c r="A5093" s="42"/>
      <c r="C5093" s="52"/>
      <c r="D5093"/>
      <c r="E5093"/>
      <c r="F5093"/>
      <c r="M5093" s="1"/>
      <c r="N5093" s="44"/>
    </row>
    <row r="5094" spans="1:14" x14ac:dyDescent="0.3">
      <c r="A5094" s="42"/>
      <c r="C5094" s="52"/>
      <c r="D5094"/>
      <c r="E5094"/>
      <c r="F5094"/>
      <c r="M5094" s="1"/>
      <c r="N5094" s="44"/>
    </row>
    <row r="5095" spans="1:14" x14ac:dyDescent="0.3">
      <c r="A5095" s="42"/>
      <c r="C5095" s="52"/>
      <c r="D5095"/>
      <c r="E5095"/>
      <c r="F5095"/>
      <c r="M5095" s="1"/>
      <c r="N5095" s="44"/>
    </row>
    <row r="5096" spans="1:14" x14ac:dyDescent="0.3">
      <c r="A5096" s="42"/>
      <c r="C5096" s="52"/>
      <c r="D5096"/>
      <c r="E5096"/>
      <c r="F5096"/>
      <c r="M5096" s="1"/>
      <c r="N5096" s="44"/>
    </row>
    <row r="5097" spans="1:14" x14ac:dyDescent="0.3">
      <c r="A5097" s="42"/>
      <c r="C5097" s="52"/>
      <c r="D5097"/>
      <c r="E5097"/>
      <c r="F5097"/>
      <c r="M5097" s="54"/>
      <c r="N5097" s="44"/>
    </row>
    <row r="5098" spans="1:14" x14ac:dyDescent="0.3">
      <c r="A5098" s="42"/>
      <c r="C5098" s="52"/>
      <c r="D5098"/>
      <c r="E5098"/>
      <c r="F5098"/>
      <c r="M5098" s="1"/>
      <c r="N5098" s="44"/>
    </row>
    <row r="5099" spans="1:14" x14ac:dyDescent="0.3">
      <c r="A5099" s="42"/>
      <c r="C5099" s="52"/>
      <c r="D5099"/>
      <c r="E5099"/>
      <c r="F5099"/>
      <c r="M5099" s="1"/>
      <c r="N5099" s="44"/>
    </row>
    <row r="5100" spans="1:14" x14ac:dyDescent="0.3">
      <c r="A5100" s="42"/>
      <c r="C5100" s="52"/>
      <c r="D5100"/>
      <c r="E5100"/>
      <c r="F5100"/>
      <c r="M5100" s="1"/>
      <c r="N5100" s="44"/>
    </row>
    <row r="5101" spans="1:14" x14ac:dyDescent="0.3">
      <c r="A5101" s="42"/>
      <c r="C5101" s="52"/>
      <c r="D5101"/>
      <c r="E5101"/>
      <c r="F5101"/>
      <c r="M5101" s="1"/>
      <c r="N5101" s="44"/>
    </row>
    <row r="5102" spans="1:14" x14ac:dyDescent="0.3">
      <c r="A5102" s="42"/>
      <c r="C5102" s="52"/>
      <c r="D5102"/>
      <c r="E5102"/>
      <c r="F5102"/>
      <c r="M5102" s="1"/>
      <c r="N5102" s="44"/>
    </row>
    <row r="5103" spans="1:14" x14ac:dyDescent="0.3">
      <c r="A5103" s="42"/>
      <c r="C5103" s="52"/>
      <c r="D5103"/>
      <c r="E5103"/>
      <c r="F5103"/>
      <c r="M5103" s="54"/>
      <c r="N5103" s="44"/>
    </row>
    <row r="5104" spans="1:14" x14ac:dyDescent="0.3">
      <c r="A5104" s="42"/>
      <c r="C5104" s="52"/>
      <c r="D5104"/>
      <c r="E5104"/>
      <c r="F5104"/>
      <c r="M5104" s="54"/>
      <c r="N5104" s="44"/>
    </row>
    <row r="5105" spans="1:14" x14ac:dyDescent="0.3">
      <c r="A5105" s="42"/>
      <c r="C5105" s="52"/>
      <c r="D5105"/>
      <c r="E5105"/>
      <c r="F5105"/>
      <c r="M5105" s="1"/>
      <c r="N5105" s="44"/>
    </row>
    <row r="5106" spans="1:14" x14ac:dyDescent="0.3">
      <c r="A5106" s="42"/>
      <c r="C5106" s="52"/>
      <c r="D5106"/>
      <c r="E5106"/>
      <c r="F5106"/>
      <c r="M5106" s="1"/>
      <c r="N5106" s="44"/>
    </row>
    <row r="5107" spans="1:14" x14ac:dyDescent="0.3">
      <c r="A5107" s="42"/>
      <c r="C5107" s="52"/>
      <c r="D5107"/>
      <c r="E5107"/>
      <c r="F5107"/>
      <c r="M5107" s="1"/>
      <c r="N5107" s="44"/>
    </row>
    <row r="5108" spans="1:14" x14ac:dyDescent="0.3">
      <c r="A5108" s="42"/>
      <c r="C5108" s="52"/>
      <c r="D5108"/>
      <c r="E5108"/>
      <c r="F5108"/>
      <c r="L5108" s="45"/>
      <c r="M5108" s="1"/>
      <c r="N5108" s="44"/>
    </row>
    <row r="5109" spans="1:14" x14ac:dyDescent="0.3">
      <c r="A5109" s="42"/>
      <c r="C5109" s="52"/>
      <c r="D5109"/>
      <c r="E5109"/>
      <c r="F5109"/>
      <c r="M5109" s="1"/>
      <c r="N5109" s="44"/>
    </row>
    <row r="5110" spans="1:14" x14ac:dyDescent="0.3">
      <c r="A5110" s="42"/>
      <c r="C5110" s="52"/>
      <c r="D5110"/>
      <c r="E5110"/>
      <c r="F5110"/>
      <c r="M5110" s="1"/>
      <c r="N5110" s="44"/>
    </row>
    <row r="5111" spans="1:14" x14ac:dyDescent="0.3">
      <c r="A5111" s="42"/>
      <c r="C5111" s="52"/>
      <c r="D5111"/>
      <c r="E5111"/>
      <c r="F5111"/>
      <c r="M5111" s="1"/>
      <c r="N5111" s="44"/>
    </row>
    <row r="5112" spans="1:14" x14ac:dyDescent="0.3">
      <c r="A5112" s="42"/>
      <c r="C5112" s="52"/>
      <c r="D5112"/>
      <c r="E5112"/>
      <c r="F5112"/>
      <c r="M5112" s="1"/>
      <c r="N5112" s="44"/>
    </row>
    <row r="5113" spans="1:14" x14ac:dyDescent="0.3">
      <c r="A5113" s="42"/>
      <c r="C5113" s="52"/>
      <c r="D5113"/>
      <c r="E5113"/>
      <c r="F5113"/>
      <c r="L5113" s="45"/>
      <c r="M5113" s="1"/>
      <c r="N5113" s="44"/>
    </row>
    <row r="5114" spans="1:14" x14ac:dyDescent="0.3">
      <c r="A5114" s="42"/>
      <c r="C5114" s="52"/>
      <c r="D5114"/>
      <c r="E5114"/>
      <c r="F5114"/>
      <c r="M5114" s="1"/>
      <c r="N5114" s="44"/>
    </row>
    <row r="5115" spans="1:14" x14ac:dyDescent="0.3">
      <c r="A5115" s="42"/>
      <c r="C5115" s="52"/>
      <c r="D5115"/>
      <c r="E5115"/>
      <c r="F5115"/>
      <c r="M5115" s="1"/>
      <c r="N5115" s="44"/>
    </row>
    <row r="5116" spans="1:14" x14ac:dyDescent="0.3">
      <c r="A5116" s="42"/>
      <c r="C5116" s="52"/>
      <c r="D5116"/>
      <c r="E5116"/>
      <c r="F5116"/>
      <c r="L5116" s="45"/>
      <c r="M5116" s="1"/>
      <c r="N5116" s="44"/>
    </row>
    <row r="5117" spans="1:14" x14ac:dyDescent="0.3">
      <c r="A5117" s="42"/>
      <c r="C5117" s="52"/>
      <c r="D5117"/>
      <c r="E5117"/>
      <c r="F5117"/>
      <c r="M5117" s="1"/>
      <c r="N5117" s="44"/>
    </row>
    <row r="5118" spans="1:14" x14ac:dyDescent="0.3">
      <c r="A5118" s="42"/>
      <c r="C5118" s="52"/>
      <c r="D5118"/>
      <c r="E5118"/>
      <c r="F5118"/>
      <c r="M5118" s="1"/>
      <c r="N5118" s="44"/>
    </row>
    <row r="5119" spans="1:14" x14ac:dyDescent="0.3">
      <c r="A5119" s="42"/>
      <c r="C5119" s="52"/>
      <c r="D5119"/>
      <c r="E5119"/>
      <c r="F5119"/>
      <c r="M5119" s="1"/>
      <c r="N5119" s="44"/>
    </row>
    <row r="5120" spans="1:14" x14ac:dyDescent="0.3">
      <c r="A5120" s="42"/>
      <c r="C5120" s="52"/>
      <c r="D5120"/>
      <c r="E5120"/>
      <c r="F5120"/>
      <c r="L5120" s="45"/>
      <c r="M5120" s="1"/>
      <c r="N5120" s="44"/>
    </row>
    <row r="5121" spans="1:14" x14ac:dyDescent="0.3">
      <c r="A5121" s="42"/>
      <c r="C5121" s="52"/>
      <c r="D5121"/>
      <c r="E5121"/>
      <c r="F5121"/>
      <c r="M5121" s="1"/>
      <c r="N5121" s="44"/>
    </row>
    <row r="5122" spans="1:14" x14ac:dyDescent="0.3">
      <c r="A5122" s="42"/>
      <c r="C5122" s="52"/>
      <c r="D5122"/>
      <c r="E5122"/>
      <c r="F5122"/>
      <c r="M5122" s="1"/>
      <c r="N5122" s="44"/>
    </row>
    <row r="5123" spans="1:14" x14ac:dyDescent="0.3">
      <c r="A5123" s="42"/>
      <c r="C5123" s="52"/>
      <c r="D5123"/>
      <c r="E5123"/>
      <c r="F5123"/>
      <c r="M5123" s="1"/>
      <c r="N5123" s="44"/>
    </row>
    <row r="5124" spans="1:14" x14ac:dyDescent="0.3">
      <c r="A5124" s="42"/>
      <c r="C5124" s="52"/>
      <c r="D5124"/>
      <c r="E5124"/>
      <c r="F5124"/>
      <c r="M5124" s="1"/>
      <c r="N5124" s="44"/>
    </row>
    <row r="5125" spans="1:14" x14ac:dyDescent="0.3">
      <c r="A5125" s="42"/>
      <c r="C5125" s="52"/>
      <c r="D5125"/>
      <c r="E5125"/>
      <c r="F5125"/>
      <c r="M5125" s="1"/>
      <c r="N5125" s="44"/>
    </row>
    <row r="5126" spans="1:14" x14ac:dyDescent="0.3">
      <c r="A5126" s="42"/>
      <c r="C5126" s="52"/>
      <c r="D5126"/>
      <c r="E5126"/>
      <c r="F5126"/>
      <c r="M5126" s="1"/>
      <c r="N5126" s="44"/>
    </row>
    <row r="5127" spans="1:14" x14ac:dyDescent="0.3">
      <c r="A5127" s="42"/>
      <c r="C5127" s="52"/>
      <c r="D5127"/>
      <c r="E5127"/>
      <c r="F5127"/>
      <c r="M5127" s="1"/>
      <c r="N5127" s="44"/>
    </row>
    <row r="5128" spans="1:14" x14ac:dyDescent="0.3">
      <c r="A5128" s="42"/>
      <c r="C5128" s="52"/>
      <c r="D5128"/>
      <c r="E5128"/>
      <c r="F5128"/>
      <c r="M5128" s="54"/>
      <c r="N5128" s="44"/>
    </row>
    <row r="5129" spans="1:14" x14ac:dyDescent="0.3">
      <c r="A5129" s="42"/>
      <c r="C5129" s="52"/>
      <c r="D5129"/>
      <c r="E5129"/>
      <c r="F5129"/>
      <c r="M5129" s="1"/>
      <c r="N5129" s="44"/>
    </row>
    <row r="5130" spans="1:14" x14ac:dyDescent="0.3">
      <c r="A5130" s="42"/>
      <c r="C5130" s="52"/>
      <c r="D5130"/>
      <c r="E5130"/>
      <c r="F5130"/>
      <c r="M5130" s="1"/>
      <c r="N5130" s="44"/>
    </row>
    <row r="5131" spans="1:14" x14ac:dyDescent="0.3">
      <c r="A5131" s="42"/>
      <c r="C5131" s="52"/>
      <c r="D5131"/>
      <c r="E5131"/>
      <c r="F5131"/>
      <c r="L5131" s="45"/>
      <c r="M5131" s="1"/>
      <c r="N5131" s="44"/>
    </row>
    <row r="5132" spans="1:14" x14ac:dyDescent="0.3">
      <c r="A5132" s="42"/>
      <c r="C5132" s="52"/>
      <c r="D5132"/>
      <c r="E5132"/>
      <c r="F5132"/>
      <c r="L5132" s="45"/>
      <c r="M5132" s="1"/>
      <c r="N5132" s="44"/>
    </row>
    <row r="5133" spans="1:14" x14ac:dyDescent="0.3">
      <c r="A5133" s="42"/>
      <c r="C5133" s="52"/>
      <c r="D5133"/>
      <c r="E5133"/>
      <c r="F5133"/>
      <c r="M5133" s="1"/>
      <c r="N5133" s="44"/>
    </row>
    <row r="5134" spans="1:14" x14ac:dyDescent="0.3">
      <c r="A5134" s="42"/>
      <c r="C5134" s="52"/>
      <c r="D5134"/>
      <c r="E5134"/>
      <c r="F5134"/>
      <c r="M5134" s="1"/>
      <c r="N5134" s="44"/>
    </row>
    <row r="5135" spans="1:14" x14ac:dyDescent="0.3">
      <c r="A5135" s="42"/>
      <c r="C5135" s="52"/>
      <c r="D5135"/>
      <c r="E5135"/>
      <c r="F5135"/>
      <c r="M5135" s="1"/>
      <c r="N5135" s="44"/>
    </row>
    <row r="5136" spans="1:14" x14ac:dyDescent="0.3">
      <c r="A5136" s="42"/>
      <c r="C5136" s="52"/>
      <c r="D5136"/>
      <c r="E5136"/>
      <c r="F5136"/>
      <c r="M5136" s="1"/>
      <c r="N5136" s="44"/>
    </row>
    <row r="5137" spans="1:14" x14ac:dyDescent="0.3">
      <c r="A5137" s="42"/>
      <c r="C5137" s="52"/>
      <c r="D5137"/>
      <c r="E5137"/>
      <c r="F5137"/>
      <c r="M5137" s="54"/>
      <c r="N5137" s="44"/>
    </row>
    <row r="5138" spans="1:14" x14ac:dyDescent="0.3">
      <c r="A5138" s="42"/>
      <c r="C5138" s="52"/>
      <c r="D5138"/>
      <c r="E5138"/>
      <c r="F5138"/>
      <c r="M5138" s="1"/>
      <c r="N5138" s="44"/>
    </row>
    <row r="5139" spans="1:14" x14ac:dyDescent="0.3">
      <c r="A5139" s="42"/>
      <c r="C5139" s="52"/>
      <c r="D5139"/>
      <c r="E5139"/>
      <c r="F5139"/>
      <c r="L5139" s="45"/>
      <c r="M5139" s="1"/>
      <c r="N5139" s="44"/>
    </row>
    <row r="5140" spans="1:14" x14ac:dyDescent="0.3">
      <c r="A5140" s="42"/>
      <c r="C5140" s="52"/>
      <c r="D5140"/>
      <c r="E5140"/>
      <c r="F5140"/>
      <c r="L5140" s="45"/>
      <c r="M5140" s="1"/>
      <c r="N5140" s="44"/>
    </row>
    <row r="5141" spans="1:14" x14ac:dyDescent="0.3">
      <c r="A5141" s="42"/>
      <c r="C5141" s="52"/>
      <c r="D5141"/>
      <c r="E5141"/>
      <c r="F5141"/>
      <c r="L5141" s="45"/>
      <c r="M5141" s="1"/>
      <c r="N5141" s="44"/>
    </row>
    <row r="5142" spans="1:14" x14ac:dyDescent="0.3">
      <c r="A5142" s="42"/>
      <c r="C5142" s="52"/>
      <c r="D5142"/>
      <c r="E5142"/>
      <c r="F5142"/>
      <c r="L5142" s="45"/>
      <c r="M5142" s="1"/>
      <c r="N5142" s="44"/>
    </row>
    <row r="5143" spans="1:14" x14ac:dyDescent="0.3">
      <c r="A5143" s="42"/>
      <c r="C5143" s="52"/>
      <c r="D5143"/>
      <c r="E5143"/>
      <c r="F5143"/>
      <c r="L5143" s="45"/>
      <c r="M5143" s="1"/>
      <c r="N5143" s="44"/>
    </row>
    <row r="5144" spans="1:14" x14ac:dyDescent="0.3">
      <c r="A5144" s="42"/>
      <c r="C5144" s="52"/>
      <c r="D5144"/>
      <c r="E5144"/>
      <c r="F5144"/>
      <c r="L5144" s="45"/>
      <c r="M5144" s="1"/>
      <c r="N5144" s="44"/>
    </row>
    <row r="5145" spans="1:14" x14ac:dyDescent="0.3">
      <c r="A5145" s="42"/>
      <c r="C5145" s="52"/>
      <c r="D5145"/>
      <c r="E5145"/>
      <c r="F5145"/>
      <c r="L5145" s="45"/>
      <c r="M5145" s="54"/>
      <c r="N5145" s="44"/>
    </row>
    <row r="5146" spans="1:14" x14ac:dyDescent="0.3">
      <c r="A5146" s="42"/>
      <c r="C5146" s="52"/>
      <c r="D5146"/>
      <c r="E5146"/>
      <c r="F5146"/>
      <c r="M5146" s="1"/>
      <c r="N5146" s="44"/>
    </row>
    <row r="5147" spans="1:14" x14ac:dyDescent="0.3">
      <c r="A5147" s="42"/>
      <c r="C5147" s="52"/>
      <c r="D5147"/>
      <c r="E5147"/>
      <c r="F5147"/>
      <c r="M5147" s="1"/>
      <c r="N5147" s="44"/>
    </row>
    <row r="5148" spans="1:14" x14ac:dyDescent="0.3">
      <c r="A5148" s="42"/>
      <c r="C5148" s="52"/>
      <c r="D5148"/>
      <c r="E5148"/>
      <c r="F5148"/>
      <c r="M5148" s="1"/>
      <c r="N5148" s="44"/>
    </row>
    <row r="5149" spans="1:14" x14ac:dyDescent="0.3">
      <c r="A5149" s="42"/>
      <c r="C5149" s="52"/>
      <c r="D5149"/>
      <c r="E5149"/>
      <c r="F5149"/>
      <c r="M5149" s="1"/>
      <c r="N5149" s="44"/>
    </row>
    <row r="5150" spans="1:14" x14ac:dyDescent="0.3">
      <c r="A5150" s="42"/>
      <c r="C5150" s="52"/>
      <c r="D5150"/>
      <c r="E5150"/>
      <c r="F5150"/>
      <c r="L5150" s="45"/>
      <c r="M5150" s="1"/>
      <c r="N5150" s="44"/>
    </row>
    <row r="5151" spans="1:14" x14ac:dyDescent="0.3">
      <c r="A5151" s="42"/>
      <c r="C5151" s="52"/>
      <c r="D5151"/>
      <c r="E5151"/>
      <c r="F5151"/>
      <c r="L5151" s="45"/>
      <c r="M5151" s="1"/>
      <c r="N5151" s="44"/>
    </row>
    <row r="5152" spans="1:14" x14ac:dyDescent="0.3">
      <c r="A5152" s="42"/>
      <c r="C5152" s="52"/>
      <c r="D5152"/>
      <c r="E5152"/>
      <c r="F5152"/>
      <c r="M5152" s="1"/>
      <c r="N5152" s="44"/>
    </row>
    <row r="5153" spans="1:14" x14ac:dyDescent="0.3">
      <c r="A5153" s="42"/>
      <c r="C5153" s="52"/>
      <c r="D5153"/>
      <c r="E5153"/>
      <c r="F5153"/>
      <c r="M5153" s="1"/>
      <c r="N5153" s="44"/>
    </row>
    <row r="5154" spans="1:14" x14ac:dyDescent="0.3">
      <c r="A5154" s="42"/>
      <c r="C5154" s="52"/>
      <c r="D5154"/>
      <c r="E5154"/>
      <c r="F5154"/>
      <c r="M5154" s="54"/>
      <c r="N5154" s="44"/>
    </row>
    <row r="5155" spans="1:14" x14ac:dyDescent="0.3">
      <c r="A5155" s="42"/>
      <c r="C5155" s="52"/>
      <c r="D5155"/>
      <c r="E5155"/>
      <c r="F5155"/>
      <c r="L5155" s="45"/>
      <c r="M5155" s="1"/>
      <c r="N5155" s="44"/>
    </row>
    <row r="5156" spans="1:14" x14ac:dyDescent="0.3">
      <c r="A5156" s="42"/>
      <c r="C5156" s="52"/>
      <c r="D5156"/>
      <c r="E5156"/>
      <c r="F5156"/>
      <c r="L5156" s="45"/>
      <c r="M5156" s="1"/>
      <c r="N5156" s="44"/>
    </row>
    <row r="5157" spans="1:14" x14ac:dyDescent="0.3">
      <c r="A5157" s="42"/>
      <c r="C5157" s="52"/>
      <c r="D5157"/>
      <c r="E5157"/>
      <c r="F5157"/>
      <c r="L5157" s="1"/>
      <c r="N5157" s="44"/>
    </row>
    <row r="5158" spans="1:14" x14ac:dyDescent="0.3">
      <c r="A5158" s="42"/>
      <c r="C5158" s="52"/>
      <c r="D5158"/>
      <c r="E5158"/>
      <c r="F5158"/>
      <c r="L5158" s="1"/>
      <c r="N5158" s="44"/>
    </row>
    <row r="5159" spans="1:14" x14ac:dyDescent="0.3">
      <c r="A5159" s="42"/>
      <c r="C5159" s="52"/>
      <c r="D5159"/>
      <c r="E5159"/>
      <c r="F5159"/>
      <c r="L5159" s="1"/>
      <c r="N5159" s="44"/>
    </row>
    <row r="5160" spans="1:14" x14ac:dyDescent="0.3">
      <c r="A5160" s="42"/>
      <c r="C5160" s="52"/>
      <c r="D5160"/>
      <c r="E5160"/>
      <c r="F5160"/>
      <c r="L5160" s="1"/>
      <c r="N5160" s="44"/>
    </row>
    <row r="5161" spans="1:14" x14ac:dyDescent="0.3">
      <c r="A5161" s="42"/>
      <c r="C5161" s="52"/>
      <c r="D5161"/>
      <c r="E5161"/>
      <c r="F5161"/>
      <c r="L5161" s="1"/>
      <c r="N5161" s="44"/>
    </row>
    <row r="5162" spans="1:14" x14ac:dyDescent="0.3">
      <c r="A5162" s="42"/>
      <c r="C5162" s="52"/>
      <c r="D5162"/>
      <c r="E5162"/>
      <c r="F5162"/>
      <c r="L5162" s="1"/>
      <c r="N5162" s="44"/>
    </row>
    <row r="5163" spans="1:14" x14ac:dyDescent="0.3">
      <c r="A5163" s="42"/>
      <c r="C5163" s="52"/>
      <c r="D5163"/>
      <c r="E5163"/>
      <c r="F5163"/>
      <c r="L5163" s="1"/>
      <c r="N5163" s="44"/>
    </row>
    <row r="5164" spans="1:14" x14ac:dyDescent="0.3">
      <c r="A5164" s="42"/>
      <c r="C5164" s="52"/>
      <c r="D5164"/>
      <c r="E5164"/>
      <c r="F5164"/>
      <c r="L5164" s="1"/>
      <c r="N5164" s="44"/>
    </row>
    <row r="5165" spans="1:14" x14ac:dyDescent="0.3">
      <c r="A5165" s="42"/>
      <c r="C5165" s="52"/>
      <c r="D5165"/>
      <c r="E5165"/>
      <c r="F5165"/>
      <c r="L5165" s="1"/>
      <c r="N5165" s="44"/>
    </row>
    <row r="5166" spans="1:14" x14ac:dyDescent="0.3">
      <c r="A5166" s="42"/>
      <c r="C5166" s="52"/>
      <c r="D5166"/>
      <c r="E5166"/>
      <c r="F5166"/>
      <c r="L5166" s="1"/>
      <c r="N5166" s="44"/>
    </row>
    <row r="5167" spans="1:14" x14ac:dyDescent="0.3">
      <c r="A5167" s="42"/>
      <c r="C5167" s="52"/>
      <c r="D5167"/>
      <c r="E5167"/>
      <c r="F5167"/>
      <c r="L5167" s="1"/>
      <c r="N5167" s="44"/>
    </row>
    <row r="5168" spans="1:14" x14ac:dyDescent="0.3">
      <c r="A5168" s="42"/>
      <c r="C5168" s="52"/>
      <c r="D5168"/>
      <c r="E5168"/>
      <c r="F5168"/>
      <c r="L5168" s="1"/>
      <c r="N5168" s="44"/>
    </row>
    <row r="5169" spans="1:14" x14ac:dyDescent="0.3">
      <c r="A5169" s="42"/>
      <c r="C5169" s="52"/>
      <c r="D5169"/>
      <c r="E5169"/>
      <c r="F5169"/>
      <c r="L5169" s="1"/>
      <c r="N5169" s="44"/>
    </row>
    <row r="5170" spans="1:14" x14ac:dyDescent="0.3">
      <c r="A5170" s="42"/>
      <c r="C5170" s="52"/>
      <c r="D5170"/>
      <c r="E5170"/>
      <c r="F5170"/>
      <c r="L5170" s="1"/>
      <c r="N5170" s="44"/>
    </row>
    <row r="5171" spans="1:14" x14ac:dyDescent="0.3">
      <c r="A5171" s="42"/>
      <c r="C5171" s="52"/>
      <c r="D5171"/>
      <c r="E5171"/>
      <c r="F5171"/>
      <c r="L5171" s="1"/>
      <c r="N5171" s="44"/>
    </row>
    <row r="5172" spans="1:14" x14ac:dyDescent="0.3">
      <c r="A5172" s="42"/>
      <c r="C5172" s="52"/>
      <c r="D5172"/>
      <c r="E5172"/>
      <c r="F5172"/>
      <c r="L5172" s="1"/>
      <c r="N5172" s="44"/>
    </row>
    <row r="5173" spans="1:14" x14ac:dyDescent="0.3">
      <c r="A5173" s="42"/>
      <c r="C5173" s="52"/>
      <c r="D5173"/>
      <c r="E5173"/>
      <c r="F5173"/>
      <c r="L5173" s="1"/>
      <c r="N5173" s="44"/>
    </row>
    <row r="5174" spans="1:14" x14ac:dyDescent="0.3">
      <c r="A5174" s="42"/>
      <c r="C5174" s="52"/>
      <c r="D5174"/>
      <c r="E5174"/>
      <c r="F5174"/>
      <c r="L5174" s="1"/>
      <c r="N5174" s="44"/>
    </row>
    <row r="5175" spans="1:14" x14ac:dyDescent="0.3">
      <c r="A5175" s="42"/>
      <c r="C5175" s="52"/>
      <c r="D5175"/>
      <c r="E5175"/>
      <c r="F5175"/>
      <c r="L5175" s="54"/>
      <c r="N5175" s="44"/>
    </row>
    <row r="5176" spans="1:14" x14ac:dyDescent="0.3">
      <c r="A5176" s="42"/>
      <c r="C5176" s="52"/>
      <c r="D5176"/>
      <c r="E5176"/>
      <c r="F5176"/>
      <c r="L5176" s="1"/>
      <c r="N5176" s="44"/>
    </row>
    <row r="5177" spans="1:14" x14ac:dyDescent="0.3">
      <c r="A5177" s="42"/>
      <c r="C5177" s="52"/>
      <c r="D5177"/>
      <c r="E5177"/>
      <c r="F5177"/>
      <c r="L5177" s="54"/>
      <c r="N5177" s="44"/>
    </row>
    <row r="5178" spans="1:14" x14ac:dyDescent="0.3">
      <c r="A5178" s="42"/>
      <c r="C5178" s="52"/>
      <c r="D5178"/>
      <c r="E5178"/>
      <c r="F5178"/>
      <c r="L5178" s="1"/>
      <c r="N5178" s="44"/>
    </row>
    <row r="5179" spans="1:14" x14ac:dyDescent="0.3">
      <c r="A5179" s="42"/>
      <c r="C5179" s="52"/>
      <c r="D5179"/>
      <c r="E5179"/>
      <c r="F5179"/>
      <c r="L5179" s="54"/>
      <c r="N5179" s="44"/>
    </row>
    <row r="5180" spans="1:14" x14ac:dyDescent="0.3">
      <c r="A5180" s="42"/>
      <c r="C5180" s="52"/>
      <c r="D5180"/>
      <c r="E5180"/>
      <c r="F5180"/>
      <c r="L5180" s="54"/>
      <c r="N5180" s="44"/>
    </row>
    <row r="5181" spans="1:14" x14ac:dyDescent="0.3">
      <c r="A5181" s="42"/>
      <c r="C5181" s="52"/>
      <c r="D5181"/>
      <c r="E5181"/>
      <c r="F5181"/>
      <c r="L5181" s="54"/>
      <c r="N5181" s="44"/>
    </row>
    <row r="5182" spans="1:14" x14ac:dyDescent="0.3">
      <c r="A5182" s="42"/>
      <c r="C5182" s="52"/>
      <c r="D5182"/>
      <c r="E5182"/>
      <c r="F5182"/>
      <c r="L5182" s="54"/>
      <c r="N5182" s="44"/>
    </row>
    <row r="5183" spans="1:14" x14ac:dyDescent="0.3">
      <c r="A5183" s="42"/>
      <c r="C5183" s="52"/>
      <c r="D5183"/>
      <c r="E5183"/>
      <c r="F5183"/>
      <c r="L5183" s="54"/>
      <c r="N5183" s="44"/>
    </row>
    <row r="5184" spans="1:14" x14ac:dyDescent="0.3">
      <c r="A5184" s="42"/>
      <c r="C5184" s="52"/>
      <c r="D5184"/>
      <c r="E5184"/>
      <c r="F5184"/>
      <c r="L5184" s="1"/>
      <c r="N5184" s="44"/>
    </row>
    <row r="5185" spans="1:14" x14ac:dyDescent="0.3">
      <c r="A5185" s="42"/>
      <c r="C5185" s="52"/>
      <c r="D5185"/>
      <c r="E5185"/>
      <c r="F5185"/>
      <c r="L5185" s="54"/>
      <c r="N5185" s="44"/>
    </row>
    <row r="5186" spans="1:14" x14ac:dyDescent="0.3">
      <c r="A5186" s="42"/>
      <c r="C5186" s="52"/>
      <c r="D5186"/>
      <c r="E5186"/>
      <c r="F5186"/>
      <c r="L5186" s="54"/>
      <c r="N5186" s="44"/>
    </row>
    <row r="5187" spans="1:14" x14ac:dyDescent="0.3">
      <c r="A5187" s="42"/>
      <c r="C5187" s="52"/>
      <c r="D5187"/>
      <c r="E5187"/>
      <c r="F5187"/>
      <c r="L5187" s="54"/>
      <c r="N5187" s="44"/>
    </row>
    <row r="5188" spans="1:14" x14ac:dyDescent="0.3">
      <c r="A5188" s="42"/>
      <c r="C5188" s="52"/>
      <c r="D5188"/>
      <c r="E5188"/>
      <c r="F5188"/>
      <c r="L5188" s="54"/>
      <c r="N5188" s="44"/>
    </row>
    <row r="5189" spans="1:14" x14ac:dyDescent="0.3">
      <c r="A5189" s="42"/>
      <c r="C5189" s="52"/>
      <c r="D5189"/>
      <c r="E5189"/>
      <c r="F5189"/>
      <c r="L5189" s="1"/>
      <c r="N5189" s="44"/>
    </row>
    <row r="5190" spans="1:14" x14ac:dyDescent="0.3">
      <c r="A5190" s="42"/>
      <c r="C5190" s="52"/>
      <c r="D5190"/>
      <c r="E5190"/>
      <c r="F5190"/>
      <c r="L5190" s="54"/>
      <c r="N5190" s="44"/>
    </row>
    <row r="5191" spans="1:14" x14ac:dyDescent="0.3">
      <c r="A5191" s="42"/>
      <c r="C5191" s="52"/>
      <c r="D5191"/>
      <c r="E5191"/>
      <c r="F5191"/>
      <c r="L5191" s="54"/>
      <c r="N5191" s="44"/>
    </row>
    <row r="5192" spans="1:14" x14ac:dyDescent="0.3">
      <c r="A5192" s="42"/>
      <c r="C5192" s="52"/>
      <c r="D5192"/>
      <c r="E5192"/>
      <c r="F5192"/>
      <c r="L5192" s="54"/>
      <c r="N5192" s="44"/>
    </row>
    <row r="5193" spans="1:14" x14ac:dyDescent="0.3">
      <c r="A5193" s="42"/>
      <c r="C5193" s="52"/>
      <c r="D5193"/>
      <c r="E5193"/>
      <c r="F5193"/>
      <c r="L5193" s="54"/>
      <c r="N5193" s="44"/>
    </row>
    <row r="5194" spans="1:14" x14ac:dyDescent="0.3">
      <c r="A5194" s="42"/>
      <c r="C5194" s="52"/>
      <c r="D5194"/>
      <c r="E5194"/>
      <c r="F5194"/>
      <c r="L5194" s="54"/>
      <c r="N5194" s="44"/>
    </row>
    <row r="5195" spans="1:14" x14ac:dyDescent="0.3">
      <c r="A5195" s="42"/>
      <c r="C5195" s="52"/>
      <c r="D5195"/>
      <c r="E5195"/>
      <c r="F5195"/>
      <c r="L5195" s="1"/>
      <c r="N5195" s="44"/>
    </row>
    <row r="5196" spans="1:14" x14ac:dyDescent="0.3">
      <c r="A5196" s="42"/>
      <c r="C5196" s="52"/>
      <c r="D5196"/>
      <c r="E5196"/>
      <c r="F5196"/>
      <c r="L5196" s="1"/>
      <c r="N5196" s="44"/>
    </row>
    <row r="5197" spans="1:14" x14ac:dyDescent="0.3">
      <c r="A5197" s="42"/>
      <c r="C5197" s="52"/>
      <c r="D5197"/>
      <c r="E5197"/>
      <c r="F5197"/>
      <c r="L5197" s="54"/>
      <c r="N5197" s="44"/>
    </row>
    <row r="5198" spans="1:14" x14ac:dyDescent="0.3">
      <c r="A5198" s="42"/>
      <c r="C5198" s="52"/>
      <c r="D5198"/>
      <c r="E5198"/>
      <c r="F5198"/>
      <c r="L5198" s="54"/>
      <c r="N5198" s="44"/>
    </row>
    <row r="5199" spans="1:14" x14ac:dyDescent="0.3">
      <c r="A5199" s="42"/>
      <c r="C5199" s="52"/>
      <c r="D5199"/>
      <c r="E5199"/>
      <c r="F5199"/>
      <c r="L5199" s="54"/>
      <c r="N5199" s="44"/>
    </row>
    <row r="5200" spans="1:14" x14ac:dyDescent="0.3">
      <c r="A5200" s="42"/>
      <c r="C5200" s="52"/>
      <c r="D5200"/>
      <c r="E5200"/>
      <c r="F5200"/>
      <c r="L5200" s="54"/>
      <c r="N5200" s="44"/>
    </row>
    <row r="5201" spans="1:14" x14ac:dyDescent="0.3">
      <c r="A5201" s="42"/>
      <c r="C5201" s="52"/>
      <c r="D5201"/>
      <c r="E5201"/>
      <c r="F5201"/>
      <c r="L5201" s="1"/>
      <c r="N5201" s="44"/>
    </row>
    <row r="5202" spans="1:14" x14ac:dyDescent="0.3">
      <c r="A5202" s="42"/>
      <c r="C5202" s="52"/>
      <c r="D5202"/>
      <c r="E5202"/>
      <c r="F5202"/>
      <c r="L5202" s="1"/>
      <c r="N5202" s="44"/>
    </row>
    <row r="5203" spans="1:14" x14ac:dyDescent="0.3">
      <c r="A5203" s="42"/>
      <c r="C5203" s="52"/>
      <c r="D5203"/>
      <c r="E5203"/>
      <c r="F5203"/>
      <c r="L5203" s="1"/>
      <c r="N5203" s="44"/>
    </row>
    <row r="5204" spans="1:14" x14ac:dyDescent="0.3">
      <c r="A5204" s="42"/>
      <c r="C5204" s="52"/>
      <c r="D5204"/>
      <c r="E5204"/>
      <c r="F5204"/>
      <c r="L5204" s="1"/>
      <c r="N5204" s="44"/>
    </row>
    <row r="5205" spans="1:14" x14ac:dyDescent="0.3">
      <c r="A5205" s="42"/>
      <c r="C5205" s="52"/>
      <c r="D5205"/>
      <c r="E5205"/>
      <c r="F5205"/>
      <c r="L5205" s="54"/>
      <c r="N5205" s="44"/>
    </row>
    <row r="5206" spans="1:14" x14ac:dyDescent="0.3">
      <c r="A5206" s="42"/>
      <c r="C5206" s="52"/>
      <c r="D5206"/>
      <c r="E5206"/>
      <c r="F5206"/>
      <c r="L5206" s="54"/>
      <c r="N5206" s="44"/>
    </row>
    <row r="5207" spans="1:14" x14ac:dyDescent="0.3">
      <c r="A5207" s="42"/>
      <c r="C5207" s="52"/>
      <c r="D5207"/>
      <c r="E5207"/>
      <c r="F5207"/>
      <c r="L5207" s="1"/>
      <c r="N5207" s="44"/>
    </row>
    <row r="5208" spans="1:14" x14ac:dyDescent="0.3">
      <c r="A5208" s="42"/>
      <c r="C5208" s="52"/>
      <c r="D5208"/>
      <c r="E5208"/>
      <c r="F5208"/>
      <c r="L5208" s="1"/>
      <c r="N5208" s="44"/>
    </row>
    <row r="5209" spans="1:14" x14ac:dyDescent="0.3">
      <c r="A5209" s="42"/>
      <c r="C5209" s="52"/>
      <c r="D5209"/>
      <c r="E5209"/>
      <c r="F5209"/>
      <c r="L5209" s="1"/>
      <c r="N5209" s="44"/>
    </row>
    <row r="5210" spans="1:14" x14ac:dyDescent="0.3">
      <c r="A5210" s="42"/>
      <c r="C5210" s="52"/>
      <c r="D5210"/>
      <c r="E5210"/>
      <c r="F5210"/>
      <c r="L5210" s="1"/>
      <c r="N5210" s="44"/>
    </row>
    <row r="5211" spans="1:14" x14ac:dyDescent="0.3">
      <c r="A5211" s="42"/>
      <c r="C5211" s="52"/>
      <c r="D5211"/>
      <c r="E5211"/>
      <c r="F5211"/>
      <c r="L5211" s="1"/>
      <c r="N5211" s="44"/>
    </row>
    <row r="5212" spans="1:14" x14ac:dyDescent="0.3">
      <c r="A5212" s="42"/>
      <c r="C5212" s="52"/>
      <c r="D5212"/>
      <c r="E5212"/>
      <c r="F5212"/>
      <c r="L5212" s="1"/>
      <c r="N5212" s="44"/>
    </row>
    <row r="5213" spans="1:14" x14ac:dyDescent="0.3">
      <c r="A5213" s="42"/>
      <c r="C5213" s="52"/>
      <c r="D5213"/>
      <c r="E5213"/>
      <c r="F5213"/>
      <c r="L5213" s="1"/>
      <c r="N5213" s="44"/>
    </row>
    <row r="5214" spans="1:14" x14ac:dyDescent="0.3">
      <c r="A5214" s="42"/>
      <c r="C5214" s="52"/>
      <c r="D5214"/>
      <c r="E5214"/>
      <c r="F5214"/>
      <c r="L5214" s="1"/>
      <c r="N5214" s="44"/>
    </row>
    <row r="5215" spans="1:14" x14ac:dyDescent="0.3">
      <c r="A5215" s="42"/>
      <c r="C5215" s="52"/>
      <c r="D5215"/>
      <c r="E5215"/>
      <c r="F5215"/>
      <c r="L5215" s="54"/>
      <c r="N5215" s="44"/>
    </row>
    <row r="5216" spans="1:14" x14ac:dyDescent="0.3">
      <c r="A5216" s="42"/>
      <c r="C5216" s="52"/>
      <c r="D5216"/>
      <c r="E5216"/>
      <c r="F5216"/>
      <c r="L5216" s="1"/>
      <c r="N5216" s="44"/>
    </row>
    <row r="5217" spans="1:14" x14ac:dyDescent="0.3">
      <c r="A5217" s="42"/>
      <c r="C5217" s="52"/>
      <c r="D5217"/>
      <c r="E5217"/>
      <c r="F5217"/>
      <c r="L5217" s="1"/>
      <c r="N5217" s="44"/>
    </row>
    <row r="5218" spans="1:14" x14ac:dyDescent="0.3">
      <c r="A5218" s="42"/>
      <c r="C5218" s="52"/>
      <c r="D5218"/>
      <c r="E5218"/>
      <c r="F5218"/>
      <c r="L5218" s="1"/>
      <c r="N5218" s="44"/>
    </row>
    <row r="5219" spans="1:14" x14ac:dyDescent="0.3">
      <c r="A5219" s="42"/>
      <c r="C5219" s="52"/>
      <c r="D5219"/>
      <c r="E5219"/>
      <c r="F5219"/>
      <c r="L5219" s="1"/>
      <c r="N5219" s="44"/>
    </row>
    <row r="5220" spans="1:14" x14ac:dyDescent="0.3">
      <c r="A5220" s="42"/>
      <c r="C5220" s="52"/>
      <c r="D5220"/>
      <c r="E5220"/>
      <c r="F5220"/>
      <c r="L5220" s="1"/>
      <c r="N5220" s="44"/>
    </row>
    <row r="5221" spans="1:14" x14ac:dyDescent="0.3">
      <c r="A5221" s="42"/>
      <c r="C5221" s="52"/>
      <c r="D5221"/>
      <c r="E5221"/>
      <c r="F5221"/>
      <c r="L5221" s="1"/>
      <c r="N5221" s="44"/>
    </row>
    <row r="5222" spans="1:14" x14ac:dyDescent="0.3">
      <c r="A5222" s="42"/>
      <c r="C5222" s="52"/>
      <c r="D5222"/>
      <c r="E5222"/>
      <c r="F5222"/>
      <c r="L5222" s="1"/>
      <c r="N5222" s="44"/>
    </row>
    <row r="5223" spans="1:14" x14ac:dyDescent="0.3">
      <c r="A5223" s="42"/>
      <c r="C5223" s="52"/>
      <c r="D5223"/>
      <c r="E5223"/>
      <c r="F5223"/>
      <c r="L5223" s="1"/>
      <c r="N5223" s="44"/>
    </row>
    <row r="5224" spans="1:14" x14ac:dyDescent="0.3">
      <c r="A5224" s="42"/>
      <c r="C5224" s="52"/>
      <c r="D5224"/>
      <c r="E5224"/>
      <c r="F5224"/>
      <c r="L5224" s="1"/>
      <c r="N5224" s="44"/>
    </row>
    <row r="5225" spans="1:14" x14ac:dyDescent="0.3">
      <c r="A5225" s="42"/>
      <c r="C5225" s="52"/>
      <c r="D5225"/>
      <c r="E5225"/>
      <c r="F5225"/>
      <c r="L5225" s="1"/>
      <c r="N5225" s="44"/>
    </row>
    <row r="5226" spans="1:14" x14ac:dyDescent="0.3">
      <c r="A5226" s="42"/>
      <c r="C5226" s="52"/>
      <c r="D5226"/>
      <c r="E5226"/>
      <c r="F5226"/>
      <c r="L5226" s="1"/>
      <c r="N5226" s="44"/>
    </row>
    <row r="5227" spans="1:14" x14ac:dyDescent="0.3">
      <c r="A5227" s="42"/>
      <c r="C5227" s="52"/>
      <c r="D5227"/>
      <c r="E5227"/>
      <c r="F5227"/>
      <c r="L5227" s="1"/>
      <c r="N5227" s="44"/>
    </row>
    <row r="5228" spans="1:14" x14ac:dyDescent="0.3">
      <c r="A5228" s="42"/>
      <c r="C5228" s="52"/>
      <c r="D5228"/>
      <c r="E5228"/>
      <c r="F5228"/>
      <c r="L5228" s="1"/>
      <c r="N5228" s="44"/>
    </row>
    <row r="5229" spans="1:14" x14ac:dyDescent="0.3">
      <c r="A5229" s="42"/>
      <c r="C5229" s="52"/>
      <c r="D5229"/>
      <c r="E5229"/>
      <c r="F5229"/>
      <c r="L5229" s="54"/>
      <c r="N5229" s="44"/>
    </row>
    <row r="5230" spans="1:14" x14ac:dyDescent="0.3">
      <c r="A5230" s="42"/>
      <c r="C5230" s="52"/>
      <c r="D5230"/>
      <c r="E5230"/>
      <c r="F5230"/>
      <c r="L5230" s="1"/>
      <c r="N5230" s="44"/>
    </row>
    <row r="5231" spans="1:14" x14ac:dyDescent="0.3">
      <c r="A5231" s="42"/>
      <c r="C5231" s="52"/>
      <c r="D5231"/>
      <c r="E5231"/>
      <c r="F5231"/>
      <c r="L5231" s="1"/>
      <c r="N5231" s="44"/>
    </row>
    <row r="5232" spans="1:14" x14ac:dyDescent="0.3">
      <c r="A5232" s="42"/>
      <c r="C5232" s="52"/>
      <c r="D5232"/>
      <c r="E5232"/>
      <c r="F5232"/>
      <c r="L5232" s="1"/>
      <c r="N5232" s="44"/>
    </row>
    <row r="5233" spans="1:14" x14ac:dyDescent="0.3">
      <c r="A5233" s="42"/>
      <c r="C5233" s="52"/>
      <c r="D5233"/>
      <c r="E5233"/>
      <c r="F5233"/>
      <c r="L5233" s="54"/>
      <c r="N5233" s="44"/>
    </row>
    <row r="5234" spans="1:14" x14ac:dyDescent="0.3">
      <c r="A5234" s="42"/>
      <c r="C5234" s="52"/>
      <c r="D5234"/>
      <c r="E5234"/>
      <c r="F5234"/>
      <c r="L5234" s="1"/>
      <c r="N5234" s="44"/>
    </row>
    <row r="5235" spans="1:14" x14ac:dyDescent="0.3">
      <c r="A5235" s="42"/>
      <c r="C5235" s="52"/>
      <c r="D5235"/>
      <c r="E5235"/>
      <c r="F5235"/>
      <c r="L5235" s="1"/>
      <c r="N5235" s="44"/>
    </row>
    <row r="5236" spans="1:14" x14ac:dyDescent="0.3">
      <c r="A5236" s="42"/>
      <c r="C5236" s="52"/>
      <c r="D5236"/>
      <c r="E5236"/>
      <c r="F5236"/>
      <c r="L5236" s="54"/>
      <c r="N5236" s="44"/>
    </row>
    <row r="5237" spans="1:14" x14ac:dyDescent="0.3">
      <c r="A5237" s="42"/>
      <c r="C5237" s="52"/>
      <c r="D5237"/>
      <c r="E5237"/>
      <c r="F5237"/>
      <c r="L5237" s="1"/>
      <c r="N5237" s="44"/>
    </row>
    <row r="5238" spans="1:14" x14ac:dyDescent="0.3">
      <c r="A5238" s="42"/>
      <c r="C5238" s="52"/>
      <c r="D5238"/>
      <c r="E5238"/>
      <c r="F5238"/>
      <c r="L5238" s="1"/>
      <c r="N5238" s="44"/>
    </row>
    <row r="5239" spans="1:14" x14ac:dyDescent="0.3">
      <c r="A5239" s="42"/>
      <c r="C5239" s="52"/>
      <c r="D5239"/>
      <c r="E5239"/>
      <c r="F5239"/>
      <c r="L5239" s="1"/>
      <c r="N5239" s="44"/>
    </row>
    <row r="5240" spans="1:14" x14ac:dyDescent="0.3">
      <c r="A5240" s="42"/>
      <c r="C5240" s="52"/>
      <c r="D5240"/>
      <c r="E5240"/>
      <c r="F5240"/>
      <c r="L5240" s="1"/>
      <c r="N5240" s="44"/>
    </row>
    <row r="5241" spans="1:14" x14ac:dyDescent="0.3">
      <c r="A5241" s="42"/>
      <c r="C5241" s="52"/>
      <c r="D5241"/>
      <c r="E5241"/>
      <c r="F5241"/>
      <c r="L5241" s="1"/>
      <c r="N5241" s="44"/>
    </row>
    <row r="5242" spans="1:14" x14ac:dyDescent="0.3">
      <c r="A5242" s="42"/>
      <c r="C5242" s="52"/>
      <c r="D5242"/>
      <c r="E5242"/>
      <c r="F5242"/>
      <c r="L5242" s="1"/>
      <c r="N5242" s="44"/>
    </row>
    <row r="5243" spans="1:14" x14ac:dyDescent="0.3">
      <c r="A5243" s="42"/>
      <c r="C5243" s="52"/>
      <c r="D5243"/>
      <c r="E5243"/>
      <c r="F5243"/>
      <c r="L5243" s="1"/>
      <c r="N5243" s="44"/>
    </row>
    <row r="5244" spans="1:14" x14ac:dyDescent="0.3">
      <c r="A5244" s="42"/>
      <c r="C5244" s="52"/>
      <c r="D5244"/>
      <c r="E5244"/>
      <c r="F5244"/>
      <c r="L5244" s="1"/>
      <c r="N5244" s="44"/>
    </row>
    <row r="5245" spans="1:14" x14ac:dyDescent="0.3">
      <c r="A5245" s="42"/>
      <c r="C5245" s="52"/>
      <c r="D5245"/>
      <c r="E5245"/>
      <c r="F5245"/>
      <c r="L5245" s="54"/>
      <c r="N5245" s="44"/>
    </row>
    <row r="5246" spans="1:14" x14ac:dyDescent="0.3">
      <c r="A5246" s="42"/>
      <c r="C5246" s="52"/>
      <c r="D5246"/>
      <c r="E5246"/>
      <c r="F5246"/>
      <c r="L5246" s="1"/>
      <c r="N5246" s="44"/>
    </row>
    <row r="5247" spans="1:14" x14ac:dyDescent="0.3">
      <c r="A5247" s="42"/>
      <c r="C5247" s="52"/>
      <c r="D5247"/>
      <c r="E5247"/>
      <c r="F5247"/>
      <c r="L5247" s="1"/>
      <c r="N5247" s="44"/>
    </row>
    <row r="5248" spans="1:14" x14ac:dyDescent="0.3">
      <c r="A5248" s="42"/>
      <c r="C5248" s="52"/>
      <c r="D5248"/>
      <c r="E5248"/>
      <c r="F5248"/>
      <c r="L5248" s="1"/>
      <c r="N5248" s="44"/>
    </row>
    <row r="5249" spans="1:14" x14ac:dyDescent="0.3">
      <c r="A5249" s="42"/>
      <c r="C5249" s="52"/>
      <c r="D5249"/>
      <c r="E5249"/>
      <c r="F5249"/>
      <c r="L5249" s="54"/>
      <c r="N5249" s="44"/>
    </row>
    <row r="5250" spans="1:14" x14ac:dyDescent="0.3">
      <c r="A5250" s="42"/>
      <c r="C5250" s="52"/>
      <c r="D5250"/>
      <c r="E5250"/>
      <c r="F5250"/>
      <c r="L5250" s="1"/>
      <c r="N5250" s="44"/>
    </row>
    <row r="5251" spans="1:14" x14ac:dyDescent="0.3">
      <c r="A5251" s="42"/>
      <c r="C5251" s="52"/>
      <c r="D5251"/>
      <c r="E5251"/>
      <c r="F5251"/>
      <c r="L5251" s="1"/>
      <c r="N5251" s="44"/>
    </row>
    <row r="5252" spans="1:14" x14ac:dyDescent="0.3">
      <c r="A5252" s="42"/>
      <c r="C5252" s="52"/>
      <c r="D5252"/>
      <c r="E5252"/>
      <c r="F5252"/>
      <c r="L5252" s="1"/>
      <c r="N5252" s="44"/>
    </row>
    <row r="5253" spans="1:14" x14ac:dyDescent="0.3">
      <c r="A5253" s="42"/>
      <c r="C5253" s="52"/>
      <c r="D5253"/>
      <c r="E5253"/>
      <c r="F5253"/>
      <c r="L5253" s="1"/>
      <c r="N5253" s="44"/>
    </row>
    <row r="5254" spans="1:14" x14ac:dyDescent="0.3">
      <c r="A5254" s="42"/>
      <c r="C5254" s="52"/>
      <c r="D5254"/>
      <c r="E5254"/>
      <c r="F5254"/>
      <c r="L5254" s="1"/>
      <c r="N5254" s="44"/>
    </row>
    <row r="5255" spans="1:14" x14ac:dyDescent="0.3">
      <c r="A5255" s="42"/>
      <c r="C5255" s="52"/>
      <c r="D5255"/>
      <c r="E5255"/>
      <c r="F5255"/>
      <c r="L5255" s="1"/>
      <c r="N5255" s="44"/>
    </row>
    <row r="5256" spans="1:14" x14ac:dyDescent="0.3">
      <c r="A5256" s="42"/>
      <c r="C5256" s="52"/>
      <c r="D5256"/>
      <c r="E5256"/>
      <c r="F5256"/>
      <c r="L5256" s="1"/>
      <c r="N5256" s="44"/>
    </row>
    <row r="5257" spans="1:14" x14ac:dyDescent="0.3">
      <c r="A5257" s="42"/>
      <c r="C5257" s="52"/>
      <c r="D5257"/>
      <c r="E5257"/>
      <c r="F5257"/>
      <c r="L5257" s="1"/>
      <c r="N5257" s="44"/>
    </row>
    <row r="5258" spans="1:14" x14ac:dyDescent="0.3">
      <c r="A5258" s="42"/>
      <c r="C5258" s="52"/>
      <c r="D5258"/>
      <c r="E5258"/>
      <c r="F5258"/>
      <c r="L5258" s="1"/>
      <c r="N5258" s="44"/>
    </row>
    <row r="5259" spans="1:14" x14ac:dyDescent="0.3">
      <c r="A5259" s="42"/>
      <c r="C5259" s="52"/>
      <c r="D5259"/>
      <c r="E5259"/>
      <c r="F5259"/>
      <c r="L5259" s="1"/>
      <c r="N5259" s="44"/>
    </row>
    <row r="5260" spans="1:14" x14ac:dyDescent="0.3">
      <c r="A5260" s="42"/>
      <c r="C5260" s="52"/>
      <c r="D5260"/>
      <c r="E5260"/>
      <c r="F5260"/>
      <c r="L5260" s="54"/>
      <c r="N5260" s="44"/>
    </row>
    <row r="5261" spans="1:14" x14ac:dyDescent="0.3">
      <c r="A5261" s="42"/>
      <c r="C5261" s="52"/>
      <c r="D5261"/>
      <c r="E5261"/>
      <c r="F5261"/>
      <c r="L5261" s="54"/>
      <c r="N5261" s="44"/>
    </row>
    <row r="5262" spans="1:14" x14ac:dyDescent="0.3">
      <c r="A5262" s="42"/>
      <c r="C5262" s="52"/>
      <c r="D5262"/>
      <c r="E5262"/>
      <c r="F5262"/>
      <c r="L5262" s="1"/>
      <c r="N5262" s="44"/>
    </row>
    <row r="5263" spans="1:14" x14ac:dyDescent="0.3">
      <c r="A5263" s="42"/>
      <c r="C5263" s="52"/>
      <c r="D5263"/>
      <c r="E5263"/>
      <c r="F5263"/>
      <c r="L5263" s="54"/>
      <c r="N5263" s="44"/>
    </row>
    <row r="5264" spans="1:14" x14ac:dyDescent="0.3">
      <c r="A5264" s="42"/>
      <c r="C5264" s="52"/>
      <c r="D5264"/>
      <c r="E5264"/>
      <c r="F5264"/>
      <c r="L5264" s="1"/>
      <c r="N5264" s="44"/>
    </row>
    <row r="5265" spans="1:14" x14ac:dyDescent="0.3">
      <c r="A5265" s="42"/>
      <c r="C5265" s="52"/>
      <c r="D5265"/>
      <c r="E5265"/>
      <c r="F5265"/>
      <c r="L5265" s="1"/>
      <c r="N5265" s="44"/>
    </row>
    <row r="5266" spans="1:14" x14ac:dyDescent="0.3">
      <c r="A5266" s="42"/>
      <c r="C5266" s="52"/>
      <c r="D5266"/>
      <c r="E5266"/>
      <c r="F5266"/>
      <c r="L5266" s="1"/>
      <c r="N5266" s="44"/>
    </row>
    <row r="5267" spans="1:14" x14ac:dyDescent="0.3">
      <c r="A5267" s="42"/>
      <c r="C5267" s="52"/>
      <c r="D5267"/>
      <c r="E5267"/>
      <c r="F5267"/>
      <c r="L5267" s="1"/>
      <c r="N5267" s="44"/>
    </row>
    <row r="5268" spans="1:14" x14ac:dyDescent="0.3">
      <c r="A5268" s="42"/>
      <c r="C5268" s="52"/>
      <c r="D5268"/>
      <c r="E5268"/>
      <c r="F5268"/>
      <c r="L5268" s="1"/>
      <c r="N5268" s="44"/>
    </row>
    <row r="5269" spans="1:14" x14ac:dyDescent="0.3">
      <c r="A5269" s="42"/>
      <c r="C5269" s="52"/>
      <c r="D5269"/>
      <c r="E5269"/>
      <c r="F5269"/>
      <c r="L5269" s="54"/>
      <c r="N5269" s="44"/>
    </row>
    <row r="5270" spans="1:14" x14ac:dyDescent="0.3">
      <c r="A5270" s="42"/>
      <c r="C5270" s="52"/>
      <c r="D5270"/>
      <c r="E5270"/>
      <c r="F5270"/>
      <c r="L5270" s="1"/>
      <c r="N5270" s="44"/>
    </row>
    <row r="5271" spans="1:14" x14ac:dyDescent="0.3">
      <c r="A5271" s="42"/>
      <c r="C5271" s="52"/>
      <c r="D5271"/>
      <c r="E5271"/>
      <c r="F5271"/>
      <c r="L5271" s="1"/>
      <c r="N5271" s="44"/>
    </row>
    <row r="5272" spans="1:14" x14ac:dyDescent="0.3">
      <c r="A5272" s="42"/>
      <c r="C5272" s="52"/>
      <c r="D5272"/>
      <c r="E5272"/>
      <c r="F5272"/>
      <c r="L5272" s="1"/>
      <c r="N5272" s="44"/>
    </row>
    <row r="5273" spans="1:14" x14ac:dyDescent="0.3">
      <c r="A5273" s="42"/>
      <c r="C5273" s="52"/>
      <c r="D5273"/>
      <c r="E5273"/>
      <c r="F5273"/>
      <c r="L5273" s="1"/>
      <c r="N5273" s="44"/>
    </row>
    <row r="5274" spans="1:14" x14ac:dyDescent="0.3">
      <c r="A5274" s="42"/>
      <c r="C5274" s="52"/>
      <c r="D5274"/>
      <c r="E5274"/>
      <c r="F5274"/>
      <c r="L5274" s="1"/>
      <c r="N5274" s="44"/>
    </row>
    <row r="5275" spans="1:14" x14ac:dyDescent="0.3">
      <c r="A5275" s="42"/>
      <c r="C5275" s="52"/>
      <c r="D5275"/>
      <c r="E5275"/>
      <c r="F5275"/>
      <c r="L5275" s="1"/>
      <c r="N5275" s="44"/>
    </row>
    <row r="5276" spans="1:14" x14ac:dyDescent="0.3">
      <c r="A5276" s="42"/>
      <c r="C5276" s="52"/>
      <c r="D5276"/>
      <c r="E5276"/>
      <c r="F5276"/>
      <c r="L5276" s="1"/>
      <c r="N5276" s="44"/>
    </row>
    <row r="5277" spans="1:14" x14ac:dyDescent="0.3">
      <c r="A5277" s="42"/>
      <c r="C5277" s="52"/>
      <c r="D5277"/>
      <c r="E5277"/>
      <c r="F5277"/>
      <c r="L5277" s="1"/>
      <c r="N5277" s="44"/>
    </row>
    <row r="5278" spans="1:14" x14ac:dyDescent="0.3">
      <c r="A5278" s="42"/>
      <c r="C5278" s="52"/>
      <c r="D5278"/>
      <c r="E5278"/>
      <c r="F5278"/>
      <c r="L5278" s="1"/>
      <c r="N5278" s="44"/>
    </row>
    <row r="5279" spans="1:14" x14ac:dyDescent="0.3">
      <c r="A5279" s="42"/>
      <c r="C5279" s="52"/>
      <c r="D5279"/>
      <c r="E5279"/>
      <c r="F5279"/>
      <c r="L5279" s="1"/>
      <c r="N5279" s="44"/>
    </row>
    <row r="5280" spans="1:14" x14ac:dyDescent="0.3">
      <c r="A5280" s="42"/>
      <c r="C5280" s="52"/>
      <c r="D5280"/>
      <c r="E5280"/>
      <c r="F5280"/>
      <c r="L5280" s="1"/>
      <c r="N5280" s="44"/>
    </row>
    <row r="5281" spans="1:14" x14ac:dyDescent="0.3">
      <c r="A5281" s="42"/>
      <c r="C5281" s="52"/>
      <c r="D5281"/>
      <c r="E5281"/>
      <c r="F5281"/>
      <c r="L5281" s="54"/>
      <c r="N5281" s="44"/>
    </row>
    <row r="5282" spans="1:14" x14ac:dyDescent="0.3">
      <c r="A5282" s="42"/>
      <c r="C5282" s="52"/>
      <c r="D5282"/>
      <c r="E5282"/>
      <c r="F5282"/>
      <c r="L5282" s="54"/>
      <c r="N5282" s="44"/>
    </row>
    <row r="5283" spans="1:14" x14ac:dyDescent="0.3">
      <c r="A5283" s="42"/>
      <c r="C5283" s="52"/>
      <c r="D5283"/>
      <c r="E5283"/>
      <c r="F5283"/>
      <c r="L5283" s="1"/>
      <c r="N5283" s="44"/>
    </row>
    <row r="5284" spans="1:14" x14ac:dyDescent="0.3">
      <c r="A5284" s="42"/>
      <c r="C5284" s="52"/>
      <c r="D5284"/>
      <c r="E5284"/>
      <c r="F5284"/>
      <c r="L5284" s="1"/>
      <c r="N5284" s="44"/>
    </row>
    <row r="5285" spans="1:14" x14ac:dyDescent="0.3">
      <c r="A5285" s="42"/>
      <c r="C5285" s="52"/>
      <c r="D5285"/>
      <c r="E5285"/>
      <c r="F5285"/>
      <c r="L5285" s="1"/>
      <c r="N5285" s="44"/>
    </row>
    <row r="5286" spans="1:14" x14ac:dyDescent="0.3">
      <c r="A5286" s="42"/>
      <c r="C5286" s="52"/>
      <c r="D5286"/>
      <c r="E5286"/>
      <c r="F5286"/>
      <c r="L5286" s="1"/>
      <c r="N5286" s="44"/>
    </row>
    <row r="5287" spans="1:14" x14ac:dyDescent="0.3">
      <c r="A5287" s="42"/>
      <c r="C5287" s="52"/>
      <c r="D5287"/>
      <c r="E5287"/>
      <c r="F5287"/>
      <c r="L5287" s="1"/>
      <c r="N5287" s="44"/>
    </row>
    <row r="5288" spans="1:14" x14ac:dyDescent="0.3">
      <c r="A5288" s="42"/>
      <c r="C5288" s="52"/>
      <c r="D5288"/>
      <c r="E5288"/>
      <c r="F5288"/>
      <c r="L5288" s="1"/>
      <c r="N5288" s="44"/>
    </row>
    <row r="5289" spans="1:14" x14ac:dyDescent="0.3">
      <c r="A5289" s="42"/>
      <c r="C5289" s="52"/>
      <c r="D5289"/>
      <c r="E5289"/>
      <c r="F5289"/>
      <c r="L5289" s="1"/>
      <c r="N5289" s="44"/>
    </row>
    <row r="5290" spans="1:14" x14ac:dyDescent="0.3">
      <c r="A5290" s="42"/>
      <c r="C5290" s="52"/>
      <c r="D5290"/>
      <c r="E5290"/>
      <c r="F5290"/>
      <c r="L5290" s="54"/>
      <c r="N5290" s="44"/>
    </row>
    <row r="5291" spans="1:14" x14ac:dyDescent="0.3">
      <c r="A5291" s="42"/>
      <c r="C5291" s="52"/>
      <c r="D5291"/>
      <c r="E5291"/>
      <c r="F5291"/>
      <c r="L5291" s="54"/>
      <c r="N5291" s="44"/>
    </row>
    <row r="5292" spans="1:14" x14ac:dyDescent="0.3">
      <c r="A5292" s="42"/>
      <c r="C5292" s="52"/>
      <c r="D5292"/>
      <c r="E5292"/>
      <c r="F5292"/>
      <c r="L5292" s="54"/>
      <c r="N5292" s="44"/>
    </row>
    <row r="5293" spans="1:14" x14ac:dyDescent="0.3">
      <c r="A5293" s="42"/>
      <c r="C5293" s="52"/>
      <c r="D5293"/>
      <c r="E5293"/>
      <c r="F5293"/>
      <c r="L5293" s="1"/>
      <c r="N5293" s="44"/>
    </row>
    <row r="5294" spans="1:14" x14ac:dyDescent="0.3">
      <c r="A5294" s="42"/>
      <c r="C5294" s="52"/>
      <c r="D5294"/>
      <c r="E5294"/>
      <c r="F5294"/>
      <c r="L5294" s="1"/>
      <c r="N5294" s="44"/>
    </row>
    <row r="5295" spans="1:14" x14ac:dyDescent="0.3">
      <c r="A5295" s="42"/>
      <c r="C5295" s="52"/>
      <c r="D5295"/>
      <c r="E5295"/>
      <c r="F5295"/>
      <c r="L5295" s="1"/>
      <c r="N5295" s="44"/>
    </row>
    <row r="5296" spans="1:14" x14ac:dyDescent="0.3">
      <c r="A5296" s="42"/>
      <c r="C5296" s="52"/>
      <c r="D5296"/>
      <c r="E5296"/>
      <c r="F5296"/>
      <c r="L5296" s="1"/>
      <c r="N5296" s="44"/>
    </row>
    <row r="5297" spans="1:14" x14ac:dyDescent="0.3">
      <c r="A5297" s="42"/>
      <c r="C5297" s="52"/>
      <c r="D5297"/>
      <c r="E5297"/>
      <c r="F5297"/>
      <c r="L5297" s="1"/>
      <c r="N5297" s="44"/>
    </row>
    <row r="5298" spans="1:14" x14ac:dyDescent="0.3">
      <c r="A5298" s="42"/>
      <c r="C5298" s="52"/>
      <c r="D5298"/>
      <c r="E5298"/>
      <c r="F5298"/>
      <c r="L5298" s="1"/>
      <c r="N5298" s="44"/>
    </row>
    <row r="5299" spans="1:14" x14ac:dyDescent="0.3">
      <c r="A5299" s="42"/>
      <c r="C5299" s="52"/>
      <c r="D5299"/>
      <c r="E5299"/>
      <c r="F5299"/>
      <c r="L5299" s="1"/>
      <c r="N5299" s="44"/>
    </row>
    <row r="5300" spans="1:14" x14ac:dyDescent="0.3">
      <c r="A5300" s="42"/>
      <c r="C5300" s="52"/>
      <c r="D5300"/>
      <c r="E5300"/>
      <c r="F5300"/>
      <c r="L5300" s="1"/>
      <c r="N5300" s="44"/>
    </row>
    <row r="5301" spans="1:14" x14ac:dyDescent="0.3">
      <c r="A5301" s="42"/>
      <c r="C5301" s="52"/>
      <c r="D5301"/>
      <c r="E5301"/>
      <c r="F5301"/>
      <c r="L5301" s="1"/>
      <c r="N5301" s="44"/>
    </row>
    <row r="5302" spans="1:14" x14ac:dyDescent="0.3">
      <c r="A5302" s="42"/>
      <c r="C5302" s="52"/>
      <c r="D5302"/>
      <c r="E5302"/>
      <c r="F5302"/>
      <c r="L5302" s="1"/>
      <c r="N5302" s="44"/>
    </row>
    <row r="5303" spans="1:14" x14ac:dyDescent="0.3">
      <c r="A5303" s="42"/>
      <c r="C5303" s="52"/>
      <c r="D5303"/>
      <c r="E5303"/>
      <c r="F5303"/>
      <c r="L5303" s="1"/>
      <c r="N5303" s="44"/>
    </row>
    <row r="5304" spans="1:14" x14ac:dyDescent="0.3">
      <c r="A5304" s="42"/>
      <c r="C5304" s="52"/>
      <c r="D5304"/>
      <c r="E5304"/>
      <c r="F5304"/>
      <c r="L5304" s="1"/>
      <c r="N5304" s="44"/>
    </row>
    <row r="5305" spans="1:14" x14ac:dyDescent="0.3">
      <c r="A5305" s="42"/>
      <c r="C5305" s="52"/>
      <c r="D5305"/>
      <c r="E5305"/>
      <c r="F5305"/>
      <c r="L5305" s="1"/>
      <c r="N5305" s="44"/>
    </row>
    <row r="5306" spans="1:14" x14ac:dyDescent="0.3">
      <c r="A5306" s="42"/>
      <c r="C5306" s="52"/>
      <c r="D5306"/>
      <c r="E5306"/>
      <c r="F5306"/>
      <c r="L5306" s="1"/>
      <c r="N5306" s="44"/>
    </row>
    <row r="5307" spans="1:14" x14ac:dyDescent="0.3">
      <c r="A5307" s="42"/>
      <c r="C5307" s="52"/>
      <c r="D5307"/>
      <c r="E5307"/>
      <c r="F5307"/>
      <c r="L5307" s="54"/>
      <c r="N5307" s="44"/>
    </row>
    <row r="5308" spans="1:14" x14ac:dyDescent="0.3">
      <c r="A5308" s="42"/>
      <c r="C5308" s="52"/>
      <c r="D5308"/>
      <c r="E5308"/>
      <c r="F5308"/>
      <c r="L5308" s="54"/>
      <c r="N5308" s="44"/>
    </row>
    <row r="5309" spans="1:14" x14ac:dyDescent="0.3">
      <c r="A5309" s="42"/>
      <c r="C5309" s="52"/>
      <c r="D5309"/>
      <c r="E5309"/>
      <c r="F5309"/>
      <c r="L5309" s="1"/>
      <c r="N5309" s="44"/>
    </row>
    <row r="5310" spans="1:14" x14ac:dyDescent="0.3">
      <c r="A5310" s="42"/>
      <c r="C5310" s="52"/>
      <c r="D5310"/>
      <c r="E5310"/>
      <c r="F5310"/>
      <c r="L5310" s="54"/>
      <c r="N5310" s="44"/>
    </row>
    <row r="5311" spans="1:14" x14ac:dyDescent="0.3">
      <c r="A5311" s="42"/>
      <c r="C5311" s="52"/>
      <c r="D5311"/>
      <c r="E5311"/>
      <c r="F5311"/>
      <c r="L5311" s="1"/>
      <c r="N5311" s="44"/>
    </row>
    <row r="5312" spans="1:14" x14ac:dyDescent="0.3">
      <c r="A5312" s="42"/>
      <c r="C5312" s="52"/>
      <c r="D5312"/>
      <c r="E5312"/>
      <c r="F5312"/>
      <c r="L5312" s="1"/>
      <c r="N5312" s="44"/>
    </row>
    <row r="5313" spans="1:14" x14ac:dyDescent="0.3">
      <c r="A5313" s="42"/>
      <c r="C5313" s="52"/>
      <c r="D5313"/>
      <c r="E5313"/>
      <c r="F5313"/>
      <c r="L5313" s="1"/>
      <c r="N5313" s="44"/>
    </row>
    <row r="5314" spans="1:14" x14ac:dyDescent="0.3">
      <c r="A5314" s="42"/>
      <c r="C5314" s="52"/>
      <c r="D5314"/>
      <c r="E5314"/>
      <c r="F5314"/>
      <c r="L5314" s="54"/>
      <c r="N5314" s="44"/>
    </row>
    <row r="5315" spans="1:14" x14ac:dyDescent="0.3">
      <c r="A5315" s="42"/>
      <c r="C5315" s="52"/>
      <c r="D5315"/>
      <c r="E5315"/>
      <c r="F5315"/>
      <c r="L5315" s="1"/>
      <c r="N5315" s="44"/>
    </row>
    <row r="5316" spans="1:14" x14ac:dyDescent="0.3">
      <c r="A5316" s="42"/>
      <c r="C5316" s="52"/>
      <c r="D5316"/>
      <c r="E5316"/>
      <c r="F5316"/>
      <c r="L5316" s="1"/>
      <c r="N5316" s="44"/>
    </row>
    <row r="5317" spans="1:14" x14ac:dyDescent="0.3">
      <c r="A5317" s="42"/>
      <c r="C5317" s="52"/>
      <c r="D5317"/>
      <c r="E5317"/>
      <c r="F5317"/>
      <c r="L5317" s="1"/>
      <c r="N5317" s="44"/>
    </row>
    <row r="5318" spans="1:14" x14ac:dyDescent="0.3">
      <c r="A5318" s="42"/>
      <c r="C5318" s="52"/>
      <c r="D5318"/>
      <c r="E5318"/>
      <c r="F5318"/>
      <c r="L5318" s="1"/>
      <c r="N5318" s="44"/>
    </row>
    <row r="5319" spans="1:14" x14ac:dyDescent="0.3">
      <c r="A5319" s="42"/>
      <c r="C5319" s="52"/>
      <c r="D5319"/>
      <c r="E5319"/>
      <c r="F5319"/>
      <c r="L5319" s="1"/>
      <c r="N5319" s="44"/>
    </row>
    <row r="5320" spans="1:14" x14ac:dyDescent="0.3">
      <c r="A5320" s="42"/>
      <c r="C5320" s="52"/>
      <c r="D5320"/>
      <c r="E5320"/>
      <c r="F5320"/>
      <c r="L5320" s="1"/>
      <c r="N5320" s="44"/>
    </row>
    <row r="5321" spans="1:14" x14ac:dyDescent="0.3">
      <c r="A5321" s="42"/>
      <c r="C5321" s="52"/>
      <c r="D5321"/>
      <c r="E5321"/>
      <c r="F5321"/>
      <c r="L5321" s="1"/>
      <c r="N5321" s="44"/>
    </row>
    <row r="5322" spans="1:14" x14ac:dyDescent="0.3">
      <c r="A5322" s="42"/>
      <c r="C5322" s="52"/>
      <c r="D5322"/>
      <c r="E5322"/>
      <c r="F5322"/>
      <c r="L5322" s="54"/>
      <c r="N5322" s="44"/>
    </row>
    <row r="5323" spans="1:14" x14ac:dyDescent="0.3">
      <c r="A5323" s="42"/>
      <c r="C5323" s="52"/>
      <c r="D5323"/>
      <c r="E5323"/>
      <c r="F5323"/>
      <c r="L5323" s="1"/>
      <c r="N5323" s="44"/>
    </row>
    <row r="5324" spans="1:14" x14ac:dyDescent="0.3">
      <c r="A5324" s="42"/>
      <c r="C5324" s="52"/>
      <c r="D5324"/>
      <c r="E5324"/>
      <c r="F5324"/>
      <c r="L5324" s="1"/>
      <c r="N5324" s="44"/>
    </row>
    <row r="5325" spans="1:14" x14ac:dyDescent="0.3">
      <c r="A5325" s="42"/>
      <c r="C5325" s="52"/>
      <c r="D5325"/>
      <c r="E5325"/>
      <c r="F5325"/>
      <c r="L5325" s="1"/>
      <c r="N5325" s="44"/>
    </row>
    <row r="5326" spans="1:14" x14ac:dyDescent="0.3">
      <c r="A5326" s="42"/>
      <c r="C5326" s="52"/>
      <c r="D5326"/>
      <c r="E5326"/>
      <c r="F5326"/>
      <c r="L5326" s="1"/>
      <c r="N5326" s="44"/>
    </row>
    <row r="5327" spans="1:14" x14ac:dyDescent="0.3">
      <c r="A5327" s="42"/>
      <c r="C5327" s="52"/>
      <c r="D5327"/>
      <c r="E5327"/>
      <c r="F5327"/>
      <c r="L5327" s="1"/>
      <c r="N5327" s="44"/>
    </row>
    <row r="5328" spans="1:14" x14ac:dyDescent="0.3">
      <c r="A5328" s="42"/>
      <c r="C5328" s="52"/>
      <c r="D5328"/>
      <c r="E5328"/>
      <c r="F5328"/>
      <c r="L5328" s="1"/>
      <c r="N5328" s="44"/>
    </row>
    <row r="5329" spans="1:14" x14ac:dyDescent="0.3">
      <c r="A5329" s="42"/>
      <c r="C5329" s="52"/>
      <c r="D5329"/>
      <c r="E5329"/>
      <c r="F5329"/>
      <c r="L5329" s="1"/>
      <c r="N5329" s="44"/>
    </row>
    <row r="5330" spans="1:14" x14ac:dyDescent="0.3">
      <c r="A5330" s="42"/>
      <c r="C5330" s="52"/>
      <c r="D5330"/>
      <c r="E5330"/>
      <c r="F5330"/>
      <c r="L5330" s="1"/>
      <c r="N5330" s="44"/>
    </row>
    <row r="5331" spans="1:14" x14ac:dyDescent="0.3">
      <c r="A5331" s="42"/>
      <c r="C5331" s="52"/>
      <c r="D5331"/>
      <c r="E5331"/>
      <c r="F5331"/>
      <c r="L5331" s="54"/>
      <c r="N5331" s="44"/>
    </row>
    <row r="5332" spans="1:14" x14ac:dyDescent="0.3">
      <c r="A5332" s="42"/>
      <c r="C5332" s="52"/>
      <c r="D5332"/>
      <c r="E5332"/>
      <c r="F5332"/>
      <c r="L5332" s="1"/>
      <c r="N5332" s="44"/>
    </row>
    <row r="5333" spans="1:14" x14ac:dyDescent="0.3">
      <c r="A5333" s="42"/>
      <c r="C5333" s="52"/>
      <c r="D5333"/>
      <c r="E5333"/>
      <c r="F5333"/>
      <c r="L5333" s="1"/>
      <c r="N5333" s="44"/>
    </row>
    <row r="5334" spans="1:14" x14ac:dyDescent="0.3">
      <c r="A5334" s="42"/>
      <c r="C5334" s="52"/>
      <c r="D5334"/>
      <c r="E5334"/>
      <c r="F5334"/>
      <c r="L5334" s="1"/>
      <c r="N5334" s="44"/>
    </row>
    <row r="5335" spans="1:14" x14ac:dyDescent="0.3">
      <c r="A5335" s="42"/>
      <c r="C5335" s="52"/>
      <c r="D5335"/>
      <c r="E5335"/>
      <c r="F5335"/>
      <c r="N5335" s="44"/>
    </row>
    <row r="5336" spans="1:14" x14ac:dyDescent="0.3">
      <c r="A5336" s="42"/>
      <c r="C5336" s="52"/>
      <c r="D5336"/>
      <c r="E5336"/>
      <c r="F5336"/>
      <c r="N5336" s="44"/>
    </row>
    <row r="5337" spans="1:14" x14ac:dyDescent="0.3">
      <c r="A5337" s="42"/>
      <c r="C5337" s="52"/>
      <c r="D5337"/>
      <c r="E5337"/>
      <c r="F5337"/>
      <c r="N5337" s="44"/>
    </row>
    <row r="5338" spans="1:14" x14ac:dyDescent="0.3">
      <c r="A5338" s="42"/>
      <c r="C5338" s="52"/>
      <c r="D5338"/>
      <c r="E5338"/>
      <c r="F5338"/>
      <c r="N5338" s="44"/>
    </row>
    <row r="5339" spans="1:14" x14ac:dyDescent="0.3">
      <c r="A5339" s="42"/>
      <c r="C5339" s="52"/>
      <c r="D5339"/>
      <c r="E5339"/>
      <c r="F5339"/>
      <c r="N5339" s="44"/>
    </row>
    <row r="5340" spans="1:14" x14ac:dyDescent="0.3">
      <c r="A5340" s="42"/>
      <c r="C5340" s="52"/>
      <c r="D5340"/>
      <c r="E5340"/>
      <c r="F5340"/>
      <c r="N5340" s="44"/>
    </row>
    <row r="5341" spans="1:14" x14ac:dyDescent="0.3">
      <c r="A5341" s="42"/>
      <c r="C5341" s="52"/>
      <c r="D5341"/>
      <c r="E5341"/>
      <c r="F5341"/>
      <c r="N5341" s="44"/>
    </row>
    <row r="5342" spans="1:14" x14ac:dyDescent="0.3">
      <c r="A5342" s="42"/>
      <c r="C5342" s="52"/>
      <c r="D5342"/>
      <c r="E5342"/>
      <c r="F5342"/>
      <c r="N5342" s="44"/>
    </row>
    <row r="5343" spans="1:14" x14ac:dyDescent="0.3">
      <c r="A5343" s="42"/>
      <c r="C5343" s="52"/>
      <c r="D5343"/>
      <c r="E5343"/>
      <c r="F5343"/>
      <c r="N5343" s="44"/>
    </row>
    <row r="5344" spans="1:14" x14ac:dyDescent="0.3">
      <c r="A5344" s="42"/>
      <c r="C5344" s="52"/>
      <c r="D5344"/>
      <c r="E5344"/>
      <c r="F5344"/>
      <c r="N5344" s="44"/>
    </row>
    <row r="5345" spans="1:14" x14ac:dyDescent="0.3">
      <c r="A5345" s="42"/>
      <c r="C5345" s="52"/>
      <c r="D5345"/>
      <c r="E5345"/>
      <c r="F5345"/>
      <c r="N5345" s="44"/>
    </row>
    <row r="5346" spans="1:14" x14ac:dyDescent="0.3">
      <c r="A5346" s="42"/>
      <c r="C5346" s="52"/>
      <c r="D5346"/>
      <c r="E5346"/>
      <c r="F5346"/>
      <c r="N5346" s="44"/>
    </row>
    <row r="5347" spans="1:14" x14ac:dyDescent="0.3">
      <c r="A5347" s="42"/>
      <c r="C5347" s="52"/>
      <c r="D5347"/>
      <c r="E5347"/>
      <c r="F5347"/>
      <c r="N5347" s="44"/>
    </row>
    <row r="5348" spans="1:14" x14ac:dyDescent="0.3">
      <c r="A5348" s="42"/>
      <c r="C5348" s="52"/>
      <c r="D5348"/>
      <c r="E5348"/>
      <c r="F5348"/>
      <c r="N5348" s="44"/>
    </row>
    <row r="5349" spans="1:14" x14ac:dyDescent="0.3">
      <c r="A5349" s="42"/>
      <c r="C5349" s="52"/>
      <c r="D5349"/>
      <c r="E5349"/>
      <c r="F5349"/>
      <c r="N5349" s="44"/>
    </row>
    <row r="5350" spans="1:14" x14ac:dyDescent="0.3">
      <c r="A5350" s="42"/>
      <c r="C5350" s="52"/>
      <c r="D5350"/>
      <c r="E5350"/>
      <c r="F5350"/>
      <c r="N5350" s="44"/>
    </row>
    <row r="5351" spans="1:14" x14ac:dyDescent="0.3">
      <c r="A5351" s="42"/>
      <c r="C5351" s="52"/>
      <c r="D5351"/>
      <c r="E5351"/>
      <c r="F5351"/>
      <c r="N5351" s="44"/>
    </row>
    <row r="5352" spans="1:14" x14ac:dyDescent="0.3">
      <c r="A5352" s="42"/>
      <c r="C5352" s="52"/>
      <c r="D5352"/>
      <c r="E5352"/>
      <c r="F5352"/>
      <c r="N5352" s="44"/>
    </row>
    <row r="5353" spans="1:14" x14ac:dyDescent="0.3">
      <c r="A5353" s="42"/>
      <c r="C5353" s="52"/>
      <c r="D5353"/>
      <c r="E5353"/>
      <c r="F5353"/>
      <c r="N5353" s="44"/>
    </row>
    <row r="5354" spans="1:14" x14ac:dyDescent="0.3">
      <c r="A5354" s="42"/>
      <c r="C5354" s="52"/>
      <c r="D5354"/>
      <c r="E5354"/>
      <c r="F5354"/>
      <c r="N5354" s="44"/>
    </row>
    <row r="5355" spans="1:14" x14ac:dyDescent="0.3">
      <c r="A5355" s="42"/>
      <c r="C5355" s="52"/>
      <c r="D5355"/>
      <c r="E5355"/>
      <c r="F5355"/>
      <c r="N5355" s="44"/>
    </row>
    <row r="5356" spans="1:14" x14ac:dyDescent="0.3">
      <c r="A5356" s="42"/>
      <c r="C5356" s="52"/>
      <c r="D5356"/>
      <c r="E5356"/>
      <c r="F5356"/>
      <c r="N5356" s="44"/>
    </row>
    <row r="5357" spans="1:14" x14ac:dyDescent="0.3">
      <c r="A5357" s="42"/>
      <c r="C5357" s="52"/>
      <c r="D5357"/>
      <c r="E5357"/>
      <c r="F5357"/>
      <c r="N5357" s="44"/>
    </row>
    <row r="5358" spans="1:14" x14ac:dyDescent="0.3">
      <c r="A5358" s="42"/>
      <c r="C5358" s="52"/>
      <c r="D5358"/>
      <c r="E5358"/>
      <c r="F5358"/>
      <c r="N5358" s="44"/>
    </row>
    <row r="5359" spans="1:14" x14ac:dyDescent="0.3">
      <c r="A5359" s="42"/>
      <c r="C5359" s="52"/>
      <c r="D5359"/>
      <c r="E5359"/>
      <c r="F5359"/>
      <c r="N5359" s="44"/>
    </row>
    <row r="5360" spans="1:14" x14ac:dyDescent="0.3">
      <c r="A5360" s="42"/>
      <c r="C5360" s="52"/>
      <c r="D5360"/>
      <c r="E5360"/>
      <c r="F5360"/>
      <c r="N5360" s="44"/>
    </row>
    <row r="5361" spans="1:14" x14ac:dyDescent="0.3">
      <c r="A5361" s="42"/>
      <c r="C5361" s="52"/>
      <c r="D5361"/>
      <c r="E5361"/>
      <c r="F5361"/>
      <c r="N5361" s="44"/>
    </row>
    <row r="5362" spans="1:14" x14ac:dyDescent="0.3">
      <c r="A5362" s="42"/>
      <c r="C5362" s="52"/>
      <c r="D5362"/>
      <c r="E5362"/>
      <c r="F5362"/>
      <c r="N5362" s="44"/>
    </row>
    <row r="5363" spans="1:14" x14ac:dyDescent="0.3">
      <c r="A5363" s="42"/>
      <c r="C5363" s="52"/>
      <c r="D5363"/>
      <c r="E5363"/>
      <c r="F5363"/>
      <c r="N5363" s="44"/>
    </row>
    <row r="5364" spans="1:14" x14ac:dyDescent="0.3">
      <c r="A5364" s="42"/>
      <c r="C5364" s="52"/>
      <c r="D5364"/>
      <c r="E5364"/>
      <c r="F5364"/>
      <c r="N5364" s="44"/>
    </row>
    <row r="5365" spans="1:14" x14ac:dyDescent="0.3">
      <c r="A5365" s="42"/>
      <c r="C5365" s="52"/>
      <c r="D5365"/>
      <c r="E5365"/>
      <c r="F5365"/>
      <c r="N5365" s="44"/>
    </row>
    <row r="5366" spans="1:14" x14ac:dyDescent="0.3">
      <c r="A5366" s="42"/>
      <c r="C5366" s="52"/>
      <c r="D5366"/>
      <c r="E5366"/>
      <c r="F5366"/>
      <c r="N5366" s="44"/>
    </row>
    <row r="5367" spans="1:14" x14ac:dyDescent="0.3">
      <c r="A5367" s="42"/>
      <c r="C5367" s="52"/>
      <c r="D5367"/>
      <c r="E5367"/>
      <c r="F5367"/>
      <c r="N5367" s="44"/>
    </row>
    <row r="5368" spans="1:14" x14ac:dyDescent="0.3">
      <c r="A5368" s="42"/>
      <c r="C5368" s="52"/>
      <c r="D5368"/>
      <c r="E5368"/>
      <c r="F5368"/>
      <c r="N5368" s="44"/>
    </row>
    <row r="5369" spans="1:14" x14ac:dyDescent="0.3">
      <c r="A5369" s="42"/>
      <c r="C5369" s="52"/>
      <c r="D5369"/>
      <c r="E5369"/>
      <c r="F5369"/>
      <c r="N5369" s="44"/>
    </row>
    <row r="5370" spans="1:14" x14ac:dyDescent="0.3">
      <c r="A5370" s="42"/>
      <c r="C5370" s="52"/>
      <c r="D5370"/>
      <c r="E5370"/>
      <c r="F5370"/>
      <c r="N5370" s="44"/>
    </row>
    <row r="5371" spans="1:14" x14ac:dyDescent="0.3">
      <c r="A5371" s="42"/>
      <c r="C5371" s="52"/>
      <c r="D5371"/>
      <c r="E5371"/>
      <c r="F5371"/>
      <c r="N5371" s="44"/>
    </row>
    <row r="5372" spans="1:14" x14ac:dyDescent="0.3">
      <c r="A5372" s="42"/>
      <c r="C5372" s="52"/>
      <c r="D5372"/>
      <c r="E5372"/>
      <c r="F5372"/>
      <c r="M5372" s="45"/>
      <c r="N5372" s="44"/>
    </row>
    <row r="5373" spans="1:14" x14ac:dyDescent="0.3">
      <c r="A5373" s="42"/>
      <c r="C5373" s="52"/>
      <c r="D5373"/>
      <c r="E5373"/>
      <c r="F5373"/>
      <c r="N5373" s="44"/>
    </row>
    <row r="5374" spans="1:14" x14ac:dyDescent="0.3">
      <c r="A5374" s="42"/>
      <c r="C5374" s="52"/>
      <c r="D5374"/>
      <c r="E5374"/>
      <c r="F5374"/>
      <c r="N5374" s="44"/>
    </row>
    <row r="5375" spans="1:14" x14ac:dyDescent="0.3">
      <c r="A5375" s="42"/>
      <c r="C5375" s="52"/>
      <c r="D5375"/>
      <c r="E5375"/>
      <c r="F5375"/>
      <c r="N5375" s="44"/>
    </row>
    <row r="5376" spans="1:14" x14ac:dyDescent="0.3">
      <c r="A5376" s="42"/>
      <c r="C5376" s="52"/>
      <c r="D5376"/>
      <c r="E5376"/>
      <c r="F5376"/>
      <c r="M5376" s="45"/>
      <c r="N5376" s="44"/>
    </row>
    <row r="5377" spans="1:14" x14ac:dyDescent="0.3">
      <c r="A5377" s="42"/>
      <c r="C5377" s="52"/>
      <c r="D5377"/>
      <c r="E5377"/>
      <c r="F5377"/>
      <c r="N5377" s="44"/>
    </row>
    <row r="5378" spans="1:14" x14ac:dyDescent="0.3">
      <c r="A5378" s="42"/>
      <c r="C5378" s="52"/>
      <c r="D5378"/>
      <c r="E5378"/>
      <c r="F5378"/>
      <c r="N5378" s="44"/>
    </row>
    <row r="5379" spans="1:14" x14ac:dyDescent="0.3">
      <c r="A5379" s="42"/>
      <c r="C5379" s="52"/>
      <c r="D5379"/>
      <c r="E5379"/>
      <c r="F5379"/>
      <c r="N5379" s="44"/>
    </row>
    <row r="5380" spans="1:14" x14ac:dyDescent="0.3">
      <c r="A5380" s="42"/>
      <c r="C5380" s="52"/>
      <c r="D5380"/>
      <c r="E5380"/>
      <c r="F5380"/>
      <c r="N5380" s="44"/>
    </row>
    <row r="5381" spans="1:14" x14ac:dyDescent="0.3">
      <c r="A5381" s="42"/>
      <c r="C5381" s="52"/>
      <c r="D5381"/>
      <c r="E5381"/>
      <c r="F5381"/>
      <c r="N5381" s="44"/>
    </row>
    <row r="5382" spans="1:14" x14ac:dyDescent="0.3">
      <c r="A5382" s="42"/>
      <c r="C5382" s="52"/>
      <c r="D5382"/>
      <c r="E5382"/>
      <c r="F5382"/>
      <c r="N5382" s="44"/>
    </row>
    <row r="5383" spans="1:14" x14ac:dyDescent="0.3">
      <c r="A5383" s="42"/>
      <c r="C5383" s="52"/>
      <c r="D5383"/>
      <c r="E5383"/>
      <c r="F5383"/>
      <c r="N5383" s="44"/>
    </row>
    <row r="5384" spans="1:14" x14ac:dyDescent="0.3">
      <c r="A5384" s="42"/>
      <c r="C5384" s="52"/>
      <c r="D5384"/>
      <c r="E5384"/>
      <c r="F5384"/>
      <c r="N5384" s="44"/>
    </row>
    <row r="5385" spans="1:14" x14ac:dyDescent="0.3">
      <c r="A5385" s="42"/>
      <c r="C5385" s="52"/>
      <c r="D5385"/>
      <c r="E5385"/>
      <c r="F5385"/>
      <c r="N5385" s="44"/>
    </row>
    <row r="5386" spans="1:14" x14ac:dyDescent="0.3">
      <c r="A5386" s="42"/>
      <c r="C5386" s="52"/>
      <c r="D5386"/>
      <c r="E5386"/>
      <c r="F5386"/>
      <c r="N5386" s="44"/>
    </row>
    <row r="5387" spans="1:14" x14ac:dyDescent="0.3">
      <c r="A5387" s="42"/>
      <c r="C5387" s="52"/>
      <c r="D5387"/>
      <c r="E5387"/>
      <c r="F5387"/>
      <c r="N5387" s="44"/>
    </row>
    <row r="5388" spans="1:14" x14ac:dyDescent="0.3">
      <c r="A5388" s="42"/>
      <c r="C5388" s="52"/>
      <c r="D5388"/>
      <c r="E5388"/>
      <c r="F5388"/>
      <c r="N5388" s="44"/>
    </row>
    <row r="5389" spans="1:14" x14ac:dyDescent="0.3">
      <c r="A5389" s="42"/>
      <c r="C5389" s="52"/>
      <c r="D5389"/>
      <c r="E5389"/>
      <c r="F5389"/>
      <c r="N5389" s="44"/>
    </row>
    <row r="5390" spans="1:14" x14ac:dyDescent="0.3">
      <c r="A5390" s="42"/>
      <c r="C5390" s="52"/>
      <c r="D5390"/>
      <c r="E5390"/>
      <c r="F5390"/>
      <c r="N5390" s="44"/>
    </row>
    <row r="5391" spans="1:14" x14ac:dyDescent="0.3">
      <c r="A5391" s="42"/>
      <c r="C5391" s="52"/>
      <c r="D5391"/>
      <c r="E5391"/>
      <c r="F5391"/>
      <c r="N5391" s="44"/>
    </row>
    <row r="5392" spans="1:14" x14ac:dyDescent="0.3">
      <c r="A5392" s="42"/>
      <c r="C5392" s="52"/>
      <c r="D5392"/>
      <c r="E5392"/>
      <c r="F5392"/>
      <c r="N5392" s="44"/>
    </row>
    <row r="5393" spans="1:14" x14ac:dyDescent="0.3">
      <c r="A5393" s="42"/>
      <c r="C5393" s="52"/>
      <c r="D5393"/>
      <c r="E5393"/>
      <c r="F5393"/>
      <c r="N5393" s="44"/>
    </row>
    <row r="5394" spans="1:14" x14ac:dyDescent="0.3">
      <c r="A5394" s="42"/>
      <c r="C5394" s="52"/>
      <c r="D5394"/>
      <c r="E5394"/>
      <c r="F5394"/>
      <c r="N5394" s="44"/>
    </row>
    <row r="5395" spans="1:14" x14ac:dyDescent="0.3">
      <c r="A5395" s="42"/>
      <c r="C5395" s="52"/>
      <c r="D5395"/>
      <c r="E5395"/>
      <c r="F5395"/>
      <c r="N5395" s="44"/>
    </row>
    <row r="5396" spans="1:14" x14ac:dyDescent="0.3">
      <c r="A5396" s="42"/>
      <c r="C5396" s="52"/>
      <c r="D5396"/>
      <c r="E5396"/>
      <c r="F5396"/>
      <c r="N5396" s="44"/>
    </row>
    <row r="5397" spans="1:14" x14ac:dyDescent="0.3">
      <c r="A5397" s="42"/>
      <c r="C5397" s="52"/>
      <c r="D5397"/>
      <c r="E5397"/>
      <c r="F5397"/>
      <c r="N5397" s="44"/>
    </row>
    <row r="5398" spans="1:14" x14ac:dyDescent="0.3">
      <c r="A5398" s="42"/>
      <c r="C5398" s="52"/>
      <c r="D5398"/>
      <c r="E5398"/>
      <c r="F5398"/>
      <c r="N5398" s="44"/>
    </row>
    <row r="5399" spans="1:14" x14ac:dyDescent="0.3">
      <c r="A5399" s="42"/>
      <c r="C5399" s="52"/>
      <c r="D5399"/>
      <c r="E5399"/>
      <c r="F5399"/>
      <c r="N5399" s="44"/>
    </row>
    <row r="5400" spans="1:14" x14ac:dyDescent="0.3">
      <c r="A5400" s="42"/>
      <c r="C5400" s="52"/>
      <c r="D5400"/>
      <c r="E5400"/>
      <c r="F5400"/>
      <c r="N5400" s="44"/>
    </row>
    <row r="5401" spans="1:14" x14ac:dyDescent="0.3">
      <c r="A5401" s="42"/>
      <c r="C5401" s="52"/>
      <c r="D5401"/>
      <c r="E5401"/>
      <c r="F5401"/>
      <c r="N5401" s="44"/>
    </row>
    <row r="5402" spans="1:14" x14ac:dyDescent="0.3">
      <c r="A5402" s="42"/>
      <c r="C5402" s="52"/>
      <c r="D5402"/>
      <c r="E5402"/>
      <c r="F5402"/>
      <c r="N5402" s="44"/>
    </row>
    <row r="5403" spans="1:14" x14ac:dyDescent="0.3">
      <c r="A5403" s="42"/>
      <c r="C5403" s="52"/>
      <c r="D5403"/>
      <c r="E5403"/>
      <c r="F5403"/>
      <c r="N5403" s="44"/>
    </row>
    <row r="5404" spans="1:14" x14ac:dyDescent="0.3">
      <c r="A5404" s="42"/>
      <c r="C5404" s="52"/>
      <c r="D5404"/>
      <c r="E5404"/>
      <c r="F5404"/>
      <c r="N5404" s="44"/>
    </row>
    <row r="5405" spans="1:14" x14ac:dyDescent="0.3">
      <c r="A5405" s="42"/>
      <c r="C5405" s="52"/>
      <c r="D5405"/>
      <c r="E5405"/>
      <c r="F5405"/>
      <c r="N5405" s="44"/>
    </row>
    <row r="5406" spans="1:14" x14ac:dyDescent="0.3">
      <c r="A5406" s="42"/>
      <c r="C5406" s="52"/>
      <c r="D5406"/>
      <c r="E5406"/>
      <c r="F5406"/>
      <c r="N5406" s="44"/>
    </row>
    <row r="5407" spans="1:14" x14ac:dyDescent="0.3">
      <c r="A5407" s="42"/>
      <c r="C5407" s="52"/>
      <c r="D5407"/>
      <c r="E5407"/>
      <c r="F5407"/>
      <c r="N5407" s="44"/>
    </row>
    <row r="5408" spans="1:14" x14ac:dyDescent="0.3">
      <c r="A5408" s="42"/>
      <c r="C5408" s="52"/>
      <c r="D5408"/>
      <c r="E5408"/>
      <c r="F5408"/>
      <c r="N5408" s="44"/>
    </row>
    <row r="5409" spans="1:14" x14ac:dyDescent="0.3">
      <c r="A5409" s="42"/>
      <c r="C5409" s="52"/>
      <c r="D5409"/>
      <c r="E5409"/>
      <c r="F5409"/>
      <c r="N5409" s="44"/>
    </row>
    <row r="5410" spans="1:14" x14ac:dyDescent="0.3">
      <c r="A5410" s="42"/>
      <c r="C5410" s="52"/>
      <c r="D5410"/>
      <c r="E5410"/>
      <c r="F5410"/>
      <c r="N5410" s="44"/>
    </row>
    <row r="5411" spans="1:14" x14ac:dyDescent="0.3">
      <c r="A5411" s="42"/>
      <c r="C5411" s="52"/>
      <c r="D5411"/>
      <c r="E5411"/>
      <c r="F5411"/>
      <c r="N5411" s="44"/>
    </row>
    <row r="5412" spans="1:14" x14ac:dyDescent="0.3">
      <c r="A5412" s="42"/>
      <c r="C5412" s="52"/>
      <c r="D5412"/>
      <c r="E5412"/>
      <c r="F5412"/>
      <c r="N5412" s="44"/>
    </row>
    <row r="5413" spans="1:14" x14ac:dyDescent="0.3">
      <c r="A5413" s="42"/>
      <c r="C5413" s="52"/>
      <c r="D5413"/>
      <c r="E5413"/>
      <c r="F5413"/>
      <c r="N5413" s="44"/>
    </row>
    <row r="5414" spans="1:14" x14ac:dyDescent="0.3">
      <c r="A5414" s="42"/>
      <c r="C5414" s="52"/>
      <c r="D5414"/>
      <c r="E5414"/>
      <c r="F5414"/>
      <c r="N5414" s="44"/>
    </row>
    <row r="5415" spans="1:14" x14ac:dyDescent="0.3">
      <c r="A5415" s="42"/>
      <c r="C5415" s="52"/>
      <c r="D5415"/>
      <c r="E5415"/>
      <c r="F5415"/>
      <c r="N5415" s="44"/>
    </row>
    <row r="5416" spans="1:14" x14ac:dyDescent="0.3">
      <c r="A5416" s="42"/>
      <c r="C5416" s="52"/>
      <c r="D5416"/>
      <c r="E5416"/>
      <c r="F5416"/>
      <c r="N5416" s="44"/>
    </row>
    <row r="5417" spans="1:14" x14ac:dyDescent="0.3">
      <c r="A5417" s="42"/>
      <c r="C5417" s="52"/>
      <c r="D5417"/>
      <c r="E5417"/>
      <c r="F5417"/>
      <c r="N5417" s="44"/>
    </row>
    <row r="5418" spans="1:14" x14ac:dyDescent="0.3">
      <c r="A5418" s="42"/>
      <c r="C5418" s="52"/>
      <c r="D5418"/>
      <c r="E5418"/>
      <c r="F5418"/>
      <c r="N5418" s="44"/>
    </row>
    <row r="5419" spans="1:14" x14ac:dyDescent="0.3">
      <c r="A5419" s="42"/>
      <c r="C5419" s="52"/>
      <c r="D5419"/>
      <c r="E5419"/>
      <c r="F5419"/>
      <c r="N5419" s="44"/>
    </row>
    <row r="5420" spans="1:14" x14ac:dyDescent="0.3">
      <c r="A5420" s="42"/>
      <c r="C5420" s="52"/>
      <c r="D5420"/>
      <c r="E5420"/>
      <c r="F5420"/>
      <c r="N5420" s="44"/>
    </row>
    <row r="5421" spans="1:14" x14ac:dyDescent="0.3">
      <c r="A5421" s="42"/>
      <c r="C5421" s="52"/>
      <c r="D5421"/>
      <c r="E5421"/>
      <c r="F5421"/>
      <c r="N5421" s="44"/>
    </row>
    <row r="5422" spans="1:14" x14ac:dyDescent="0.3">
      <c r="A5422" s="42"/>
      <c r="C5422" s="52"/>
      <c r="D5422"/>
      <c r="E5422"/>
      <c r="F5422"/>
      <c r="N5422" s="44"/>
    </row>
    <row r="5423" spans="1:14" x14ac:dyDescent="0.3">
      <c r="A5423" s="42"/>
      <c r="C5423" s="52"/>
      <c r="D5423"/>
      <c r="E5423"/>
      <c r="F5423"/>
      <c r="N5423" s="44"/>
    </row>
    <row r="5424" spans="1:14" x14ac:dyDescent="0.3">
      <c r="A5424" s="42"/>
      <c r="C5424" s="52"/>
      <c r="D5424"/>
      <c r="E5424"/>
      <c r="F5424"/>
      <c r="N5424" s="44"/>
    </row>
    <row r="5425" spans="1:14" x14ac:dyDescent="0.3">
      <c r="A5425" s="42"/>
      <c r="C5425" s="52"/>
      <c r="D5425"/>
      <c r="E5425"/>
      <c r="F5425"/>
      <c r="N5425" s="44"/>
    </row>
    <row r="5426" spans="1:14" x14ac:dyDescent="0.3">
      <c r="A5426" s="42"/>
      <c r="C5426" s="52"/>
      <c r="D5426"/>
      <c r="E5426"/>
      <c r="F5426"/>
      <c r="N5426" s="44"/>
    </row>
    <row r="5427" spans="1:14" x14ac:dyDescent="0.3">
      <c r="A5427" s="42"/>
      <c r="C5427" s="52"/>
      <c r="D5427"/>
      <c r="E5427"/>
      <c r="F5427"/>
      <c r="N5427" s="44"/>
    </row>
    <row r="5428" spans="1:14" x14ac:dyDescent="0.3">
      <c r="A5428" s="42"/>
      <c r="C5428" s="52"/>
      <c r="D5428"/>
      <c r="E5428"/>
      <c r="F5428"/>
      <c r="N5428" s="44"/>
    </row>
    <row r="5429" spans="1:14" x14ac:dyDescent="0.3">
      <c r="A5429" s="42"/>
      <c r="C5429" s="52"/>
      <c r="D5429"/>
      <c r="E5429"/>
      <c r="F5429"/>
      <c r="N5429" s="44"/>
    </row>
    <row r="5430" spans="1:14" x14ac:dyDescent="0.3">
      <c r="A5430" s="42"/>
      <c r="C5430" s="52"/>
      <c r="D5430"/>
      <c r="E5430"/>
      <c r="F5430"/>
      <c r="N5430" s="44"/>
    </row>
    <row r="5431" spans="1:14" x14ac:dyDescent="0.3">
      <c r="A5431" s="42"/>
      <c r="C5431" s="52"/>
      <c r="D5431"/>
      <c r="E5431"/>
      <c r="F5431"/>
      <c r="N5431" s="44"/>
    </row>
    <row r="5432" spans="1:14" x14ac:dyDescent="0.3">
      <c r="A5432" s="42"/>
      <c r="C5432" s="52"/>
      <c r="D5432"/>
      <c r="E5432"/>
      <c r="F5432"/>
      <c r="N5432" s="44"/>
    </row>
    <row r="5433" spans="1:14" x14ac:dyDescent="0.3">
      <c r="A5433" s="42"/>
      <c r="C5433" s="52"/>
      <c r="D5433"/>
      <c r="E5433"/>
      <c r="F5433"/>
      <c r="N5433" s="44"/>
    </row>
    <row r="5434" spans="1:14" x14ac:dyDescent="0.3">
      <c r="A5434" s="42"/>
      <c r="C5434" s="52"/>
      <c r="D5434"/>
      <c r="E5434"/>
      <c r="F5434"/>
      <c r="N5434" s="44"/>
    </row>
    <row r="5435" spans="1:14" x14ac:dyDescent="0.3">
      <c r="A5435" s="42"/>
      <c r="C5435" s="52"/>
      <c r="D5435"/>
      <c r="E5435"/>
      <c r="F5435"/>
      <c r="N5435" s="44"/>
    </row>
    <row r="5436" spans="1:14" x14ac:dyDescent="0.3">
      <c r="A5436" s="42"/>
      <c r="C5436" s="52"/>
      <c r="D5436"/>
      <c r="E5436"/>
      <c r="F5436"/>
      <c r="N5436" s="44"/>
    </row>
    <row r="5437" spans="1:14" x14ac:dyDescent="0.3">
      <c r="A5437" s="42"/>
      <c r="C5437" s="52"/>
      <c r="D5437"/>
      <c r="E5437"/>
      <c r="F5437"/>
      <c r="N5437" s="44"/>
    </row>
    <row r="5438" spans="1:14" x14ac:dyDescent="0.3">
      <c r="A5438" s="42"/>
      <c r="C5438" s="52"/>
      <c r="D5438"/>
      <c r="E5438"/>
      <c r="F5438"/>
      <c r="N5438" s="44"/>
    </row>
    <row r="5439" spans="1:14" x14ac:dyDescent="0.3">
      <c r="A5439" s="42"/>
      <c r="C5439" s="52"/>
      <c r="D5439"/>
      <c r="E5439"/>
      <c r="F5439"/>
      <c r="M5439" s="45"/>
      <c r="N5439" s="44"/>
    </row>
    <row r="5440" spans="1:14" x14ac:dyDescent="0.3">
      <c r="A5440" s="42"/>
      <c r="C5440" s="52"/>
      <c r="D5440"/>
      <c r="E5440"/>
      <c r="F5440"/>
      <c r="N5440" s="44"/>
    </row>
    <row r="5441" spans="1:14" x14ac:dyDescent="0.3">
      <c r="A5441" s="42"/>
      <c r="C5441" s="52"/>
      <c r="D5441"/>
      <c r="E5441"/>
      <c r="F5441"/>
      <c r="N5441" s="44"/>
    </row>
    <row r="5442" spans="1:14" x14ac:dyDescent="0.3">
      <c r="A5442" s="42"/>
      <c r="C5442" s="52"/>
      <c r="D5442"/>
      <c r="E5442"/>
      <c r="F5442"/>
      <c r="N5442" s="44"/>
    </row>
    <row r="5443" spans="1:14" x14ac:dyDescent="0.3">
      <c r="A5443" s="42"/>
      <c r="C5443" s="52"/>
      <c r="D5443"/>
      <c r="E5443"/>
      <c r="F5443"/>
      <c r="N5443" s="44"/>
    </row>
    <row r="5444" spans="1:14" x14ac:dyDescent="0.3">
      <c r="A5444" s="42"/>
      <c r="C5444" s="52"/>
      <c r="D5444"/>
      <c r="E5444"/>
      <c r="F5444"/>
      <c r="N5444" s="44"/>
    </row>
    <row r="5445" spans="1:14" x14ac:dyDescent="0.3">
      <c r="A5445" s="42"/>
      <c r="C5445" s="52"/>
      <c r="D5445"/>
      <c r="E5445"/>
      <c r="F5445"/>
      <c r="N5445" s="44"/>
    </row>
    <row r="5446" spans="1:14" x14ac:dyDescent="0.3">
      <c r="A5446" s="42"/>
      <c r="C5446" s="52"/>
      <c r="D5446"/>
      <c r="E5446"/>
      <c r="F5446"/>
      <c r="N5446" s="44"/>
    </row>
    <row r="5447" spans="1:14" x14ac:dyDescent="0.3">
      <c r="A5447" s="42"/>
      <c r="C5447" s="52"/>
      <c r="D5447"/>
      <c r="E5447"/>
      <c r="F5447"/>
      <c r="N5447" s="44"/>
    </row>
    <row r="5448" spans="1:14" x14ac:dyDescent="0.3">
      <c r="A5448" s="42"/>
      <c r="C5448" s="52"/>
      <c r="D5448"/>
      <c r="E5448"/>
      <c r="F5448"/>
      <c r="N5448" s="44"/>
    </row>
    <row r="5449" spans="1:14" x14ac:dyDescent="0.3">
      <c r="A5449" s="42"/>
      <c r="C5449" s="52"/>
      <c r="D5449"/>
      <c r="E5449"/>
      <c r="F5449"/>
      <c r="N5449" s="44"/>
    </row>
    <row r="5450" spans="1:14" x14ac:dyDescent="0.3">
      <c r="A5450" s="42"/>
      <c r="C5450" s="52"/>
      <c r="D5450"/>
      <c r="E5450"/>
      <c r="F5450"/>
      <c r="N5450" s="44"/>
    </row>
    <row r="5451" spans="1:14" x14ac:dyDescent="0.3">
      <c r="A5451" s="42"/>
      <c r="C5451" s="52"/>
      <c r="D5451"/>
      <c r="E5451"/>
      <c r="F5451"/>
      <c r="N5451" s="44"/>
    </row>
    <row r="5452" spans="1:14" x14ac:dyDescent="0.3">
      <c r="A5452" s="42"/>
      <c r="C5452" s="52"/>
      <c r="D5452"/>
      <c r="E5452"/>
      <c r="F5452"/>
      <c r="N5452" s="44"/>
    </row>
    <row r="5453" spans="1:14" x14ac:dyDescent="0.3">
      <c r="A5453" s="42"/>
      <c r="C5453" s="52"/>
      <c r="D5453"/>
      <c r="E5453"/>
      <c r="F5453"/>
      <c r="N5453" s="44"/>
    </row>
    <row r="5454" spans="1:14" x14ac:dyDescent="0.3">
      <c r="A5454" s="42"/>
      <c r="C5454" s="52"/>
      <c r="D5454"/>
      <c r="E5454"/>
      <c r="F5454"/>
      <c r="N5454" s="44"/>
    </row>
    <row r="5455" spans="1:14" x14ac:dyDescent="0.3">
      <c r="A5455" s="42"/>
      <c r="C5455" s="52"/>
      <c r="D5455"/>
      <c r="E5455"/>
      <c r="F5455"/>
      <c r="N5455" s="44"/>
    </row>
    <row r="5456" spans="1:14" x14ac:dyDescent="0.3">
      <c r="A5456" s="42"/>
      <c r="C5456" s="52"/>
      <c r="D5456"/>
      <c r="E5456"/>
      <c r="F5456"/>
      <c r="N5456" s="44"/>
    </row>
    <row r="5457" spans="1:14" x14ac:dyDescent="0.3">
      <c r="A5457" s="42"/>
      <c r="C5457" s="52"/>
      <c r="D5457"/>
      <c r="E5457"/>
      <c r="F5457"/>
      <c r="N5457" s="44"/>
    </row>
    <row r="5458" spans="1:14" x14ac:dyDescent="0.3">
      <c r="A5458" s="42"/>
      <c r="C5458" s="52"/>
      <c r="D5458"/>
      <c r="E5458"/>
      <c r="F5458"/>
      <c r="N5458" s="44"/>
    </row>
    <row r="5459" spans="1:14" x14ac:dyDescent="0.3">
      <c r="A5459" s="42"/>
      <c r="C5459" s="52"/>
      <c r="D5459"/>
      <c r="E5459"/>
      <c r="F5459"/>
      <c r="N5459" s="44"/>
    </row>
    <row r="5460" spans="1:14" x14ac:dyDescent="0.3">
      <c r="A5460" s="42"/>
      <c r="C5460" s="52"/>
      <c r="D5460"/>
      <c r="E5460"/>
      <c r="F5460"/>
      <c r="N5460" s="44"/>
    </row>
    <row r="5461" spans="1:14" x14ac:dyDescent="0.3">
      <c r="A5461" s="42"/>
      <c r="C5461" s="52"/>
      <c r="D5461"/>
      <c r="E5461"/>
      <c r="F5461"/>
      <c r="N5461" s="44"/>
    </row>
    <row r="5462" spans="1:14" x14ac:dyDescent="0.3">
      <c r="A5462" s="42"/>
      <c r="C5462" s="52"/>
      <c r="D5462"/>
      <c r="E5462"/>
      <c r="F5462"/>
      <c r="N5462" s="44"/>
    </row>
    <row r="5463" spans="1:14" x14ac:dyDescent="0.3">
      <c r="A5463" s="42"/>
      <c r="C5463" s="52"/>
      <c r="D5463"/>
      <c r="E5463"/>
      <c r="F5463"/>
      <c r="N5463" s="44"/>
    </row>
    <row r="5464" spans="1:14" x14ac:dyDescent="0.3">
      <c r="A5464" s="42"/>
      <c r="C5464" s="52"/>
      <c r="D5464"/>
      <c r="E5464"/>
      <c r="F5464"/>
      <c r="N5464" s="44"/>
    </row>
    <row r="5465" spans="1:14" x14ac:dyDescent="0.3">
      <c r="A5465" s="42"/>
      <c r="C5465" s="52"/>
      <c r="D5465"/>
      <c r="E5465"/>
      <c r="F5465"/>
      <c r="N5465" s="44"/>
    </row>
    <row r="5466" spans="1:14" x14ac:dyDescent="0.3">
      <c r="A5466" s="42"/>
      <c r="C5466" s="52"/>
      <c r="D5466"/>
      <c r="E5466"/>
      <c r="F5466"/>
      <c r="N5466" s="44"/>
    </row>
    <row r="5467" spans="1:14" x14ac:dyDescent="0.3">
      <c r="A5467" s="42"/>
      <c r="C5467" s="52"/>
      <c r="D5467"/>
      <c r="E5467"/>
      <c r="F5467"/>
      <c r="N5467" s="44"/>
    </row>
    <row r="5468" spans="1:14" x14ac:dyDescent="0.3">
      <c r="A5468" s="42"/>
      <c r="C5468" s="52"/>
      <c r="D5468"/>
      <c r="E5468"/>
      <c r="F5468"/>
      <c r="N5468" s="44"/>
    </row>
    <row r="5469" spans="1:14" x14ac:dyDescent="0.3">
      <c r="A5469" s="42"/>
      <c r="C5469" s="52"/>
      <c r="D5469"/>
      <c r="E5469"/>
      <c r="F5469"/>
      <c r="N5469" s="44"/>
    </row>
    <row r="5470" spans="1:14" x14ac:dyDescent="0.3">
      <c r="A5470" s="42"/>
      <c r="C5470" s="52"/>
      <c r="D5470"/>
      <c r="E5470"/>
      <c r="F5470"/>
      <c r="N5470" s="44"/>
    </row>
    <row r="5471" spans="1:14" x14ac:dyDescent="0.3">
      <c r="A5471" s="42"/>
      <c r="C5471" s="52"/>
      <c r="D5471"/>
      <c r="E5471"/>
      <c r="F5471"/>
      <c r="N5471" s="44"/>
    </row>
    <row r="5472" spans="1:14" x14ac:dyDescent="0.3">
      <c r="A5472" s="42"/>
      <c r="C5472" s="52"/>
      <c r="D5472"/>
      <c r="E5472"/>
      <c r="F5472"/>
      <c r="N5472" s="44"/>
    </row>
    <row r="5473" spans="1:14" x14ac:dyDescent="0.3">
      <c r="A5473" s="42"/>
      <c r="C5473" s="52"/>
      <c r="D5473"/>
      <c r="E5473"/>
      <c r="F5473"/>
      <c r="N5473" s="44"/>
    </row>
    <row r="5474" spans="1:14" x14ac:dyDescent="0.3">
      <c r="A5474" s="42"/>
      <c r="C5474" s="52"/>
      <c r="D5474"/>
      <c r="E5474"/>
      <c r="F5474"/>
      <c r="N5474" s="44"/>
    </row>
    <row r="5475" spans="1:14" x14ac:dyDescent="0.3">
      <c r="A5475" s="42"/>
      <c r="C5475" s="52"/>
      <c r="D5475"/>
      <c r="E5475"/>
      <c r="F5475"/>
      <c r="N5475" s="44"/>
    </row>
    <row r="5476" spans="1:14" x14ac:dyDescent="0.3">
      <c r="A5476" s="42"/>
      <c r="C5476" s="52"/>
      <c r="D5476"/>
      <c r="E5476"/>
      <c r="F5476"/>
      <c r="N5476" s="44"/>
    </row>
    <row r="5477" spans="1:14" x14ac:dyDescent="0.3">
      <c r="A5477" s="42"/>
      <c r="C5477" s="52"/>
      <c r="D5477"/>
      <c r="E5477"/>
      <c r="F5477"/>
      <c r="N5477" s="44"/>
    </row>
    <row r="5478" spans="1:14" x14ac:dyDescent="0.3">
      <c r="A5478" s="42"/>
      <c r="C5478" s="52"/>
      <c r="D5478"/>
      <c r="E5478"/>
      <c r="F5478"/>
      <c r="N5478" s="44"/>
    </row>
    <row r="5479" spans="1:14" x14ac:dyDescent="0.3">
      <c r="A5479" s="42"/>
      <c r="C5479" s="52"/>
      <c r="D5479"/>
      <c r="E5479"/>
      <c r="F5479"/>
      <c r="N5479" s="44"/>
    </row>
    <row r="5480" spans="1:14" x14ac:dyDescent="0.3">
      <c r="A5480" s="42"/>
      <c r="C5480" s="52"/>
      <c r="D5480"/>
      <c r="E5480"/>
      <c r="F5480"/>
      <c r="N5480" s="44"/>
    </row>
    <row r="5481" spans="1:14" x14ac:dyDescent="0.3">
      <c r="A5481" s="42"/>
      <c r="C5481" s="52"/>
      <c r="D5481"/>
      <c r="E5481"/>
      <c r="F5481"/>
      <c r="N5481" s="44"/>
    </row>
    <row r="5482" spans="1:14" x14ac:dyDescent="0.3">
      <c r="A5482" s="42"/>
      <c r="C5482" s="52"/>
      <c r="D5482"/>
      <c r="E5482"/>
      <c r="F5482"/>
      <c r="N5482" s="44"/>
    </row>
    <row r="5483" spans="1:14" x14ac:dyDescent="0.3">
      <c r="A5483" s="42"/>
      <c r="C5483" s="52"/>
      <c r="D5483"/>
      <c r="E5483"/>
      <c r="F5483"/>
      <c r="N5483" s="44"/>
    </row>
    <row r="5484" spans="1:14" x14ac:dyDescent="0.3">
      <c r="A5484" s="42"/>
      <c r="C5484" s="52"/>
      <c r="D5484"/>
      <c r="E5484"/>
      <c r="F5484"/>
      <c r="N5484" s="44"/>
    </row>
    <row r="5485" spans="1:14" x14ac:dyDescent="0.3">
      <c r="A5485" s="42"/>
      <c r="C5485" s="52"/>
      <c r="D5485"/>
      <c r="E5485"/>
      <c r="F5485"/>
      <c r="N5485" s="44"/>
    </row>
    <row r="5486" spans="1:14" x14ac:dyDescent="0.3">
      <c r="A5486" s="42"/>
      <c r="C5486" s="52"/>
      <c r="D5486"/>
      <c r="E5486"/>
      <c r="F5486"/>
      <c r="N5486" s="44"/>
    </row>
    <row r="5487" spans="1:14" x14ac:dyDescent="0.3">
      <c r="A5487" s="42"/>
      <c r="C5487" s="52"/>
      <c r="D5487"/>
      <c r="E5487"/>
      <c r="F5487"/>
      <c r="N5487" s="44"/>
    </row>
    <row r="5488" spans="1:14" x14ac:dyDescent="0.3">
      <c r="A5488" s="42"/>
      <c r="C5488" s="52"/>
      <c r="D5488"/>
      <c r="E5488"/>
      <c r="F5488"/>
      <c r="N5488" s="44"/>
    </row>
    <row r="5489" spans="1:14" x14ac:dyDescent="0.3">
      <c r="A5489" s="42"/>
      <c r="C5489" s="52"/>
      <c r="D5489"/>
      <c r="E5489"/>
      <c r="F5489"/>
      <c r="N5489" s="44"/>
    </row>
    <row r="5490" spans="1:14" x14ac:dyDescent="0.3">
      <c r="A5490" s="42"/>
      <c r="C5490" s="52"/>
      <c r="D5490"/>
      <c r="E5490"/>
      <c r="F5490"/>
      <c r="N5490" s="44"/>
    </row>
    <row r="5491" spans="1:14" x14ac:dyDescent="0.3">
      <c r="A5491" s="42"/>
      <c r="C5491" s="52"/>
      <c r="D5491"/>
      <c r="E5491"/>
      <c r="F5491"/>
      <c r="N5491" s="44"/>
    </row>
    <row r="5492" spans="1:14" x14ac:dyDescent="0.3">
      <c r="A5492" s="42"/>
      <c r="C5492" s="52"/>
      <c r="D5492"/>
      <c r="E5492"/>
      <c r="F5492"/>
      <c r="N5492" s="44"/>
    </row>
    <row r="5493" spans="1:14" x14ac:dyDescent="0.3">
      <c r="A5493" s="42"/>
      <c r="C5493" s="52"/>
      <c r="D5493"/>
      <c r="E5493"/>
      <c r="F5493"/>
      <c r="N5493" s="44"/>
    </row>
    <row r="5494" spans="1:14" x14ac:dyDescent="0.3">
      <c r="A5494" s="42"/>
      <c r="C5494" s="52"/>
      <c r="D5494"/>
      <c r="E5494"/>
      <c r="F5494"/>
      <c r="N5494" s="44"/>
    </row>
    <row r="5495" spans="1:14" x14ac:dyDescent="0.3">
      <c r="A5495" s="42"/>
      <c r="C5495" s="52"/>
      <c r="D5495"/>
      <c r="E5495"/>
      <c r="F5495"/>
      <c r="N5495" s="44"/>
    </row>
    <row r="5496" spans="1:14" x14ac:dyDescent="0.3">
      <c r="A5496" s="42"/>
      <c r="C5496" s="52"/>
      <c r="D5496"/>
      <c r="E5496"/>
      <c r="F5496"/>
      <c r="N5496" s="44"/>
    </row>
    <row r="5497" spans="1:14" x14ac:dyDescent="0.3">
      <c r="A5497" s="42"/>
      <c r="C5497" s="52"/>
      <c r="D5497"/>
      <c r="E5497"/>
      <c r="F5497"/>
      <c r="N5497" s="44"/>
    </row>
    <row r="5498" spans="1:14" x14ac:dyDescent="0.3">
      <c r="A5498" s="42"/>
      <c r="C5498" s="52"/>
      <c r="D5498"/>
      <c r="E5498"/>
      <c r="F5498"/>
      <c r="N5498" s="44"/>
    </row>
    <row r="5499" spans="1:14" x14ac:dyDescent="0.3">
      <c r="A5499" s="42"/>
      <c r="C5499" s="52"/>
      <c r="D5499"/>
      <c r="E5499"/>
      <c r="F5499"/>
      <c r="N5499" s="44"/>
    </row>
    <row r="5500" spans="1:14" x14ac:dyDescent="0.3">
      <c r="A5500" s="42"/>
      <c r="C5500" s="52"/>
      <c r="D5500"/>
      <c r="E5500"/>
      <c r="F5500"/>
      <c r="N5500" s="44"/>
    </row>
    <row r="5501" spans="1:14" x14ac:dyDescent="0.3">
      <c r="A5501" s="42"/>
      <c r="C5501" s="52"/>
      <c r="D5501"/>
      <c r="E5501"/>
      <c r="F5501"/>
      <c r="N5501" s="44"/>
    </row>
    <row r="5502" spans="1:14" x14ac:dyDescent="0.3">
      <c r="A5502" s="42"/>
      <c r="C5502" s="52"/>
      <c r="D5502"/>
      <c r="E5502"/>
      <c r="F5502"/>
      <c r="N5502" s="44"/>
    </row>
    <row r="5503" spans="1:14" x14ac:dyDescent="0.3">
      <c r="A5503" s="42"/>
      <c r="C5503" s="52"/>
      <c r="D5503"/>
      <c r="E5503"/>
      <c r="F5503"/>
      <c r="N5503" s="44"/>
    </row>
    <row r="5504" spans="1:14" x14ac:dyDescent="0.3">
      <c r="A5504" s="42"/>
      <c r="C5504" s="52"/>
      <c r="D5504"/>
      <c r="E5504"/>
      <c r="F5504"/>
      <c r="N5504" s="44"/>
    </row>
    <row r="5505" spans="1:14" x14ac:dyDescent="0.3">
      <c r="A5505" s="42"/>
      <c r="C5505" s="52"/>
      <c r="D5505"/>
      <c r="E5505"/>
      <c r="F5505"/>
      <c r="N5505" s="44"/>
    </row>
    <row r="5506" spans="1:14" x14ac:dyDescent="0.3">
      <c r="A5506" s="42"/>
      <c r="C5506" s="52"/>
      <c r="D5506"/>
      <c r="E5506"/>
      <c r="F5506"/>
      <c r="N5506" s="44"/>
    </row>
    <row r="5507" spans="1:14" x14ac:dyDescent="0.3">
      <c r="A5507" s="42"/>
      <c r="C5507" s="52"/>
      <c r="D5507"/>
      <c r="E5507"/>
      <c r="F5507"/>
      <c r="M5507" s="45"/>
      <c r="N5507" s="44"/>
    </row>
    <row r="5508" spans="1:14" x14ac:dyDescent="0.3">
      <c r="A5508" s="42"/>
      <c r="C5508" s="52"/>
      <c r="D5508"/>
      <c r="E5508"/>
      <c r="F5508"/>
      <c r="N5508" s="44"/>
    </row>
    <row r="5509" spans="1:14" x14ac:dyDescent="0.3">
      <c r="A5509" s="42"/>
      <c r="C5509" s="52"/>
      <c r="D5509"/>
      <c r="E5509"/>
      <c r="F5509"/>
      <c r="N5509" s="44"/>
    </row>
    <row r="5510" spans="1:14" x14ac:dyDescent="0.3">
      <c r="A5510" s="42"/>
      <c r="C5510" s="52"/>
      <c r="D5510"/>
      <c r="E5510"/>
      <c r="F5510"/>
      <c r="N5510" s="44"/>
    </row>
    <row r="5511" spans="1:14" x14ac:dyDescent="0.3">
      <c r="A5511" s="42"/>
      <c r="C5511" s="52"/>
      <c r="D5511"/>
      <c r="E5511"/>
      <c r="F5511"/>
      <c r="N5511" s="44"/>
    </row>
    <row r="5512" spans="1:14" x14ac:dyDescent="0.3">
      <c r="A5512" s="42"/>
      <c r="C5512" s="52"/>
      <c r="D5512"/>
      <c r="E5512"/>
      <c r="F5512"/>
      <c r="N5512" s="44"/>
    </row>
    <row r="5513" spans="1:14" x14ac:dyDescent="0.3">
      <c r="A5513" s="42"/>
      <c r="C5513" s="52"/>
      <c r="D5513"/>
      <c r="E5513"/>
      <c r="F5513"/>
      <c r="N5513" s="44"/>
    </row>
    <row r="5514" spans="1:14" x14ac:dyDescent="0.3">
      <c r="A5514" s="42"/>
      <c r="C5514" s="52"/>
      <c r="D5514"/>
      <c r="E5514"/>
      <c r="F5514"/>
      <c r="N5514" s="44"/>
    </row>
    <row r="5515" spans="1:14" x14ac:dyDescent="0.3">
      <c r="A5515" s="42"/>
      <c r="C5515" s="52"/>
      <c r="D5515"/>
      <c r="E5515"/>
      <c r="F5515"/>
      <c r="N5515" s="44"/>
    </row>
    <row r="5516" spans="1:14" x14ac:dyDescent="0.3">
      <c r="A5516" s="42"/>
      <c r="C5516" s="52"/>
      <c r="D5516"/>
      <c r="E5516"/>
      <c r="F5516"/>
      <c r="N5516" s="44"/>
    </row>
    <row r="5517" spans="1:14" x14ac:dyDescent="0.3">
      <c r="A5517" s="42"/>
      <c r="C5517" s="52"/>
      <c r="D5517"/>
      <c r="E5517"/>
      <c r="F5517"/>
      <c r="N5517" s="44"/>
    </row>
    <row r="5518" spans="1:14" x14ac:dyDescent="0.3">
      <c r="A5518" s="42"/>
      <c r="C5518" s="52"/>
      <c r="D5518"/>
      <c r="E5518"/>
      <c r="F5518"/>
      <c r="N5518" s="44"/>
    </row>
    <row r="5519" spans="1:14" x14ac:dyDescent="0.3">
      <c r="A5519" s="42"/>
      <c r="C5519" s="52"/>
      <c r="D5519"/>
      <c r="E5519"/>
      <c r="F5519"/>
      <c r="N5519" s="44"/>
    </row>
    <row r="5520" spans="1:14" x14ac:dyDescent="0.3">
      <c r="A5520" s="42"/>
      <c r="C5520" s="52"/>
      <c r="D5520"/>
      <c r="E5520"/>
      <c r="F5520"/>
      <c r="N5520" s="44"/>
    </row>
    <row r="5521" spans="1:14" x14ac:dyDescent="0.3">
      <c r="A5521" s="42"/>
      <c r="C5521" s="52"/>
      <c r="D5521"/>
      <c r="E5521"/>
      <c r="F5521"/>
      <c r="N5521" s="44"/>
    </row>
    <row r="5522" spans="1:14" x14ac:dyDescent="0.3">
      <c r="A5522" s="42"/>
      <c r="C5522" s="52"/>
      <c r="D5522"/>
      <c r="E5522"/>
      <c r="F5522"/>
      <c r="N5522" s="44"/>
    </row>
    <row r="5523" spans="1:14" x14ac:dyDescent="0.3">
      <c r="A5523" s="42"/>
      <c r="C5523" s="52"/>
      <c r="D5523"/>
      <c r="E5523"/>
      <c r="F5523"/>
      <c r="N5523" s="44"/>
    </row>
    <row r="5524" spans="1:14" x14ac:dyDescent="0.3">
      <c r="A5524" s="42"/>
      <c r="C5524" s="52"/>
      <c r="D5524"/>
      <c r="E5524"/>
      <c r="F5524"/>
      <c r="N5524" s="44"/>
    </row>
    <row r="5525" spans="1:14" x14ac:dyDescent="0.3">
      <c r="A5525" s="42"/>
      <c r="C5525" s="52"/>
      <c r="D5525"/>
      <c r="E5525"/>
      <c r="F5525"/>
      <c r="N5525" s="44"/>
    </row>
    <row r="5526" spans="1:14" x14ac:dyDescent="0.3">
      <c r="A5526" s="42"/>
      <c r="C5526" s="52"/>
      <c r="D5526"/>
      <c r="E5526"/>
      <c r="F5526"/>
      <c r="N5526" s="44"/>
    </row>
    <row r="5527" spans="1:14" x14ac:dyDescent="0.3">
      <c r="A5527" s="42"/>
      <c r="C5527" s="52"/>
      <c r="D5527"/>
      <c r="E5527"/>
      <c r="F5527"/>
      <c r="N5527" s="44"/>
    </row>
    <row r="5528" spans="1:14" x14ac:dyDescent="0.3">
      <c r="A5528" s="42"/>
      <c r="C5528" s="52"/>
      <c r="D5528"/>
      <c r="E5528"/>
      <c r="F5528"/>
      <c r="N5528" s="44"/>
    </row>
    <row r="5529" spans="1:14" x14ac:dyDescent="0.3">
      <c r="A5529" s="42"/>
      <c r="C5529" s="52"/>
      <c r="D5529"/>
      <c r="E5529"/>
      <c r="F5529"/>
      <c r="N5529" s="44"/>
    </row>
    <row r="5530" spans="1:14" x14ac:dyDescent="0.3">
      <c r="A5530" s="42"/>
      <c r="C5530" s="52"/>
      <c r="D5530"/>
      <c r="E5530"/>
      <c r="F5530"/>
      <c r="N5530" s="44"/>
    </row>
    <row r="5531" spans="1:14" x14ac:dyDescent="0.3">
      <c r="A5531" s="42"/>
      <c r="C5531" s="52"/>
      <c r="D5531"/>
      <c r="E5531"/>
      <c r="F5531"/>
      <c r="N5531" s="44"/>
    </row>
    <row r="5532" spans="1:14" x14ac:dyDescent="0.3">
      <c r="A5532" s="42"/>
      <c r="C5532" s="52"/>
      <c r="D5532"/>
      <c r="E5532"/>
      <c r="F5532"/>
      <c r="N5532" s="44"/>
    </row>
    <row r="5533" spans="1:14" x14ac:dyDescent="0.3">
      <c r="A5533" s="42"/>
      <c r="C5533" s="52"/>
      <c r="D5533"/>
      <c r="E5533"/>
      <c r="F5533"/>
      <c r="N5533" s="44"/>
    </row>
    <row r="5534" spans="1:14" x14ac:dyDescent="0.3">
      <c r="A5534" s="42"/>
      <c r="C5534" s="52"/>
      <c r="D5534"/>
      <c r="E5534"/>
      <c r="F5534"/>
      <c r="N5534" s="44"/>
    </row>
    <row r="5535" spans="1:14" x14ac:dyDescent="0.3">
      <c r="A5535" s="42"/>
      <c r="C5535" s="52"/>
      <c r="D5535"/>
      <c r="E5535"/>
      <c r="F5535"/>
      <c r="N5535" s="44"/>
    </row>
    <row r="5536" spans="1:14" x14ac:dyDescent="0.3">
      <c r="A5536" s="42"/>
      <c r="C5536" s="52"/>
      <c r="D5536"/>
      <c r="E5536"/>
      <c r="F5536"/>
      <c r="N5536" s="44"/>
    </row>
    <row r="5537" spans="1:14" x14ac:dyDescent="0.3">
      <c r="A5537" s="42"/>
      <c r="C5537" s="52"/>
      <c r="D5537"/>
      <c r="E5537"/>
      <c r="F5537"/>
      <c r="N5537" s="44"/>
    </row>
    <row r="5538" spans="1:14" x14ac:dyDescent="0.3">
      <c r="A5538" s="42"/>
      <c r="C5538" s="52"/>
      <c r="D5538"/>
      <c r="E5538"/>
      <c r="F5538"/>
      <c r="N5538" s="44"/>
    </row>
    <row r="5539" spans="1:14" x14ac:dyDescent="0.3">
      <c r="A5539" s="42"/>
      <c r="C5539" s="52"/>
      <c r="D5539"/>
      <c r="E5539"/>
      <c r="F5539"/>
      <c r="N5539" s="44"/>
    </row>
    <row r="5540" spans="1:14" x14ac:dyDescent="0.3">
      <c r="A5540" s="42"/>
      <c r="C5540" s="52"/>
      <c r="D5540"/>
      <c r="E5540"/>
      <c r="F5540"/>
      <c r="N5540" s="44"/>
    </row>
    <row r="5541" spans="1:14" x14ac:dyDescent="0.3">
      <c r="A5541" s="42"/>
      <c r="C5541" s="52"/>
      <c r="D5541"/>
      <c r="E5541"/>
      <c r="F5541"/>
      <c r="N5541" s="44"/>
    </row>
    <row r="5542" spans="1:14" x14ac:dyDescent="0.3">
      <c r="A5542" s="42"/>
      <c r="C5542" s="52"/>
      <c r="D5542"/>
      <c r="E5542"/>
      <c r="F5542"/>
      <c r="N5542" s="44"/>
    </row>
    <row r="5543" spans="1:14" x14ac:dyDescent="0.3">
      <c r="A5543" s="42"/>
      <c r="C5543" s="52"/>
      <c r="D5543"/>
      <c r="E5543"/>
      <c r="F5543"/>
      <c r="N5543" s="44"/>
    </row>
    <row r="5544" spans="1:14" x14ac:dyDescent="0.3">
      <c r="A5544" s="42"/>
      <c r="C5544" s="52"/>
      <c r="D5544"/>
      <c r="E5544"/>
      <c r="F5544"/>
      <c r="N5544" s="44"/>
    </row>
    <row r="5545" spans="1:14" x14ac:dyDescent="0.3">
      <c r="A5545" s="42"/>
      <c r="C5545" s="52"/>
      <c r="D5545"/>
      <c r="E5545"/>
      <c r="F5545"/>
      <c r="N5545" s="44"/>
    </row>
    <row r="5546" spans="1:14" x14ac:dyDescent="0.3">
      <c r="A5546" s="42"/>
      <c r="C5546" s="52"/>
      <c r="D5546"/>
      <c r="E5546"/>
      <c r="F5546"/>
      <c r="N5546" s="44"/>
    </row>
    <row r="5547" spans="1:14" x14ac:dyDescent="0.3">
      <c r="A5547" s="42"/>
      <c r="C5547" s="52"/>
      <c r="D5547"/>
      <c r="E5547"/>
      <c r="F5547"/>
      <c r="N5547" s="44"/>
    </row>
    <row r="5548" spans="1:14" x14ac:dyDescent="0.3">
      <c r="A5548" s="42"/>
      <c r="C5548" s="52"/>
      <c r="D5548"/>
      <c r="E5548"/>
      <c r="F5548"/>
      <c r="N5548" s="44"/>
    </row>
    <row r="5549" spans="1:14" x14ac:dyDescent="0.3">
      <c r="A5549" s="42"/>
      <c r="C5549" s="52"/>
      <c r="D5549"/>
      <c r="E5549"/>
      <c r="F5549"/>
      <c r="N5549" s="44"/>
    </row>
    <row r="5550" spans="1:14" x14ac:dyDescent="0.3">
      <c r="A5550" s="42"/>
      <c r="C5550" s="52"/>
      <c r="D5550"/>
      <c r="E5550"/>
      <c r="F5550"/>
      <c r="N5550" s="44"/>
    </row>
    <row r="5551" spans="1:14" x14ac:dyDescent="0.3">
      <c r="A5551" s="42"/>
      <c r="C5551" s="52"/>
      <c r="D5551"/>
      <c r="E5551"/>
      <c r="F5551"/>
      <c r="N5551" s="44"/>
    </row>
    <row r="5552" spans="1:14" x14ac:dyDescent="0.3">
      <c r="A5552" s="42"/>
      <c r="C5552" s="52"/>
      <c r="D5552"/>
      <c r="E5552"/>
      <c r="F5552"/>
      <c r="N5552" s="44"/>
    </row>
    <row r="5553" spans="1:14" x14ac:dyDescent="0.3">
      <c r="A5553" s="42"/>
      <c r="C5553" s="52"/>
      <c r="D5553"/>
      <c r="E5553"/>
      <c r="F5553"/>
      <c r="N5553" s="44"/>
    </row>
    <row r="5554" spans="1:14" x14ac:dyDescent="0.3">
      <c r="A5554" s="42"/>
      <c r="C5554" s="52"/>
      <c r="D5554"/>
      <c r="E5554"/>
      <c r="F5554"/>
      <c r="N5554" s="44"/>
    </row>
    <row r="5555" spans="1:14" x14ac:dyDescent="0.3">
      <c r="A5555" s="42"/>
      <c r="C5555" s="52"/>
      <c r="D5555"/>
      <c r="E5555"/>
      <c r="F5555"/>
      <c r="N5555" s="44"/>
    </row>
    <row r="5556" spans="1:14" x14ac:dyDescent="0.3">
      <c r="A5556" s="42"/>
      <c r="C5556" s="52"/>
      <c r="D5556"/>
      <c r="E5556"/>
      <c r="F5556"/>
      <c r="N5556" s="44"/>
    </row>
    <row r="5557" spans="1:14" x14ac:dyDescent="0.3">
      <c r="A5557" s="42"/>
      <c r="C5557" s="52"/>
      <c r="D5557"/>
      <c r="E5557"/>
      <c r="F5557"/>
      <c r="N5557" s="44"/>
    </row>
    <row r="5558" spans="1:14" x14ac:dyDescent="0.3">
      <c r="A5558" s="42"/>
      <c r="C5558" s="52"/>
      <c r="D5558"/>
      <c r="E5558"/>
      <c r="F5558"/>
      <c r="N5558" s="44"/>
    </row>
    <row r="5559" spans="1:14" x14ac:dyDescent="0.3">
      <c r="A5559" s="42"/>
      <c r="C5559" s="52"/>
      <c r="D5559"/>
      <c r="E5559"/>
      <c r="F5559"/>
      <c r="N5559" s="44"/>
    </row>
    <row r="5560" spans="1:14" x14ac:dyDescent="0.3">
      <c r="A5560" s="42"/>
      <c r="C5560" s="52"/>
      <c r="D5560"/>
      <c r="E5560"/>
      <c r="F5560"/>
      <c r="N5560" s="44"/>
    </row>
    <row r="5561" spans="1:14" x14ac:dyDescent="0.3">
      <c r="A5561" s="42"/>
      <c r="C5561" s="52"/>
      <c r="D5561"/>
      <c r="E5561"/>
      <c r="F5561"/>
      <c r="N5561" s="44"/>
    </row>
    <row r="5562" spans="1:14" x14ac:dyDescent="0.3">
      <c r="A5562" s="42"/>
      <c r="C5562" s="52"/>
      <c r="D5562"/>
      <c r="E5562"/>
      <c r="F5562"/>
      <c r="N5562" s="44"/>
    </row>
    <row r="5563" spans="1:14" x14ac:dyDescent="0.3">
      <c r="A5563" s="42"/>
      <c r="C5563" s="52"/>
      <c r="D5563"/>
      <c r="E5563"/>
      <c r="F5563"/>
      <c r="N5563" s="44"/>
    </row>
    <row r="5564" spans="1:14" x14ac:dyDescent="0.3">
      <c r="A5564" s="42"/>
      <c r="C5564" s="52"/>
      <c r="D5564"/>
      <c r="E5564"/>
      <c r="F5564"/>
      <c r="N5564" s="44"/>
    </row>
    <row r="5565" spans="1:14" x14ac:dyDescent="0.3">
      <c r="A5565" s="42"/>
      <c r="C5565" s="52"/>
      <c r="D5565"/>
      <c r="E5565"/>
      <c r="F5565"/>
      <c r="N5565" s="44"/>
    </row>
    <row r="5566" spans="1:14" x14ac:dyDescent="0.3">
      <c r="A5566" s="42"/>
      <c r="C5566" s="52"/>
      <c r="D5566"/>
      <c r="E5566"/>
      <c r="F5566"/>
      <c r="N5566" s="44"/>
    </row>
    <row r="5567" spans="1:14" x14ac:dyDescent="0.3">
      <c r="A5567" s="42"/>
      <c r="C5567" s="52"/>
      <c r="D5567"/>
      <c r="E5567"/>
      <c r="F5567"/>
      <c r="N5567" s="44"/>
    </row>
    <row r="5568" spans="1:14" x14ac:dyDescent="0.3">
      <c r="A5568" s="42"/>
      <c r="C5568" s="52"/>
      <c r="D5568"/>
      <c r="E5568"/>
      <c r="F5568"/>
      <c r="N5568" s="44"/>
    </row>
    <row r="5569" spans="1:14" x14ac:dyDescent="0.3">
      <c r="A5569" s="42"/>
      <c r="C5569" s="52"/>
      <c r="D5569"/>
      <c r="E5569"/>
      <c r="F5569"/>
      <c r="N5569" s="44"/>
    </row>
    <row r="5570" spans="1:14" x14ac:dyDescent="0.3">
      <c r="A5570" s="42"/>
      <c r="C5570" s="52"/>
      <c r="D5570"/>
      <c r="E5570"/>
      <c r="F5570"/>
      <c r="N5570" s="44"/>
    </row>
    <row r="5571" spans="1:14" x14ac:dyDescent="0.3">
      <c r="A5571" s="42"/>
      <c r="C5571" s="52"/>
      <c r="D5571"/>
      <c r="E5571"/>
      <c r="F5571"/>
      <c r="N5571" s="44"/>
    </row>
    <row r="5572" spans="1:14" x14ac:dyDescent="0.3">
      <c r="A5572" s="42"/>
      <c r="C5572" s="52"/>
      <c r="D5572"/>
      <c r="E5572"/>
      <c r="F5572"/>
      <c r="N5572" s="44"/>
    </row>
    <row r="5573" spans="1:14" x14ac:dyDescent="0.3">
      <c r="A5573" s="42"/>
      <c r="C5573" s="52"/>
      <c r="D5573"/>
      <c r="E5573"/>
      <c r="F5573"/>
      <c r="N5573" s="44"/>
    </row>
    <row r="5574" spans="1:14" x14ac:dyDescent="0.3">
      <c r="A5574" s="42"/>
      <c r="C5574" s="52"/>
      <c r="D5574"/>
      <c r="E5574"/>
      <c r="F5574"/>
      <c r="N5574" s="44"/>
    </row>
    <row r="5575" spans="1:14" x14ac:dyDescent="0.3">
      <c r="A5575" s="42"/>
      <c r="C5575" s="52"/>
      <c r="D5575"/>
      <c r="E5575"/>
      <c r="F5575"/>
      <c r="N5575" s="44"/>
    </row>
    <row r="5576" spans="1:14" x14ac:dyDescent="0.3">
      <c r="A5576" s="42"/>
      <c r="C5576" s="52"/>
      <c r="D5576"/>
      <c r="E5576"/>
      <c r="F5576"/>
      <c r="N5576" s="44"/>
    </row>
    <row r="5577" spans="1:14" x14ac:dyDescent="0.3">
      <c r="A5577" s="42"/>
      <c r="C5577" s="52"/>
      <c r="D5577"/>
      <c r="E5577"/>
      <c r="F5577"/>
      <c r="N5577" s="44"/>
    </row>
    <row r="5578" spans="1:14" x14ac:dyDescent="0.3">
      <c r="A5578" s="42"/>
      <c r="C5578" s="52"/>
      <c r="D5578"/>
      <c r="E5578"/>
      <c r="F5578"/>
      <c r="N5578" s="44"/>
    </row>
    <row r="5579" spans="1:14" x14ac:dyDescent="0.3">
      <c r="A5579" s="42"/>
      <c r="C5579" s="52"/>
      <c r="D5579"/>
      <c r="E5579"/>
      <c r="F5579"/>
      <c r="N5579" s="44"/>
    </row>
    <row r="5580" spans="1:14" x14ac:dyDescent="0.3">
      <c r="A5580" s="42"/>
      <c r="C5580" s="52"/>
      <c r="D5580"/>
      <c r="E5580"/>
      <c r="F5580"/>
      <c r="N5580" s="44"/>
    </row>
    <row r="5581" spans="1:14" x14ac:dyDescent="0.3">
      <c r="A5581" s="42"/>
      <c r="C5581" s="52"/>
      <c r="D5581"/>
      <c r="E5581"/>
      <c r="F5581"/>
      <c r="N5581" s="44"/>
    </row>
    <row r="5582" spans="1:14" x14ac:dyDescent="0.3">
      <c r="A5582" s="42"/>
      <c r="C5582" s="52"/>
      <c r="D5582"/>
      <c r="E5582"/>
      <c r="F5582"/>
      <c r="N5582" s="44"/>
    </row>
    <row r="5583" spans="1:14" x14ac:dyDescent="0.3">
      <c r="A5583" s="42"/>
      <c r="C5583" s="52"/>
      <c r="D5583"/>
      <c r="E5583"/>
      <c r="F5583"/>
      <c r="N5583" s="44"/>
    </row>
    <row r="5584" spans="1:14" x14ac:dyDescent="0.3">
      <c r="A5584" s="42"/>
      <c r="C5584" s="52"/>
      <c r="D5584"/>
      <c r="E5584"/>
      <c r="F5584"/>
      <c r="N5584" s="44"/>
    </row>
    <row r="5585" spans="1:14" x14ac:dyDescent="0.3">
      <c r="A5585" s="42"/>
      <c r="C5585" s="52"/>
      <c r="D5585"/>
      <c r="E5585"/>
      <c r="F5585"/>
      <c r="N5585" s="44"/>
    </row>
    <row r="5586" spans="1:14" x14ac:dyDescent="0.3">
      <c r="A5586" s="42"/>
      <c r="C5586" s="52"/>
      <c r="D5586"/>
      <c r="E5586"/>
      <c r="F5586"/>
      <c r="N5586" s="44"/>
    </row>
    <row r="5587" spans="1:14" x14ac:dyDescent="0.3">
      <c r="A5587" s="42"/>
      <c r="C5587" s="52"/>
      <c r="D5587"/>
      <c r="E5587"/>
      <c r="F5587"/>
      <c r="N5587" s="44"/>
    </row>
    <row r="5588" spans="1:14" x14ac:dyDescent="0.3">
      <c r="A5588" s="42"/>
      <c r="C5588" s="52"/>
      <c r="D5588"/>
      <c r="E5588"/>
      <c r="F5588"/>
      <c r="N5588" s="44"/>
    </row>
    <row r="5589" spans="1:14" x14ac:dyDescent="0.3">
      <c r="A5589" s="42"/>
      <c r="C5589" s="52"/>
      <c r="D5589"/>
      <c r="E5589"/>
      <c r="F5589"/>
      <c r="N5589" s="44"/>
    </row>
    <row r="5590" spans="1:14" x14ac:dyDescent="0.3">
      <c r="A5590" s="42"/>
      <c r="C5590" s="52"/>
      <c r="D5590"/>
      <c r="E5590"/>
      <c r="F5590"/>
      <c r="N5590" s="44"/>
    </row>
    <row r="5591" spans="1:14" x14ac:dyDescent="0.3">
      <c r="A5591" s="42"/>
      <c r="C5591" s="52"/>
      <c r="D5591"/>
      <c r="E5591"/>
      <c r="F5591"/>
      <c r="N5591" s="44"/>
    </row>
    <row r="5592" spans="1:14" x14ac:dyDescent="0.3">
      <c r="A5592" s="42"/>
      <c r="C5592" s="52"/>
      <c r="D5592"/>
      <c r="E5592"/>
      <c r="F5592"/>
      <c r="N5592" s="44"/>
    </row>
    <row r="5593" spans="1:14" x14ac:dyDescent="0.3">
      <c r="A5593" s="42"/>
      <c r="C5593" s="52"/>
      <c r="D5593"/>
      <c r="E5593"/>
      <c r="F5593"/>
      <c r="N5593" s="44"/>
    </row>
    <row r="5594" spans="1:14" x14ac:dyDescent="0.3">
      <c r="A5594" s="42"/>
      <c r="C5594" s="52"/>
      <c r="D5594"/>
      <c r="E5594"/>
      <c r="F5594"/>
      <c r="M5594" s="45"/>
      <c r="N5594" s="44"/>
    </row>
    <row r="5595" spans="1:14" x14ac:dyDescent="0.3">
      <c r="A5595" s="42"/>
      <c r="C5595" s="52"/>
      <c r="D5595"/>
      <c r="E5595"/>
      <c r="F5595"/>
      <c r="N5595" s="44"/>
    </row>
    <row r="5596" spans="1:14" x14ac:dyDescent="0.3">
      <c r="A5596" s="42"/>
      <c r="C5596" s="52"/>
      <c r="D5596"/>
      <c r="E5596"/>
      <c r="F5596"/>
      <c r="N5596" s="44"/>
    </row>
    <row r="5597" spans="1:14" x14ac:dyDescent="0.3">
      <c r="A5597" s="42"/>
      <c r="C5597" s="52"/>
      <c r="D5597"/>
      <c r="E5597"/>
      <c r="F5597"/>
      <c r="N5597" s="44"/>
    </row>
    <row r="5598" spans="1:14" x14ac:dyDescent="0.3">
      <c r="A5598" s="42"/>
      <c r="C5598" s="52"/>
      <c r="D5598"/>
      <c r="E5598"/>
      <c r="F5598"/>
      <c r="N5598" s="44"/>
    </row>
    <row r="5599" spans="1:14" x14ac:dyDescent="0.3">
      <c r="A5599" s="42"/>
      <c r="C5599" s="52"/>
      <c r="D5599"/>
      <c r="E5599"/>
      <c r="F5599"/>
      <c r="N5599" s="44"/>
    </row>
    <row r="5600" spans="1:14" x14ac:dyDescent="0.3">
      <c r="A5600" s="42"/>
      <c r="C5600" s="52"/>
      <c r="D5600"/>
      <c r="E5600"/>
      <c r="F5600"/>
      <c r="N5600" s="44"/>
    </row>
    <row r="5601" spans="1:14" x14ac:dyDescent="0.3">
      <c r="A5601" s="42"/>
      <c r="C5601" s="52"/>
      <c r="D5601"/>
      <c r="E5601"/>
      <c r="F5601"/>
      <c r="N5601" s="44"/>
    </row>
    <row r="5602" spans="1:14" x14ac:dyDescent="0.3">
      <c r="A5602" s="42"/>
      <c r="C5602" s="52"/>
      <c r="D5602"/>
      <c r="E5602"/>
      <c r="F5602"/>
      <c r="N5602" s="44"/>
    </row>
    <row r="5603" spans="1:14" x14ac:dyDescent="0.3">
      <c r="A5603" s="42"/>
      <c r="C5603" s="52"/>
      <c r="D5603"/>
      <c r="E5603"/>
      <c r="F5603"/>
      <c r="N5603" s="44"/>
    </row>
    <row r="5604" spans="1:14" x14ac:dyDescent="0.3">
      <c r="A5604" s="42"/>
      <c r="C5604" s="52"/>
      <c r="D5604"/>
      <c r="E5604"/>
      <c r="F5604"/>
      <c r="N5604" s="44"/>
    </row>
    <row r="5605" spans="1:14" x14ac:dyDescent="0.3">
      <c r="A5605" s="42"/>
      <c r="C5605" s="52"/>
      <c r="D5605"/>
      <c r="E5605"/>
      <c r="F5605"/>
      <c r="N5605" s="44"/>
    </row>
    <row r="5606" spans="1:14" x14ac:dyDescent="0.3">
      <c r="A5606" s="42"/>
      <c r="C5606" s="52"/>
      <c r="D5606"/>
      <c r="E5606"/>
      <c r="F5606"/>
      <c r="N5606" s="44"/>
    </row>
    <row r="5607" spans="1:14" x14ac:dyDescent="0.3">
      <c r="A5607" s="42"/>
      <c r="C5607" s="52"/>
      <c r="D5607"/>
      <c r="E5607"/>
      <c r="F5607"/>
      <c r="N5607" s="44"/>
    </row>
    <row r="5608" spans="1:14" x14ac:dyDescent="0.3">
      <c r="A5608" s="42"/>
      <c r="C5608" s="52"/>
      <c r="D5608"/>
      <c r="E5608"/>
      <c r="F5608"/>
      <c r="N5608" s="44"/>
    </row>
    <row r="5609" spans="1:14" x14ac:dyDescent="0.3">
      <c r="A5609" s="42"/>
      <c r="C5609" s="52"/>
      <c r="D5609"/>
      <c r="E5609"/>
      <c r="F5609"/>
      <c r="N5609" s="44"/>
    </row>
    <row r="5610" spans="1:14" x14ac:dyDescent="0.3">
      <c r="A5610" s="42"/>
      <c r="C5610" s="52"/>
      <c r="D5610"/>
      <c r="E5610"/>
      <c r="F5610"/>
      <c r="N5610" s="44"/>
    </row>
    <row r="5611" spans="1:14" x14ac:dyDescent="0.3">
      <c r="A5611" s="42"/>
      <c r="C5611" s="52"/>
      <c r="D5611"/>
      <c r="E5611"/>
      <c r="F5611"/>
      <c r="N5611" s="44"/>
    </row>
    <row r="5612" spans="1:14" x14ac:dyDescent="0.3">
      <c r="A5612" s="42"/>
      <c r="C5612" s="52"/>
      <c r="D5612"/>
      <c r="E5612"/>
      <c r="F5612"/>
      <c r="N5612" s="44"/>
    </row>
    <row r="5613" spans="1:14" x14ac:dyDescent="0.3">
      <c r="A5613" s="42"/>
      <c r="C5613" s="52"/>
      <c r="D5613"/>
      <c r="E5613"/>
      <c r="F5613"/>
      <c r="N5613" s="44"/>
    </row>
    <row r="5614" spans="1:14" x14ac:dyDescent="0.3">
      <c r="A5614" s="42"/>
      <c r="C5614" s="52"/>
      <c r="D5614"/>
      <c r="E5614"/>
      <c r="F5614"/>
      <c r="N5614" s="44"/>
    </row>
    <row r="5615" spans="1:14" x14ac:dyDescent="0.3">
      <c r="A5615" s="42"/>
      <c r="C5615" s="52"/>
      <c r="D5615"/>
      <c r="E5615"/>
      <c r="F5615"/>
      <c r="N5615" s="44"/>
    </row>
    <row r="5616" spans="1:14" x14ac:dyDescent="0.3">
      <c r="A5616" s="42"/>
      <c r="C5616" s="52"/>
      <c r="D5616"/>
      <c r="E5616"/>
      <c r="F5616"/>
      <c r="N5616" s="44"/>
    </row>
    <row r="5617" spans="1:14" x14ac:dyDescent="0.3">
      <c r="A5617" s="42"/>
      <c r="C5617" s="52"/>
      <c r="D5617"/>
      <c r="E5617"/>
      <c r="F5617"/>
      <c r="N5617" s="44"/>
    </row>
    <row r="5618" spans="1:14" x14ac:dyDescent="0.3">
      <c r="A5618" s="42"/>
      <c r="C5618" s="52"/>
      <c r="D5618"/>
      <c r="E5618"/>
      <c r="F5618"/>
      <c r="N5618" s="44"/>
    </row>
    <row r="5619" spans="1:14" x14ac:dyDescent="0.3">
      <c r="A5619" s="42"/>
      <c r="C5619" s="52"/>
      <c r="D5619"/>
      <c r="E5619"/>
      <c r="F5619"/>
      <c r="N5619" s="44"/>
    </row>
    <row r="5620" spans="1:14" x14ac:dyDescent="0.3">
      <c r="A5620" s="42"/>
      <c r="C5620" s="52"/>
      <c r="D5620"/>
      <c r="E5620"/>
      <c r="F5620"/>
      <c r="N5620" s="44"/>
    </row>
    <row r="5621" spans="1:14" x14ac:dyDescent="0.3">
      <c r="A5621" s="42"/>
      <c r="C5621" s="52"/>
      <c r="D5621"/>
      <c r="E5621"/>
      <c r="F5621"/>
      <c r="N5621" s="44"/>
    </row>
    <row r="5622" spans="1:14" x14ac:dyDescent="0.3">
      <c r="A5622" s="42"/>
      <c r="C5622" s="52"/>
      <c r="D5622"/>
      <c r="E5622"/>
      <c r="F5622"/>
      <c r="N5622" s="44"/>
    </row>
    <row r="5623" spans="1:14" x14ac:dyDescent="0.3">
      <c r="A5623" s="42"/>
      <c r="C5623" s="52"/>
      <c r="D5623"/>
      <c r="E5623"/>
      <c r="F5623"/>
      <c r="N5623" s="44"/>
    </row>
    <row r="5624" spans="1:14" x14ac:dyDescent="0.3">
      <c r="A5624" s="42"/>
      <c r="C5624" s="52"/>
      <c r="D5624"/>
      <c r="E5624"/>
      <c r="F5624"/>
      <c r="N5624" s="44"/>
    </row>
    <row r="5625" spans="1:14" x14ac:dyDescent="0.3">
      <c r="A5625" s="42"/>
      <c r="C5625" s="52"/>
      <c r="D5625"/>
      <c r="E5625"/>
      <c r="F5625"/>
      <c r="N5625" s="44"/>
    </row>
    <row r="5626" spans="1:14" x14ac:dyDescent="0.3">
      <c r="A5626" s="42"/>
      <c r="C5626" s="52"/>
      <c r="D5626"/>
      <c r="E5626"/>
      <c r="F5626"/>
      <c r="M5626" s="45"/>
      <c r="N5626" s="44"/>
    </row>
    <row r="5627" spans="1:14" x14ac:dyDescent="0.3">
      <c r="A5627" s="42"/>
      <c r="C5627" s="52"/>
      <c r="D5627"/>
      <c r="E5627"/>
      <c r="F5627"/>
      <c r="N5627" s="44"/>
    </row>
    <row r="5628" spans="1:14" x14ac:dyDescent="0.3">
      <c r="A5628" s="42"/>
      <c r="C5628" s="52"/>
      <c r="D5628"/>
      <c r="E5628"/>
      <c r="F5628"/>
      <c r="N5628" s="44"/>
    </row>
    <row r="5629" spans="1:14" x14ac:dyDescent="0.3">
      <c r="A5629" s="42"/>
      <c r="C5629" s="52"/>
      <c r="D5629"/>
      <c r="E5629"/>
      <c r="F5629"/>
      <c r="N5629" s="44"/>
    </row>
    <row r="5630" spans="1:14" x14ac:dyDescent="0.3">
      <c r="A5630" s="42"/>
      <c r="C5630" s="52"/>
      <c r="D5630"/>
      <c r="E5630"/>
      <c r="F5630"/>
      <c r="N5630" s="44"/>
    </row>
    <row r="5631" spans="1:14" x14ac:dyDescent="0.3">
      <c r="A5631" s="42"/>
      <c r="C5631" s="52"/>
      <c r="D5631"/>
      <c r="E5631"/>
      <c r="F5631"/>
      <c r="N5631" s="44"/>
    </row>
    <row r="5632" spans="1:14" x14ac:dyDescent="0.3">
      <c r="A5632" s="42"/>
      <c r="C5632" s="52"/>
      <c r="D5632"/>
      <c r="E5632"/>
      <c r="F5632"/>
      <c r="N5632" s="44"/>
    </row>
    <row r="5633" spans="1:14" x14ac:dyDescent="0.3">
      <c r="A5633" s="42"/>
      <c r="C5633" s="52"/>
      <c r="D5633"/>
      <c r="E5633"/>
      <c r="F5633"/>
      <c r="N5633" s="44"/>
    </row>
    <row r="5634" spans="1:14" x14ac:dyDescent="0.3">
      <c r="A5634" s="42"/>
      <c r="C5634" s="52"/>
      <c r="D5634"/>
      <c r="E5634"/>
      <c r="F5634"/>
      <c r="N5634" s="44"/>
    </row>
    <row r="5635" spans="1:14" x14ac:dyDescent="0.3">
      <c r="A5635" s="42"/>
      <c r="C5635" s="52"/>
      <c r="D5635"/>
      <c r="E5635"/>
      <c r="F5635"/>
      <c r="N5635" s="44"/>
    </row>
    <row r="5636" spans="1:14" x14ac:dyDescent="0.3">
      <c r="A5636" s="42"/>
      <c r="C5636" s="52"/>
      <c r="D5636"/>
      <c r="E5636"/>
      <c r="F5636"/>
      <c r="N5636" s="44"/>
    </row>
    <row r="5637" spans="1:14" x14ac:dyDescent="0.3">
      <c r="A5637" s="42"/>
      <c r="C5637" s="52"/>
      <c r="D5637"/>
      <c r="E5637"/>
      <c r="F5637"/>
      <c r="N5637" s="44"/>
    </row>
    <row r="5638" spans="1:14" x14ac:dyDescent="0.3">
      <c r="A5638" s="42"/>
      <c r="C5638" s="52"/>
      <c r="D5638"/>
      <c r="E5638"/>
      <c r="F5638"/>
      <c r="N5638" s="44"/>
    </row>
    <row r="5639" spans="1:14" x14ac:dyDescent="0.3">
      <c r="A5639" s="42"/>
      <c r="C5639" s="52"/>
      <c r="D5639"/>
      <c r="E5639"/>
      <c r="F5639"/>
      <c r="N5639" s="44"/>
    </row>
    <row r="5640" spans="1:14" x14ac:dyDescent="0.3">
      <c r="A5640" s="42"/>
      <c r="C5640" s="52"/>
      <c r="D5640"/>
      <c r="E5640"/>
      <c r="F5640"/>
      <c r="N5640" s="44"/>
    </row>
    <row r="5641" spans="1:14" x14ac:dyDescent="0.3">
      <c r="A5641" s="42"/>
      <c r="C5641" s="52"/>
      <c r="D5641"/>
      <c r="E5641"/>
      <c r="F5641"/>
      <c r="N5641" s="44"/>
    </row>
    <row r="5642" spans="1:14" x14ac:dyDescent="0.3">
      <c r="A5642" s="42"/>
      <c r="C5642" s="52"/>
      <c r="D5642"/>
      <c r="E5642"/>
      <c r="F5642"/>
      <c r="N5642" s="44"/>
    </row>
    <row r="5643" spans="1:14" x14ac:dyDescent="0.3">
      <c r="A5643" s="42"/>
      <c r="C5643" s="52"/>
      <c r="D5643"/>
      <c r="E5643"/>
      <c r="F5643"/>
      <c r="N5643" s="44"/>
    </row>
    <row r="5644" spans="1:14" x14ac:dyDescent="0.3">
      <c r="A5644" s="42"/>
      <c r="C5644" s="52"/>
      <c r="D5644"/>
      <c r="E5644"/>
      <c r="F5644"/>
      <c r="N5644" s="44"/>
    </row>
    <row r="5645" spans="1:14" x14ac:dyDescent="0.3">
      <c r="A5645" s="42"/>
      <c r="C5645" s="52"/>
      <c r="D5645"/>
      <c r="E5645"/>
      <c r="F5645"/>
      <c r="N5645" s="44"/>
    </row>
    <row r="5646" spans="1:14" x14ac:dyDescent="0.3">
      <c r="A5646" s="42"/>
      <c r="C5646" s="52"/>
      <c r="D5646"/>
      <c r="E5646"/>
      <c r="F5646"/>
      <c r="N5646" s="44"/>
    </row>
    <row r="5647" spans="1:14" x14ac:dyDescent="0.3">
      <c r="A5647" s="42"/>
      <c r="C5647" s="52"/>
      <c r="D5647"/>
      <c r="E5647"/>
      <c r="F5647"/>
      <c r="N5647" s="44"/>
    </row>
    <row r="5648" spans="1:14" x14ac:dyDescent="0.3">
      <c r="A5648" s="42"/>
      <c r="C5648" s="52"/>
      <c r="D5648"/>
      <c r="E5648"/>
      <c r="F5648"/>
      <c r="N5648" s="44"/>
    </row>
    <row r="5649" spans="1:14" x14ac:dyDescent="0.3">
      <c r="A5649" s="42"/>
      <c r="C5649" s="52"/>
      <c r="D5649"/>
      <c r="E5649"/>
      <c r="F5649"/>
      <c r="N5649" s="44"/>
    </row>
    <row r="5650" spans="1:14" x14ac:dyDescent="0.3">
      <c r="A5650" s="42"/>
      <c r="C5650" s="52"/>
      <c r="D5650"/>
      <c r="E5650"/>
      <c r="F5650"/>
      <c r="N5650" s="44"/>
    </row>
    <row r="5651" spans="1:14" x14ac:dyDescent="0.3">
      <c r="A5651" s="42"/>
      <c r="C5651" s="52"/>
      <c r="D5651"/>
      <c r="E5651"/>
      <c r="F5651"/>
      <c r="N5651" s="44"/>
    </row>
    <row r="5652" spans="1:14" x14ac:dyDescent="0.3">
      <c r="A5652" s="42"/>
      <c r="C5652" s="52"/>
      <c r="D5652"/>
      <c r="E5652"/>
      <c r="F5652"/>
      <c r="N5652" s="44"/>
    </row>
    <row r="5653" spans="1:14" x14ac:dyDescent="0.3">
      <c r="A5653" s="42"/>
      <c r="C5653" s="52"/>
      <c r="D5653"/>
      <c r="E5653"/>
      <c r="F5653"/>
      <c r="N5653" s="44"/>
    </row>
    <row r="5654" spans="1:14" x14ac:dyDescent="0.3">
      <c r="A5654" s="42"/>
      <c r="C5654" s="52"/>
      <c r="D5654"/>
      <c r="E5654"/>
      <c r="F5654"/>
      <c r="N5654" s="44"/>
    </row>
    <row r="5655" spans="1:14" x14ac:dyDescent="0.3">
      <c r="A5655" s="42"/>
      <c r="C5655" s="52"/>
      <c r="D5655"/>
      <c r="E5655"/>
      <c r="F5655"/>
      <c r="N5655" s="44"/>
    </row>
    <row r="5656" spans="1:14" x14ac:dyDescent="0.3">
      <c r="A5656" s="42"/>
      <c r="C5656" s="52"/>
      <c r="D5656"/>
      <c r="E5656"/>
      <c r="F5656"/>
      <c r="N5656" s="44"/>
    </row>
    <row r="5657" spans="1:14" x14ac:dyDescent="0.3">
      <c r="A5657" s="42"/>
      <c r="C5657" s="52"/>
      <c r="D5657"/>
      <c r="E5657"/>
      <c r="F5657"/>
      <c r="N5657" s="44"/>
    </row>
    <row r="5658" spans="1:14" x14ac:dyDescent="0.3">
      <c r="A5658" s="42"/>
      <c r="C5658" s="52"/>
      <c r="D5658"/>
      <c r="E5658"/>
      <c r="F5658"/>
      <c r="N5658" s="44"/>
    </row>
    <row r="5659" spans="1:14" x14ac:dyDescent="0.3">
      <c r="A5659" s="42"/>
      <c r="C5659" s="52"/>
      <c r="D5659"/>
      <c r="E5659"/>
      <c r="F5659"/>
      <c r="N5659" s="44"/>
    </row>
    <row r="5660" spans="1:14" x14ac:dyDescent="0.3">
      <c r="A5660" s="42"/>
      <c r="C5660" s="52"/>
      <c r="D5660"/>
      <c r="E5660"/>
      <c r="F5660"/>
      <c r="N5660" s="44"/>
    </row>
    <row r="5661" spans="1:14" x14ac:dyDescent="0.3">
      <c r="A5661" s="42"/>
      <c r="C5661" s="52"/>
      <c r="D5661"/>
      <c r="E5661"/>
      <c r="F5661"/>
      <c r="N5661" s="44"/>
    </row>
    <row r="5662" spans="1:14" x14ac:dyDescent="0.3">
      <c r="A5662" s="42"/>
      <c r="C5662" s="52"/>
      <c r="D5662"/>
      <c r="E5662"/>
      <c r="F5662"/>
      <c r="N5662" s="44"/>
    </row>
    <row r="5663" spans="1:14" x14ac:dyDescent="0.3">
      <c r="A5663" s="42"/>
      <c r="C5663" s="52"/>
      <c r="D5663"/>
      <c r="E5663"/>
      <c r="F5663"/>
      <c r="N5663" s="44"/>
    </row>
    <row r="5664" spans="1:14" x14ac:dyDescent="0.3">
      <c r="A5664" s="42"/>
      <c r="C5664" s="52"/>
      <c r="D5664"/>
      <c r="E5664"/>
      <c r="F5664"/>
      <c r="N5664" s="44"/>
    </row>
    <row r="5665" spans="1:14" x14ac:dyDescent="0.3">
      <c r="A5665" s="42"/>
      <c r="C5665" s="52"/>
      <c r="D5665"/>
      <c r="E5665"/>
      <c r="F5665"/>
      <c r="N5665" s="44"/>
    </row>
    <row r="5666" spans="1:14" x14ac:dyDescent="0.3">
      <c r="A5666" s="42"/>
      <c r="C5666" s="52"/>
      <c r="D5666"/>
      <c r="E5666"/>
      <c r="F5666"/>
      <c r="N5666" s="44"/>
    </row>
    <row r="5667" spans="1:14" x14ac:dyDescent="0.3">
      <c r="A5667" s="42"/>
      <c r="C5667" s="52"/>
      <c r="D5667"/>
      <c r="E5667"/>
      <c r="F5667"/>
      <c r="N5667" s="44"/>
    </row>
    <row r="5668" spans="1:14" x14ac:dyDescent="0.3">
      <c r="A5668" s="42"/>
      <c r="C5668" s="52"/>
      <c r="D5668"/>
      <c r="E5668"/>
      <c r="F5668"/>
      <c r="N5668" s="44"/>
    </row>
    <row r="5669" spans="1:14" x14ac:dyDescent="0.3">
      <c r="A5669" s="42"/>
      <c r="C5669" s="52"/>
      <c r="D5669"/>
      <c r="E5669"/>
      <c r="F5669"/>
      <c r="N5669" s="44"/>
    </row>
    <row r="5670" spans="1:14" x14ac:dyDescent="0.3">
      <c r="A5670" s="42"/>
      <c r="C5670" s="52"/>
      <c r="D5670"/>
      <c r="E5670"/>
      <c r="F5670"/>
      <c r="N5670" s="44"/>
    </row>
    <row r="5671" spans="1:14" x14ac:dyDescent="0.3">
      <c r="A5671" s="42"/>
      <c r="C5671" s="52"/>
      <c r="D5671"/>
      <c r="E5671"/>
      <c r="F5671"/>
      <c r="N5671" s="44"/>
    </row>
    <row r="5672" spans="1:14" x14ac:dyDescent="0.3">
      <c r="A5672" s="42"/>
      <c r="C5672" s="52"/>
      <c r="D5672"/>
      <c r="E5672"/>
      <c r="F5672"/>
      <c r="N5672" s="44"/>
    </row>
    <row r="5673" spans="1:14" x14ac:dyDescent="0.3">
      <c r="A5673" s="42"/>
      <c r="C5673" s="52"/>
      <c r="D5673"/>
      <c r="E5673"/>
      <c r="F5673"/>
      <c r="N5673" s="44"/>
    </row>
    <row r="5674" spans="1:14" x14ac:dyDescent="0.3">
      <c r="A5674" s="42"/>
      <c r="C5674" s="52"/>
      <c r="D5674"/>
      <c r="E5674"/>
      <c r="F5674"/>
      <c r="N5674" s="44"/>
    </row>
    <row r="5675" spans="1:14" x14ac:dyDescent="0.3">
      <c r="A5675" s="42"/>
      <c r="C5675" s="52"/>
      <c r="D5675"/>
      <c r="E5675"/>
      <c r="F5675"/>
      <c r="N5675" s="44"/>
    </row>
    <row r="5676" spans="1:14" x14ac:dyDescent="0.3">
      <c r="A5676" s="42"/>
      <c r="C5676" s="52"/>
      <c r="D5676"/>
      <c r="E5676"/>
      <c r="F5676"/>
      <c r="M5676" s="45"/>
      <c r="N5676" s="44"/>
    </row>
    <row r="5677" spans="1:14" x14ac:dyDescent="0.3">
      <c r="A5677" s="42"/>
      <c r="C5677" s="52"/>
      <c r="D5677"/>
      <c r="E5677"/>
      <c r="F5677"/>
      <c r="N5677" s="44"/>
    </row>
    <row r="5678" spans="1:14" x14ac:dyDescent="0.3">
      <c r="A5678" s="42"/>
      <c r="C5678" s="52"/>
      <c r="D5678"/>
      <c r="E5678"/>
      <c r="F5678"/>
      <c r="N5678" s="44"/>
    </row>
    <row r="5679" spans="1:14" x14ac:dyDescent="0.3">
      <c r="A5679" s="42"/>
      <c r="C5679" s="52"/>
      <c r="D5679"/>
      <c r="E5679"/>
      <c r="F5679"/>
      <c r="N5679" s="44"/>
    </row>
    <row r="5680" spans="1:14" x14ac:dyDescent="0.3">
      <c r="A5680" s="42"/>
      <c r="C5680" s="52"/>
      <c r="D5680"/>
      <c r="E5680"/>
      <c r="F5680"/>
      <c r="N5680" s="44"/>
    </row>
    <row r="5681" spans="1:14" x14ac:dyDescent="0.3">
      <c r="A5681" s="42"/>
      <c r="C5681" s="52"/>
      <c r="D5681"/>
      <c r="E5681"/>
      <c r="F5681"/>
      <c r="N5681" s="44"/>
    </row>
    <row r="5682" spans="1:14" x14ac:dyDescent="0.3">
      <c r="A5682" s="42"/>
      <c r="C5682" s="52"/>
      <c r="D5682"/>
      <c r="E5682"/>
      <c r="F5682"/>
      <c r="N5682" s="44"/>
    </row>
    <row r="5683" spans="1:14" x14ac:dyDescent="0.3">
      <c r="A5683" s="42"/>
      <c r="C5683" s="52"/>
      <c r="D5683"/>
      <c r="E5683"/>
      <c r="F5683"/>
      <c r="N5683" s="44"/>
    </row>
    <row r="5684" spans="1:14" x14ac:dyDescent="0.3">
      <c r="A5684" s="42"/>
      <c r="C5684" s="52"/>
      <c r="D5684"/>
      <c r="E5684"/>
      <c r="F5684"/>
      <c r="N5684" s="44"/>
    </row>
    <row r="5685" spans="1:14" x14ac:dyDescent="0.3">
      <c r="A5685" s="42"/>
      <c r="C5685" s="52"/>
      <c r="D5685"/>
      <c r="E5685"/>
      <c r="F5685"/>
      <c r="N5685" s="44"/>
    </row>
    <row r="5686" spans="1:14" x14ac:dyDescent="0.3">
      <c r="A5686" s="42"/>
      <c r="C5686" s="52"/>
      <c r="D5686"/>
      <c r="E5686"/>
      <c r="F5686"/>
      <c r="N5686" s="44"/>
    </row>
    <row r="5687" spans="1:14" x14ac:dyDescent="0.3">
      <c r="A5687" s="42"/>
      <c r="C5687" s="52"/>
      <c r="D5687"/>
      <c r="E5687"/>
      <c r="F5687"/>
      <c r="N5687" s="44"/>
    </row>
    <row r="5688" spans="1:14" x14ac:dyDescent="0.3">
      <c r="A5688" s="42"/>
      <c r="C5688" s="52"/>
      <c r="D5688"/>
      <c r="E5688"/>
      <c r="F5688"/>
      <c r="N5688" s="44"/>
    </row>
    <row r="5689" spans="1:14" x14ac:dyDescent="0.3">
      <c r="A5689" s="42"/>
      <c r="C5689" s="52"/>
      <c r="D5689"/>
      <c r="E5689"/>
      <c r="F5689"/>
      <c r="N5689" s="44"/>
    </row>
    <row r="5690" spans="1:14" x14ac:dyDescent="0.3">
      <c r="A5690" s="42"/>
      <c r="C5690" s="52"/>
      <c r="D5690"/>
      <c r="E5690"/>
      <c r="F5690"/>
      <c r="N5690" s="44"/>
    </row>
    <row r="5691" spans="1:14" x14ac:dyDescent="0.3">
      <c r="A5691" s="42"/>
      <c r="C5691" s="52"/>
      <c r="D5691"/>
      <c r="E5691"/>
      <c r="F5691"/>
      <c r="N5691" s="44"/>
    </row>
    <row r="5692" spans="1:14" x14ac:dyDescent="0.3">
      <c r="A5692" s="42"/>
      <c r="C5692" s="52"/>
      <c r="D5692"/>
      <c r="E5692"/>
      <c r="F5692"/>
      <c r="N5692" s="44"/>
    </row>
    <row r="5693" spans="1:14" x14ac:dyDescent="0.3">
      <c r="A5693" s="42"/>
      <c r="C5693" s="52"/>
      <c r="D5693"/>
      <c r="E5693"/>
      <c r="F5693"/>
      <c r="N5693" s="44"/>
    </row>
    <row r="5694" spans="1:14" x14ac:dyDescent="0.3">
      <c r="A5694" s="42"/>
      <c r="C5694" s="52"/>
      <c r="D5694"/>
      <c r="E5694"/>
      <c r="F5694"/>
      <c r="N5694" s="44"/>
    </row>
    <row r="5695" spans="1:14" x14ac:dyDescent="0.3">
      <c r="A5695" s="42"/>
      <c r="C5695" s="52"/>
      <c r="D5695"/>
      <c r="E5695"/>
      <c r="F5695"/>
      <c r="N5695" s="44"/>
    </row>
    <row r="5696" spans="1:14" x14ac:dyDescent="0.3">
      <c r="A5696" s="42"/>
      <c r="C5696" s="52"/>
      <c r="D5696"/>
      <c r="E5696"/>
      <c r="F5696"/>
      <c r="N5696" s="44"/>
    </row>
    <row r="5697" spans="1:14" x14ac:dyDescent="0.3">
      <c r="A5697" s="42"/>
      <c r="C5697" s="52"/>
      <c r="D5697"/>
      <c r="E5697"/>
      <c r="F5697"/>
      <c r="N5697" s="44"/>
    </row>
    <row r="5698" spans="1:14" x14ac:dyDescent="0.3">
      <c r="A5698" s="42"/>
      <c r="C5698" s="52"/>
      <c r="D5698"/>
      <c r="E5698"/>
      <c r="F5698"/>
      <c r="N5698" s="44"/>
    </row>
    <row r="5699" spans="1:14" x14ac:dyDescent="0.3">
      <c r="A5699" s="42"/>
      <c r="C5699" s="52"/>
      <c r="D5699"/>
      <c r="E5699"/>
      <c r="F5699"/>
      <c r="N5699" s="44"/>
    </row>
    <row r="5700" spans="1:14" x14ac:dyDescent="0.3">
      <c r="A5700" s="42"/>
      <c r="C5700" s="52"/>
      <c r="D5700"/>
      <c r="E5700"/>
      <c r="F5700"/>
      <c r="N5700" s="44"/>
    </row>
    <row r="5701" spans="1:14" x14ac:dyDescent="0.3">
      <c r="A5701" s="42"/>
      <c r="C5701" s="52"/>
      <c r="D5701"/>
      <c r="E5701"/>
      <c r="F5701"/>
      <c r="N5701" s="44"/>
    </row>
    <row r="5702" spans="1:14" x14ac:dyDescent="0.3">
      <c r="A5702" s="42"/>
      <c r="C5702" s="52"/>
      <c r="D5702"/>
      <c r="E5702"/>
      <c r="F5702"/>
      <c r="N5702" s="44"/>
    </row>
    <row r="5703" spans="1:14" x14ac:dyDescent="0.3">
      <c r="A5703" s="42"/>
      <c r="C5703" s="52"/>
      <c r="D5703"/>
      <c r="E5703"/>
      <c r="F5703"/>
      <c r="N5703" s="44"/>
    </row>
    <row r="5704" spans="1:14" x14ac:dyDescent="0.3">
      <c r="A5704" s="42"/>
      <c r="C5704" s="52"/>
      <c r="D5704"/>
      <c r="E5704"/>
      <c r="F5704"/>
      <c r="N5704" s="44"/>
    </row>
    <row r="5705" spans="1:14" x14ac:dyDescent="0.3">
      <c r="A5705" s="42"/>
      <c r="C5705" s="52"/>
      <c r="D5705"/>
      <c r="E5705"/>
      <c r="F5705"/>
      <c r="N5705" s="44"/>
    </row>
    <row r="5706" spans="1:14" x14ac:dyDescent="0.3">
      <c r="A5706" s="42"/>
      <c r="C5706" s="52"/>
      <c r="D5706"/>
      <c r="E5706"/>
      <c r="F5706"/>
      <c r="N5706" s="44"/>
    </row>
    <row r="5707" spans="1:14" x14ac:dyDescent="0.3">
      <c r="A5707" s="42"/>
      <c r="C5707" s="52"/>
      <c r="D5707"/>
      <c r="E5707"/>
      <c r="F5707"/>
      <c r="N5707" s="44"/>
    </row>
    <row r="5708" spans="1:14" x14ac:dyDescent="0.3">
      <c r="A5708" s="42"/>
      <c r="C5708" s="52"/>
      <c r="D5708"/>
      <c r="E5708"/>
      <c r="F5708"/>
      <c r="N5708" s="44"/>
    </row>
    <row r="5709" spans="1:14" x14ac:dyDescent="0.3">
      <c r="A5709" s="42"/>
      <c r="C5709" s="52"/>
      <c r="D5709"/>
      <c r="E5709"/>
      <c r="F5709"/>
      <c r="N5709" s="44"/>
    </row>
    <row r="5710" spans="1:14" x14ac:dyDescent="0.3">
      <c r="A5710" s="42"/>
      <c r="C5710" s="52"/>
      <c r="D5710"/>
      <c r="E5710"/>
      <c r="F5710"/>
      <c r="N5710" s="44"/>
    </row>
    <row r="5711" spans="1:14" x14ac:dyDescent="0.3">
      <c r="A5711" s="42"/>
      <c r="C5711" s="52"/>
      <c r="D5711"/>
      <c r="E5711"/>
      <c r="F5711"/>
      <c r="N5711" s="44"/>
    </row>
    <row r="5712" spans="1:14" x14ac:dyDescent="0.3">
      <c r="A5712" s="42"/>
      <c r="C5712" s="52"/>
      <c r="D5712"/>
      <c r="E5712"/>
      <c r="F5712"/>
      <c r="N5712" s="44"/>
    </row>
    <row r="5713" spans="1:14" x14ac:dyDescent="0.3">
      <c r="A5713" s="42"/>
      <c r="C5713" s="52"/>
      <c r="D5713"/>
      <c r="E5713"/>
      <c r="F5713"/>
      <c r="N5713" s="44"/>
    </row>
    <row r="5714" spans="1:14" x14ac:dyDescent="0.3">
      <c r="A5714" s="42"/>
      <c r="C5714" s="52"/>
      <c r="D5714"/>
      <c r="E5714"/>
      <c r="F5714"/>
      <c r="N5714" s="44"/>
    </row>
    <row r="5715" spans="1:14" x14ac:dyDescent="0.3">
      <c r="A5715" s="42"/>
      <c r="C5715" s="52"/>
      <c r="D5715"/>
      <c r="E5715"/>
      <c r="F5715"/>
      <c r="N5715" s="44"/>
    </row>
    <row r="5716" spans="1:14" x14ac:dyDescent="0.3">
      <c r="A5716" s="42"/>
      <c r="C5716" s="52"/>
      <c r="D5716"/>
      <c r="E5716"/>
      <c r="F5716"/>
      <c r="N5716" s="44"/>
    </row>
    <row r="5717" spans="1:14" x14ac:dyDescent="0.3">
      <c r="A5717" s="42"/>
      <c r="C5717" s="52"/>
      <c r="D5717"/>
      <c r="E5717"/>
      <c r="F5717"/>
      <c r="N5717" s="44"/>
    </row>
    <row r="5718" spans="1:14" x14ac:dyDescent="0.3">
      <c r="A5718" s="42"/>
      <c r="C5718" s="52"/>
      <c r="D5718"/>
      <c r="E5718"/>
      <c r="F5718"/>
      <c r="N5718" s="44"/>
    </row>
    <row r="5719" spans="1:14" x14ac:dyDescent="0.3">
      <c r="A5719" s="42"/>
      <c r="C5719" s="52"/>
      <c r="D5719"/>
      <c r="E5719"/>
      <c r="F5719"/>
      <c r="N5719" s="44"/>
    </row>
    <row r="5720" spans="1:14" x14ac:dyDescent="0.3">
      <c r="A5720" s="42"/>
      <c r="C5720" s="52"/>
      <c r="D5720"/>
      <c r="E5720"/>
      <c r="F5720"/>
      <c r="N5720" s="44"/>
    </row>
    <row r="5721" spans="1:14" x14ac:dyDescent="0.3">
      <c r="A5721" s="42"/>
      <c r="C5721" s="52"/>
      <c r="D5721"/>
      <c r="E5721"/>
      <c r="F5721"/>
      <c r="N5721" s="44"/>
    </row>
    <row r="5722" spans="1:14" x14ac:dyDescent="0.3">
      <c r="A5722" s="42"/>
      <c r="C5722" s="52"/>
      <c r="D5722"/>
      <c r="E5722"/>
      <c r="F5722"/>
      <c r="N5722" s="44"/>
    </row>
    <row r="5723" spans="1:14" x14ac:dyDescent="0.3">
      <c r="A5723" s="42"/>
      <c r="C5723" s="52"/>
      <c r="D5723"/>
      <c r="E5723"/>
      <c r="F5723"/>
      <c r="N5723" s="44"/>
    </row>
    <row r="5724" spans="1:14" x14ac:dyDescent="0.3">
      <c r="A5724" s="42"/>
      <c r="C5724" s="52"/>
      <c r="D5724"/>
      <c r="E5724"/>
      <c r="F5724"/>
      <c r="N5724" s="44"/>
    </row>
    <row r="5725" spans="1:14" x14ac:dyDescent="0.3">
      <c r="A5725" s="42"/>
      <c r="C5725" s="52"/>
      <c r="D5725"/>
      <c r="E5725"/>
      <c r="F5725"/>
      <c r="N5725" s="44"/>
    </row>
    <row r="5726" spans="1:14" x14ac:dyDescent="0.3">
      <c r="A5726" s="42"/>
      <c r="C5726" s="52"/>
      <c r="D5726"/>
      <c r="E5726"/>
      <c r="F5726"/>
      <c r="N5726" s="44"/>
    </row>
    <row r="5727" spans="1:14" x14ac:dyDescent="0.3">
      <c r="A5727" s="42"/>
      <c r="C5727" s="52"/>
      <c r="D5727"/>
      <c r="E5727"/>
      <c r="F5727"/>
      <c r="N5727" s="44"/>
    </row>
    <row r="5728" spans="1:14" x14ac:dyDescent="0.3">
      <c r="A5728" s="42"/>
      <c r="C5728" s="52"/>
      <c r="D5728"/>
      <c r="E5728"/>
      <c r="F5728"/>
      <c r="N5728" s="44"/>
    </row>
    <row r="5729" spans="1:14" x14ac:dyDescent="0.3">
      <c r="A5729" s="42"/>
      <c r="C5729" s="52"/>
      <c r="D5729"/>
      <c r="E5729"/>
      <c r="F5729"/>
      <c r="N5729" s="44"/>
    </row>
    <row r="5730" spans="1:14" x14ac:dyDescent="0.3">
      <c r="A5730" s="42"/>
      <c r="C5730" s="52"/>
      <c r="D5730"/>
      <c r="E5730"/>
      <c r="F5730"/>
      <c r="N5730" s="44"/>
    </row>
    <row r="5731" spans="1:14" x14ac:dyDescent="0.3">
      <c r="A5731" s="42"/>
      <c r="C5731" s="52"/>
      <c r="D5731"/>
      <c r="E5731"/>
      <c r="F5731"/>
      <c r="N5731" s="44"/>
    </row>
    <row r="5732" spans="1:14" x14ac:dyDescent="0.3">
      <c r="A5732" s="42"/>
      <c r="C5732" s="52"/>
      <c r="D5732"/>
      <c r="E5732"/>
      <c r="F5732"/>
      <c r="N5732" s="44"/>
    </row>
    <row r="5733" spans="1:14" x14ac:dyDescent="0.3">
      <c r="A5733" s="42"/>
      <c r="C5733" s="52"/>
      <c r="D5733"/>
      <c r="E5733"/>
      <c r="F5733"/>
      <c r="N5733" s="44"/>
    </row>
    <row r="5734" spans="1:14" x14ac:dyDescent="0.3">
      <c r="A5734" s="42"/>
      <c r="C5734" s="52"/>
      <c r="D5734"/>
      <c r="E5734"/>
      <c r="F5734"/>
      <c r="N5734" s="44"/>
    </row>
    <row r="5735" spans="1:14" x14ac:dyDescent="0.3">
      <c r="A5735" s="42"/>
      <c r="C5735" s="52"/>
      <c r="D5735"/>
      <c r="E5735"/>
      <c r="F5735"/>
      <c r="N5735" s="44"/>
    </row>
    <row r="5736" spans="1:14" x14ac:dyDescent="0.3">
      <c r="A5736" s="42"/>
      <c r="C5736" s="52"/>
      <c r="D5736"/>
      <c r="E5736"/>
      <c r="F5736"/>
      <c r="N5736" s="44"/>
    </row>
    <row r="5737" spans="1:14" x14ac:dyDescent="0.3">
      <c r="A5737" s="42"/>
      <c r="C5737" s="52"/>
      <c r="D5737"/>
      <c r="E5737"/>
      <c r="F5737"/>
      <c r="N5737" s="44"/>
    </row>
    <row r="5738" spans="1:14" x14ac:dyDescent="0.3">
      <c r="A5738" s="42"/>
      <c r="C5738" s="52"/>
      <c r="D5738"/>
      <c r="E5738"/>
      <c r="F5738"/>
      <c r="N5738" s="44"/>
    </row>
    <row r="5739" spans="1:14" x14ac:dyDescent="0.3">
      <c r="A5739" s="42"/>
      <c r="C5739" s="52"/>
      <c r="D5739"/>
      <c r="E5739"/>
      <c r="F5739"/>
      <c r="N5739" s="44"/>
    </row>
    <row r="5740" spans="1:14" x14ac:dyDescent="0.3">
      <c r="A5740" s="42"/>
      <c r="C5740" s="52"/>
      <c r="D5740"/>
      <c r="E5740"/>
      <c r="F5740"/>
      <c r="N5740" s="44"/>
    </row>
    <row r="5741" spans="1:14" x14ac:dyDescent="0.3">
      <c r="A5741" s="42"/>
      <c r="C5741" s="52"/>
      <c r="D5741"/>
      <c r="E5741"/>
      <c r="F5741"/>
      <c r="N5741" s="44"/>
    </row>
    <row r="5742" spans="1:14" x14ac:dyDescent="0.3">
      <c r="A5742" s="42"/>
      <c r="C5742" s="52"/>
      <c r="D5742"/>
      <c r="E5742"/>
      <c r="F5742"/>
      <c r="N5742" s="44"/>
    </row>
    <row r="5743" spans="1:14" x14ac:dyDescent="0.3">
      <c r="A5743" s="42"/>
      <c r="C5743" s="52"/>
      <c r="D5743"/>
      <c r="E5743"/>
      <c r="F5743"/>
      <c r="N5743" s="44"/>
    </row>
    <row r="5744" spans="1:14" x14ac:dyDescent="0.3">
      <c r="A5744" s="42"/>
      <c r="C5744" s="52"/>
      <c r="D5744"/>
      <c r="E5744"/>
      <c r="F5744"/>
      <c r="N5744" s="44"/>
    </row>
    <row r="5745" spans="1:14" x14ac:dyDescent="0.3">
      <c r="A5745" s="42"/>
      <c r="C5745" s="52"/>
      <c r="D5745"/>
      <c r="E5745"/>
      <c r="F5745"/>
      <c r="N5745" s="44"/>
    </row>
    <row r="5746" spans="1:14" x14ac:dyDescent="0.3">
      <c r="A5746" s="42"/>
      <c r="C5746" s="52"/>
      <c r="D5746"/>
      <c r="E5746"/>
      <c r="F5746"/>
      <c r="N5746" s="44"/>
    </row>
    <row r="5747" spans="1:14" x14ac:dyDescent="0.3">
      <c r="A5747" s="42"/>
      <c r="C5747" s="52"/>
      <c r="D5747"/>
      <c r="E5747"/>
      <c r="F5747"/>
      <c r="N5747" s="44"/>
    </row>
    <row r="5748" spans="1:14" x14ac:dyDescent="0.3">
      <c r="A5748" s="42"/>
      <c r="C5748" s="52"/>
      <c r="D5748"/>
      <c r="E5748"/>
      <c r="F5748"/>
      <c r="N5748" s="44"/>
    </row>
    <row r="5749" spans="1:14" x14ac:dyDescent="0.3">
      <c r="A5749" s="42"/>
      <c r="C5749" s="52"/>
      <c r="D5749"/>
      <c r="E5749"/>
      <c r="F5749"/>
      <c r="N5749" s="44"/>
    </row>
    <row r="5750" spans="1:14" x14ac:dyDescent="0.3">
      <c r="A5750" s="42"/>
      <c r="C5750" s="52"/>
      <c r="D5750"/>
      <c r="E5750"/>
      <c r="F5750"/>
      <c r="N5750" s="44"/>
    </row>
    <row r="5751" spans="1:14" x14ac:dyDescent="0.3">
      <c r="A5751" s="42"/>
      <c r="C5751" s="52"/>
      <c r="D5751"/>
      <c r="E5751"/>
      <c r="F5751"/>
      <c r="N5751" s="44"/>
    </row>
    <row r="5752" spans="1:14" x14ac:dyDescent="0.3">
      <c r="A5752" s="42"/>
      <c r="C5752" s="52"/>
      <c r="D5752"/>
      <c r="E5752"/>
      <c r="F5752"/>
      <c r="N5752" s="44"/>
    </row>
    <row r="5753" spans="1:14" x14ac:dyDescent="0.3">
      <c r="A5753" s="42"/>
      <c r="C5753" s="52"/>
      <c r="D5753"/>
      <c r="E5753"/>
      <c r="F5753"/>
      <c r="N5753" s="44"/>
    </row>
    <row r="5754" spans="1:14" x14ac:dyDescent="0.3">
      <c r="A5754" s="42"/>
      <c r="C5754" s="52"/>
      <c r="D5754"/>
      <c r="E5754"/>
      <c r="F5754"/>
      <c r="N5754" s="44"/>
    </row>
    <row r="5755" spans="1:14" x14ac:dyDescent="0.3">
      <c r="A5755" s="42"/>
      <c r="C5755" s="52"/>
      <c r="D5755"/>
      <c r="E5755"/>
      <c r="F5755"/>
      <c r="N5755" s="44"/>
    </row>
    <row r="5756" spans="1:14" x14ac:dyDescent="0.3">
      <c r="A5756" s="42"/>
      <c r="C5756" s="52"/>
      <c r="D5756"/>
      <c r="E5756"/>
      <c r="F5756"/>
      <c r="N5756" s="44"/>
    </row>
    <row r="5757" spans="1:14" x14ac:dyDescent="0.3">
      <c r="A5757" s="42"/>
      <c r="C5757" s="52"/>
      <c r="D5757"/>
      <c r="E5757"/>
      <c r="F5757"/>
      <c r="N5757" s="44"/>
    </row>
    <row r="5758" spans="1:14" x14ac:dyDescent="0.3">
      <c r="A5758" s="42"/>
      <c r="C5758" s="52"/>
      <c r="D5758"/>
      <c r="E5758"/>
      <c r="F5758"/>
      <c r="N5758" s="44"/>
    </row>
    <row r="5759" spans="1:14" x14ac:dyDescent="0.3">
      <c r="A5759" s="42"/>
      <c r="C5759" s="52"/>
      <c r="D5759"/>
      <c r="E5759"/>
      <c r="F5759"/>
      <c r="N5759" s="44"/>
    </row>
    <row r="5760" spans="1:14" x14ac:dyDescent="0.3">
      <c r="A5760" s="42"/>
      <c r="C5760" s="52"/>
      <c r="D5760"/>
      <c r="E5760"/>
      <c r="F5760"/>
      <c r="N5760" s="44"/>
    </row>
    <row r="5761" spans="1:14" x14ac:dyDescent="0.3">
      <c r="A5761" s="42"/>
      <c r="C5761" s="52"/>
      <c r="D5761"/>
      <c r="E5761"/>
      <c r="F5761"/>
      <c r="N5761" s="44"/>
    </row>
    <row r="5762" spans="1:14" x14ac:dyDescent="0.3">
      <c r="A5762" s="42"/>
      <c r="C5762" s="52"/>
      <c r="D5762"/>
      <c r="E5762"/>
      <c r="F5762"/>
      <c r="N5762" s="44"/>
    </row>
    <row r="5763" spans="1:14" x14ac:dyDescent="0.3">
      <c r="A5763" s="42"/>
      <c r="C5763" s="52"/>
      <c r="D5763"/>
      <c r="E5763"/>
      <c r="F5763"/>
      <c r="N5763" s="44"/>
    </row>
    <row r="5764" spans="1:14" x14ac:dyDescent="0.3">
      <c r="A5764" s="42"/>
      <c r="C5764" s="52"/>
      <c r="D5764"/>
      <c r="E5764"/>
      <c r="F5764"/>
      <c r="N5764" s="44"/>
    </row>
    <row r="5765" spans="1:14" x14ac:dyDescent="0.3">
      <c r="A5765" s="42"/>
      <c r="C5765" s="52"/>
      <c r="D5765"/>
      <c r="E5765"/>
      <c r="F5765"/>
      <c r="N5765" s="44"/>
    </row>
    <row r="5766" spans="1:14" x14ac:dyDescent="0.3">
      <c r="A5766" s="42"/>
      <c r="C5766" s="52"/>
      <c r="D5766"/>
      <c r="E5766"/>
      <c r="F5766"/>
      <c r="N5766" s="44"/>
    </row>
    <row r="5767" spans="1:14" x14ac:dyDescent="0.3">
      <c r="A5767" s="42"/>
      <c r="C5767" s="52"/>
      <c r="D5767"/>
      <c r="E5767"/>
      <c r="F5767"/>
      <c r="N5767" s="44"/>
    </row>
    <row r="5768" spans="1:14" x14ac:dyDescent="0.3">
      <c r="A5768" s="42"/>
      <c r="C5768" s="52"/>
      <c r="D5768"/>
      <c r="E5768"/>
      <c r="F5768"/>
      <c r="N5768" s="44"/>
    </row>
    <row r="5769" spans="1:14" x14ac:dyDescent="0.3">
      <c r="A5769" s="42"/>
      <c r="C5769" s="52"/>
      <c r="D5769"/>
      <c r="E5769"/>
      <c r="F5769"/>
      <c r="N5769" s="44"/>
    </row>
    <row r="5770" spans="1:14" x14ac:dyDescent="0.3">
      <c r="A5770" s="42"/>
      <c r="C5770" s="52"/>
      <c r="D5770"/>
      <c r="E5770"/>
      <c r="F5770"/>
      <c r="N5770" s="44"/>
    </row>
    <row r="5771" spans="1:14" x14ac:dyDescent="0.3">
      <c r="A5771" s="42"/>
      <c r="C5771" s="52"/>
      <c r="D5771"/>
      <c r="E5771"/>
      <c r="F5771"/>
      <c r="N5771" s="44"/>
    </row>
    <row r="5772" spans="1:14" x14ac:dyDescent="0.3">
      <c r="A5772" s="42"/>
      <c r="C5772" s="52"/>
      <c r="D5772"/>
      <c r="E5772"/>
      <c r="F5772"/>
      <c r="N5772" s="44"/>
    </row>
    <row r="5773" spans="1:14" x14ac:dyDescent="0.3">
      <c r="A5773" s="42"/>
      <c r="C5773" s="52"/>
      <c r="D5773"/>
      <c r="E5773"/>
      <c r="F5773"/>
      <c r="N5773" s="44"/>
    </row>
    <row r="5774" spans="1:14" x14ac:dyDescent="0.3">
      <c r="A5774" s="42"/>
      <c r="C5774" s="52"/>
      <c r="D5774"/>
      <c r="E5774"/>
      <c r="F5774"/>
      <c r="N5774" s="44"/>
    </row>
    <row r="5775" spans="1:14" x14ac:dyDescent="0.3">
      <c r="A5775" s="42"/>
      <c r="C5775" s="52"/>
      <c r="D5775"/>
      <c r="E5775"/>
      <c r="F5775"/>
      <c r="N5775" s="44"/>
    </row>
    <row r="5776" spans="1:14" x14ac:dyDescent="0.3">
      <c r="A5776" s="42"/>
      <c r="C5776" s="52"/>
      <c r="D5776"/>
      <c r="E5776"/>
      <c r="F5776"/>
      <c r="N5776" s="44"/>
    </row>
    <row r="5777" spans="1:14" x14ac:dyDescent="0.3">
      <c r="A5777" s="42"/>
      <c r="C5777" s="52"/>
      <c r="D5777"/>
      <c r="E5777"/>
      <c r="F5777"/>
      <c r="N5777" s="44"/>
    </row>
    <row r="5778" spans="1:14" x14ac:dyDescent="0.3">
      <c r="A5778" s="42"/>
      <c r="C5778" s="52"/>
      <c r="D5778"/>
      <c r="E5778"/>
      <c r="F5778"/>
      <c r="N5778" s="44"/>
    </row>
    <row r="5779" spans="1:14" x14ac:dyDescent="0.3">
      <c r="A5779" s="42"/>
      <c r="C5779" s="52"/>
      <c r="D5779"/>
      <c r="E5779"/>
      <c r="F5779"/>
      <c r="N5779" s="44"/>
    </row>
    <row r="5780" spans="1:14" x14ac:dyDescent="0.3">
      <c r="A5780" s="42"/>
      <c r="C5780" s="52"/>
      <c r="D5780"/>
      <c r="E5780"/>
      <c r="F5780"/>
      <c r="N5780" s="44"/>
    </row>
    <row r="5781" spans="1:14" x14ac:dyDescent="0.3">
      <c r="A5781" s="42"/>
      <c r="C5781" s="52"/>
      <c r="D5781"/>
      <c r="E5781"/>
      <c r="F5781"/>
      <c r="N5781" s="44"/>
    </row>
    <row r="5782" spans="1:14" x14ac:dyDescent="0.3">
      <c r="A5782" s="42"/>
      <c r="C5782" s="52"/>
      <c r="D5782"/>
      <c r="E5782"/>
      <c r="F5782"/>
      <c r="N5782" s="44"/>
    </row>
    <row r="5783" spans="1:14" x14ac:dyDescent="0.3">
      <c r="A5783" s="42"/>
      <c r="C5783" s="52"/>
      <c r="D5783"/>
      <c r="E5783"/>
      <c r="F5783"/>
      <c r="N5783" s="44"/>
    </row>
    <row r="5784" spans="1:14" x14ac:dyDescent="0.3">
      <c r="A5784" s="42"/>
      <c r="C5784" s="52"/>
      <c r="D5784"/>
      <c r="E5784"/>
      <c r="F5784"/>
      <c r="N5784" s="44"/>
    </row>
    <row r="5785" spans="1:14" x14ac:dyDescent="0.3">
      <c r="A5785" s="42"/>
      <c r="C5785" s="52"/>
      <c r="D5785"/>
      <c r="E5785"/>
      <c r="F5785"/>
      <c r="N5785" s="44"/>
    </row>
    <row r="5786" spans="1:14" x14ac:dyDescent="0.3">
      <c r="A5786" s="42"/>
      <c r="C5786" s="52"/>
      <c r="D5786"/>
      <c r="E5786"/>
      <c r="F5786"/>
      <c r="N5786" s="44"/>
    </row>
    <row r="5787" spans="1:14" x14ac:dyDescent="0.3">
      <c r="A5787" s="42"/>
      <c r="C5787" s="52"/>
      <c r="D5787"/>
      <c r="E5787"/>
      <c r="F5787"/>
      <c r="N5787" s="44"/>
    </row>
    <row r="5788" spans="1:14" x14ac:dyDescent="0.3">
      <c r="A5788" s="42"/>
      <c r="C5788" s="52"/>
      <c r="D5788"/>
      <c r="E5788"/>
      <c r="F5788"/>
      <c r="N5788" s="44"/>
    </row>
    <row r="5789" spans="1:14" x14ac:dyDescent="0.3">
      <c r="A5789" s="42"/>
      <c r="C5789" s="52"/>
      <c r="D5789"/>
      <c r="E5789"/>
      <c r="F5789"/>
      <c r="N5789" s="44"/>
    </row>
    <row r="5790" spans="1:14" x14ac:dyDescent="0.3">
      <c r="A5790" s="42"/>
      <c r="C5790" s="52"/>
      <c r="D5790"/>
      <c r="E5790"/>
      <c r="F5790"/>
      <c r="N5790" s="44"/>
    </row>
    <row r="5791" spans="1:14" x14ac:dyDescent="0.3">
      <c r="A5791" s="42"/>
      <c r="C5791" s="52"/>
      <c r="D5791"/>
      <c r="E5791"/>
      <c r="F5791"/>
      <c r="N5791" s="44"/>
    </row>
    <row r="5792" spans="1:14" x14ac:dyDescent="0.3">
      <c r="A5792" s="42"/>
      <c r="C5792" s="52"/>
      <c r="D5792"/>
      <c r="E5792"/>
      <c r="F5792"/>
      <c r="N5792" s="44"/>
    </row>
    <row r="5793" spans="1:14" x14ac:dyDescent="0.3">
      <c r="A5793" s="42"/>
      <c r="C5793" s="52"/>
      <c r="D5793"/>
      <c r="E5793"/>
      <c r="F5793"/>
      <c r="N5793" s="44"/>
    </row>
    <row r="5794" spans="1:14" x14ac:dyDescent="0.3">
      <c r="A5794" s="42"/>
      <c r="C5794" s="52"/>
      <c r="D5794"/>
      <c r="E5794"/>
      <c r="F5794"/>
      <c r="N5794" s="44"/>
    </row>
    <row r="5795" spans="1:14" x14ac:dyDescent="0.3">
      <c r="A5795" s="42"/>
      <c r="C5795" s="52"/>
      <c r="D5795"/>
      <c r="E5795"/>
      <c r="F5795"/>
      <c r="N5795" s="44"/>
    </row>
    <row r="5796" spans="1:14" x14ac:dyDescent="0.3">
      <c r="A5796" s="42"/>
      <c r="C5796" s="52"/>
      <c r="D5796"/>
      <c r="E5796"/>
      <c r="F5796"/>
      <c r="N5796" s="44"/>
    </row>
    <row r="5797" spans="1:14" x14ac:dyDescent="0.3">
      <c r="A5797" s="42"/>
      <c r="C5797" s="52"/>
      <c r="D5797"/>
      <c r="E5797"/>
      <c r="F5797"/>
      <c r="N5797" s="44"/>
    </row>
    <row r="5798" spans="1:14" x14ac:dyDescent="0.3">
      <c r="A5798" s="42"/>
      <c r="C5798" s="52"/>
      <c r="D5798"/>
      <c r="E5798"/>
      <c r="F5798"/>
      <c r="M5798" s="45"/>
      <c r="N5798" s="44"/>
    </row>
    <row r="5799" spans="1:14" x14ac:dyDescent="0.3">
      <c r="A5799" s="42"/>
      <c r="C5799" s="52"/>
      <c r="D5799"/>
      <c r="E5799"/>
      <c r="F5799"/>
      <c r="N5799" s="44"/>
    </row>
    <row r="5800" spans="1:14" x14ac:dyDescent="0.3">
      <c r="A5800" s="42"/>
      <c r="C5800" s="52"/>
      <c r="D5800"/>
      <c r="E5800"/>
      <c r="F5800"/>
      <c r="N5800" s="44"/>
    </row>
    <row r="5801" spans="1:14" x14ac:dyDescent="0.3">
      <c r="A5801" s="42"/>
      <c r="C5801" s="52"/>
      <c r="D5801"/>
      <c r="E5801"/>
      <c r="F5801"/>
      <c r="N5801" s="44"/>
    </row>
    <row r="5802" spans="1:14" x14ac:dyDescent="0.3">
      <c r="A5802" s="42"/>
      <c r="C5802" s="52"/>
      <c r="D5802"/>
      <c r="E5802"/>
      <c r="F5802"/>
      <c r="N5802" s="44"/>
    </row>
    <row r="5803" spans="1:14" x14ac:dyDescent="0.3">
      <c r="A5803" s="42"/>
      <c r="C5803" s="52"/>
      <c r="D5803"/>
      <c r="E5803"/>
      <c r="F5803"/>
      <c r="N5803" s="44"/>
    </row>
    <row r="5804" spans="1:14" x14ac:dyDescent="0.3">
      <c r="A5804" s="42"/>
      <c r="C5804" s="52"/>
      <c r="D5804"/>
      <c r="E5804"/>
      <c r="F5804"/>
      <c r="N5804" s="44"/>
    </row>
    <row r="5805" spans="1:14" x14ac:dyDescent="0.3">
      <c r="A5805" s="42"/>
      <c r="C5805" s="52"/>
      <c r="D5805"/>
      <c r="E5805"/>
      <c r="F5805"/>
      <c r="N5805" s="44"/>
    </row>
    <row r="5806" spans="1:14" x14ac:dyDescent="0.3">
      <c r="A5806" s="42"/>
      <c r="C5806" s="52"/>
      <c r="D5806"/>
      <c r="E5806"/>
      <c r="F5806"/>
      <c r="N5806" s="44"/>
    </row>
    <row r="5807" spans="1:14" x14ac:dyDescent="0.3">
      <c r="A5807" s="42"/>
      <c r="C5807" s="52"/>
      <c r="D5807"/>
      <c r="E5807"/>
      <c r="F5807"/>
      <c r="N5807" s="44"/>
    </row>
    <row r="5808" spans="1:14" x14ac:dyDescent="0.3">
      <c r="A5808" s="42"/>
      <c r="C5808" s="52"/>
      <c r="D5808"/>
      <c r="E5808"/>
      <c r="F5808"/>
      <c r="N5808" s="44"/>
    </row>
    <row r="5809" spans="1:14" x14ac:dyDescent="0.3">
      <c r="A5809" s="42"/>
      <c r="C5809" s="52"/>
      <c r="D5809"/>
      <c r="E5809"/>
      <c r="F5809"/>
      <c r="N5809" s="44"/>
    </row>
    <row r="5810" spans="1:14" x14ac:dyDescent="0.3">
      <c r="A5810" s="42"/>
      <c r="C5810" s="52"/>
      <c r="D5810"/>
      <c r="E5810"/>
      <c r="F5810"/>
      <c r="N5810" s="44"/>
    </row>
    <row r="5811" spans="1:14" x14ac:dyDescent="0.3">
      <c r="A5811" s="42"/>
      <c r="C5811" s="52"/>
      <c r="D5811"/>
      <c r="E5811"/>
      <c r="F5811"/>
      <c r="N5811" s="44"/>
    </row>
    <row r="5812" spans="1:14" x14ac:dyDescent="0.3">
      <c r="A5812" s="42"/>
      <c r="C5812" s="52"/>
      <c r="D5812"/>
      <c r="E5812"/>
      <c r="F5812"/>
      <c r="N5812" s="44"/>
    </row>
    <row r="5813" spans="1:14" x14ac:dyDescent="0.3">
      <c r="A5813" s="42"/>
      <c r="C5813" s="52"/>
      <c r="D5813"/>
      <c r="E5813"/>
      <c r="F5813"/>
      <c r="N5813" s="44"/>
    </row>
    <row r="5814" spans="1:14" x14ac:dyDescent="0.3">
      <c r="A5814" s="42"/>
      <c r="C5814" s="52"/>
      <c r="D5814"/>
      <c r="E5814"/>
      <c r="F5814"/>
      <c r="N5814" s="44"/>
    </row>
    <row r="5815" spans="1:14" x14ac:dyDescent="0.3">
      <c r="A5815" s="42"/>
      <c r="C5815" s="52"/>
      <c r="D5815"/>
      <c r="E5815"/>
      <c r="F5815"/>
      <c r="N5815" s="44"/>
    </row>
    <row r="5816" spans="1:14" x14ac:dyDescent="0.3">
      <c r="A5816" s="42"/>
      <c r="C5816" s="52"/>
      <c r="D5816"/>
      <c r="E5816"/>
      <c r="F5816"/>
      <c r="N5816" s="44"/>
    </row>
    <row r="5817" spans="1:14" x14ac:dyDescent="0.3">
      <c r="A5817" s="42"/>
      <c r="C5817" s="52"/>
      <c r="D5817"/>
      <c r="E5817"/>
      <c r="F5817"/>
      <c r="N5817" s="44"/>
    </row>
    <row r="5818" spans="1:14" x14ac:dyDescent="0.3">
      <c r="A5818" s="42"/>
      <c r="C5818" s="52"/>
      <c r="D5818"/>
      <c r="E5818"/>
      <c r="F5818"/>
      <c r="N5818" s="44"/>
    </row>
    <row r="5819" spans="1:14" x14ac:dyDescent="0.3">
      <c r="A5819" s="42"/>
      <c r="C5819" s="52"/>
      <c r="D5819"/>
      <c r="E5819"/>
      <c r="F5819"/>
      <c r="N5819" s="44"/>
    </row>
    <row r="5820" spans="1:14" x14ac:dyDescent="0.3">
      <c r="A5820" s="42"/>
      <c r="C5820" s="52"/>
      <c r="D5820"/>
      <c r="E5820"/>
      <c r="F5820"/>
      <c r="N5820" s="44"/>
    </row>
    <row r="5821" spans="1:14" x14ac:dyDescent="0.3">
      <c r="A5821" s="42"/>
      <c r="C5821" s="52"/>
      <c r="D5821"/>
      <c r="E5821"/>
      <c r="F5821"/>
      <c r="N5821" s="44"/>
    </row>
    <row r="5822" spans="1:14" x14ac:dyDescent="0.3">
      <c r="A5822" s="42"/>
      <c r="C5822" s="52"/>
      <c r="D5822"/>
      <c r="E5822"/>
      <c r="F5822"/>
      <c r="N5822" s="44"/>
    </row>
    <row r="5823" spans="1:14" x14ac:dyDescent="0.3">
      <c r="A5823" s="42"/>
      <c r="C5823" s="52"/>
      <c r="D5823"/>
      <c r="E5823"/>
      <c r="F5823"/>
      <c r="N5823" s="44"/>
    </row>
    <row r="5824" spans="1:14" x14ac:dyDescent="0.3">
      <c r="A5824" s="42"/>
      <c r="C5824" s="52"/>
      <c r="D5824"/>
      <c r="E5824"/>
      <c r="F5824"/>
      <c r="N5824" s="44"/>
    </row>
    <row r="5825" spans="1:14" x14ac:dyDescent="0.3">
      <c r="A5825" s="42"/>
      <c r="C5825" s="52"/>
      <c r="D5825"/>
      <c r="E5825"/>
      <c r="F5825"/>
      <c r="N5825" s="44"/>
    </row>
    <row r="5826" spans="1:14" x14ac:dyDescent="0.3">
      <c r="A5826" s="42"/>
      <c r="C5826" s="52"/>
      <c r="D5826"/>
      <c r="E5826"/>
      <c r="F5826"/>
      <c r="N5826" s="44"/>
    </row>
    <row r="5827" spans="1:14" x14ac:dyDescent="0.3">
      <c r="A5827" s="42"/>
      <c r="C5827" s="52"/>
      <c r="D5827"/>
      <c r="E5827"/>
      <c r="F5827"/>
      <c r="N5827" s="44"/>
    </row>
    <row r="5828" spans="1:14" x14ac:dyDescent="0.3">
      <c r="A5828" s="42"/>
      <c r="C5828" s="52"/>
      <c r="D5828"/>
      <c r="E5828"/>
      <c r="F5828"/>
      <c r="N5828" s="44"/>
    </row>
    <row r="5829" spans="1:14" x14ac:dyDescent="0.3">
      <c r="A5829" s="42"/>
      <c r="C5829" s="52"/>
      <c r="D5829"/>
      <c r="E5829"/>
      <c r="F5829"/>
      <c r="N5829" s="44"/>
    </row>
    <row r="5830" spans="1:14" x14ac:dyDescent="0.3">
      <c r="A5830" s="42"/>
      <c r="C5830" s="52"/>
      <c r="D5830"/>
      <c r="E5830"/>
      <c r="F5830"/>
      <c r="M5830" s="45"/>
      <c r="N5830" s="44"/>
    </row>
    <row r="5831" spans="1:14" x14ac:dyDescent="0.3">
      <c r="A5831" s="42"/>
      <c r="C5831" s="52"/>
      <c r="D5831"/>
      <c r="E5831"/>
      <c r="F5831"/>
      <c r="N5831" s="44"/>
    </row>
    <row r="5832" spans="1:14" x14ac:dyDescent="0.3">
      <c r="A5832" s="42"/>
      <c r="C5832" s="52"/>
      <c r="D5832"/>
      <c r="E5832"/>
      <c r="F5832"/>
      <c r="N5832" s="44"/>
    </row>
    <row r="5833" spans="1:14" x14ac:dyDescent="0.3">
      <c r="A5833" s="42"/>
      <c r="C5833" s="52"/>
      <c r="D5833"/>
      <c r="E5833"/>
      <c r="F5833"/>
      <c r="N5833" s="44"/>
    </row>
    <row r="5834" spans="1:14" x14ac:dyDescent="0.3">
      <c r="A5834" s="42"/>
      <c r="C5834" s="52"/>
      <c r="D5834"/>
      <c r="E5834"/>
      <c r="F5834"/>
      <c r="N5834" s="44"/>
    </row>
    <row r="5835" spans="1:14" x14ac:dyDescent="0.3">
      <c r="A5835" s="42"/>
      <c r="C5835" s="52"/>
      <c r="D5835"/>
      <c r="E5835"/>
      <c r="F5835"/>
      <c r="N5835" s="44"/>
    </row>
    <row r="5836" spans="1:14" x14ac:dyDescent="0.3">
      <c r="A5836" s="42"/>
      <c r="C5836" s="52"/>
      <c r="D5836"/>
      <c r="E5836"/>
      <c r="F5836"/>
      <c r="N5836" s="44"/>
    </row>
    <row r="5837" spans="1:14" x14ac:dyDescent="0.3">
      <c r="A5837" s="42"/>
      <c r="C5837" s="52"/>
      <c r="D5837"/>
      <c r="E5837"/>
      <c r="F5837"/>
      <c r="N5837" s="44"/>
    </row>
    <row r="5838" spans="1:14" x14ac:dyDescent="0.3">
      <c r="A5838" s="42"/>
      <c r="C5838" s="52"/>
      <c r="D5838"/>
      <c r="E5838"/>
      <c r="F5838"/>
      <c r="N5838" s="44"/>
    </row>
    <row r="5839" spans="1:14" x14ac:dyDescent="0.3">
      <c r="A5839" s="42"/>
      <c r="C5839" s="52"/>
      <c r="D5839"/>
      <c r="E5839"/>
      <c r="F5839"/>
      <c r="N5839" s="44"/>
    </row>
    <row r="5840" spans="1:14" x14ac:dyDescent="0.3">
      <c r="A5840" s="42"/>
      <c r="C5840" s="52"/>
      <c r="D5840"/>
      <c r="E5840"/>
      <c r="F5840"/>
      <c r="N5840" s="44"/>
    </row>
    <row r="5841" spans="1:14" x14ac:dyDescent="0.3">
      <c r="A5841" s="42"/>
      <c r="C5841" s="52"/>
      <c r="D5841"/>
      <c r="E5841"/>
      <c r="F5841"/>
      <c r="N5841" s="44"/>
    </row>
    <row r="5842" spans="1:14" x14ac:dyDescent="0.3">
      <c r="A5842" s="42"/>
      <c r="C5842" s="52"/>
      <c r="D5842"/>
      <c r="E5842"/>
      <c r="F5842"/>
      <c r="N5842" s="44"/>
    </row>
    <row r="5843" spans="1:14" x14ac:dyDescent="0.3">
      <c r="A5843" s="42"/>
      <c r="C5843" s="52"/>
      <c r="D5843"/>
      <c r="E5843"/>
      <c r="F5843"/>
      <c r="N5843" s="44"/>
    </row>
    <row r="5844" spans="1:14" x14ac:dyDescent="0.3">
      <c r="A5844" s="42"/>
      <c r="C5844" s="52"/>
      <c r="D5844"/>
      <c r="E5844"/>
      <c r="F5844"/>
      <c r="N5844" s="44"/>
    </row>
    <row r="5845" spans="1:14" x14ac:dyDescent="0.3">
      <c r="A5845" s="42"/>
      <c r="C5845" s="52"/>
      <c r="D5845"/>
      <c r="E5845"/>
      <c r="F5845"/>
      <c r="N5845" s="44"/>
    </row>
    <row r="5846" spans="1:14" x14ac:dyDescent="0.3">
      <c r="A5846" s="42"/>
      <c r="C5846" s="52"/>
      <c r="D5846"/>
      <c r="E5846"/>
      <c r="F5846"/>
      <c r="N5846" s="44"/>
    </row>
    <row r="5847" spans="1:14" x14ac:dyDescent="0.3">
      <c r="A5847" s="42"/>
      <c r="C5847" s="52"/>
      <c r="D5847"/>
      <c r="E5847"/>
      <c r="F5847"/>
      <c r="N5847" s="44"/>
    </row>
    <row r="5848" spans="1:14" x14ac:dyDescent="0.3">
      <c r="A5848" s="42"/>
      <c r="C5848" s="52"/>
      <c r="D5848"/>
      <c r="E5848"/>
      <c r="F5848"/>
      <c r="N5848" s="44"/>
    </row>
    <row r="5849" spans="1:14" x14ac:dyDescent="0.3">
      <c r="A5849" s="42"/>
      <c r="C5849" s="52"/>
      <c r="D5849"/>
      <c r="E5849"/>
      <c r="F5849"/>
      <c r="N5849" s="44"/>
    </row>
    <row r="5850" spans="1:14" x14ac:dyDescent="0.3">
      <c r="A5850" s="42"/>
      <c r="C5850" s="52"/>
      <c r="D5850"/>
      <c r="E5850"/>
      <c r="F5850"/>
      <c r="N5850" s="44"/>
    </row>
    <row r="5851" spans="1:14" x14ac:dyDescent="0.3">
      <c r="A5851" s="42"/>
      <c r="C5851" s="52"/>
      <c r="D5851"/>
      <c r="E5851"/>
      <c r="F5851"/>
      <c r="N5851" s="44"/>
    </row>
    <row r="5852" spans="1:14" x14ac:dyDescent="0.3">
      <c r="A5852" s="42"/>
      <c r="C5852" s="52"/>
      <c r="D5852"/>
      <c r="E5852"/>
      <c r="F5852"/>
      <c r="N5852" s="44"/>
    </row>
    <row r="5853" spans="1:14" x14ac:dyDescent="0.3">
      <c r="A5853" s="42"/>
      <c r="C5853" s="52"/>
      <c r="D5853"/>
      <c r="E5853"/>
      <c r="F5853"/>
      <c r="N5853" s="44"/>
    </row>
    <row r="5854" spans="1:14" x14ac:dyDescent="0.3">
      <c r="A5854" s="42"/>
      <c r="C5854" s="52"/>
      <c r="D5854"/>
      <c r="E5854"/>
      <c r="F5854"/>
      <c r="N5854" s="44"/>
    </row>
    <row r="5855" spans="1:14" x14ac:dyDescent="0.3">
      <c r="A5855" s="42"/>
      <c r="C5855" s="52"/>
      <c r="D5855"/>
      <c r="E5855"/>
      <c r="F5855"/>
      <c r="N5855" s="44"/>
    </row>
    <row r="5856" spans="1:14" x14ac:dyDescent="0.3">
      <c r="A5856" s="42"/>
      <c r="C5856" s="52"/>
      <c r="D5856"/>
      <c r="E5856"/>
      <c r="F5856"/>
      <c r="N5856" s="44"/>
    </row>
    <row r="5857" spans="1:14" x14ac:dyDescent="0.3">
      <c r="A5857" s="42"/>
      <c r="C5857" s="52"/>
      <c r="D5857"/>
      <c r="E5857"/>
      <c r="F5857"/>
      <c r="N5857" s="44"/>
    </row>
    <row r="5858" spans="1:14" x14ac:dyDescent="0.3">
      <c r="A5858" s="42"/>
      <c r="C5858" s="52"/>
      <c r="D5858"/>
      <c r="E5858"/>
      <c r="F5858"/>
      <c r="N5858" s="44"/>
    </row>
    <row r="5859" spans="1:14" x14ac:dyDescent="0.3">
      <c r="A5859" s="42"/>
      <c r="C5859" s="52"/>
      <c r="D5859"/>
      <c r="E5859"/>
      <c r="F5859"/>
      <c r="N5859" s="44"/>
    </row>
    <row r="5860" spans="1:14" x14ac:dyDescent="0.3">
      <c r="A5860" s="42"/>
      <c r="C5860" s="52"/>
      <c r="D5860"/>
      <c r="E5860"/>
      <c r="F5860"/>
      <c r="N5860" s="44"/>
    </row>
    <row r="5861" spans="1:14" x14ac:dyDescent="0.3">
      <c r="A5861" s="42"/>
      <c r="C5861" s="52"/>
      <c r="D5861"/>
      <c r="E5861"/>
      <c r="F5861"/>
      <c r="N5861" s="44"/>
    </row>
    <row r="5862" spans="1:14" x14ac:dyDescent="0.3">
      <c r="A5862" s="42"/>
      <c r="C5862" s="52"/>
      <c r="D5862"/>
      <c r="E5862"/>
      <c r="F5862"/>
      <c r="N5862" s="44"/>
    </row>
    <row r="5863" spans="1:14" x14ac:dyDescent="0.3">
      <c r="A5863" s="42"/>
      <c r="C5863" s="52"/>
      <c r="D5863"/>
      <c r="E5863"/>
      <c r="F5863"/>
      <c r="N5863" s="44"/>
    </row>
    <row r="5864" spans="1:14" x14ac:dyDescent="0.3">
      <c r="A5864" s="42"/>
      <c r="C5864" s="52"/>
      <c r="D5864"/>
      <c r="E5864"/>
      <c r="F5864"/>
      <c r="N5864" s="44"/>
    </row>
    <row r="5865" spans="1:14" x14ac:dyDescent="0.3">
      <c r="A5865" s="42"/>
      <c r="C5865" s="52"/>
      <c r="D5865"/>
      <c r="E5865"/>
      <c r="F5865"/>
      <c r="N5865" s="44"/>
    </row>
    <row r="5866" spans="1:14" x14ac:dyDescent="0.3">
      <c r="A5866" s="42"/>
      <c r="C5866" s="52"/>
      <c r="D5866"/>
      <c r="E5866"/>
      <c r="F5866"/>
      <c r="N5866" s="44"/>
    </row>
    <row r="5867" spans="1:14" x14ac:dyDescent="0.3">
      <c r="A5867" s="42"/>
      <c r="C5867" s="52"/>
      <c r="D5867"/>
      <c r="E5867"/>
      <c r="F5867"/>
      <c r="N5867" s="44"/>
    </row>
    <row r="5868" spans="1:14" x14ac:dyDescent="0.3">
      <c r="A5868" s="42"/>
      <c r="C5868" s="52"/>
      <c r="D5868"/>
      <c r="E5868"/>
      <c r="F5868"/>
      <c r="N5868" s="44"/>
    </row>
    <row r="5869" spans="1:14" x14ac:dyDescent="0.3">
      <c r="A5869" s="42"/>
      <c r="C5869" s="52"/>
      <c r="D5869"/>
      <c r="E5869"/>
      <c r="F5869"/>
      <c r="N5869" s="44"/>
    </row>
    <row r="5870" spans="1:14" x14ac:dyDescent="0.3">
      <c r="A5870" s="42"/>
      <c r="C5870" s="52"/>
      <c r="D5870"/>
      <c r="E5870"/>
      <c r="F5870"/>
      <c r="N5870" s="44"/>
    </row>
    <row r="5871" spans="1:14" x14ac:dyDescent="0.3">
      <c r="A5871" s="42"/>
      <c r="C5871" s="52"/>
      <c r="D5871"/>
      <c r="E5871"/>
      <c r="F5871"/>
      <c r="N5871" s="44"/>
    </row>
    <row r="5872" spans="1:14" x14ac:dyDescent="0.3">
      <c r="A5872" s="42"/>
      <c r="C5872" s="52"/>
      <c r="D5872"/>
      <c r="E5872"/>
      <c r="F5872"/>
      <c r="N5872" s="44"/>
    </row>
    <row r="5873" spans="1:14" x14ac:dyDescent="0.3">
      <c r="A5873" s="42"/>
      <c r="C5873" s="52"/>
      <c r="D5873"/>
      <c r="E5873"/>
      <c r="F5873"/>
      <c r="N5873" s="44"/>
    </row>
    <row r="5874" spans="1:14" x14ac:dyDescent="0.3">
      <c r="A5874" s="42"/>
      <c r="C5874" s="52"/>
      <c r="D5874"/>
      <c r="E5874"/>
      <c r="F5874"/>
      <c r="N5874" s="44"/>
    </row>
    <row r="5875" spans="1:14" x14ac:dyDescent="0.3">
      <c r="A5875" s="42"/>
      <c r="C5875" s="52"/>
      <c r="D5875"/>
      <c r="E5875"/>
      <c r="F5875"/>
      <c r="N5875" s="44"/>
    </row>
    <row r="5876" spans="1:14" x14ac:dyDescent="0.3">
      <c r="A5876" s="42"/>
      <c r="C5876" s="52"/>
      <c r="D5876"/>
      <c r="E5876"/>
      <c r="F5876"/>
      <c r="N5876" s="44"/>
    </row>
    <row r="5877" spans="1:14" x14ac:dyDescent="0.3">
      <c r="A5877" s="42"/>
      <c r="C5877" s="52"/>
      <c r="D5877"/>
      <c r="E5877"/>
      <c r="F5877"/>
      <c r="N5877" s="44"/>
    </row>
    <row r="5878" spans="1:14" x14ac:dyDescent="0.3">
      <c r="A5878" s="42"/>
      <c r="C5878" s="52"/>
      <c r="D5878"/>
      <c r="E5878"/>
      <c r="F5878"/>
      <c r="N5878" s="44"/>
    </row>
    <row r="5879" spans="1:14" x14ac:dyDescent="0.3">
      <c r="A5879" s="42"/>
      <c r="C5879" s="52"/>
      <c r="D5879"/>
      <c r="E5879"/>
      <c r="F5879"/>
      <c r="N5879" s="44"/>
    </row>
    <row r="5880" spans="1:14" x14ac:dyDescent="0.3">
      <c r="A5880" s="42"/>
      <c r="C5880" s="52"/>
      <c r="D5880"/>
      <c r="E5880"/>
      <c r="F5880"/>
      <c r="N5880" s="44"/>
    </row>
    <row r="5881" spans="1:14" x14ac:dyDescent="0.3">
      <c r="A5881" s="42"/>
      <c r="C5881" s="52"/>
      <c r="D5881"/>
      <c r="E5881"/>
      <c r="F5881"/>
      <c r="N5881" s="44"/>
    </row>
    <row r="5882" spans="1:14" x14ac:dyDescent="0.3">
      <c r="A5882" s="42"/>
      <c r="C5882" s="52"/>
      <c r="D5882"/>
      <c r="E5882"/>
      <c r="F5882"/>
      <c r="N5882" s="44"/>
    </row>
    <row r="5883" spans="1:14" x14ac:dyDescent="0.3">
      <c r="A5883" s="42"/>
      <c r="C5883" s="52"/>
      <c r="D5883"/>
      <c r="E5883"/>
      <c r="F5883"/>
      <c r="N5883" s="44"/>
    </row>
    <row r="5884" spans="1:14" x14ac:dyDescent="0.3">
      <c r="A5884" s="42"/>
      <c r="C5884" s="52"/>
      <c r="D5884"/>
      <c r="E5884"/>
      <c r="F5884"/>
      <c r="N5884" s="44"/>
    </row>
    <row r="5885" spans="1:14" x14ac:dyDescent="0.3">
      <c r="A5885" s="42"/>
      <c r="C5885" s="52"/>
      <c r="D5885"/>
      <c r="E5885"/>
      <c r="F5885"/>
      <c r="N5885" s="44"/>
    </row>
    <row r="5886" spans="1:14" x14ac:dyDescent="0.3">
      <c r="A5886" s="42"/>
      <c r="C5886" s="52"/>
      <c r="D5886"/>
      <c r="E5886"/>
      <c r="F5886"/>
      <c r="N5886" s="44"/>
    </row>
    <row r="5887" spans="1:14" x14ac:dyDescent="0.3">
      <c r="A5887" s="42"/>
      <c r="C5887" s="52"/>
      <c r="D5887"/>
      <c r="E5887"/>
      <c r="F5887"/>
      <c r="N5887" s="44"/>
    </row>
    <row r="5888" spans="1:14" x14ac:dyDescent="0.3">
      <c r="A5888" s="42"/>
      <c r="C5888" s="52"/>
      <c r="D5888"/>
      <c r="E5888"/>
      <c r="F5888"/>
      <c r="N5888" s="44"/>
    </row>
    <row r="5889" spans="1:14" x14ac:dyDescent="0.3">
      <c r="A5889" s="42"/>
      <c r="C5889" s="52"/>
      <c r="D5889"/>
      <c r="E5889"/>
      <c r="F5889"/>
      <c r="N5889" s="44"/>
    </row>
    <row r="5890" spans="1:14" x14ac:dyDescent="0.3">
      <c r="A5890" s="42"/>
      <c r="C5890" s="52"/>
      <c r="D5890"/>
      <c r="E5890"/>
      <c r="F5890"/>
      <c r="N5890" s="44"/>
    </row>
    <row r="5891" spans="1:14" x14ac:dyDescent="0.3">
      <c r="A5891" s="42"/>
      <c r="C5891" s="52"/>
      <c r="D5891"/>
      <c r="E5891"/>
      <c r="F5891"/>
      <c r="N5891" s="44"/>
    </row>
    <row r="5892" spans="1:14" x14ac:dyDescent="0.3">
      <c r="A5892" s="42"/>
      <c r="C5892" s="52"/>
      <c r="D5892"/>
      <c r="E5892"/>
      <c r="F5892"/>
      <c r="N5892" s="44"/>
    </row>
    <row r="5893" spans="1:14" x14ac:dyDescent="0.3">
      <c r="A5893" s="42"/>
      <c r="C5893" s="52"/>
      <c r="D5893"/>
      <c r="E5893"/>
      <c r="F5893"/>
      <c r="N5893" s="44"/>
    </row>
    <row r="5894" spans="1:14" x14ac:dyDescent="0.3">
      <c r="A5894" s="42"/>
      <c r="C5894" s="52"/>
      <c r="D5894"/>
      <c r="E5894"/>
      <c r="F5894"/>
      <c r="N5894" s="44"/>
    </row>
    <row r="5895" spans="1:14" x14ac:dyDescent="0.3">
      <c r="A5895" s="42"/>
      <c r="C5895" s="52"/>
      <c r="D5895"/>
      <c r="E5895"/>
      <c r="F5895"/>
      <c r="N5895" s="44"/>
    </row>
    <row r="5896" spans="1:14" x14ac:dyDescent="0.3">
      <c r="A5896" s="42"/>
      <c r="C5896" s="52"/>
      <c r="D5896"/>
      <c r="E5896"/>
      <c r="F5896"/>
      <c r="N5896" s="44"/>
    </row>
    <row r="5897" spans="1:14" x14ac:dyDescent="0.3">
      <c r="A5897" s="42"/>
      <c r="C5897" s="52"/>
      <c r="D5897"/>
      <c r="E5897"/>
      <c r="F5897"/>
      <c r="N5897" s="44"/>
    </row>
    <row r="5898" spans="1:14" x14ac:dyDescent="0.3">
      <c r="A5898" s="42"/>
      <c r="C5898" s="52"/>
      <c r="D5898"/>
      <c r="E5898"/>
      <c r="F5898"/>
      <c r="N5898" s="44"/>
    </row>
    <row r="5899" spans="1:14" x14ac:dyDescent="0.3">
      <c r="A5899" s="42"/>
      <c r="C5899" s="52"/>
      <c r="D5899"/>
      <c r="E5899"/>
      <c r="F5899"/>
      <c r="N5899" s="44"/>
    </row>
    <row r="5900" spans="1:14" x14ac:dyDescent="0.3">
      <c r="A5900" s="42"/>
      <c r="C5900" s="52"/>
      <c r="D5900"/>
      <c r="E5900"/>
      <c r="F5900"/>
      <c r="N5900" s="44"/>
    </row>
    <row r="5901" spans="1:14" x14ac:dyDescent="0.3">
      <c r="A5901" s="42"/>
      <c r="C5901" s="52"/>
      <c r="D5901"/>
      <c r="E5901"/>
      <c r="F5901"/>
      <c r="N5901" s="44"/>
    </row>
    <row r="5902" spans="1:14" x14ac:dyDescent="0.3">
      <c r="A5902" s="42"/>
      <c r="C5902" s="52"/>
      <c r="D5902"/>
      <c r="E5902"/>
      <c r="F5902"/>
      <c r="N5902" s="44"/>
    </row>
    <row r="5903" spans="1:14" x14ac:dyDescent="0.3">
      <c r="A5903" s="42"/>
      <c r="C5903" s="52"/>
      <c r="D5903"/>
      <c r="E5903"/>
      <c r="F5903"/>
      <c r="N5903" s="44"/>
    </row>
    <row r="5904" spans="1:14" x14ac:dyDescent="0.3">
      <c r="A5904" s="42"/>
      <c r="C5904" s="52"/>
      <c r="D5904"/>
      <c r="E5904"/>
      <c r="F5904"/>
      <c r="N5904" s="44"/>
    </row>
    <row r="5905" spans="1:14" x14ac:dyDescent="0.3">
      <c r="A5905" s="42"/>
      <c r="C5905" s="52"/>
      <c r="D5905"/>
      <c r="E5905"/>
      <c r="F5905"/>
      <c r="N5905" s="44"/>
    </row>
    <row r="5906" spans="1:14" x14ac:dyDescent="0.3">
      <c r="A5906" s="42"/>
      <c r="C5906" s="52"/>
      <c r="D5906"/>
      <c r="E5906"/>
      <c r="F5906"/>
      <c r="N5906" s="44"/>
    </row>
    <row r="5907" spans="1:14" x14ac:dyDescent="0.3">
      <c r="A5907" s="42"/>
      <c r="C5907" s="52"/>
      <c r="D5907"/>
      <c r="E5907"/>
      <c r="F5907"/>
      <c r="N5907" s="44"/>
    </row>
    <row r="5908" spans="1:14" x14ac:dyDescent="0.3">
      <c r="A5908" s="42"/>
      <c r="C5908" s="52"/>
      <c r="D5908"/>
      <c r="E5908"/>
      <c r="F5908"/>
      <c r="N5908" s="44"/>
    </row>
    <row r="5909" spans="1:14" x14ac:dyDescent="0.3">
      <c r="A5909" s="42"/>
      <c r="C5909" s="52"/>
      <c r="D5909"/>
      <c r="E5909"/>
      <c r="F5909"/>
      <c r="N5909" s="44"/>
    </row>
    <row r="5910" spans="1:14" x14ac:dyDescent="0.3">
      <c r="A5910" s="42"/>
      <c r="C5910" s="52"/>
      <c r="D5910"/>
      <c r="E5910"/>
      <c r="F5910"/>
      <c r="N5910" s="44"/>
    </row>
    <row r="5911" spans="1:14" x14ac:dyDescent="0.3">
      <c r="A5911" s="42"/>
      <c r="C5911" s="52"/>
      <c r="D5911"/>
      <c r="E5911"/>
      <c r="F5911"/>
      <c r="N5911" s="44"/>
    </row>
    <row r="5912" spans="1:14" x14ac:dyDescent="0.3">
      <c r="A5912" s="42"/>
      <c r="C5912" s="52"/>
      <c r="D5912"/>
      <c r="E5912"/>
      <c r="F5912"/>
      <c r="N5912" s="44"/>
    </row>
    <row r="5913" spans="1:14" x14ac:dyDescent="0.3">
      <c r="A5913" s="42"/>
      <c r="C5913" s="52"/>
      <c r="D5913"/>
      <c r="E5913"/>
      <c r="F5913"/>
      <c r="N5913" s="44"/>
    </row>
    <row r="5914" spans="1:14" x14ac:dyDescent="0.3">
      <c r="A5914" s="42"/>
      <c r="C5914" s="52"/>
      <c r="D5914"/>
      <c r="E5914"/>
      <c r="F5914"/>
      <c r="N5914" s="44"/>
    </row>
    <row r="5915" spans="1:14" x14ac:dyDescent="0.3">
      <c r="A5915" s="42"/>
      <c r="C5915" s="52"/>
      <c r="D5915"/>
      <c r="E5915"/>
      <c r="F5915"/>
      <c r="N5915" s="44"/>
    </row>
    <row r="5916" spans="1:14" x14ac:dyDescent="0.3">
      <c r="A5916" s="42"/>
      <c r="C5916" s="52"/>
      <c r="D5916"/>
      <c r="E5916"/>
      <c r="F5916"/>
      <c r="N5916" s="44"/>
    </row>
    <row r="5917" spans="1:14" x14ac:dyDescent="0.3">
      <c r="A5917" s="42"/>
      <c r="C5917" s="52"/>
      <c r="D5917"/>
      <c r="E5917"/>
      <c r="F5917"/>
      <c r="N5917" s="44"/>
    </row>
    <row r="5918" spans="1:14" x14ac:dyDescent="0.3">
      <c r="A5918" s="42"/>
      <c r="C5918" s="52"/>
      <c r="D5918"/>
      <c r="E5918"/>
      <c r="F5918"/>
      <c r="N5918" s="44"/>
    </row>
    <row r="5919" spans="1:14" x14ac:dyDescent="0.3">
      <c r="A5919" s="42"/>
      <c r="C5919" s="52"/>
      <c r="D5919"/>
      <c r="E5919"/>
      <c r="F5919"/>
      <c r="N5919" s="44"/>
    </row>
    <row r="5920" spans="1:14" x14ac:dyDescent="0.3">
      <c r="A5920" s="42"/>
      <c r="C5920" s="52"/>
      <c r="D5920"/>
      <c r="E5920"/>
      <c r="F5920"/>
      <c r="N5920" s="44"/>
    </row>
    <row r="5921" spans="1:14" x14ac:dyDescent="0.3">
      <c r="A5921" s="42"/>
      <c r="C5921" s="52"/>
      <c r="D5921"/>
      <c r="E5921"/>
      <c r="F5921"/>
      <c r="N5921" s="44"/>
    </row>
    <row r="5922" spans="1:14" x14ac:dyDescent="0.3">
      <c r="A5922" s="42"/>
      <c r="C5922" s="52"/>
      <c r="D5922"/>
      <c r="E5922"/>
      <c r="F5922"/>
      <c r="N5922" s="44"/>
    </row>
    <row r="5923" spans="1:14" x14ac:dyDescent="0.3">
      <c r="A5923" s="42"/>
      <c r="C5923" s="52"/>
      <c r="D5923"/>
      <c r="E5923"/>
      <c r="F5923"/>
      <c r="N5923" s="44"/>
    </row>
    <row r="5924" spans="1:14" x14ac:dyDescent="0.3">
      <c r="A5924" s="42"/>
      <c r="C5924" s="52"/>
      <c r="D5924"/>
      <c r="E5924"/>
      <c r="F5924"/>
      <c r="N5924" s="44"/>
    </row>
    <row r="5925" spans="1:14" x14ac:dyDescent="0.3">
      <c r="A5925" s="42"/>
      <c r="C5925" s="52"/>
      <c r="D5925"/>
      <c r="E5925"/>
      <c r="F5925"/>
      <c r="N5925" s="44"/>
    </row>
    <row r="5926" spans="1:14" x14ac:dyDescent="0.3">
      <c r="A5926" s="42"/>
      <c r="C5926" s="52"/>
      <c r="D5926"/>
      <c r="E5926"/>
      <c r="F5926"/>
      <c r="N5926" s="44"/>
    </row>
    <row r="5927" spans="1:14" x14ac:dyDescent="0.3">
      <c r="A5927" s="42"/>
      <c r="C5927" s="52"/>
      <c r="D5927"/>
      <c r="E5927"/>
      <c r="F5927"/>
      <c r="N5927" s="44"/>
    </row>
    <row r="5928" spans="1:14" x14ac:dyDescent="0.3">
      <c r="A5928" s="42"/>
      <c r="C5928" s="52"/>
      <c r="D5928"/>
      <c r="E5928"/>
      <c r="F5928"/>
      <c r="N5928" s="44"/>
    </row>
    <row r="5929" spans="1:14" x14ac:dyDescent="0.3">
      <c r="A5929" s="42"/>
      <c r="C5929" s="52"/>
      <c r="D5929"/>
      <c r="E5929"/>
      <c r="F5929"/>
      <c r="N5929" s="44"/>
    </row>
    <row r="5930" spans="1:14" x14ac:dyDescent="0.3">
      <c r="A5930" s="42"/>
      <c r="C5930" s="52"/>
      <c r="D5930"/>
      <c r="E5930"/>
      <c r="F5930"/>
      <c r="N5930" s="44"/>
    </row>
    <row r="5931" spans="1:14" x14ac:dyDescent="0.3">
      <c r="A5931" s="42"/>
      <c r="C5931" s="52"/>
      <c r="D5931"/>
      <c r="E5931"/>
      <c r="F5931"/>
      <c r="N5931" s="44"/>
    </row>
    <row r="5932" spans="1:14" x14ac:dyDescent="0.3">
      <c r="A5932" s="42"/>
      <c r="C5932" s="52"/>
      <c r="D5932"/>
      <c r="E5932"/>
      <c r="F5932"/>
      <c r="N5932" s="44"/>
    </row>
    <row r="5933" spans="1:14" x14ac:dyDescent="0.3">
      <c r="A5933" s="42"/>
      <c r="C5933" s="52"/>
      <c r="D5933"/>
      <c r="E5933"/>
      <c r="F5933"/>
      <c r="N5933" s="44"/>
    </row>
    <row r="5934" spans="1:14" x14ac:dyDescent="0.3">
      <c r="A5934" s="42"/>
      <c r="C5934" s="52"/>
      <c r="D5934"/>
      <c r="E5934"/>
      <c r="F5934"/>
      <c r="N5934" s="44"/>
    </row>
    <row r="5935" spans="1:14" x14ac:dyDescent="0.3">
      <c r="A5935" s="42"/>
      <c r="C5935" s="52"/>
      <c r="D5935"/>
      <c r="E5935"/>
      <c r="F5935"/>
      <c r="N5935" s="44"/>
    </row>
    <row r="5936" spans="1:14" x14ac:dyDescent="0.3">
      <c r="A5936" s="42"/>
      <c r="C5936" s="52"/>
      <c r="D5936"/>
      <c r="E5936"/>
      <c r="F5936"/>
      <c r="N5936" s="44"/>
    </row>
    <row r="5937" spans="1:14" x14ac:dyDescent="0.3">
      <c r="A5937" s="42"/>
      <c r="C5937" s="52"/>
      <c r="D5937"/>
      <c r="E5937"/>
      <c r="F5937"/>
      <c r="N5937" s="44"/>
    </row>
    <row r="5938" spans="1:14" x14ac:dyDescent="0.3">
      <c r="A5938" s="42"/>
      <c r="C5938" s="52"/>
      <c r="D5938"/>
      <c r="E5938"/>
      <c r="F5938"/>
      <c r="N5938" s="44"/>
    </row>
    <row r="5939" spans="1:14" x14ac:dyDescent="0.3">
      <c r="A5939" s="42"/>
      <c r="C5939" s="52"/>
      <c r="D5939"/>
      <c r="E5939"/>
      <c r="F5939"/>
      <c r="N5939" s="44"/>
    </row>
    <row r="5940" spans="1:14" x14ac:dyDescent="0.3">
      <c r="A5940" s="42"/>
      <c r="C5940" s="52"/>
      <c r="D5940"/>
      <c r="E5940"/>
      <c r="F5940"/>
      <c r="N5940" s="44"/>
    </row>
    <row r="5941" spans="1:14" x14ac:dyDescent="0.3">
      <c r="A5941" s="42"/>
      <c r="C5941" s="52"/>
      <c r="D5941"/>
      <c r="E5941"/>
      <c r="F5941"/>
      <c r="N5941" s="44"/>
    </row>
    <row r="5942" spans="1:14" x14ac:dyDescent="0.3">
      <c r="A5942" s="42"/>
      <c r="C5942" s="52"/>
      <c r="D5942"/>
      <c r="E5942"/>
      <c r="F5942"/>
      <c r="N5942" s="44"/>
    </row>
    <row r="5943" spans="1:14" x14ac:dyDescent="0.3">
      <c r="A5943" s="42"/>
      <c r="C5943" s="52"/>
      <c r="D5943"/>
      <c r="E5943"/>
      <c r="F5943"/>
      <c r="N5943" s="44"/>
    </row>
    <row r="5944" spans="1:14" x14ac:dyDescent="0.3">
      <c r="A5944" s="42"/>
      <c r="C5944" s="52"/>
      <c r="D5944"/>
      <c r="E5944"/>
      <c r="F5944"/>
      <c r="N5944" s="44"/>
    </row>
    <row r="5945" spans="1:14" x14ac:dyDescent="0.3">
      <c r="A5945" s="42"/>
      <c r="C5945" s="52"/>
      <c r="D5945"/>
      <c r="E5945"/>
      <c r="F5945"/>
      <c r="N5945" s="44"/>
    </row>
    <row r="5946" spans="1:14" x14ac:dyDescent="0.3">
      <c r="A5946" s="42"/>
      <c r="C5946" s="52"/>
      <c r="D5946"/>
      <c r="E5946"/>
      <c r="F5946"/>
      <c r="N5946" s="44"/>
    </row>
    <row r="5947" spans="1:14" x14ac:dyDescent="0.3">
      <c r="A5947" s="42"/>
      <c r="C5947" s="52"/>
      <c r="D5947"/>
      <c r="E5947"/>
      <c r="F5947"/>
      <c r="N5947" s="44"/>
    </row>
    <row r="5948" spans="1:14" x14ac:dyDescent="0.3">
      <c r="A5948" s="42"/>
      <c r="C5948" s="52"/>
      <c r="D5948"/>
      <c r="E5948"/>
      <c r="F5948"/>
      <c r="N5948" s="44"/>
    </row>
    <row r="5949" spans="1:14" x14ac:dyDescent="0.3">
      <c r="A5949" s="42"/>
      <c r="C5949" s="52"/>
      <c r="D5949"/>
      <c r="E5949"/>
      <c r="F5949"/>
      <c r="N5949" s="44"/>
    </row>
    <row r="5950" spans="1:14" x14ac:dyDescent="0.3">
      <c r="A5950" s="42"/>
      <c r="C5950" s="52"/>
      <c r="D5950"/>
      <c r="E5950"/>
      <c r="F5950"/>
      <c r="N5950" s="44"/>
    </row>
    <row r="5951" spans="1:14" x14ac:dyDescent="0.3">
      <c r="A5951" s="42"/>
      <c r="C5951" s="52"/>
      <c r="D5951"/>
      <c r="E5951"/>
      <c r="F5951"/>
      <c r="N5951" s="44"/>
    </row>
    <row r="5952" spans="1:14" x14ac:dyDescent="0.3">
      <c r="A5952" s="42"/>
      <c r="C5952" s="52"/>
      <c r="D5952"/>
      <c r="E5952"/>
      <c r="F5952"/>
      <c r="N5952" s="44"/>
    </row>
    <row r="5953" spans="1:14" x14ac:dyDescent="0.3">
      <c r="A5953" s="42"/>
      <c r="C5953" s="52"/>
      <c r="D5953"/>
      <c r="E5953"/>
      <c r="F5953"/>
      <c r="N5953" s="44"/>
    </row>
    <row r="5954" spans="1:14" x14ac:dyDescent="0.3">
      <c r="A5954" s="42"/>
      <c r="C5954" s="52"/>
      <c r="D5954"/>
      <c r="E5954"/>
      <c r="F5954"/>
      <c r="N5954" s="44"/>
    </row>
    <row r="5955" spans="1:14" x14ac:dyDescent="0.3">
      <c r="A5955" s="42"/>
      <c r="C5955" s="52"/>
      <c r="D5955"/>
      <c r="E5955"/>
      <c r="F5955"/>
      <c r="N5955" s="44"/>
    </row>
    <row r="5956" spans="1:14" x14ac:dyDescent="0.3">
      <c r="A5956" s="42"/>
      <c r="C5956" s="52"/>
      <c r="D5956"/>
      <c r="E5956"/>
      <c r="F5956"/>
      <c r="N5956" s="44"/>
    </row>
    <row r="5957" spans="1:14" x14ac:dyDescent="0.3">
      <c r="A5957" s="42"/>
      <c r="C5957" s="52"/>
      <c r="D5957"/>
      <c r="E5957"/>
      <c r="F5957"/>
      <c r="N5957" s="44"/>
    </row>
    <row r="5958" spans="1:14" x14ac:dyDescent="0.3">
      <c r="A5958" s="42"/>
      <c r="C5958" s="52"/>
      <c r="D5958"/>
      <c r="E5958"/>
      <c r="F5958"/>
      <c r="N5958" s="44"/>
    </row>
    <row r="5959" spans="1:14" x14ac:dyDescent="0.3">
      <c r="A5959" s="42"/>
      <c r="C5959" s="52"/>
      <c r="D5959"/>
      <c r="E5959"/>
      <c r="F5959"/>
      <c r="N5959" s="44"/>
    </row>
    <row r="5960" spans="1:14" x14ac:dyDescent="0.3">
      <c r="A5960" s="42"/>
      <c r="C5960" s="52"/>
      <c r="D5960"/>
      <c r="E5960"/>
      <c r="F5960"/>
      <c r="N5960" s="44"/>
    </row>
    <row r="5961" spans="1:14" x14ac:dyDescent="0.3">
      <c r="A5961" s="42"/>
      <c r="C5961" s="52"/>
      <c r="D5961"/>
      <c r="E5961"/>
      <c r="F5961"/>
      <c r="N5961" s="44"/>
    </row>
    <row r="5962" spans="1:14" x14ac:dyDescent="0.3">
      <c r="A5962" s="42"/>
      <c r="C5962" s="52"/>
      <c r="D5962"/>
      <c r="E5962"/>
      <c r="F5962"/>
      <c r="N5962" s="44"/>
    </row>
    <row r="5963" spans="1:14" x14ac:dyDescent="0.3">
      <c r="A5963" s="42"/>
      <c r="C5963" s="52"/>
      <c r="D5963"/>
      <c r="E5963"/>
      <c r="F5963"/>
      <c r="N5963" s="44"/>
    </row>
    <row r="5964" spans="1:14" x14ac:dyDescent="0.3">
      <c r="A5964" s="42"/>
      <c r="C5964" s="52"/>
      <c r="D5964"/>
      <c r="E5964"/>
      <c r="F5964"/>
      <c r="N5964" s="44"/>
    </row>
    <row r="5965" spans="1:14" x14ac:dyDescent="0.3">
      <c r="A5965" s="42"/>
      <c r="C5965" s="52"/>
      <c r="D5965"/>
      <c r="E5965"/>
      <c r="F5965"/>
      <c r="N5965" s="44"/>
    </row>
    <row r="5966" spans="1:14" x14ac:dyDescent="0.3">
      <c r="A5966" s="42"/>
      <c r="C5966" s="52"/>
      <c r="D5966"/>
      <c r="E5966"/>
      <c r="F5966"/>
      <c r="N5966" s="44"/>
    </row>
    <row r="5967" spans="1:14" x14ac:dyDescent="0.3">
      <c r="A5967" s="42"/>
      <c r="C5967" s="52"/>
      <c r="D5967"/>
      <c r="E5967"/>
      <c r="F5967"/>
      <c r="N5967" s="44"/>
    </row>
    <row r="5968" spans="1:14" x14ac:dyDescent="0.3">
      <c r="A5968" s="42"/>
      <c r="C5968" s="52"/>
      <c r="D5968"/>
      <c r="E5968"/>
      <c r="F5968"/>
      <c r="N5968" s="44"/>
    </row>
    <row r="5969" spans="1:14" x14ac:dyDescent="0.3">
      <c r="A5969" s="42"/>
      <c r="C5969" s="52"/>
      <c r="D5969"/>
      <c r="E5969"/>
      <c r="F5969"/>
      <c r="N5969" s="44"/>
    </row>
    <row r="5970" spans="1:14" x14ac:dyDescent="0.3">
      <c r="A5970" s="42"/>
      <c r="C5970" s="52"/>
      <c r="D5970"/>
      <c r="E5970"/>
      <c r="F5970"/>
      <c r="N5970" s="44"/>
    </row>
    <row r="5971" spans="1:14" x14ac:dyDescent="0.3">
      <c r="A5971" s="42"/>
      <c r="C5971" s="52"/>
      <c r="D5971"/>
      <c r="E5971"/>
      <c r="F5971"/>
      <c r="N5971" s="44"/>
    </row>
    <row r="5972" spans="1:14" x14ac:dyDescent="0.3">
      <c r="A5972" s="42"/>
      <c r="C5972" s="52"/>
      <c r="D5972"/>
      <c r="E5972"/>
      <c r="F5972"/>
      <c r="N5972" s="44"/>
    </row>
    <row r="5973" spans="1:14" x14ac:dyDescent="0.3">
      <c r="A5973" s="42"/>
      <c r="C5973" s="52"/>
      <c r="D5973"/>
      <c r="E5973"/>
      <c r="F5973"/>
      <c r="N5973" s="44"/>
    </row>
    <row r="5974" spans="1:14" x14ac:dyDescent="0.3">
      <c r="A5974" s="42"/>
      <c r="C5974" s="52"/>
      <c r="D5974"/>
      <c r="E5974"/>
      <c r="F5974"/>
      <c r="N5974" s="44"/>
    </row>
    <row r="5975" spans="1:14" x14ac:dyDescent="0.3">
      <c r="A5975" s="42"/>
      <c r="C5975" s="52"/>
      <c r="D5975"/>
      <c r="E5975"/>
      <c r="F5975"/>
      <c r="N5975" s="44"/>
    </row>
    <row r="5976" spans="1:14" x14ac:dyDescent="0.3">
      <c r="A5976" s="42"/>
      <c r="C5976" s="52"/>
      <c r="D5976"/>
      <c r="E5976"/>
      <c r="F5976"/>
      <c r="N5976" s="44"/>
    </row>
    <row r="5977" spans="1:14" x14ac:dyDescent="0.3">
      <c r="A5977" s="42"/>
      <c r="C5977" s="52"/>
      <c r="D5977"/>
      <c r="E5977"/>
      <c r="F5977"/>
      <c r="N5977" s="44"/>
    </row>
    <row r="5978" spans="1:14" x14ac:dyDescent="0.3">
      <c r="A5978" s="42"/>
      <c r="C5978" s="52"/>
      <c r="D5978"/>
      <c r="E5978"/>
      <c r="F5978"/>
      <c r="N5978" s="44"/>
    </row>
    <row r="5979" spans="1:14" x14ac:dyDescent="0.3">
      <c r="A5979" s="42"/>
      <c r="C5979" s="52"/>
      <c r="D5979"/>
      <c r="E5979"/>
      <c r="F5979"/>
      <c r="N5979" s="44"/>
    </row>
    <row r="5980" spans="1:14" x14ac:dyDescent="0.3">
      <c r="A5980" s="42"/>
      <c r="C5980" s="52"/>
      <c r="D5980"/>
      <c r="E5980"/>
      <c r="F5980"/>
      <c r="N5980" s="44"/>
    </row>
    <row r="5981" spans="1:14" x14ac:dyDescent="0.3">
      <c r="A5981" s="42"/>
      <c r="C5981" s="52"/>
      <c r="D5981"/>
      <c r="E5981"/>
      <c r="F5981"/>
      <c r="N5981" s="44"/>
    </row>
    <row r="5982" spans="1:14" x14ac:dyDescent="0.3">
      <c r="A5982" s="42"/>
      <c r="C5982" s="52"/>
      <c r="D5982"/>
      <c r="E5982"/>
      <c r="F5982"/>
      <c r="N5982" s="44"/>
    </row>
    <row r="5983" spans="1:14" x14ac:dyDescent="0.3">
      <c r="A5983" s="42"/>
      <c r="C5983" s="52"/>
      <c r="D5983"/>
      <c r="E5983"/>
      <c r="F5983"/>
      <c r="N5983" s="44"/>
    </row>
    <row r="5984" spans="1:14" x14ac:dyDescent="0.3">
      <c r="A5984" s="42"/>
      <c r="C5984" s="52"/>
      <c r="D5984"/>
      <c r="E5984"/>
      <c r="F5984"/>
      <c r="N5984" s="44"/>
    </row>
    <row r="5985" spans="1:14" x14ac:dyDescent="0.3">
      <c r="A5985" s="42"/>
      <c r="C5985" s="52"/>
      <c r="D5985"/>
      <c r="E5985"/>
      <c r="F5985"/>
      <c r="N5985" s="44"/>
    </row>
    <row r="5986" spans="1:14" x14ac:dyDescent="0.3">
      <c r="A5986" s="42"/>
      <c r="C5986" s="52"/>
      <c r="D5986"/>
      <c r="E5986"/>
      <c r="F5986"/>
      <c r="N5986" s="44"/>
    </row>
    <row r="5987" spans="1:14" x14ac:dyDescent="0.3">
      <c r="A5987" s="42"/>
      <c r="C5987" s="52"/>
      <c r="D5987"/>
      <c r="E5987"/>
      <c r="F5987"/>
      <c r="N5987" s="44"/>
    </row>
    <row r="5988" spans="1:14" x14ac:dyDescent="0.3">
      <c r="A5988" s="42"/>
      <c r="C5988" s="52"/>
      <c r="D5988"/>
      <c r="E5988"/>
      <c r="F5988"/>
      <c r="N5988" s="44"/>
    </row>
    <row r="5989" spans="1:14" x14ac:dyDescent="0.3">
      <c r="A5989" s="42"/>
      <c r="C5989" s="52"/>
      <c r="D5989"/>
      <c r="E5989"/>
      <c r="F5989"/>
      <c r="N5989" s="44"/>
    </row>
    <row r="5990" spans="1:14" x14ac:dyDescent="0.3">
      <c r="A5990" s="42"/>
      <c r="C5990" s="52"/>
      <c r="D5990"/>
      <c r="E5990"/>
      <c r="F5990"/>
      <c r="N5990" s="44"/>
    </row>
    <row r="5991" spans="1:14" x14ac:dyDescent="0.3">
      <c r="A5991" s="42"/>
      <c r="C5991" s="52"/>
      <c r="D5991"/>
      <c r="E5991"/>
      <c r="F5991"/>
      <c r="N5991" s="44"/>
    </row>
    <row r="5992" spans="1:14" x14ac:dyDescent="0.3">
      <c r="A5992" s="42"/>
      <c r="C5992" s="52"/>
      <c r="D5992"/>
      <c r="E5992"/>
      <c r="F5992"/>
      <c r="N5992" s="44"/>
    </row>
    <row r="5993" spans="1:14" x14ac:dyDescent="0.3">
      <c r="A5993" s="42"/>
      <c r="C5993" s="52"/>
      <c r="D5993"/>
      <c r="E5993"/>
      <c r="F5993"/>
      <c r="N5993" s="44"/>
    </row>
    <row r="5994" spans="1:14" x14ac:dyDescent="0.3">
      <c r="A5994" s="42"/>
      <c r="C5994" s="52"/>
      <c r="D5994"/>
      <c r="E5994"/>
      <c r="F5994"/>
      <c r="N5994" s="44"/>
    </row>
    <row r="5995" spans="1:14" x14ac:dyDescent="0.3">
      <c r="A5995" s="42"/>
      <c r="C5995" s="52"/>
      <c r="D5995"/>
      <c r="E5995"/>
      <c r="F5995"/>
      <c r="N5995" s="44"/>
    </row>
    <row r="5996" spans="1:14" x14ac:dyDescent="0.3">
      <c r="A5996" s="42"/>
      <c r="C5996" s="52"/>
      <c r="D5996"/>
      <c r="E5996"/>
      <c r="F5996"/>
      <c r="N5996" s="44"/>
    </row>
    <row r="5997" spans="1:14" x14ac:dyDescent="0.3">
      <c r="A5997" s="42"/>
      <c r="C5997" s="52"/>
      <c r="D5997"/>
      <c r="E5997"/>
      <c r="F5997"/>
      <c r="N5997" s="44"/>
    </row>
    <row r="5998" spans="1:14" x14ac:dyDescent="0.3">
      <c r="A5998" s="42"/>
      <c r="C5998" s="52"/>
      <c r="D5998"/>
      <c r="E5998"/>
      <c r="F5998"/>
      <c r="N5998" s="44"/>
    </row>
    <row r="5999" spans="1:14" x14ac:dyDescent="0.3">
      <c r="A5999" s="42"/>
      <c r="C5999" s="52"/>
      <c r="D5999"/>
      <c r="E5999"/>
      <c r="F5999"/>
      <c r="N5999" s="44"/>
    </row>
    <row r="6000" spans="1:14" x14ac:dyDescent="0.3">
      <c r="A6000" s="42"/>
      <c r="C6000" s="52"/>
      <c r="D6000"/>
      <c r="E6000"/>
      <c r="F6000"/>
      <c r="N6000" s="44"/>
    </row>
    <row r="6001" spans="1:14" x14ac:dyDescent="0.3">
      <c r="A6001" s="42"/>
      <c r="C6001" s="52"/>
      <c r="D6001"/>
      <c r="E6001"/>
      <c r="F6001"/>
      <c r="N6001" s="44"/>
    </row>
    <row r="6002" spans="1:14" x14ac:dyDescent="0.3">
      <c r="A6002" s="42"/>
      <c r="C6002" s="52"/>
      <c r="D6002"/>
      <c r="E6002"/>
      <c r="F6002"/>
      <c r="N6002" s="44"/>
    </row>
    <row r="6003" spans="1:14" x14ac:dyDescent="0.3">
      <c r="A6003" s="42"/>
      <c r="C6003" s="52"/>
      <c r="D6003"/>
      <c r="E6003"/>
      <c r="F6003"/>
      <c r="N6003" s="44"/>
    </row>
    <row r="6004" spans="1:14" x14ac:dyDescent="0.3">
      <c r="A6004" s="42"/>
      <c r="C6004" s="52"/>
      <c r="D6004"/>
      <c r="E6004"/>
      <c r="F6004"/>
      <c r="N6004" s="44"/>
    </row>
    <row r="6005" spans="1:14" x14ac:dyDescent="0.3">
      <c r="A6005" s="42"/>
      <c r="C6005" s="52"/>
      <c r="D6005"/>
      <c r="E6005"/>
      <c r="F6005"/>
      <c r="N6005" s="44"/>
    </row>
    <row r="6006" spans="1:14" x14ac:dyDescent="0.3">
      <c r="A6006" s="42"/>
      <c r="C6006" s="52"/>
      <c r="D6006"/>
      <c r="E6006"/>
      <c r="F6006"/>
      <c r="N6006" s="44"/>
    </row>
    <row r="6007" spans="1:14" x14ac:dyDescent="0.3">
      <c r="A6007" s="42"/>
      <c r="C6007" s="52"/>
      <c r="D6007"/>
      <c r="E6007"/>
      <c r="F6007"/>
      <c r="N6007" s="44"/>
    </row>
    <row r="6008" spans="1:14" x14ac:dyDescent="0.3">
      <c r="A6008" s="42"/>
      <c r="C6008" s="52"/>
      <c r="D6008"/>
      <c r="E6008"/>
      <c r="F6008"/>
      <c r="N6008" s="44"/>
    </row>
    <row r="6009" spans="1:14" x14ac:dyDescent="0.3">
      <c r="A6009" s="42"/>
      <c r="C6009" s="52"/>
      <c r="D6009"/>
      <c r="E6009"/>
      <c r="F6009"/>
      <c r="N6009" s="44"/>
    </row>
    <row r="6010" spans="1:14" x14ac:dyDescent="0.3">
      <c r="A6010" s="42"/>
      <c r="C6010" s="52"/>
      <c r="D6010"/>
      <c r="E6010"/>
      <c r="F6010"/>
      <c r="N6010" s="44"/>
    </row>
    <row r="6011" spans="1:14" x14ac:dyDescent="0.3">
      <c r="A6011" s="42"/>
      <c r="C6011" s="52"/>
      <c r="D6011"/>
      <c r="E6011"/>
      <c r="F6011"/>
      <c r="N6011" s="44"/>
    </row>
    <row r="6012" spans="1:14" x14ac:dyDescent="0.3">
      <c r="A6012" s="42"/>
      <c r="C6012" s="52"/>
      <c r="D6012"/>
      <c r="E6012"/>
      <c r="F6012"/>
      <c r="N6012" s="44"/>
    </row>
    <row r="6013" spans="1:14" x14ac:dyDescent="0.3">
      <c r="A6013" s="42"/>
      <c r="C6013" s="52"/>
      <c r="D6013"/>
      <c r="E6013"/>
      <c r="F6013"/>
      <c r="N6013" s="44"/>
    </row>
    <row r="6014" spans="1:14" x14ac:dyDescent="0.3">
      <c r="A6014" s="42"/>
      <c r="C6014" s="52"/>
      <c r="D6014"/>
      <c r="E6014"/>
      <c r="F6014"/>
      <c r="N6014" s="44"/>
    </row>
    <row r="6015" spans="1:14" x14ac:dyDescent="0.3">
      <c r="A6015" s="42"/>
      <c r="C6015" s="52"/>
      <c r="D6015"/>
      <c r="E6015"/>
      <c r="F6015"/>
      <c r="N6015" s="44"/>
    </row>
    <row r="6016" spans="1:14" x14ac:dyDescent="0.3">
      <c r="A6016" s="42"/>
      <c r="C6016" s="52"/>
      <c r="D6016"/>
      <c r="E6016"/>
      <c r="F6016"/>
      <c r="N6016" s="44"/>
    </row>
    <row r="6017" spans="1:14" x14ac:dyDescent="0.3">
      <c r="A6017" s="42"/>
      <c r="C6017" s="52"/>
      <c r="D6017"/>
      <c r="E6017"/>
      <c r="F6017"/>
      <c r="N6017" s="44"/>
    </row>
    <row r="6018" spans="1:14" x14ac:dyDescent="0.3">
      <c r="A6018" s="42"/>
      <c r="C6018" s="52"/>
      <c r="D6018"/>
      <c r="E6018"/>
      <c r="F6018"/>
      <c r="N6018" s="44"/>
    </row>
    <row r="6019" spans="1:14" x14ac:dyDescent="0.3">
      <c r="A6019" s="42"/>
      <c r="C6019" s="52"/>
      <c r="D6019"/>
      <c r="E6019"/>
      <c r="F6019"/>
      <c r="N6019" s="44"/>
    </row>
    <row r="6020" spans="1:14" x14ac:dyDescent="0.3">
      <c r="A6020" s="42"/>
      <c r="C6020" s="52"/>
      <c r="D6020"/>
      <c r="E6020"/>
      <c r="F6020"/>
      <c r="N6020" s="44"/>
    </row>
    <row r="6021" spans="1:14" x14ac:dyDescent="0.3">
      <c r="A6021" s="42"/>
      <c r="C6021" s="52"/>
      <c r="D6021"/>
      <c r="E6021"/>
      <c r="F6021"/>
      <c r="N6021" s="44"/>
    </row>
    <row r="6022" spans="1:14" x14ac:dyDescent="0.3">
      <c r="A6022" s="42"/>
      <c r="C6022" s="52"/>
      <c r="D6022"/>
      <c r="E6022"/>
      <c r="F6022"/>
      <c r="N6022" s="44"/>
    </row>
    <row r="6023" spans="1:14" x14ac:dyDescent="0.3">
      <c r="A6023" s="42"/>
      <c r="C6023" s="52"/>
      <c r="D6023"/>
      <c r="E6023"/>
      <c r="F6023"/>
      <c r="N6023" s="44"/>
    </row>
    <row r="6024" spans="1:14" x14ac:dyDescent="0.3">
      <c r="A6024" s="42"/>
      <c r="C6024" s="52"/>
      <c r="D6024"/>
      <c r="E6024"/>
      <c r="F6024"/>
      <c r="N6024" s="44"/>
    </row>
    <row r="6025" spans="1:14" x14ac:dyDescent="0.3">
      <c r="A6025" s="42"/>
      <c r="C6025" s="52"/>
      <c r="D6025"/>
      <c r="E6025"/>
      <c r="F6025"/>
      <c r="N6025" s="44"/>
    </row>
    <row r="6026" spans="1:14" x14ac:dyDescent="0.3">
      <c r="A6026" s="42"/>
      <c r="C6026" s="52"/>
      <c r="D6026"/>
      <c r="E6026"/>
      <c r="F6026"/>
      <c r="N6026" s="44"/>
    </row>
    <row r="6027" spans="1:14" x14ac:dyDescent="0.3">
      <c r="A6027" s="42"/>
      <c r="C6027" s="52"/>
      <c r="D6027"/>
      <c r="E6027"/>
      <c r="F6027"/>
      <c r="N6027" s="44"/>
    </row>
    <row r="6028" spans="1:14" x14ac:dyDescent="0.3">
      <c r="A6028" s="42"/>
      <c r="C6028" s="52"/>
      <c r="D6028"/>
      <c r="E6028"/>
      <c r="F6028"/>
      <c r="N6028" s="44"/>
    </row>
    <row r="6029" spans="1:14" x14ac:dyDescent="0.3">
      <c r="A6029" s="42"/>
      <c r="C6029" s="52"/>
      <c r="D6029"/>
      <c r="E6029"/>
      <c r="F6029"/>
      <c r="N6029" s="44"/>
    </row>
    <row r="6030" spans="1:14" x14ac:dyDescent="0.3">
      <c r="A6030" s="42"/>
      <c r="C6030" s="52"/>
      <c r="D6030"/>
      <c r="E6030"/>
      <c r="F6030"/>
      <c r="N6030" s="44"/>
    </row>
    <row r="6031" spans="1:14" x14ac:dyDescent="0.3">
      <c r="A6031" s="42"/>
      <c r="C6031" s="52"/>
      <c r="D6031"/>
      <c r="E6031"/>
      <c r="F6031"/>
      <c r="N6031" s="44"/>
    </row>
    <row r="6032" spans="1:14" x14ac:dyDescent="0.3">
      <c r="A6032" s="42"/>
      <c r="C6032" s="52"/>
      <c r="D6032"/>
      <c r="E6032"/>
      <c r="F6032"/>
      <c r="N6032" s="44"/>
    </row>
    <row r="6033" spans="1:14" x14ac:dyDescent="0.3">
      <c r="A6033" s="42"/>
      <c r="C6033" s="52"/>
      <c r="D6033"/>
      <c r="E6033"/>
      <c r="F6033"/>
      <c r="N6033" s="44"/>
    </row>
    <row r="6034" spans="1:14" x14ac:dyDescent="0.3">
      <c r="A6034" s="42"/>
      <c r="C6034" s="52"/>
      <c r="D6034"/>
      <c r="E6034"/>
      <c r="F6034"/>
      <c r="N6034" s="44"/>
    </row>
    <row r="6035" spans="1:14" x14ac:dyDescent="0.3">
      <c r="A6035" s="42"/>
      <c r="C6035" s="52"/>
      <c r="D6035"/>
      <c r="E6035"/>
      <c r="F6035"/>
      <c r="N6035" s="44"/>
    </row>
    <row r="6036" spans="1:14" x14ac:dyDescent="0.3">
      <c r="A6036" s="42"/>
      <c r="C6036" s="52"/>
      <c r="D6036"/>
      <c r="E6036"/>
      <c r="F6036"/>
      <c r="N6036" s="44"/>
    </row>
    <row r="6037" spans="1:14" x14ac:dyDescent="0.3">
      <c r="A6037" s="42"/>
      <c r="C6037" s="52"/>
      <c r="D6037"/>
      <c r="E6037"/>
      <c r="F6037"/>
      <c r="M6037" s="45"/>
      <c r="N6037" s="44"/>
    </row>
    <row r="6038" spans="1:14" x14ac:dyDescent="0.3">
      <c r="A6038" s="42"/>
      <c r="C6038" s="52"/>
      <c r="D6038"/>
      <c r="E6038"/>
      <c r="F6038"/>
      <c r="N6038" s="44"/>
    </row>
    <row r="6039" spans="1:14" x14ac:dyDescent="0.3">
      <c r="A6039" s="42"/>
      <c r="C6039" s="52"/>
      <c r="D6039"/>
      <c r="E6039"/>
      <c r="F6039"/>
      <c r="N6039" s="44"/>
    </row>
    <row r="6040" spans="1:14" x14ac:dyDescent="0.3">
      <c r="A6040" s="42"/>
      <c r="C6040" s="52"/>
      <c r="D6040"/>
      <c r="E6040"/>
      <c r="F6040"/>
      <c r="N6040" s="44"/>
    </row>
    <row r="6041" spans="1:14" x14ac:dyDescent="0.3">
      <c r="A6041" s="42"/>
      <c r="C6041" s="52"/>
      <c r="D6041"/>
      <c r="E6041"/>
      <c r="F6041"/>
      <c r="N6041" s="44"/>
    </row>
    <row r="6042" spans="1:14" x14ac:dyDescent="0.3">
      <c r="A6042" s="42"/>
      <c r="C6042" s="52"/>
      <c r="D6042"/>
      <c r="E6042"/>
      <c r="F6042"/>
      <c r="N6042" s="44"/>
    </row>
    <row r="6043" spans="1:14" x14ac:dyDescent="0.3">
      <c r="A6043" s="42"/>
      <c r="C6043" s="52"/>
      <c r="D6043"/>
      <c r="E6043"/>
      <c r="F6043"/>
      <c r="N6043" s="44"/>
    </row>
    <row r="6044" spans="1:14" x14ac:dyDescent="0.3">
      <c r="A6044" s="42"/>
      <c r="C6044" s="52"/>
      <c r="D6044"/>
      <c r="E6044"/>
      <c r="F6044"/>
      <c r="N6044" s="44"/>
    </row>
    <row r="6045" spans="1:14" x14ac:dyDescent="0.3">
      <c r="A6045" s="42"/>
      <c r="C6045" s="52"/>
      <c r="D6045"/>
      <c r="E6045"/>
      <c r="F6045"/>
      <c r="N6045" s="44"/>
    </row>
    <row r="6046" spans="1:14" x14ac:dyDescent="0.3">
      <c r="A6046" s="42"/>
      <c r="C6046" s="52"/>
      <c r="D6046"/>
      <c r="E6046"/>
      <c r="F6046"/>
      <c r="N6046" s="44"/>
    </row>
    <row r="6047" spans="1:14" x14ac:dyDescent="0.3">
      <c r="A6047" s="42"/>
      <c r="C6047" s="52"/>
      <c r="D6047"/>
      <c r="E6047"/>
      <c r="F6047"/>
      <c r="N6047" s="44"/>
    </row>
    <row r="6048" spans="1:14" x14ac:dyDescent="0.3">
      <c r="A6048" s="42"/>
      <c r="C6048" s="52"/>
      <c r="D6048"/>
      <c r="E6048"/>
      <c r="F6048"/>
      <c r="N6048" s="44"/>
    </row>
    <row r="6049" spans="1:14" x14ac:dyDescent="0.3">
      <c r="A6049" s="42"/>
      <c r="C6049" s="52"/>
      <c r="D6049"/>
      <c r="E6049"/>
      <c r="F6049"/>
      <c r="N6049" s="44"/>
    </row>
    <row r="6050" spans="1:14" x14ac:dyDescent="0.3">
      <c r="A6050" s="42"/>
      <c r="C6050" s="52"/>
      <c r="D6050"/>
      <c r="E6050"/>
      <c r="F6050"/>
      <c r="N6050" s="44"/>
    </row>
    <row r="6051" spans="1:14" x14ac:dyDescent="0.3">
      <c r="A6051" s="42"/>
      <c r="C6051" s="52"/>
      <c r="D6051"/>
      <c r="E6051"/>
      <c r="F6051"/>
      <c r="N6051" s="44"/>
    </row>
    <row r="6052" spans="1:14" x14ac:dyDescent="0.3">
      <c r="A6052" s="42"/>
      <c r="C6052" s="52"/>
      <c r="D6052"/>
      <c r="E6052"/>
      <c r="F6052"/>
      <c r="N6052" s="44"/>
    </row>
    <row r="6053" spans="1:14" x14ac:dyDescent="0.3">
      <c r="A6053" s="42"/>
      <c r="C6053" s="52"/>
      <c r="D6053"/>
      <c r="E6053"/>
      <c r="F6053"/>
      <c r="N6053" s="44"/>
    </row>
    <row r="6054" spans="1:14" x14ac:dyDescent="0.3">
      <c r="A6054" s="42"/>
      <c r="C6054" s="52"/>
      <c r="D6054"/>
      <c r="E6054"/>
      <c r="F6054"/>
      <c r="N6054" s="44"/>
    </row>
    <row r="6055" spans="1:14" x14ac:dyDescent="0.3">
      <c r="A6055" s="42"/>
      <c r="C6055" s="52"/>
      <c r="D6055"/>
      <c r="E6055"/>
      <c r="F6055"/>
      <c r="N6055" s="44"/>
    </row>
    <row r="6056" spans="1:14" x14ac:dyDescent="0.3">
      <c r="A6056" s="42"/>
      <c r="C6056" s="52"/>
      <c r="D6056"/>
      <c r="E6056"/>
      <c r="F6056"/>
      <c r="N6056" s="44"/>
    </row>
    <row r="6057" spans="1:14" x14ac:dyDescent="0.3">
      <c r="A6057" s="42"/>
      <c r="C6057" s="52"/>
      <c r="D6057"/>
      <c r="E6057"/>
      <c r="F6057"/>
      <c r="N6057" s="44"/>
    </row>
    <row r="6058" spans="1:14" x14ac:dyDescent="0.3">
      <c r="A6058" s="42"/>
      <c r="C6058" s="52"/>
      <c r="D6058"/>
      <c r="E6058"/>
      <c r="F6058"/>
      <c r="N6058" s="44"/>
    </row>
    <row r="6059" spans="1:14" x14ac:dyDescent="0.3">
      <c r="A6059" s="42"/>
      <c r="C6059" s="52"/>
      <c r="D6059"/>
      <c r="E6059"/>
      <c r="F6059"/>
      <c r="N6059" s="44"/>
    </row>
    <row r="6060" spans="1:14" x14ac:dyDescent="0.3">
      <c r="A6060" s="42"/>
      <c r="C6060" s="52"/>
      <c r="D6060"/>
      <c r="E6060"/>
      <c r="F6060"/>
      <c r="N6060" s="44"/>
    </row>
    <row r="6061" spans="1:14" x14ac:dyDescent="0.3">
      <c r="A6061" s="42"/>
      <c r="C6061" s="52"/>
      <c r="D6061"/>
      <c r="E6061"/>
      <c r="F6061"/>
      <c r="N6061" s="44"/>
    </row>
    <row r="6062" spans="1:14" x14ac:dyDescent="0.3">
      <c r="A6062" s="42"/>
      <c r="C6062" s="52"/>
      <c r="D6062"/>
      <c r="E6062"/>
      <c r="F6062"/>
      <c r="N6062" s="44"/>
    </row>
    <row r="6063" spans="1:14" x14ac:dyDescent="0.3">
      <c r="A6063" s="42"/>
      <c r="C6063" s="52"/>
      <c r="D6063"/>
      <c r="E6063"/>
      <c r="F6063"/>
      <c r="N6063" s="44"/>
    </row>
    <row r="6064" spans="1:14" x14ac:dyDescent="0.3">
      <c r="A6064" s="42"/>
      <c r="C6064" s="52"/>
      <c r="D6064"/>
      <c r="E6064"/>
      <c r="F6064"/>
      <c r="N6064" s="44"/>
    </row>
    <row r="6065" spans="1:14" x14ac:dyDescent="0.3">
      <c r="A6065" s="42"/>
      <c r="C6065" s="52"/>
      <c r="D6065"/>
      <c r="E6065"/>
      <c r="F6065"/>
      <c r="N6065" s="44"/>
    </row>
    <row r="6066" spans="1:14" x14ac:dyDescent="0.3">
      <c r="A6066" s="42"/>
      <c r="C6066" s="52"/>
      <c r="D6066"/>
      <c r="E6066"/>
      <c r="F6066"/>
      <c r="N6066" s="44"/>
    </row>
    <row r="6067" spans="1:14" x14ac:dyDescent="0.3">
      <c r="A6067" s="42"/>
      <c r="C6067" s="52"/>
      <c r="D6067"/>
      <c r="E6067"/>
      <c r="F6067"/>
      <c r="N6067" s="44"/>
    </row>
    <row r="6068" spans="1:14" x14ac:dyDescent="0.3">
      <c r="A6068" s="42"/>
      <c r="C6068" s="52"/>
      <c r="D6068"/>
      <c r="E6068"/>
      <c r="F6068"/>
      <c r="N6068" s="44"/>
    </row>
    <row r="6069" spans="1:14" x14ac:dyDescent="0.3">
      <c r="A6069" s="42"/>
      <c r="C6069" s="52"/>
      <c r="D6069"/>
      <c r="E6069"/>
      <c r="F6069"/>
      <c r="N6069" s="44"/>
    </row>
    <row r="6070" spans="1:14" x14ac:dyDescent="0.3">
      <c r="A6070" s="42"/>
      <c r="C6070" s="52"/>
      <c r="D6070"/>
      <c r="E6070"/>
      <c r="F6070"/>
      <c r="N6070" s="44"/>
    </row>
    <row r="6071" spans="1:14" x14ac:dyDescent="0.3">
      <c r="A6071" s="42"/>
      <c r="C6071" s="52"/>
      <c r="D6071"/>
      <c r="E6071"/>
      <c r="F6071"/>
      <c r="N6071" s="44"/>
    </row>
    <row r="6072" spans="1:14" x14ac:dyDescent="0.3">
      <c r="A6072" s="42"/>
      <c r="C6072" s="52"/>
      <c r="D6072"/>
      <c r="E6072"/>
      <c r="F6072"/>
      <c r="N6072" s="44"/>
    </row>
    <row r="6073" spans="1:14" x14ac:dyDescent="0.3">
      <c r="A6073" s="42"/>
      <c r="C6073" s="52"/>
      <c r="D6073"/>
      <c r="E6073"/>
      <c r="F6073"/>
      <c r="N6073" s="44"/>
    </row>
    <row r="6074" spans="1:14" x14ac:dyDescent="0.3">
      <c r="A6074" s="42"/>
      <c r="C6074" s="52"/>
      <c r="D6074"/>
      <c r="E6074"/>
      <c r="F6074"/>
      <c r="N6074" s="44"/>
    </row>
    <row r="6075" spans="1:14" x14ac:dyDescent="0.3">
      <c r="A6075" s="42"/>
      <c r="C6075" s="52"/>
      <c r="D6075"/>
      <c r="E6075"/>
      <c r="F6075"/>
      <c r="N6075" s="44"/>
    </row>
    <row r="6076" spans="1:14" x14ac:dyDescent="0.3">
      <c r="A6076" s="42"/>
      <c r="C6076" s="52"/>
      <c r="D6076"/>
      <c r="E6076"/>
      <c r="F6076"/>
      <c r="N6076" s="44"/>
    </row>
    <row r="6077" spans="1:14" x14ac:dyDescent="0.3">
      <c r="A6077" s="42"/>
      <c r="C6077" s="52"/>
      <c r="D6077"/>
      <c r="E6077"/>
      <c r="F6077"/>
      <c r="N6077" s="44"/>
    </row>
    <row r="6078" spans="1:14" x14ac:dyDescent="0.3">
      <c r="A6078" s="42"/>
      <c r="C6078" s="52"/>
      <c r="D6078"/>
      <c r="E6078"/>
      <c r="F6078"/>
      <c r="N6078" s="44"/>
    </row>
    <row r="6079" spans="1:14" x14ac:dyDescent="0.3">
      <c r="A6079" s="42"/>
      <c r="C6079" s="52"/>
      <c r="D6079"/>
      <c r="E6079"/>
      <c r="F6079"/>
      <c r="N6079" s="44"/>
    </row>
    <row r="6080" spans="1:14" x14ac:dyDescent="0.3">
      <c r="A6080" s="42"/>
      <c r="C6080" s="52"/>
      <c r="D6080"/>
      <c r="E6080"/>
      <c r="F6080"/>
      <c r="N6080" s="44"/>
    </row>
    <row r="6081" spans="1:14" x14ac:dyDescent="0.3">
      <c r="A6081" s="42"/>
      <c r="C6081" s="52"/>
      <c r="D6081"/>
      <c r="E6081"/>
      <c r="F6081"/>
      <c r="N6081" s="44"/>
    </row>
    <row r="6082" spans="1:14" x14ac:dyDescent="0.3">
      <c r="A6082" s="42"/>
      <c r="C6082" s="52"/>
      <c r="D6082"/>
      <c r="E6082"/>
      <c r="F6082"/>
      <c r="N6082" s="44"/>
    </row>
    <row r="6083" spans="1:14" x14ac:dyDescent="0.3">
      <c r="A6083" s="42"/>
      <c r="C6083" s="52"/>
      <c r="D6083"/>
      <c r="E6083"/>
      <c r="F6083"/>
      <c r="N6083" s="44"/>
    </row>
    <row r="6084" spans="1:14" x14ac:dyDescent="0.3">
      <c r="A6084" s="42"/>
      <c r="C6084" s="52"/>
      <c r="D6084"/>
      <c r="E6084"/>
      <c r="F6084"/>
      <c r="N6084" s="44"/>
    </row>
    <row r="6085" spans="1:14" x14ac:dyDescent="0.3">
      <c r="A6085" s="42"/>
      <c r="C6085" s="52"/>
      <c r="D6085"/>
      <c r="E6085"/>
      <c r="F6085"/>
      <c r="N6085" s="44"/>
    </row>
    <row r="6086" spans="1:14" x14ac:dyDescent="0.3">
      <c r="A6086" s="42"/>
      <c r="C6086" s="52"/>
      <c r="D6086"/>
      <c r="E6086"/>
      <c r="F6086"/>
      <c r="N6086" s="44"/>
    </row>
    <row r="6087" spans="1:14" x14ac:dyDescent="0.3">
      <c r="A6087" s="42"/>
      <c r="C6087" s="52"/>
      <c r="D6087"/>
      <c r="E6087"/>
      <c r="F6087"/>
      <c r="N6087" s="44"/>
    </row>
    <row r="6088" spans="1:14" x14ac:dyDescent="0.3">
      <c r="A6088" s="42"/>
      <c r="C6088" s="52"/>
      <c r="D6088"/>
      <c r="E6088"/>
      <c r="F6088"/>
      <c r="N6088" s="44"/>
    </row>
    <row r="6089" spans="1:14" x14ac:dyDescent="0.3">
      <c r="A6089" s="42"/>
      <c r="C6089" s="52"/>
      <c r="D6089"/>
      <c r="E6089"/>
      <c r="F6089"/>
      <c r="N6089" s="44"/>
    </row>
    <row r="6090" spans="1:14" x14ac:dyDescent="0.3">
      <c r="A6090" s="42"/>
      <c r="C6090" s="52"/>
      <c r="D6090"/>
      <c r="E6090"/>
      <c r="F6090"/>
      <c r="N6090" s="44"/>
    </row>
    <row r="6091" spans="1:14" x14ac:dyDescent="0.3">
      <c r="A6091" s="42"/>
      <c r="C6091" s="52"/>
      <c r="D6091"/>
      <c r="E6091"/>
      <c r="F6091"/>
      <c r="N6091" s="44"/>
    </row>
    <row r="6092" spans="1:14" x14ac:dyDescent="0.3">
      <c r="A6092" s="42"/>
      <c r="C6092" s="52"/>
      <c r="D6092"/>
      <c r="E6092"/>
      <c r="F6092"/>
      <c r="N6092" s="44"/>
    </row>
    <row r="6093" spans="1:14" x14ac:dyDescent="0.3">
      <c r="A6093" s="42"/>
      <c r="C6093" s="52"/>
      <c r="D6093"/>
      <c r="E6093"/>
      <c r="F6093"/>
      <c r="N6093" s="44"/>
    </row>
    <row r="6094" spans="1:14" x14ac:dyDescent="0.3">
      <c r="A6094" s="42"/>
      <c r="C6094" s="52"/>
      <c r="D6094"/>
      <c r="E6094"/>
      <c r="F6094"/>
      <c r="N6094" s="44"/>
    </row>
    <row r="6095" spans="1:14" x14ac:dyDescent="0.3">
      <c r="A6095" s="42"/>
      <c r="C6095" s="52"/>
      <c r="D6095"/>
      <c r="E6095"/>
      <c r="F6095"/>
      <c r="N6095" s="44"/>
    </row>
    <row r="6096" spans="1:14" x14ac:dyDescent="0.3">
      <c r="A6096" s="42"/>
      <c r="C6096" s="52"/>
      <c r="D6096"/>
      <c r="E6096"/>
      <c r="F6096"/>
      <c r="N6096" s="44"/>
    </row>
    <row r="6097" spans="1:14" x14ac:dyDescent="0.3">
      <c r="A6097" s="42"/>
      <c r="C6097" s="52"/>
      <c r="D6097"/>
      <c r="E6097"/>
      <c r="F6097"/>
      <c r="N6097" s="44"/>
    </row>
    <row r="6098" spans="1:14" x14ac:dyDescent="0.3">
      <c r="A6098" s="42"/>
      <c r="C6098" s="52"/>
      <c r="D6098"/>
      <c r="E6098"/>
      <c r="F6098"/>
      <c r="N6098" s="44"/>
    </row>
    <row r="6099" spans="1:14" x14ac:dyDescent="0.3">
      <c r="A6099" s="42"/>
      <c r="C6099" s="52"/>
      <c r="D6099"/>
      <c r="E6099"/>
      <c r="F6099"/>
      <c r="N6099" s="44"/>
    </row>
    <row r="6100" spans="1:14" x14ac:dyDescent="0.3">
      <c r="A6100" s="42"/>
      <c r="C6100" s="52"/>
      <c r="D6100"/>
      <c r="E6100"/>
      <c r="F6100"/>
      <c r="N6100" s="44"/>
    </row>
    <row r="6101" spans="1:14" x14ac:dyDescent="0.3">
      <c r="A6101" s="42"/>
      <c r="C6101" s="52"/>
      <c r="D6101"/>
      <c r="E6101"/>
      <c r="F6101"/>
      <c r="N6101" s="44"/>
    </row>
    <row r="6102" spans="1:14" x14ac:dyDescent="0.3">
      <c r="A6102" s="42"/>
      <c r="C6102" s="52"/>
      <c r="D6102"/>
      <c r="E6102"/>
      <c r="F6102"/>
      <c r="N6102" s="44"/>
    </row>
    <row r="6103" spans="1:14" x14ac:dyDescent="0.3">
      <c r="A6103" s="42"/>
      <c r="C6103" s="52"/>
      <c r="D6103"/>
      <c r="E6103"/>
      <c r="F6103"/>
      <c r="N6103" s="44"/>
    </row>
    <row r="6104" spans="1:14" x14ac:dyDescent="0.3">
      <c r="A6104" s="42"/>
      <c r="C6104" s="52"/>
      <c r="D6104"/>
      <c r="E6104"/>
      <c r="F6104"/>
      <c r="N6104" s="44"/>
    </row>
    <row r="6105" spans="1:14" x14ac:dyDescent="0.3">
      <c r="A6105" s="42"/>
      <c r="C6105" s="52"/>
      <c r="D6105"/>
      <c r="E6105"/>
      <c r="F6105"/>
      <c r="N6105" s="44"/>
    </row>
    <row r="6106" spans="1:14" x14ac:dyDescent="0.3">
      <c r="A6106" s="42"/>
      <c r="C6106" s="52"/>
      <c r="D6106"/>
      <c r="E6106"/>
      <c r="F6106"/>
      <c r="N6106" s="44"/>
    </row>
    <row r="6107" spans="1:14" x14ac:dyDescent="0.3">
      <c r="A6107" s="42"/>
      <c r="C6107" s="52"/>
      <c r="D6107"/>
      <c r="E6107"/>
      <c r="F6107"/>
      <c r="N6107" s="44"/>
    </row>
    <row r="6108" spans="1:14" x14ac:dyDescent="0.3">
      <c r="A6108" s="42"/>
      <c r="C6108" s="52"/>
      <c r="D6108"/>
      <c r="E6108"/>
      <c r="F6108"/>
      <c r="N6108" s="44"/>
    </row>
    <row r="6109" spans="1:14" x14ac:dyDescent="0.3">
      <c r="A6109" s="42"/>
      <c r="C6109" s="52"/>
      <c r="D6109"/>
      <c r="E6109"/>
      <c r="F6109"/>
      <c r="N6109" s="44"/>
    </row>
    <row r="6110" spans="1:14" x14ac:dyDescent="0.3">
      <c r="A6110" s="42"/>
      <c r="C6110" s="52"/>
      <c r="D6110"/>
      <c r="E6110"/>
      <c r="F6110"/>
      <c r="N6110" s="44"/>
    </row>
    <row r="6111" spans="1:14" x14ac:dyDescent="0.3">
      <c r="A6111" s="42"/>
      <c r="C6111" s="52"/>
      <c r="D6111"/>
      <c r="E6111"/>
      <c r="F6111"/>
      <c r="N6111" s="44"/>
    </row>
    <row r="6112" spans="1:14" x14ac:dyDescent="0.3">
      <c r="A6112" s="42"/>
      <c r="C6112" s="52"/>
      <c r="D6112"/>
      <c r="E6112"/>
      <c r="F6112"/>
      <c r="N6112" s="44"/>
    </row>
    <row r="6113" spans="1:14" x14ac:dyDescent="0.3">
      <c r="A6113" s="42"/>
      <c r="C6113" s="52"/>
      <c r="D6113"/>
      <c r="E6113"/>
      <c r="F6113"/>
      <c r="N6113" s="44"/>
    </row>
    <row r="6114" spans="1:14" x14ac:dyDescent="0.3">
      <c r="A6114" s="42"/>
      <c r="C6114" s="52"/>
      <c r="D6114"/>
      <c r="E6114"/>
      <c r="F6114"/>
      <c r="N6114" s="44"/>
    </row>
    <row r="6115" spans="1:14" x14ac:dyDescent="0.3">
      <c r="A6115" s="42"/>
      <c r="C6115" s="52"/>
      <c r="D6115"/>
      <c r="E6115"/>
      <c r="F6115"/>
      <c r="N6115" s="44"/>
    </row>
    <row r="6116" spans="1:14" x14ac:dyDescent="0.3">
      <c r="A6116" s="42"/>
      <c r="C6116" s="52"/>
      <c r="D6116"/>
      <c r="E6116"/>
      <c r="F6116"/>
      <c r="N6116" s="44"/>
    </row>
    <row r="6117" spans="1:14" x14ac:dyDescent="0.3">
      <c r="A6117" s="42"/>
      <c r="C6117" s="52"/>
      <c r="D6117"/>
      <c r="E6117"/>
      <c r="F6117"/>
      <c r="N6117" s="44"/>
    </row>
    <row r="6118" spans="1:14" x14ac:dyDescent="0.3">
      <c r="A6118" s="42"/>
      <c r="C6118" s="52"/>
      <c r="D6118"/>
      <c r="E6118"/>
      <c r="F6118"/>
      <c r="N6118" s="44"/>
    </row>
    <row r="6119" spans="1:14" x14ac:dyDescent="0.3">
      <c r="A6119" s="42"/>
      <c r="C6119" s="52"/>
      <c r="D6119"/>
      <c r="E6119"/>
      <c r="F6119"/>
      <c r="N6119" s="44"/>
    </row>
    <row r="6120" spans="1:14" x14ac:dyDescent="0.3">
      <c r="A6120" s="42"/>
      <c r="C6120" s="52"/>
      <c r="D6120"/>
      <c r="E6120"/>
      <c r="F6120"/>
      <c r="N6120" s="44"/>
    </row>
    <row r="6121" spans="1:14" x14ac:dyDescent="0.3">
      <c r="A6121" s="42"/>
      <c r="C6121" s="52"/>
      <c r="D6121"/>
      <c r="E6121"/>
      <c r="F6121"/>
      <c r="N6121" s="44"/>
    </row>
    <row r="6122" spans="1:14" x14ac:dyDescent="0.3">
      <c r="A6122" s="42"/>
      <c r="C6122" s="52"/>
      <c r="D6122"/>
      <c r="E6122"/>
      <c r="F6122"/>
      <c r="N6122" s="44"/>
    </row>
    <row r="6123" spans="1:14" x14ac:dyDescent="0.3">
      <c r="A6123" s="42"/>
      <c r="C6123" s="52"/>
      <c r="D6123"/>
      <c r="E6123"/>
      <c r="F6123"/>
      <c r="N6123" s="44"/>
    </row>
    <row r="6124" spans="1:14" x14ac:dyDescent="0.3">
      <c r="A6124" s="42"/>
      <c r="C6124" s="52"/>
      <c r="D6124"/>
      <c r="E6124"/>
      <c r="F6124"/>
      <c r="N6124" s="44"/>
    </row>
    <row r="6125" spans="1:14" x14ac:dyDescent="0.3">
      <c r="A6125" s="42"/>
      <c r="C6125" s="52"/>
      <c r="D6125"/>
      <c r="E6125"/>
      <c r="F6125"/>
      <c r="N6125" s="44"/>
    </row>
    <row r="6126" spans="1:14" x14ac:dyDescent="0.3">
      <c r="A6126" s="42"/>
      <c r="C6126" s="52"/>
      <c r="D6126"/>
      <c r="E6126"/>
      <c r="F6126"/>
      <c r="N6126" s="44"/>
    </row>
    <row r="6127" spans="1:14" x14ac:dyDescent="0.3">
      <c r="A6127" s="42"/>
      <c r="C6127" s="52"/>
      <c r="D6127"/>
      <c r="E6127"/>
      <c r="F6127"/>
      <c r="N6127" s="44"/>
    </row>
    <row r="6128" spans="1:14" x14ac:dyDescent="0.3">
      <c r="A6128" s="42"/>
      <c r="C6128" s="52"/>
      <c r="D6128"/>
      <c r="E6128"/>
      <c r="F6128"/>
      <c r="N6128" s="44"/>
    </row>
    <row r="6129" spans="1:14" x14ac:dyDescent="0.3">
      <c r="A6129" s="42"/>
      <c r="C6129" s="52"/>
      <c r="D6129"/>
      <c r="E6129"/>
      <c r="F6129"/>
      <c r="N6129" s="44"/>
    </row>
    <row r="6130" spans="1:14" x14ac:dyDescent="0.3">
      <c r="A6130" s="42"/>
      <c r="C6130" s="52"/>
      <c r="D6130"/>
      <c r="E6130"/>
      <c r="F6130"/>
      <c r="N6130" s="44"/>
    </row>
    <row r="6131" spans="1:14" x14ac:dyDescent="0.3">
      <c r="A6131" s="42"/>
      <c r="C6131" s="52"/>
      <c r="D6131"/>
      <c r="E6131"/>
      <c r="F6131"/>
      <c r="N6131" s="44"/>
    </row>
    <row r="6132" spans="1:14" x14ac:dyDescent="0.3">
      <c r="A6132" s="42"/>
      <c r="C6132" s="52"/>
      <c r="D6132"/>
      <c r="E6132"/>
      <c r="F6132"/>
      <c r="N6132" s="44"/>
    </row>
    <row r="6133" spans="1:14" x14ac:dyDescent="0.3">
      <c r="A6133" s="42"/>
      <c r="C6133" s="52"/>
      <c r="D6133"/>
      <c r="E6133"/>
      <c r="F6133"/>
      <c r="N6133" s="44"/>
    </row>
    <row r="6134" spans="1:14" x14ac:dyDescent="0.3">
      <c r="A6134" s="42"/>
      <c r="C6134" s="52"/>
      <c r="D6134"/>
      <c r="E6134"/>
      <c r="F6134"/>
      <c r="N6134" s="44"/>
    </row>
    <row r="6135" spans="1:14" x14ac:dyDescent="0.3">
      <c r="A6135" s="42"/>
      <c r="C6135" s="52"/>
      <c r="D6135"/>
      <c r="E6135"/>
      <c r="F6135"/>
      <c r="N6135" s="44"/>
    </row>
    <row r="6136" spans="1:14" x14ac:dyDescent="0.3">
      <c r="A6136" s="42"/>
      <c r="C6136" s="52"/>
      <c r="D6136"/>
      <c r="E6136"/>
      <c r="F6136"/>
      <c r="N6136" s="44"/>
    </row>
    <row r="6137" spans="1:14" x14ac:dyDescent="0.3">
      <c r="A6137" s="42"/>
      <c r="C6137" s="52"/>
      <c r="D6137"/>
      <c r="E6137"/>
      <c r="F6137"/>
      <c r="N6137" s="44"/>
    </row>
    <row r="6138" spans="1:14" x14ac:dyDescent="0.3">
      <c r="A6138" s="42"/>
      <c r="C6138" s="52"/>
      <c r="D6138"/>
      <c r="E6138"/>
      <c r="F6138"/>
      <c r="N6138" s="44"/>
    </row>
    <row r="6139" spans="1:14" x14ac:dyDescent="0.3">
      <c r="A6139" s="42"/>
      <c r="C6139" s="52"/>
      <c r="D6139"/>
      <c r="E6139"/>
      <c r="F6139"/>
      <c r="N6139" s="44"/>
    </row>
    <row r="6140" spans="1:14" x14ac:dyDescent="0.3">
      <c r="A6140" s="42"/>
      <c r="C6140" s="52"/>
      <c r="D6140"/>
      <c r="E6140"/>
      <c r="F6140"/>
      <c r="N6140" s="44"/>
    </row>
    <row r="6141" spans="1:14" x14ac:dyDescent="0.3">
      <c r="A6141" s="42"/>
      <c r="C6141" s="52"/>
      <c r="D6141"/>
      <c r="E6141"/>
      <c r="F6141"/>
      <c r="N6141" s="44"/>
    </row>
    <row r="6142" spans="1:14" x14ac:dyDescent="0.3">
      <c r="A6142" s="42"/>
      <c r="C6142" s="52"/>
      <c r="D6142"/>
      <c r="E6142"/>
      <c r="F6142"/>
      <c r="N6142" s="44"/>
    </row>
    <row r="6143" spans="1:14" x14ac:dyDescent="0.3">
      <c r="A6143" s="42"/>
      <c r="C6143" s="52"/>
      <c r="D6143"/>
      <c r="E6143"/>
      <c r="F6143"/>
      <c r="N6143" s="44"/>
    </row>
    <row r="6144" spans="1:14" x14ac:dyDescent="0.3">
      <c r="A6144" s="42"/>
      <c r="C6144" s="52"/>
      <c r="D6144"/>
      <c r="E6144"/>
      <c r="F6144"/>
      <c r="N6144" s="44"/>
    </row>
    <row r="6145" spans="1:14" x14ac:dyDescent="0.3">
      <c r="A6145" s="42"/>
      <c r="C6145" s="52"/>
      <c r="D6145"/>
      <c r="E6145"/>
      <c r="F6145"/>
      <c r="N6145" s="44"/>
    </row>
    <row r="6146" spans="1:14" x14ac:dyDescent="0.3">
      <c r="A6146" s="42"/>
      <c r="C6146" s="52"/>
      <c r="D6146"/>
      <c r="E6146"/>
      <c r="F6146"/>
      <c r="N6146" s="44"/>
    </row>
    <row r="6147" spans="1:14" x14ac:dyDescent="0.3">
      <c r="A6147" s="42"/>
      <c r="C6147" s="52"/>
      <c r="D6147"/>
      <c r="E6147"/>
      <c r="F6147"/>
      <c r="N6147" s="44"/>
    </row>
    <row r="6148" spans="1:14" x14ac:dyDescent="0.3">
      <c r="A6148" s="42"/>
      <c r="C6148" s="52"/>
      <c r="D6148"/>
      <c r="E6148"/>
      <c r="F6148"/>
      <c r="N6148" s="44"/>
    </row>
    <row r="6149" spans="1:14" x14ac:dyDescent="0.3">
      <c r="A6149" s="42"/>
      <c r="C6149" s="52"/>
      <c r="D6149"/>
      <c r="E6149"/>
      <c r="F6149"/>
      <c r="N6149" s="44"/>
    </row>
    <row r="6150" spans="1:14" x14ac:dyDescent="0.3">
      <c r="A6150" s="42"/>
      <c r="C6150" s="52"/>
      <c r="D6150"/>
      <c r="E6150"/>
      <c r="F6150"/>
      <c r="N6150" s="44"/>
    </row>
    <row r="6151" spans="1:14" x14ac:dyDescent="0.3">
      <c r="A6151" s="42"/>
      <c r="C6151" s="52"/>
      <c r="D6151"/>
      <c r="E6151"/>
      <c r="F6151"/>
      <c r="N6151" s="44"/>
    </row>
    <row r="6152" spans="1:14" x14ac:dyDescent="0.3">
      <c r="A6152" s="42"/>
      <c r="C6152" s="52"/>
      <c r="D6152"/>
      <c r="E6152"/>
      <c r="F6152"/>
      <c r="N6152" s="44"/>
    </row>
    <row r="6153" spans="1:14" x14ac:dyDescent="0.3">
      <c r="A6153" s="42"/>
      <c r="C6153" s="52"/>
      <c r="D6153"/>
      <c r="E6153"/>
      <c r="F6153"/>
      <c r="N6153" s="44"/>
    </row>
    <row r="6154" spans="1:14" x14ac:dyDescent="0.3">
      <c r="A6154" s="42"/>
      <c r="C6154" s="52"/>
      <c r="D6154"/>
      <c r="E6154"/>
      <c r="F6154"/>
      <c r="N6154" s="44"/>
    </row>
    <row r="6155" spans="1:14" x14ac:dyDescent="0.3">
      <c r="A6155" s="42"/>
      <c r="C6155" s="52"/>
      <c r="D6155"/>
      <c r="E6155"/>
      <c r="F6155"/>
      <c r="N6155" s="44"/>
    </row>
    <row r="6156" spans="1:14" x14ac:dyDescent="0.3">
      <c r="A6156" s="42"/>
      <c r="C6156" s="52"/>
      <c r="D6156"/>
      <c r="E6156"/>
      <c r="F6156"/>
      <c r="N6156" s="44"/>
    </row>
    <row r="6157" spans="1:14" x14ac:dyDescent="0.3">
      <c r="A6157" s="42"/>
      <c r="C6157" s="52"/>
      <c r="D6157"/>
      <c r="E6157"/>
      <c r="F6157"/>
      <c r="N6157" s="44"/>
    </row>
    <row r="6158" spans="1:14" x14ac:dyDescent="0.3">
      <c r="A6158" s="42"/>
      <c r="C6158" s="52"/>
      <c r="D6158"/>
      <c r="E6158"/>
      <c r="F6158"/>
      <c r="N6158" s="44"/>
    </row>
    <row r="6159" spans="1:14" x14ac:dyDescent="0.3">
      <c r="A6159" s="42"/>
      <c r="C6159" s="52"/>
      <c r="D6159"/>
      <c r="E6159"/>
      <c r="F6159"/>
      <c r="N6159" s="44"/>
    </row>
    <row r="6160" spans="1:14" x14ac:dyDescent="0.3">
      <c r="A6160" s="42"/>
      <c r="C6160" s="52"/>
      <c r="D6160"/>
      <c r="E6160"/>
      <c r="F6160"/>
      <c r="N6160" s="44"/>
    </row>
    <row r="6161" spans="1:14" x14ac:dyDescent="0.3">
      <c r="A6161" s="42"/>
      <c r="C6161" s="52"/>
      <c r="D6161"/>
      <c r="E6161"/>
      <c r="F6161"/>
      <c r="N6161" s="44"/>
    </row>
    <row r="6162" spans="1:14" x14ac:dyDescent="0.3">
      <c r="A6162" s="42"/>
      <c r="C6162" s="52"/>
      <c r="D6162"/>
      <c r="E6162"/>
      <c r="F6162"/>
      <c r="N6162" s="44"/>
    </row>
    <row r="6163" spans="1:14" x14ac:dyDescent="0.3">
      <c r="A6163" s="42"/>
      <c r="C6163" s="52"/>
      <c r="D6163"/>
      <c r="E6163"/>
      <c r="F6163"/>
      <c r="N6163" s="44"/>
    </row>
    <row r="6164" spans="1:14" x14ac:dyDescent="0.3">
      <c r="A6164" s="42"/>
      <c r="C6164" s="52"/>
      <c r="D6164"/>
      <c r="E6164"/>
      <c r="F6164"/>
      <c r="N6164" s="44"/>
    </row>
    <row r="6165" spans="1:14" x14ac:dyDescent="0.3">
      <c r="A6165" s="42"/>
      <c r="C6165" s="52"/>
      <c r="D6165"/>
      <c r="E6165"/>
      <c r="F6165"/>
      <c r="N6165" s="44"/>
    </row>
    <row r="6166" spans="1:14" x14ac:dyDescent="0.3">
      <c r="A6166" s="42"/>
      <c r="C6166" s="52"/>
      <c r="D6166"/>
      <c r="E6166"/>
      <c r="F6166"/>
      <c r="N6166" s="44"/>
    </row>
    <row r="6167" spans="1:14" x14ac:dyDescent="0.3">
      <c r="A6167" s="42"/>
      <c r="C6167" s="52"/>
      <c r="D6167"/>
      <c r="E6167"/>
      <c r="F6167"/>
      <c r="N6167" s="44"/>
    </row>
    <row r="6168" spans="1:14" x14ac:dyDescent="0.3">
      <c r="A6168" s="42"/>
      <c r="C6168" s="52"/>
      <c r="D6168"/>
      <c r="E6168"/>
      <c r="F6168"/>
      <c r="N6168" s="44"/>
    </row>
    <row r="6169" spans="1:14" x14ac:dyDescent="0.3">
      <c r="A6169" s="42"/>
      <c r="C6169" s="52"/>
      <c r="D6169"/>
      <c r="E6169"/>
      <c r="F6169"/>
      <c r="N6169" s="44"/>
    </row>
    <row r="6170" spans="1:14" x14ac:dyDescent="0.3">
      <c r="A6170" s="42"/>
      <c r="C6170" s="52"/>
      <c r="D6170"/>
      <c r="E6170"/>
      <c r="F6170"/>
      <c r="N6170" s="44"/>
    </row>
    <row r="6171" spans="1:14" x14ac:dyDescent="0.3">
      <c r="A6171" s="42"/>
      <c r="C6171" s="52"/>
      <c r="D6171"/>
      <c r="E6171"/>
      <c r="F6171"/>
      <c r="N6171" s="44"/>
    </row>
    <row r="6172" spans="1:14" x14ac:dyDescent="0.3">
      <c r="A6172" s="42"/>
      <c r="C6172" s="52"/>
      <c r="D6172"/>
      <c r="E6172"/>
      <c r="F6172"/>
      <c r="N6172" s="44"/>
    </row>
    <row r="6173" spans="1:14" x14ac:dyDescent="0.3">
      <c r="A6173" s="42"/>
      <c r="C6173" s="52"/>
      <c r="D6173"/>
      <c r="E6173"/>
      <c r="F6173"/>
      <c r="N6173" s="44"/>
    </row>
    <row r="6174" spans="1:14" x14ac:dyDescent="0.3">
      <c r="A6174" s="42"/>
      <c r="C6174" s="52"/>
      <c r="D6174"/>
      <c r="E6174"/>
      <c r="F6174"/>
      <c r="N6174" s="44"/>
    </row>
    <row r="6175" spans="1:14" x14ac:dyDescent="0.3">
      <c r="A6175" s="42"/>
      <c r="C6175" s="52"/>
      <c r="D6175"/>
      <c r="E6175"/>
      <c r="F6175"/>
      <c r="N6175" s="44"/>
    </row>
    <row r="6176" spans="1:14" x14ac:dyDescent="0.3">
      <c r="A6176" s="42"/>
      <c r="C6176" s="52"/>
      <c r="D6176"/>
      <c r="E6176"/>
      <c r="F6176"/>
      <c r="N6176" s="44"/>
    </row>
    <row r="6177" spans="1:14" x14ac:dyDescent="0.3">
      <c r="A6177" s="42"/>
      <c r="C6177" s="52"/>
      <c r="D6177"/>
      <c r="E6177"/>
      <c r="F6177"/>
      <c r="N6177" s="44"/>
    </row>
    <row r="6178" spans="1:14" x14ac:dyDescent="0.3">
      <c r="A6178" s="42"/>
      <c r="C6178" s="52"/>
      <c r="D6178"/>
      <c r="E6178"/>
      <c r="F6178"/>
      <c r="N6178" s="44"/>
    </row>
    <row r="6179" spans="1:14" x14ac:dyDescent="0.3">
      <c r="A6179" s="42"/>
      <c r="C6179" s="52"/>
      <c r="D6179"/>
      <c r="E6179"/>
      <c r="F6179"/>
      <c r="N6179" s="44"/>
    </row>
    <row r="6180" spans="1:14" x14ac:dyDescent="0.3">
      <c r="A6180" s="42"/>
      <c r="C6180" s="52"/>
      <c r="D6180"/>
      <c r="E6180"/>
      <c r="F6180"/>
      <c r="N6180" s="44"/>
    </row>
    <row r="6181" spans="1:14" x14ac:dyDescent="0.3">
      <c r="A6181" s="42"/>
      <c r="C6181" s="52"/>
      <c r="D6181"/>
      <c r="E6181"/>
      <c r="F6181"/>
      <c r="N6181" s="44"/>
    </row>
    <row r="6182" spans="1:14" x14ac:dyDescent="0.3">
      <c r="A6182" s="42"/>
      <c r="C6182" s="52"/>
      <c r="D6182"/>
      <c r="E6182"/>
      <c r="F6182"/>
      <c r="N6182" s="44"/>
    </row>
    <row r="6183" spans="1:14" x14ac:dyDescent="0.3">
      <c r="A6183" s="42"/>
      <c r="C6183" s="52"/>
      <c r="D6183"/>
      <c r="E6183"/>
      <c r="F6183"/>
      <c r="N6183" s="44"/>
    </row>
    <row r="6184" spans="1:14" x14ac:dyDescent="0.3">
      <c r="A6184" s="42"/>
      <c r="C6184" s="52"/>
      <c r="D6184"/>
      <c r="E6184"/>
      <c r="F6184"/>
      <c r="N6184" s="44"/>
    </row>
    <row r="6185" spans="1:14" x14ac:dyDescent="0.3">
      <c r="A6185" s="42"/>
      <c r="C6185" s="52"/>
      <c r="D6185"/>
      <c r="E6185"/>
      <c r="F6185"/>
      <c r="N6185" s="44"/>
    </row>
    <row r="6186" spans="1:14" x14ac:dyDescent="0.3">
      <c r="A6186" s="42"/>
      <c r="C6186" s="52"/>
      <c r="D6186"/>
      <c r="E6186"/>
      <c r="F6186"/>
      <c r="N6186" s="44"/>
    </row>
    <row r="6187" spans="1:14" x14ac:dyDescent="0.3">
      <c r="A6187" s="42"/>
      <c r="C6187" s="52"/>
      <c r="D6187"/>
      <c r="E6187"/>
      <c r="F6187"/>
      <c r="N6187" s="44"/>
    </row>
    <row r="6188" spans="1:14" x14ac:dyDescent="0.3">
      <c r="A6188" s="42"/>
      <c r="C6188" s="52"/>
      <c r="D6188"/>
      <c r="E6188"/>
      <c r="F6188"/>
      <c r="N6188" s="44"/>
    </row>
    <row r="6189" spans="1:14" x14ac:dyDescent="0.3">
      <c r="A6189" s="42"/>
      <c r="C6189" s="52"/>
      <c r="D6189"/>
      <c r="E6189"/>
      <c r="F6189"/>
      <c r="N6189" s="44"/>
    </row>
    <row r="6190" spans="1:14" x14ac:dyDescent="0.3">
      <c r="A6190" s="42"/>
      <c r="C6190" s="52"/>
      <c r="D6190"/>
      <c r="E6190"/>
      <c r="F6190"/>
      <c r="N6190" s="44"/>
    </row>
    <row r="6191" spans="1:14" x14ac:dyDescent="0.3">
      <c r="A6191" s="42"/>
      <c r="C6191" s="52"/>
      <c r="D6191"/>
      <c r="E6191"/>
      <c r="F6191"/>
      <c r="N6191" s="44"/>
    </row>
    <row r="6192" spans="1:14" x14ac:dyDescent="0.3">
      <c r="A6192" s="42"/>
      <c r="C6192" s="52"/>
      <c r="D6192"/>
      <c r="E6192"/>
      <c r="F6192"/>
      <c r="N6192" s="44"/>
    </row>
    <row r="6193" spans="1:14" x14ac:dyDescent="0.3">
      <c r="A6193" s="42"/>
      <c r="C6193" s="52"/>
      <c r="D6193"/>
      <c r="E6193"/>
      <c r="F6193"/>
      <c r="N6193" s="44"/>
    </row>
    <row r="6194" spans="1:14" x14ac:dyDescent="0.3">
      <c r="A6194" s="42"/>
      <c r="C6194" s="52"/>
      <c r="D6194"/>
      <c r="E6194"/>
      <c r="F6194"/>
      <c r="N6194" s="44"/>
    </row>
    <row r="6195" spans="1:14" x14ac:dyDescent="0.3">
      <c r="A6195" s="42"/>
      <c r="C6195" s="52"/>
      <c r="D6195"/>
      <c r="E6195"/>
      <c r="F6195"/>
      <c r="N6195" s="44"/>
    </row>
    <row r="6196" spans="1:14" x14ac:dyDescent="0.3">
      <c r="A6196" s="42"/>
      <c r="C6196" s="52"/>
      <c r="D6196"/>
      <c r="E6196"/>
      <c r="F6196"/>
      <c r="N6196" s="44"/>
    </row>
    <row r="6197" spans="1:14" x14ac:dyDescent="0.3">
      <c r="A6197" s="42"/>
      <c r="C6197" s="52"/>
      <c r="D6197"/>
      <c r="E6197"/>
      <c r="F6197"/>
      <c r="N6197" s="44"/>
    </row>
    <row r="6198" spans="1:14" x14ac:dyDescent="0.3">
      <c r="A6198" s="42"/>
      <c r="C6198" s="52"/>
      <c r="D6198"/>
      <c r="E6198"/>
      <c r="F6198"/>
      <c r="N6198" s="44"/>
    </row>
    <row r="6199" spans="1:14" x14ac:dyDescent="0.3">
      <c r="A6199" s="42"/>
      <c r="C6199" s="52"/>
      <c r="D6199"/>
      <c r="E6199"/>
      <c r="F6199"/>
      <c r="N6199" s="44"/>
    </row>
    <row r="6200" spans="1:14" x14ac:dyDescent="0.3">
      <c r="A6200" s="42"/>
      <c r="C6200" s="52"/>
      <c r="D6200"/>
      <c r="E6200"/>
      <c r="F6200"/>
      <c r="N6200" s="44"/>
    </row>
    <row r="6201" spans="1:14" x14ac:dyDescent="0.3">
      <c r="A6201" s="42"/>
      <c r="C6201" s="52"/>
      <c r="D6201"/>
      <c r="E6201"/>
      <c r="F6201"/>
      <c r="N6201" s="44"/>
    </row>
    <row r="6202" spans="1:14" x14ac:dyDescent="0.3">
      <c r="A6202" s="42"/>
      <c r="C6202" s="52"/>
      <c r="D6202"/>
      <c r="E6202"/>
      <c r="F6202"/>
      <c r="N6202" s="44"/>
    </row>
    <row r="6203" spans="1:14" x14ac:dyDescent="0.3">
      <c r="A6203" s="42"/>
      <c r="C6203" s="52"/>
      <c r="D6203"/>
      <c r="E6203"/>
      <c r="F6203"/>
      <c r="N6203" s="44"/>
    </row>
    <row r="6204" spans="1:14" x14ac:dyDescent="0.3">
      <c r="A6204" s="42"/>
      <c r="C6204" s="52"/>
      <c r="D6204"/>
      <c r="E6204"/>
      <c r="F6204"/>
      <c r="N6204" s="44"/>
    </row>
    <row r="6205" spans="1:14" x14ac:dyDescent="0.3">
      <c r="A6205" s="42"/>
      <c r="C6205" s="52"/>
      <c r="D6205"/>
      <c r="E6205"/>
      <c r="F6205"/>
      <c r="N6205" s="44"/>
    </row>
    <row r="6206" spans="1:14" x14ac:dyDescent="0.3">
      <c r="A6206" s="42"/>
      <c r="C6206" s="52"/>
      <c r="D6206"/>
      <c r="E6206"/>
      <c r="F6206"/>
      <c r="N6206" s="44"/>
    </row>
    <row r="6207" spans="1:14" x14ac:dyDescent="0.3">
      <c r="A6207" s="42"/>
      <c r="C6207" s="52"/>
      <c r="D6207"/>
      <c r="E6207"/>
      <c r="F6207"/>
      <c r="N6207" s="44"/>
    </row>
    <row r="6208" spans="1:14" x14ac:dyDescent="0.3">
      <c r="A6208" s="42"/>
      <c r="C6208" s="52"/>
      <c r="D6208"/>
      <c r="E6208"/>
      <c r="F6208"/>
      <c r="N6208" s="44"/>
    </row>
    <row r="6209" spans="1:14" x14ac:dyDescent="0.3">
      <c r="A6209" s="42"/>
      <c r="C6209" s="52"/>
      <c r="D6209"/>
      <c r="E6209"/>
      <c r="F6209"/>
      <c r="N6209" s="44"/>
    </row>
    <row r="6210" spans="1:14" x14ac:dyDescent="0.3">
      <c r="A6210" s="42"/>
      <c r="C6210" s="52"/>
      <c r="D6210"/>
      <c r="E6210"/>
      <c r="F6210"/>
      <c r="N6210" s="44"/>
    </row>
    <row r="6211" spans="1:14" x14ac:dyDescent="0.3">
      <c r="A6211" s="42"/>
      <c r="C6211" s="52"/>
      <c r="D6211"/>
      <c r="E6211"/>
      <c r="F6211"/>
      <c r="N6211" s="44"/>
    </row>
    <row r="6212" spans="1:14" x14ac:dyDescent="0.3">
      <c r="A6212" s="42"/>
      <c r="C6212" s="52"/>
      <c r="D6212"/>
      <c r="E6212"/>
      <c r="F6212"/>
      <c r="N6212" s="44"/>
    </row>
    <row r="6213" spans="1:14" x14ac:dyDescent="0.3">
      <c r="A6213" s="42"/>
      <c r="C6213" s="52"/>
      <c r="D6213"/>
      <c r="E6213"/>
      <c r="F6213"/>
      <c r="N6213" s="44"/>
    </row>
    <row r="6214" spans="1:14" x14ac:dyDescent="0.3">
      <c r="A6214" s="42"/>
      <c r="C6214" s="52"/>
      <c r="D6214"/>
      <c r="E6214"/>
      <c r="F6214"/>
      <c r="N6214" s="44"/>
    </row>
    <row r="6215" spans="1:14" x14ac:dyDescent="0.3">
      <c r="A6215" s="42"/>
      <c r="C6215" s="52"/>
      <c r="D6215"/>
      <c r="E6215"/>
      <c r="F6215"/>
      <c r="N6215" s="44"/>
    </row>
    <row r="6216" spans="1:14" x14ac:dyDescent="0.3">
      <c r="A6216" s="42"/>
      <c r="C6216" s="52"/>
      <c r="D6216"/>
      <c r="E6216"/>
      <c r="F6216"/>
      <c r="N6216" s="44"/>
    </row>
    <row r="6217" spans="1:14" x14ac:dyDescent="0.3">
      <c r="A6217" s="42"/>
      <c r="C6217" s="52"/>
      <c r="D6217"/>
      <c r="E6217"/>
      <c r="F6217"/>
      <c r="N6217" s="44"/>
    </row>
    <row r="6218" spans="1:14" x14ac:dyDescent="0.3">
      <c r="A6218" s="42"/>
      <c r="C6218" s="52"/>
      <c r="D6218"/>
      <c r="E6218"/>
      <c r="F6218"/>
      <c r="N6218" s="44"/>
    </row>
    <row r="6219" spans="1:14" x14ac:dyDescent="0.3">
      <c r="A6219" s="42"/>
      <c r="C6219" s="52"/>
      <c r="D6219"/>
      <c r="E6219"/>
      <c r="F6219"/>
      <c r="N6219" s="44"/>
    </row>
    <row r="6220" spans="1:14" x14ac:dyDescent="0.3">
      <c r="A6220" s="42"/>
      <c r="C6220" s="52"/>
      <c r="D6220"/>
      <c r="E6220"/>
      <c r="F6220"/>
      <c r="N6220" s="44"/>
    </row>
    <row r="6221" spans="1:14" x14ac:dyDescent="0.3">
      <c r="A6221" s="42"/>
      <c r="C6221" s="52"/>
      <c r="D6221"/>
      <c r="E6221"/>
      <c r="F6221"/>
      <c r="N6221" s="44"/>
    </row>
    <row r="6222" spans="1:14" x14ac:dyDescent="0.3">
      <c r="A6222" s="42"/>
      <c r="C6222" s="52"/>
      <c r="D6222"/>
      <c r="E6222"/>
      <c r="F6222"/>
      <c r="N6222" s="44"/>
    </row>
    <row r="6223" spans="1:14" x14ac:dyDescent="0.3">
      <c r="A6223" s="42"/>
      <c r="C6223" s="52"/>
      <c r="D6223"/>
      <c r="E6223"/>
      <c r="F6223"/>
      <c r="N6223" s="44"/>
    </row>
    <row r="6224" spans="1:14" x14ac:dyDescent="0.3">
      <c r="A6224" s="42"/>
      <c r="C6224" s="52"/>
      <c r="D6224"/>
      <c r="E6224"/>
      <c r="F6224"/>
      <c r="N6224" s="44"/>
    </row>
    <row r="6225" spans="1:14" x14ac:dyDescent="0.3">
      <c r="A6225" s="42"/>
      <c r="C6225" s="52"/>
      <c r="D6225"/>
      <c r="E6225"/>
      <c r="F6225"/>
      <c r="N6225" s="44"/>
    </row>
    <row r="6226" spans="1:14" x14ac:dyDescent="0.3">
      <c r="A6226" s="42"/>
      <c r="C6226" s="52"/>
      <c r="D6226"/>
      <c r="E6226"/>
      <c r="F6226"/>
      <c r="N6226" s="44"/>
    </row>
    <row r="6227" spans="1:14" x14ac:dyDescent="0.3">
      <c r="A6227" s="42"/>
      <c r="C6227" s="52"/>
      <c r="D6227"/>
      <c r="E6227"/>
      <c r="F6227"/>
      <c r="N6227" s="44"/>
    </row>
    <row r="6228" spans="1:14" x14ac:dyDescent="0.3">
      <c r="A6228" s="42"/>
      <c r="C6228" s="52"/>
      <c r="D6228"/>
      <c r="E6228"/>
      <c r="F6228"/>
      <c r="N6228" s="44"/>
    </row>
    <row r="6229" spans="1:14" x14ac:dyDescent="0.3">
      <c r="A6229" s="42"/>
      <c r="C6229" s="52"/>
      <c r="D6229"/>
      <c r="E6229"/>
      <c r="F6229"/>
      <c r="N6229" s="44"/>
    </row>
    <row r="6230" spans="1:14" x14ac:dyDescent="0.3">
      <c r="A6230" s="42"/>
      <c r="C6230" s="52"/>
      <c r="D6230"/>
      <c r="E6230"/>
      <c r="F6230"/>
      <c r="N6230" s="44"/>
    </row>
    <row r="6231" spans="1:14" x14ac:dyDescent="0.3">
      <c r="A6231" s="42"/>
      <c r="C6231" s="52"/>
      <c r="D6231"/>
      <c r="E6231"/>
      <c r="F6231"/>
      <c r="N6231" s="44"/>
    </row>
    <row r="6232" spans="1:14" x14ac:dyDescent="0.3">
      <c r="A6232" s="42"/>
      <c r="C6232" s="52"/>
      <c r="D6232"/>
      <c r="E6232"/>
      <c r="F6232"/>
      <c r="N6232" s="44"/>
    </row>
    <row r="6233" spans="1:14" x14ac:dyDescent="0.3">
      <c r="A6233" s="42"/>
      <c r="C6233" s="52"/>
      <c r="D6233"/>
      <c r="E6233"/>
      <c r="F6233"/>
      <c r="N6233" s="44"/>
    </row>
    <row r="6234" spans="1:14" x14ac:dyDescent="0.3">
      <c r="A6234" s="42"/>
      <c r="C6234" s="52"/>
      <c r="D6234"/>
      <c r="E6234"/>
      <c r="F6234"/>
      <c r="N6234" s="44"/>
    </row>
    <row r="6235" spans="1:14" x14ac:dyDescent="0.3">
      <c r="A6235" s="42"/>
      <c r="C6235" s="52"/>
      <c r="D6235"/>
      <c r="E6235"/>
      <c r="F6235"/>
      <c r="N6235" s="44"/>
    </row>
    <row r="6236" spans="1:14" x14ac:dyDescent="0.3">
      <c r="A6236" s="42"/>
      <c r="C6236" s="52"/>
      <c r="D6236"/>
      <c r="E6236"/>
      <c r="F6236"/>
      <c r="N6236" s="44"/>
    </row>
    <row r="6237" spans="1:14" x14ac:dyDescent="0.3">
      <c r="A6237" s="42"/>
      <c r="C6237" s="52"/>
      <c r="D6237"/>
      <c r="E6237"/>
      <c r="F6237"/>
      <c r="N6237" s="44"/>
    </row>
    <row r="6238" spans="1:14" x14ac:dyDescent="0.3">
      <c r="A6238" s="42"/>
      <c r="C6238" s="52"/>
      <c r="D6238"/>
      <c r="E6238"/>
      <c r="F6238"/>
      <c r="N6238" s="44"/>
    </row>
    <row r="6239" spans="1:14" x14ac:dyDescent="0.3">
      <c r="A6239" s="42"/>
      <c r="C6239" s="52"/>
      <c r="D6239"/>
      <c r="E6239"/>
      <c r="F6239"/>
      <c r="N6239" s="44"/>
    </row>
    <row r="6240" spans="1:14" x14ac:dyDescent="0.3">
      <c r="A6240" s="42"/>
      <c r="C6240" s="52"/>
      <c r="D6240"/>
      <c r="E6240"/>
      <c r="F6240"/>
      <c r="N6240" s="44"/>
    </row>
    <row r="6241" spans="1:14" x14ac:dyDescent="0.3">
      <c r="A6241" s="42"/>
      <c r="C6241" s="52"/>
      <c r="D6241"/>
      <c r="E6241"/>
      <c r="F6241"/>
      <c r="N6241" s="44"/>
    </row>
    <row r="6242" spans="1:14" x14ac:dyDescent="0.3">
      <c r="A6242" s="42"/>
      <c r="C6242" s="52"/>
      <c r="D6242"/>
      <c r="E6242"/>
      <c r="F6242"/>
      <c r="N6242" s="44"/>
    </row>
    <row r="6243" spans="1:14" x14ac:dyDescent="0.3">
      <c r="A6243" s="42"/>
      <c r="C6243" s="52"/>
      <c r="D6243"/>
      <c r="E6243"/>
      <c r="F6243"/>
      <c r="N6243" s="44"/>
    </row>
    <row r="6244" spans="1:14" x14ac:dyDescent="0.3">
      <c r="A6244" s="42"/>
      <c r="C6244" s="52"/>
      <c r="D6244"/>
      <c r="E6244"/>
      <c r="F6244"/>
      <c r="N6244" s="44"/>
    </row>
    <row r="6245" spans="1:14" x14ac:dyDescent="0.3">
      <c r="A6245" s="42"/>
      <c r="C6245" s="52"/>
      <c r="D6245"/>
      <c r="E6245"/>
      <c r="F6245"/>
      <c r="N6245" s="44"/>
    </row>
    <row r="6246" spans="1:14" x14ac:dyDescent="0.3">
      <c r="A6246" s="42"/>
      <c r="C6246" s="52"/>
      <c r="D6246"/>
      <c r="E6246"/>
      <c r="F6246"/>
      <c r="N6246" s="44"/>
    </row>
    <row r="6247" spans="1:14" x14ac:dyDescent="0.3">
      <c r="A6247" s="42"/>
      <c r="C6247" s="52"/>
      <c r="D6247"/>
      <c r="E6247"/>
      <c r="F6247"/>
      <c r="N6247" s="44"/>
    </row>
    <row r="6248" spans="1:14" x14ac:dyDescent="0.3">
      <c r="A6248" s="42"/>
      <c r="C6248" s="52"/>
      <c r="D6248"/>
      <c r="E6248"/>
      <c r="F6248"/>
      <c r="N6248" s="44"/>
    </row>
    <row r="6249" spans="1:14" x14ac:dyDescent="0.3">
      <c r="A6249" s="42"/>
      <c r="C6249" s="52"/>
      <c r="D6249"/>
      <c r="E6249"/>
      <c r="F6249"/>
      <c r="N6249" s="44"/>
    </row>
    <row r="6250" spans="1:14" x14ac:dyDescent="0.3">
      <c r="A6250" s="42"/>
      <c r="C6250" s="52"/>
      <c r="D6250"/>
      <c r="E6250"/>
      <c r="F6250"/>
      <c r="N6250" s="44"/>
    </row>
    <row r="6251" spans="1:14" x14ac:dyDescent="0.3">
      <c r="A6251" s="42"/>
      <c r="C6251" s="52"/>
      <c r="D6251"/>
      <c r="E6251"/>
      <c r="F6251"/>
      <c r="N6251" s="44"/>
    </row>
    <row r="6252" spans="1:14" x14ac:dyDescent="0.3">
      <c r="A6252" s="42"/>
      <c r="C6252" s="52"/>
      <c r="D6252"/>
      <c r="E6252"/>
      <c r="F6252"/>
      <c r="N6252" s="44"/>
    </row>
    <row r="6253" spans="1:14" x14ac:dyDescent="0.3">
      <c r="A6253" s="42"/>
      <c r="C6253" s="52"/>
      <c r="D6253"/>
      <c r="E6253"/>
      <c r="F6253"/>
      <c r="N6253" s="44"/>
    </row>
    <row r="6254" spans="1:14" x14ac:dyDescent="0.3">
      <c r="A6254" s="42"/>
      <c r="C6254" s="52"/>
      <c r="D6254"/>
      <c r="E6254"/>
      <c r="F6254"/>
      <c r="N6254" s="44"/>
    </row>
    <row r="6255" spans="1:14" x14ac:dyDescent="0.3">
      <c r="A6255" s="42"/>
      <c r="C6255" s="52"/>
      <c r="D6255"/>
      <c r="E6255"/>
      <c r="F6255"/>
      <c r="N6255" s="44"/>
    </row>
    <row r="6256" spans="1:14" x14ac:dyDescent="0.3">
      <c r="A6256" s="42"/>
      <c r="C6256" s="52"/>
      <c r="D6256"/>
      <c r="E6256"/>
      <c r="F6256"/>
      <c r="N6256" s="44"/>
    </row>
    <row r="6257" spans="1:14" x14ac:dyDescent="0.3">
      <c r="A6257" s="42"/>
      <c r="C6257" s="52"/>
      <c r="D6257"/>
      <c r="E6257"/>
      <c r="F6257"/>
      <c r="N6257" s="44"/>
    </row>
    <row r="6258" spans="1:14" x14ac:dyDescent="0.3">
      <c r="A6258" s="42"/>
      <c r="C6258" s="52"/>
      <c r="D6258"/>
      <c r="E6258"/>
      <c r="F6258"/>
      <c r="N6258" s="44"/>
    </row>
    <row r="6259" spans="1:14" x14ac:dyDescent="0.3">
      <c r="A6259" s="42"/>
      <c r="C6259" s="52"/>
      <c r="D6259"/>
      <c r="E6259"/>
      <c r="F6259"/>
      <c r="N6259" s="44"/>
    </row>
    <row r="6260" spans="1:14" x14ac:dyDescent="0.3">
      <c r="A6260" s="42"/>
      <c r="C6260" s="52"/>
      <c r="D6260"/>
      <c r="E6260"/>
      <c r="F6260"/>
      <c r="N6260" s="44"/>
    </row>
    <row r="6261" spans="1:14" x14ac:dyDescent="0.3">
      <c r="A6261" s="42"/>
      <c r="C6261" s="52"/>
      <c r="D6261"/>
      <c r="E6261"/>
      <c r="F6261"/>
      <c r="N6261" s="44"/>
    </row>
    <row r="6262" spans="1:14" x14ac:dyDescent="0.3">
      <c r="A6262" s="42"/>
      <c r="C6262" s="52"/>
      <c r="D6262"/>
      <c r="E6262"/>
      <c r="F6262"/>
      <c r="N6262" s="44"/>
    </row>
    <row r="6263" spans="1:14" x14ac:dyDescent="0.3">
      <c r="A6263" s="42"/>
      <c r="C6263" s="52"/>
      <c r="D6263"/>
      <c r="E6263"/>
      <c r="F6263"/>
      <c r="N6263" s="44"/>
    </row>
    <row r="6264" spans="1:14" x14ac:dyDescent="0.3">
      <c r="A6264" s="42"/>
      <c r="C6264" s="52"/>
      <c r="D6264"/>
      <c r="E6264"/>
      <c r="F6264"/>
      <c r="N6264" s="44"/>
    </row>
    <row r="6265" spans="1:14" x14ac:dyDescent="0.3">
      <c r="A6265" s="42"/>
      <c r="C6265" s="52"/>
      <c r="D6265"/>
      <c r="E6265"/>
      <c r="F6265"/>
      <c r="N6265" s="44"/>
    </row>
    <row r="6266" spans="1:14" x14ac:dyDescent="0.3">
      <c r="A6266" s="42"/>
      <c r="C6266" s="52"/>
      <c r="D6266"/>
      <c r="E6266"/>
      <c r="F6266"/>
      <c r="N6266" s="44"/>
    </row>
    <row r="6267" spans="1:14" x14ac:dyDescent="0.3">
      <c r="A6267" s="42"/>
      <c r="C6267" s="52"/>
      <c r="D6267"/>
      <c r="E6267"/>
      <c r="F6267"/>
      <c r="N6267" s="44"/>
    </row>
    <row r="6268" spans="1:14" x14ac:dyDescent="0.3">
      <c r="A6268" s="42"/>
      <c r="C6268" s="52"/>
      <c r="D6268"/>
      <c r="E6268"/>
      <c r="F6268"/>
      <c r="N6268" s="44"/>
    </row>
    <row r="6269" spans="1:14" x14ac:dyDescent="0.3">
      <c r="A6269" s="42"/>
      <c r="C6269" s="52"/>
      <c r="D6269"/>
      <c r="E6269"/>
      <c r="F6269"/>
      <c r="N6269" s="44"/>
    </row>
    <row r="6270" spans="1:14" x14ac:dyDescent="0.3">
      <c r="A6270" s="42"/>
      <c r="C6270" s="52"/>
      <c r="D6270"/>
      <c r="E6270"/>
      <c r="F6270"/>
      <c r="N6270" s="44"/>
    </row>
    <row r="6271" spans="1:14" x14ac:dyDescent="0.3">
      <c r="A6271" s="42"/>
      <c r="C6271" s="52"/>
      <c r="D6271"/>
      <c r="E6271"/>
      <c r="F6271"/>
      <c r="N6271" s="44"/>
    </row>
    <row r="6272" spans="1:14" x14ac:dyDescent="0.3">
      <c r="A6272" s="42"/>
      <c r="C6272" s="52"/>
      <c r="D6272"/>
      <c r="E6272"/>
      <c r="F6272"/>
      <c r="N6272" s="44"/>
    </row>
    <row r="6273" spans="1:14" x14ac:dyDescent="0.3">
      <c r="A6273" s="42"/>
      <c r="C6273" s="52"/>
      <c r="D6273"/>
      <c r="E6273"/>
      <c r="F6273"/>
      <c r="N6273" s="44"/>
    </row>
    <row r="6274" spans="1:14" x14ac:dyDescent="0.3">
      <c r="A6274" s="42"/>
      <c r="C6274" s="52"/>
      <c r="D6274"/>
      <c r="E6274"/>
      <c r="F6274"/>
      <c r="N6274" s="44"/>
    </row>
    <row r="6275" spans="1:14" x14ac:dyDescent="0.3">
      <c r="A6275" s="42"/>
      <c r="C6275" s="52"/>
      <c r="D6275"/>
      <c r="E6275"/>
      <c r="F6275"/>
      <c r="N6275" s="44"/>
    </row>
    <row r="6276" spans="1:14" x14ac:dyDescent="0.3">
      <c r="A6276" s="42"/>
      <c r="C6276" s="52"/>
      <c r="D6276"/>
      <c r="E6276"/>
      <c r="F6276"/>
      <c r="N6276" s="44"/>
    </row>
    <row r="6277" spans="1:14" x14ac:dyDescent="0.3">
      <c r="A6277" s="42"/>
      <c r="C6277" s="52"/>
      <c r="D6277"/>
      <c r="E6277"/>
      <c r="F6277"/>
      <c r="N6277" s="44"/>
    </row>
    <row r="6278" spans="1:14" x14ac:dyDescent="0.3">
      <c r="A6278" s="42"/>
      <c r="C6278" s="52"/>
      <c r="D6278"/>
      <c r="E6278"/>
      <c r="F6278"/>
      <c r="N6278" s="44"/>
    </row>
    <row r="6279" spans="1:14" x14ac:dyDescent="0.3">
      <c r="A6279" s="42"/>
      <c r="C6279" s="52"/>
      <c r="D6279"/>
      <c r="E6279"/>
      <c r="F6279"/>
      <c r="N6279" s="44"/>
    </row>
    <row r="6280" spans="1:14" x14ac:dyDescent="0.3">
      <c r="A6280" s="42"/>
      <c r="C6280" s="52"/>
      <c r="D6280"/>
      <c r="E6280"/>
      <c r="F6280"/>
      <c r="N6280" s="44"/>
    </row>
    <row r="6281" spans="1:14" x14ac:dyDescent="0.3">
      <c r="A6281" s="42"/>
      <c r="C6281" s="52"/>
      <c r="D6281"/>
      <c r="E6281"/>
      <c r="F6281"/>
      <c r="N6281" s="44"/>
    </row>
    <row r="6282" spans="1:14" x14ac:dyDescent="0.3">
      <c r="A6282" s="42"/>
      <c r="C6282" s="52"/>
      <c r="D6282"/>
      <c r="E6282"/>
      <c r="F6282"/>
      <c r="N6282" s="44"/>
    </row>
    <row r="6283" spans="1:14" x14ac:dyDescent="0.3">
      <c r="A6283" s="42"/>
      <c r="C6283" s="52"/>
      <c r="D6283"/>
      <c r="E6283"/>
      <c r="F6283"/>
      <c r="N6283" s="44"/>
    </row>
    <row r="6284" spans="1:14" x14ac:dyDescent="0.3">
      <c r="A6284" s="42"/>
      <c r="C6284" s="52"/>
      <c r="D6284"/>
      <c r="E6284"/>
      <c r="F6284"/>
      <c r="N6284" s="44"/>
    </row>
    <row r="6285" spans="1:14" x14ac:dyDescent="0.3">
      <c r="A6285" s="42"/>
      <c r="C6285" s="52"/>
      <c r="D6285"/>
      <c r="E6285"/>
      <c r="F6285"/>
      <c r="N6285" s="44"/>
    </row>
    <row r="6286" spans="1:14" x14ac:dyDescent="0.3">
      <c r="A6286" s="42"/>
      <c r="C6286" s="52"/>
      <c r="D6286"/>
      <c r="E6286"/>
      <c r="F6286"/>
      <c r="N6286" s="44"/>
    </row>
    <row r="6287" spans="1:14" x14ac:dyDescent="0.3">
      <c r="A6287" s="42"/>
      <c r="C6287" s="52"/>
      <c r="D6287"/>
      <c r="E6287"/>
      <c r="F6287"/>
      <c r="N6287" s="44"/>
    </row>
    <row r="6288" spans="1:14" x14ac:dyDescent="0.3">
      <c r="A6288" s="42"/>
      <c r="C6288" s="52"/>
      <c r="D6288"/>
      <c r="E6288"/>
      <c r="F6288"/>
      <c r="N6288" s="44"/>
    </row>
    <row r="6289" spans="1:14" x14ac:dyDescent="0.3">
      <c r="A6289" s="42"/>
      <c r="C6289" s="52"/>
      <c r="D6289"/>
      <c r="E6289"/>
      <c r="F6289"/>
      <c r="N6289" s="44"/>
    </row>
    <row r="6290" spans="1:14" x14ac:dyDescent="0.3">
      <c r="A6290" s="42"/>
      <c r="C6290" s="52"/>
      <c r="D6290"/>
      <c r="E6290"/>
      <c r="F6290"/>
      <c r="N6290" s="44"/>
    </row>
    <row r="6291" spans="1:14" x14ac:dyDescent="0.3">
      <c r="A6291" s="42"/>
      <c r="C6291" s="52"/>
      <c r="D6291"/>
      <c r="E6291"/>
      <c r="F6291"/>
      <c r="N6291" s="44"/>
    </row>
    <row r="6292" spans="1:14" x14ac:dyDescent="0.3">
      <c r="A6292" s="42"/>
      <c r="C6292" s="52"/>
      <c r="D6292"/>
      <c r="E6292"/>
      <c r="F6292"/>
      <c r="N6292" s="44"/>
    </row>
    <row r="6293" spans="1:14" x14ac:dyDescent="0.3">
      <c r="A6293" s="42"/>
      <c r="C6293" s="52"/>
      <c r="D6293"/>
      <c r="E6293"/>
      <c r="F6293"/>
      <c r="N6293" s="44"/>
    </row>
    <row r="6294" spans="1:14" x14ac:dyDescent="0.3">
      <c r="A6294" s="42"/>
      <c r="C6294" s="52"/>
      <c r="D6294"/>
      <c r="E6294"/>
      <c r="F6294"/>
      <c r="N6294" s="44"/>
    </row>
    <row r="6295" spans="1:14" x14ac:dyDescent="0.3">
      <c r="A6295" s="42"/>
      <c r="C6295" s="52"/>
      <c r="D6295"/>
      <c r="E6295"/>
      <c r="F6295"/>
      <c r="N6295" s="44"/>
    </row>
    <row r="6296" spans="1:14" x14ac:dyDescent="0.3">
      <c r="A6296" s="42"/>
      <c r="C6296" s="52"/>
      <c r="D6296"/>
      <c r="E6296"/>
      <c r="F6296"/>
      <c r="N6296" s="44"/>
    </row>
    <row r="6297" spans="1:14" x14ac:dyDescent="0.3">
      <c r="A6297" s="42"/>
      <c r="C6297" s="52"/>
      <c r="D6297"/>
      <c r="E6297"/>
      <c r="F6297"/>
      <c r="N6297" s="44"/>
    </row>
    <row r="6298" spans="1:14" x14ac:dyDescent="0.3">
      <c r="A6298" s="42"/>
      <c r="C6298" s="52"/>
      <c r="D6298"/>
      <c r="E6298"/>
      <c r="F6298"/>
      <c r="N6298" s="44"/>
    </row>
    <row r="6299" spans="1:14" x14ac:dyDescent="0.3">
      <c r="A6299" s="42"/>
      <c r="C6299" s="52"/>
      <c r="D6299"/>
      <c r="E6299"/>
      <c r="F6299"/>
      <c r="N6299" s="44"/>
    </row>
    <row r="6300" spans="1:14" x14ac:dyDescent="0.3">
      <c r="A6300" s="42"/>
      <c r="C6300" s="52"/>
      <c r="D6300"/>
      <c r="E6300"/>
      <c r="F6300"/>
      <c r="N6300" s="44"/>
    </row>
    <row r="6301" spans="1:14" x14ac:dyDescent="0.3">
      <c r="A6301" s="42"/>
      <c r="C6301" s="52"/>
      <c r="D6301"/>
      <c r="E6301"/>
      <c r="F6301"/>
      <c r="N6301" s="44"/>
    </row>
    <row r="6302" spans="1:14" x14ac:dyDescent="0.3">
      <c r="A6302" s="42"/>
      <c r="C6302" s="52"/>
      <c r="D6302"/>
      <c r="E6302"/>
      <c r="F6302"/>
      <c r="N6302" s="44"/>
    </row>
    <row r="6303" spans="1:14" x14ac:dyDescent="0.3">
      <c r="A6303" s="42"/>
      <c r="C6303" s="52"/>
      <c r="D6303"/>
      <c r="E6303"/>
      <c r="F6303"/>
      <c r="N6303" s="44"/>
    </row>
    <row r="6304" spans="1:14" x14ac:dyDescent="0.3">
      <c r="A6304" s="42"/>
      <c r="C6304" s="52"/>
      <c r="D6304"/>
      <c r="E6304"/>
      <c r="F6304"/>
      <c r="N6304" s="44"/>
    </row>
    <row r="6305" spans="1:14" x14ac:dyDescent="0.3">
      <c r="A6305" s="42"/>
      <c r="C6305" s="52"/>
      <c r="D6305"/>
      <c r="E6305"/>
      <c r="F6305"/>
      <c r="N6305" s="44"/>
    </row>
    <row r="6306" spans="1:14" x14ac:dyDescent="0.3">
      <c r="A6306" s="42"/>
      <c r="C6306" s="52"/>
      <c r="D6306"/>
      <c r="E6306"/>
      <c r="F6306"/>
      <c r="N6306" s="44"/>
    </row>
    <row r="6307" spans="1:14" x14ac:dyDescent="0.3">
      <c r="A6307" s="42"/>
      <c r="C6307" s="52"/>
      <c r="D6307"/>
      <c r="E6307"/>
      <c r="F6307"/>
      <c r="N6307" s="44"/>
    </row>
    <row r="6308" spans="1:14" x14ac:dyDescent="0.3">
      <c r="A6308" s="42"/>
      <c r="C6308" s="52"/>
      <c r="D6308"/>
      <c r="E6308"/>
      <c r="F6308"/>
      <c r="N6308" s="44"/>
    </row>
    <row r="6309" spans="1:14" x14ac:dyDescent="0.3">
      <c r="A6309" s="42"/>
      <c r="C6309" s="52"/>
      <c r="D6309"/>
      <c r="E6309"/>
      <c r="F6309"/>
      <c r="N6309" s="44"/>
    </row>
    <row r="6310" spans="1:14" x14ac:dyDescent="0.3">
      <c r="A6310" s="42"/>
      <c r="C6310" s="52"/>
      <c r="D6310"/>
      <c r="E6310"/>
      <c r="F6310"/>
      <c r="N6310" s="44"/>
    </row>
    <row r="6311" spans="1:14" x14ac:dyDescent="0.3">
      <c r="A6311" s="42"/>
      <c r="C6311" s="52"/>
      <c r="D6311"/>
      <c r="E6311"/>
      <c r="F6311"/>
      <c r="N6311" s="44"/>
    </row>
    <row r="6312" spans="1:14" x14ac:dyDescent="0.3">
      <c r="A6312" s="42"/>
      <c r="C6312" s="52"/>
      <c r="D6312"/>
      <c r="E6312"/>
      <c r="F6312"/>
      <c r="N6312" s="44"/>
    </row>
    <row r="6313" spans="1:14" x14ac:dyDescent="0.3">
      <c r="A6313" s="42"/>
      <c r="C6313" s="52"/>
      <c r="D6313"/>
      <c r="E6313"/>
      <c r="F6313"/>
      <c r="N6313" s="44"/>
    </row>
    <row r="6314" spans="1:14" x14ac:dyDescent="0.3">
      <c r="A6314" s="42"/>
      <c r="C6314" s="52"/>
      <c r="D6314"/>
      <c r="E6314"/>
      <c r="F6314"/>
      <c r="N6314" s="44"/>
    </row>
    <row r="6315" spans="1:14" x14ac:dyDescent="0.3">
      <c r="A6315" s="42"/>
      <c r="C6315" s="52"/>
      <c r="D6315"/>
      <c r="E6315"/>
      <c r="F6315"/>
      <c r="N6315" s="44"/>
    </row>
    <row r="6316" spans="1:14" x14ac:dyDescent="0.3">
      <c r="A6316" s="42"/>
      <c r="C6316" s="52"/>
      <c r="D6316"/>
      <c r="E6316"/>
      <c r="F6316"/>
      <c r="N6316" s="44"/>
    </row>
    <row r="6317" spans="1:14" x14ac:dyDescent="0.3">
      <c r="A6317" s="42"/>
      <c r="C6317" s="52"/>
      <c r="D6317"/>
      <c r="E6317"/>
      <c r="F6317"/>
      <c r="N6317" s="44"/>
    </row>
    <row r="6318" spans="1:14" x14ac:dyDescent="0.3">
      <c r="A6318" s="42"/>
      <c r="C6318" s="52"/>
      <c r="D6318"/>
      <c r="E6318"/>
      <c r="F6318"/>
      <c r="N6318" s="44"/>
    </row>
    <row r="6319" spans="1:14" x14ac:dyDescent="0.3">
      <c r="A6319" s="42"/>
      <c r="C6319" s="52"/>
      <c r="D6319"/>
      <c r="E6319"/>
      <c r="F6319"/>
      <c r="N6319" s="44"/>
    </row>
    <row r="6320" spans="1:14" x14ac:dyDescent="0.3">
      <c r="A6320" s="42"/>
      <c r="C6320" s="52"/>
      <c r="D6320"/>
      <c r="E6320"/>
      <c r="F6320"/>
      <c r="N6320" s="44"/>
    </row>
    <row r="6321" spans="1:14" x14ac:dyDescent="0.3">
      <c r="A6321" s="42"/>
      <c r="C6321" s="52"/>
      <c r="D6321"/>
      <c r="E6321"/>
      <c r="F6321"/>
      <c r="N6321" s="44"/>
    </row>
    <row r="6322" spans="1:14" x14ac:dyDescent="0.3">
      <c r="A6322" s="42"/>
      <c r="C6322" s="52"/>
      <c r="D6322"/>
      <c r="E6322"/>
      <c r="F6322"/>
      <c r="N6322" s="44"/>
    </row>
    <row r="6323" spans="1:14" x14ac:dyDescent="0.3">
      <c r="A6323" s="42"/>
      <c r="C6323" s="52"/>
      <c r="D6323"/>
      <c r="E6323"/>
      <c r="F6323"/>
      <c r="N6323" s="44"/>
    </row>
    <row r="6324" spans="1:14" x14ac:dyDescent="0.3">
      <c r="A6324" s="42"/>
      <c r="C6324" s="52"/>
      <c r="D6324"/>
      <c r="E6324"/>
      <c r="F6324"/>
      <c r="N6324" s="44"/>
    </row>
    <row r="6325" spans="1:14" x14ac:dyDescent="0.3">
      <c r="A6325" s="42"/>
      <c r="C6325" s="52"/>
      <c r="D6325"/>
      <c r="E6325"/>
      <c r="F6325"/>
      <c r="N6325" s="44"/>
    </row>
    <row r="6326" spans="1:14" x14ac:dyDescent="0.3">
      <c r="A6326" s="42"/>
      <c r="C6326" s="52"/>
      <c r="D6326"/>
      <c r="E6326"/>
      <c r="F6326"/>
      <c r="N6326" s="44"/>
    </row>
    <row r="6327" spans="1:14" x14ac:dyDescent="0.3">
      <c r="A6327" s="42"/>
      <c r="C6327" s="52"/>
      <c r="D6327"/>
      <c r="E6327"/>
      <c r="F6327"/>
      <c r="N6327" s="44"/>
    </row>
    <row r="6328" spans="1:14" x14ac:dyDescent="0.3">
      <c r="A6328" s="42"/>
      <c r="C6328" s="52"/>
      <c r="D6328"/>
      <c r="E6328"/>
      <c r="F6328"/>
      <c r="N6328" s="44"/>
    </row>
    <row r="6329" spans="1:14" x14ac:dyDescent="0.3">
      <c r="A6329" s="42"/>
      <c r="C6329" s="52"/>
      <c r="D6329"/>
      <c r="E6329"/>
      <c r="F6329"/>
      <c r="N6329" s="44"/>
    </row>
    <row r="6330" spans="1:14" x14ac:dyDescent="0.3">
      <c r="A6330" s="42"/>
      <c r="C6330" s="52"/>
      <c r="D6330"/>
      <c r="E6330"/>
      <c r="F6330"/>
      <c r="N6330" s="44"/>
    </row>
    <row r="6331" spans="1:14" x14ac:dyDescent="0.3">
      <c r="A6331" s="42"/>
      <c r="C6331" s="52"/>
      <c r="D6331"/>
      <c r="E6331"/>
      <c r="F6331"/>
      <c r="N6331" s="44"/>
    </row>
    <row r="6332" spans="1:14" x14ac:dyDescent="0.3">
      <c r="A6332" s="42"/>
      <c r="C6332" s="52"/>
      <c r="D6332"/>
      <c r="E6332"/>
      <c r="F6332"/>
      <c r="N6332" s="44"/>
    </row>
    <row r="6333" spans="1:14" x14ac:dyDescent="0.3">
      <c r="A6333" s="42"/>
      <c r="C6333" s="52"/>
      <c r="D6333"/>
      <c r="E6333"/>
      <c r="F6333"/>
      <c r="N6333" s="44"/>
    </row>
    <row r="6334" spans="1:14" x14ac:dyDescent="0.3">
      <c r="A6334" s="42"/>
      <c r="C6334" s="52"/>
      <c r="D6334"/>
      <c r="E6334"/>
      <c r="F6334"/>
      <c r="N6334" s="44"/>
    </row>
    <row r="6335" spans="1:14" x14ac:dyDescent="0.3">
      <c r="A6335" s="42"/>
      <c r="C6335" s="52"/>
      <c r="D6335"/>
      <c r="E6335"/>
      <c r="F6335"/>
      <c r="N6335" s="44"/>
    </row>
    <row r="6336" spans="1:14" x14ac:dyDescent="0.3">
      <c r="A6336" s="42"/>
      <c r="C6336" s="52"/>
      <c r="D6336"/>
      <c r="E6336"/>
      <c r="F6336"/>
      <c r="N6336" s="44"/>
    </row>
    <row r="6337" spans="1:14" x14ac:dyDescent="0.3">
      <c r="A6337" s="42"/>
      <c r="C6337" s="52"/>
      <c r="D6337"/>
      <c r="E6337"/>
      <c r="F6337"/>
      <c r="N6337" s="44"/>
    </row>
    <row r="6338" spans="1:14" x14ac:dyDescent="0.3">
      <c r="A6338" s="42"/>
      <c r="C6338" s="52"/>
      <c r="D6338"/>
      <c r="E6338"/>
      <c r="F6338"/>
      <c r="N6338" s="44"/>
    </row>
    <row r="6339" spans="1:14" x14ac:dyDescent="0.3">
      <c r="A6339" s="42"/>
      <c r="C6339" s="52"/>
      <c r="D6339"/>
      <c r="E6339"/>
      <c r="F6339"/>
      <c r="N6339" s="44"/>
    </row>
    <row r="6340" spans="1:14" x14ac:dyDescent="0.3">
      <c r="A6340" s="42"/>
      <c r="C6340" s="52"/>
      <c r="D6340"/>
      <c r="E6340"/>
      <c r="F6340"/>
      <c r="N6340" s="44"/>
    </row>
    <row r="6341" spans="1:14" x14ac:dyDescent="0.3">
      <c r="A6341" s="42"/>
      <c r="C6341" s="52"/>
      <c r="D6341"/>
      <c r="E6341"/>
      <c r="F6341"/>
      <c r="N6341" s="44"/>
    </row>
    <row r="6342" spans="1:14" x14ac:dyDescent="0.3">
      <c r="A6342" s="42"/>
      <c r="C6342" s="52"/>
      <c r="D6342"/>
      <c r="E6342"/>
      <c r="F6342"/>
      <c r="N6342" s="44"/>
    </row>
    <row r="6343" spans="1:14" x14ac:dyDescent="0.3">
      <c r="A6343" s="42"/>
      <c r="C6343" s="52"/>
      <c r="D6343"/>
      <c r="E6343"/>
      <c r="F6343"/>
      <c r="N6343" s="44"/>
    </row>
    <row r="6344" spans="1:14" x14ac:dyDescent="0.3">
      <c r="A6344" s="42"/>
      <c r="C6344" s="52"/>
      <c r="D6344"/>
      <c r="E6344"/>
      <c r="F6344"/>
      <c r="N6344" s="44"/>
    </row>
    <row r="6345" spans="1:14" x14ac:dyDescent="0.3">
      <c r="A6345" s="42"/>
      <c r="C6345" s="52"/>
      <c r="D6345"/>
      <c r="E6345"/>
      <c r="F6345"/>
      <c r="N6345" s="44"/>
    </row>
    <row r="6346" spans="1:14" x14ac:dyDescent="0.3">
      <c r="A6346" s="42"/>
      <c r="C6346" s="52"/>
      <c r="D6346"/>
      <c r="E6346"/>
      <c r="F6346"/>
      <c r="N6346" s="44"/>
    </row>
    <row r="6347" spans="1:14" x14ac:dyDescent="0.3">
      <c r="A6347" s="42"/>
      <c r="C6347" s="52"/>
      <c r="D6347"/>
      <c r="E6347"/>
      <c r="F6347"/>
      <c r="N6347" s="44"/>
    </row>
    <row r="6348" spans="1:14" x14ac:dyDescent="0.3">
      <c r="A6348" s="42"/>
      <c r="C6348" s="52"/>
      <c r="D6348"/>
      <c r="E6348"/>
      <c r="F6348"/>
      <c r="N6348" s="44"/>
    </row>
    <row r="6349" spans="1:14" x14ac:dyDescent="0.3">
      <c r="A6349" s="42"/>
      <c r="C6349" s="52"/>
      <c r="D6349"/>
      <c r="E6349"/>
      <c r="F6349"/>
      <c r="N6349" s="44"/>
    </row>
    <row r="6350" spans="1:14" x14ac:dyDescent="0.3">
      <c r="A6350" s="42"/>
      <c r="C6350" s="52"/>
      <c r="D6350"/>
      <c r="E6350"/>
      <c r="F6350"/>
      <c r="M6350" s="45"/>
      <c r="N6350" s="44"/>
    </row>
    <row r="6351" spans="1:14" x14ac:dyDescent="0.3">
      <c r="A6351" s="42"/>
      <c r="C6351" s="52"/>
      <c r="D6351"/>
      <c r="E6351"/>
      <c r="F6351"/>
      <c r="N6351" s="44"/>
    </row>
    <row r="6352" spans="1:14" x14ac:dyDescent="0.3">
      <c r="A6352" s="42"/>
      <c r="C6352" s="52"/>
      <c r="D6352"/>
      <c r="E6352"/>
      <c r="F6352"/>
      <c r="N6352" s="44"/>
    </row>
    <row r="6353" spans="1:14" x14ac:dyDescent="0.3">
      <c r="A6353" s="42"/>
      <c r="C6353" s="52"/>
      <c r="D6353"/>
      <c r="E6353"/>
      <c r="F6353"/>
      <c r="N6353" s="44"/>
    </row>
    <row r="6354" spans="1:14" x14ac:dyDescent="0.3">
      <c r="A6354" s="42"/>
      <c r="C6354" s="52"/>
      <c r="D6354"/>
      <c r="E6354"/>
      <c r="F6354"/>
      <c r="N6354" s="44"/>
    </row>
    <row r="6355" spans="1:14" x14ac:dyDescent="0.3">
      <c r="A6355" s="42"/>
      <c r="C6355" s="52"/>
      <c r="D6355"/>
      <c r="E6355"/>
      <c r="F6355"/>
      <c r="N6355" s="44"/>
    </row>
    <row r="6356" spans="1:14" x14ac:dyDescent="0.3">
      <c r="A6356" s="42"/>
      <c r="C6356" s="52"/>
      <c r="D6356"/>
      <c r="E6356"/>
      <c r="F6356"/>
      <c r="N6356" s="44"/>
    </row>
    <row r="6357" spans="1:14" x14ac:dyDescent="0.3">
      <c r="A6357" s="42"/>
      <c r="C6357" s="52"/>
      <c r="D6357"/>
      <c r="E6357"/>
      <c r="F6357"/>
      <c r="N6357" s="44"/>
    </row>
    <row r="6358" spans="1:14" x14ac:dyDescent="0.3">
      <c r="A6358" s="42"/>
      <c r="C6358" s="52"/>
      <c r="D6358"/>
      <c r="E6358"/>
      <c r="F6358"/>
      <c r="N6358" s="44"/>
    </row>
    <row r="6359" spans="1:14" x14ac:dyDescent="0.3">
      <c r="A6359" s="42"/>
      <c r="C6359" s="52"/>
      <c r="D6359"/>
      <c r="E6359"/>
      <c r="F6359"/>
      <c r="N6359" s="44"/>
    </row>
    <row r="6360" spans="1:14" x14ac:dyDescent="0.3">
      <c r="A6360" s="42"/>
      <c r="C6360" s="52"/>
      <c r="D6360"/>
      <c r="E6360"/>
      <c r="F6360"/>
      <c r="N6360" s="44"/>
    </row>
    <row r="6361" spans="1:14" x14ac:dyDescent="0.3">
      <c r="A6361" s="42"/>
      <c r="C6361" s="52"/>
      <c r="D6361"/>
      <c r="E6361"/>
      <c r="F6361"/>
      <c r="N6361" s="44"/>
    </row>
    <row r="6362" spans="1:14" x14ac:dyDescent="0.3">
      <c r="A6362" s="42"/>
      <c r="C6362" s="52"/>
      <c r="D6362"/>
      <c r="E6362"/>
      <c r="F6362"/>
      <c r="N6362" s="44"/>
    </row>
    <row r="6363" spans="1:14" x14ac:dyDescent="0.3">
      <c r="A6363" s="42"/>
      <c r="C6363" s="52"/>
      <c r="D6363"/>
      <c r="E6363"/>
      <c r="F6363"/>
      <c r="N6363" s="44"/>
    </row>
    <row r="6364" spans="1:14" x14ac:dyDescent="0.3">
      <c r="A6364" s="42"/>
      <c r="C6364" s="52"/>
      <c r="D6364"/>
      <c r="E6364"/>
      <c r="F6364"/>
      <c r="N6364" s="44"/>
    </row>
    <row r="6365" spans="1:14" x14ac:dyDescent="0.3">
      <c r="A6365" s="42"/>
      <c r="C6365" s="52"/>
      <c r="D6365"/>
      <c r="E6365"/>
      <c r="F6365"/>
      <c r="N6365" s="44"/>
    </row>
    <row r="6366" spans="1:14" x14ac:dyDescent="0.3">
      <c r="A6366" s="42"/>
      <c r="C6366" s="52"/>
      <c r="D6366"/>
      <c r="E6366"/>
      <c r="F6366"/>
      <c r="N6366" s="44"/>
    </row>
    <row r="6367" spans="1:14" x14ac:dyDescent="0.3">
      <c r="A6367" s="42"/>
      <c r="C6367" s="52"/>
      <c r="D6367"/>
      <c r="E6367"/>
      <c r="F6367"/>
      <c r="N6367" s="44"/>
    </row>
    <row r="6368" spans="1:14" x14ac:dyDescent="0.3">
      <c r="A6368" s="42"/>
      <c r="C6368" s="52"/>
      <c r="D6368"/>
      <c r="E6368"/>
      <c r="F6368"/>
      <c r="N6368" s="44"/>
    </row>
    <row r="6369" spans="1:14" x14ac:dyDescent="0.3">
      <c r="A6369" s="42"/>
      <c r="C6369" s="52"/>
      <c r="D6369"/>
      <c r="E6369"/>
      <c r="F6369"/>
      <c r="N6369" s="44"/>
    </row>
    <row r="6370" spans="1:14" x14ac:dyDescent="0.3">
      <c r="A6370" s="42"/>
      <c r="C6370" s="52"/>
      <c r="D6370"/>
      <c r="E6370"/>
      <c r="F6370"/>
      <c r="N6370" s="44"/>
    </row>
    <row r="6371" spans="1:14" x14ac:dyDescent="0.3">
      <c r="A6371" s="42"/>
      <c r="C6371" s="52"/>
      <c r="D6371"/>
      <c r="E6371"/>
      <c r="F6371"/>
      <c r="N6371" s="44"/>
    </row>
    <row r="6372" spans="1:14" x14ac:dyDescent="0.3">
      <c r="A6372" s="42"/>
      <c r="C6372" s="52"/>
      <c r="D6372"/>
      <c r="E6372"/>
      <c r="F6372"/>
      <c r="N6372" s="44"/>
    </row>
    <row r="6373" spans="1:14" x14ac:dyDescent="0.3">
      <c r="A6373" s="42"/>
      <c r="C6373" s="52"/>
      <c r="D6373"/>
      <c r="E6373"/>
      <c r="F6373"/>
      <c r="N6373" s="44"/>
    </row>
    <row r="6374" spans="1:14" x14ac:dyDescent="0.3">
      <c r="A6374" s="42"/>
      <c r="C6374" s="52"/>
      <c r="D6374"/>
      <c r="E6374"/>
      <c r="F6374"/>
      <c r="N6374" s="44"/>
    </row>
    <row r="6375" spans="1:14" x14ac:dyDescent="0.3">
      <c r="A6375" s="42"/>
      <c r="C6375" s="52"/>
      <c r="D6375"/>
      <c r="E6375"/>
      <c r="F6375"/>
      <c r="N6375" s="44"/>
    </row>
    <row r="6376" spans="1:14" x14ac:dyDescent="0.3">
      <c r="A6376" s="42"/>
      <c r="C6376" s="52"/>
      <c r="D6376"/>
      <c r="E6376"/>
      <c r="F6376"/>
      <c r="N6376" s="44"/>
    </row>
    <row r="6377" spans="1:14" x14ac:dyDescent="0.3">
      <c r="A6377" s="42"/>
      <c r="C6377" s="52"/>
      <c r="D6377"/>
      <c r="E6377"/>
      <c r="F6377"/>
      <c r="N6377" s="44"/>
    </row>
    <row r="6378" spans="1:14" x14ac:dyDescent="0.3">
      <c r="A6378" s="42"/>
      <c r="C6378" s="52"/>
      <c r="D6378"/>
      <c r="E6378"/>
      <c r="F6378"/>
      <c r="N6378" s="44"/>
    </row>
    <row r="6379" spans="1:14" x14ac:dyDescent="0.3">
      <c r="A6379" s="42"/>
      <c r="C6379" s="52"/>
      <c r="D6379"/>
      <c r="E6379"/>
      <c r="F6379"/>
      <c r="N6379" s="44"/>
    </row>
    <row r="6380" spans="1:14" x14ac:dyDescent="0.3">
      <c r="A6380" s="42"/>
      <c r="C6380" s="52"/>
      <c r="D6380"/>
      <c r="E6380"/>
      <c r="F6380"/>
      <c r="N6380" s="44"/>
    </row>
    <row r="6381" spans="1:14" x14ac:dyDescent="0.3">
      <c r="A6381" s="42"/>
      <c r="C6381" s="52"/>
      <c r="D6381"/>
      <c r="E6381"/>
      <c r="F6381"/>
      <c r="N6381" s="44"/>
    </row>
    <row r="6382" spans="1:14" x14ac:dyDescent="0.3">
      <c r="A6382" s="42"/>
      <c r="C6382" s="52"/>
      <c r="D6382"/>
      <c r="E6382"/>
      <c r="F6382"/>
      <c r="N6382" s="44"/>
    </row>
    <row r="6383" spans="1:14" x14ac:dyDescent="0.3">
      <c r="A6383" s="42"/>
      <c r="C6383" s="52"/>
      <c r="D6383"/>
      <c r="E6383"/>
      <c r="F6383"/>
      <c r="N6383" s="44"/>
    </row>
    <row r="6384" spans="1:14" x14ac:dyDescent="0.3">
      <c r="A6384" s="42"/>
      <c r="C6384" s="52"/>
      <c r="D6384"/>
      <c r="E6384"/>
      <c r="F6384"/>
      <c r="N6384" s="44"/>
    </row>
    <row r="6385" spans="1:14" x14ac:dyDescent="0.3">
      <c r="A6385" s="42"/>
      <c r="C6385" s="52"/>
      <c r="D6385"/>
      <c r="E6385"/>
      <c r="F6385"/>
      <c r="N6385" s="44"/>
    </row>
    <row r="6386" spans="1:14" x14ac:dyDescent="0.3">
      <c r="A6386" s="42"/>
      <c r="C6386" s="52"/>
      <c r="D6386"/>
      <c r="E6386"/>
      <c r="F6386"/>
      <c r="M6386" s="45"/>
      <c r="N6386" s="44"/>
    </row>
    <row r="6387" spans="1:14" x14ac:dyDescent="0.3">
      <c r="A6387" s="42"/>
      <c r="C6387" s="52"/>
      <c r="D6387"/>
      <c r="E6387"/>
      <c r="F6387"/>
      <c r="N6387" s="44"/>
    </row>
    <row r="6388" spans="1:14" x14ac:dyDescent="0.3">
      <c r="A6388" s="42"/>
      <c r="C6388" s="52"/>
      <c r="D6388"/>
      <c r="E6388"/>
      <c r="F6388"/>
      <c r="N6388" s="44"/>
    </row>
    <row r="6389" spans="1:14" x14ac:dyDescent="0.3">
      <c r="A6389" s="42"/>
      <c r="C6389" s="52"/>
      <c r="D6389"/>
      <c r="E6389"/>
      <c r="F6389"/>
      <c r="N6389" s="44"/>
    </row>
    <row r="6390" spans="1:14" x14ac:dyDescent="0.3">
      <c r="A6390" s="42"/>
      <c r="C6390" s="52"/>
      <c r="D6390"/>
      <c r="E6390"/>
      <c r="F6390"/>
      <c r="L6390" s="45"/>
      <c r="M6390" s="1"/>
      <c r="N6390" s="44"/>
    </row>
    <row r="6391" spans="1:14" x14ac:dyDescent="0.3">
      <c r="A6391" s="42"/>
      <c r="C6391" s="52"/>
      <c r="D6391"/>
      <c r="E6391"/>
      <c r="F6391"/>
      <c r="L6391" s="45"/>
      <c r="M6391" s="1"/>
      <c r="N6391" s="44"/>
    </row>
    <row r="6392" spans="1:14" x14ac:dyDescent="0.3">
      <c r="A6392" s="42"/>
      <c r="C6392" s="52"/>
      <c r="D6392"/>
      <c r="E6392"/>
      <c r="F6392"/>
      <c r="L6392" s="45"/>
      <c r="M6392" s="1"/>
      <c r="N6392" s="44"/>
    </row>
    <row r="6393" spans="1:14" x14ac:dyDescent="0.3">
      <c r="A6393" s="42"/>
      <c r="C6393" s="52"/>
      <c r="D6393"/>
      <c r="E6393"/>
      <c r="F6393"/>
      <c r="L6393" s="45"/>
      <c r="M6393" s="1"/>
      <c r="N6393" s="44"/>
    </row>
    <row r="6394" spans="1:14" x14ac:dyDescent="0.3">
      <c r="A6394" s="42"/>
      <c r="C6394" s="52"/>
      <c r="D6394"/>
      <c r="E6394"/>
      <c r="F6394"/>
      <c r="L6394" s="45"/>
      <c r="M6394" s="1"/>
      <c r="N6394" s="44"/>
    </row>
    <row r="6395" spans="1:14" x14ac:dyDescent="0.3">
      <c r="A6395" s="42"/>
      <c r="C6395" s="52"/>
      <c r="D6395"/>
      <c r="E6395"/>
      <c r="F6395"/>
      <c r="L6395" s="45"/>
      <c r="M6395" s="1"/>
      <c r="N6395" s="44"/>
    </row>
    <row r="6396" spans="1:14" x14ac:dyDescent="0.3">
      <c r="A6396" s="42"/>
      <c r="C6396" s="52"/>
      <c r="D6396"/>
      <c r="E6396"/>
      <c r="F6396"/>
      <c r="L6396" s="45"/>
      <c r="M6396" s="1"/>
      <c r="N6396" s="44"/>
    </row>
    <row r="6397" spans="1:14" x14ac:dyDescent="0.3">
      <c r="A6397" s="42"/>
      <c r="C6397" s="52"/>
      <c r="D6397"/>
      <c r="E6397"/>
      <c r="F6397"/>
      <c r="M6397" s="1"/>
      <c r="N6397" s="44"/>
    </row>
    <row r="6398" spans="1:14" x14ac:dyDescent="0.3">
      <c r="A6398" s="42"/>
      <c r="C6398" s="52"/>
      <c r="D6398"/>
      <c r="E6398"/>
      <c r="F6398"/>
      <c r="M6398" s="1"/>
      <c r="N6398" s="44"/>
    </row>
    <row r="6399" spans="1:14" x14ac:dyDescent="0.3">
      <c r="A6399" s="42"/>
      <c r="C6399" s="52"/>
      <c r="D6399"/>
      <c r="E6399"/>
      <c r="F6399"/>
      <c r="L6399" s="45"/>
      <c r="M6399" s="1"/>
      <c r="N6399" s="44"/>
    </row>
    <row r="6400" spans="1:14" x14ac:dyDescent="0.3">
      <c r="A6400" s="42"/>
      <c r="C6400" s="52"/>
      <c r="D6400"/>
      <c r="E6400"/>
      <c r="F6400"/>
      <c r="M6400" s="1"/>
      <c r="N6400" s="44"/>
    </row>
    <row r="6401" spans="1:14" x14ac:dyDescent="0.3">
      <c r="A6401" s="42"/>
      <c r="C6401" s="52"/>
      <c r="D6401"/>
      <c r="E6401"/>
      <c r="F6401"/>
      <c r="L6401" s="45"/>
      <c r="M6401" s="1"/>
      <c r="N6401" s="44"/>
    </row>
    <row r="6402" spans="1:14" x14ac:dyDescent="0.3">
      <c r="A6402" s="42"/>
      <c r="C6402" s="52"/>
      <c r="D6402"/>
      <c r="E6402"/>
      <c r="F6402"/>
      <c r="L6402" s="45"/>
      <c r="M6402" s="1"/>
      <c r="N6402" s="44"/>
    </row>
    <row r="6403" spans="1:14" x14ac:dyDescent="0.3">
      <c r="A6403" s="42"/>
      <c r="C6403" s="52"/>
      <c r="D6403"/>
      <c r="E6403"/>
      <c r="F6403"/>
      <c r="L6403" s="45"/>
      <c r="M6403" s="1"/>
      <c r="N6403" s="44"/>
    </row>
    <row r="6404" spans="1:14" x14ac:dyDescent="0.3">
      <c r="A6404" s="42"/>
      <c r="C6404" s="52"/>
      <c r="D6404"/>
      <c r="E6404"/>
      <c r="F6404"/>
      <c r="L6404" s="45"/>
      <c r="M6404" s="1"/>
      <c r="N6404" s="44"/>
    </row>
    <row r="6405" spans="1:14" x14ac:dyDescent="0.3">
      <c r="A6405" s="42"/>
      <c r="C6405" s="52"/>
      <c r="D6405"/>
      <c r="E6405"/>
      <c r="F6405"/>
      <c r="L6405" s="45"/>
      <c r="M6405" s="1"/>
      <c r="N6405" s="44"/>
    </row>
    <row r="6406" spans="1:14" x14ac:dyDescent="0.3">
      <c r="A6406" s="42"/>
      <c r="C6406" s="52"/>
      <c r="D6406"/>
      <c r="E6406"/>
      <c r="F6406"/>
      <c r="M6406" s="1"/>
      <c r="N6406" s="44"/>
    </row>
    <row r="6407" spans="1:14" x14ac:dyDescent="0.3">
      <c r="A6407" s="42"/>
      <c r="C6407" s="52"/>
      <c r="D6407"/>
      <c r="E6407"/>
      <c r="F6407"/>
      <c r="M6407" s="1"/>
      <c r="N6407" s="44"/>
    </row>
    <row r="6408" spans="1:14" x14ac:dyDescent="0.3">
      <c r="A6408" s="42"/>
      <c r="C6408" s="52"/>
      <c r="D6408"/>
      <c r="E6408"/>
      <c r="F6408"/>
      <c r="M6408" s="1"/>
      <c r="N6408" s="44"/>
    </row>
    <row r="6409" spans="1:14" x14ac:dyDescent="0.3">
      <c r="A6409" s="42"/>
      <c r="C6409" s="52"/>
      <c r="D6409"/>
      <c r="E6409"/>
      <c r="F6409"/>
      <c r="M6409" s="1"/>
      <c r="N6409" s="44"/>
    </row>
    <row r="6410" spans="1:14" x14ac:dyDescent="0.3">
      <c r="A6410" s="42"/>
      <c r="C6410" s="52"/>
      <c r="D6410"/>
      <c r="E6410"/>
      <c r="F6410"/>
      <c r="M6410" s="1"/>
      <c r="N6410" s="44"/>
    </row>
    <row r="6411" spans="1:14" x14ac:dyDescent="0.3">
      <c r="A6411" s="42"/>
      <c r="C6411" s="52"/>
      <c r="D6411"/>
      <c r="E6411"/>
      <c r="F6411"/>
      <c r="M6411" s="1"/>
      <c r="N6411" s="44"/>
    </row>
    <row r="6412" spans="1:14" x14ac:dyDescent="0.3">
      <c r="A6412" s="42"/>
      <c r="C6412" s="52"/>
      <c r="D6412"/>
      <c r="E6412"/>
      <c r="F6412"/>
      <c r="M6412" s="1"/>
      <c r="N6412" s="44"/>
    </row>
    <row r="6413" spans="1:14" x14ac:dyDescent="0.3">
      <c r="A6413" s="42"/>
      <c r="C6413" s="52"/>
      <c r="D6413"/>
      <c r="E6413"/>
      <c r="F6413"/>
      <c r="M6413" s="1"/>
      <c r="N6413" s="44"/>
    </row>
    <row r="6414" spans="1:14" x14ac:dyDescent="0.3">
      <c r="A6414" s="42"/>
      <c r="C6414" s="52"/>
      <c r="D6414"/>
      <c r="E6414"/>
      <c r="F6414"/>
      <c r="L6414" s="45"/>
      <c r="M6414" s="1"/>
      <c r="N6414" s="44"/>
    </row>
    <row r="6415" spans="1:14" x14ac:dyDescent="0.3">
      <c r="A6415" s="42"/>
      <c r="C6415" s="52"/>
      <c r="D6415"/>
      <c r="E6415"/>
      <c r="F6415"/>
      <c r="L6415" s="45"/>
      <c r="M6415" s="1"/>
      <c r="N6415" s="44"/>
    </row>
    <row r="6416" spans="1:14" x14ac:dyDescent="0.3">
      <c r="A6416" s="42"/>
      <c r="C6416" s="52"/>
      <c r="D6416"/>
      <c r="E6416"/>
      <c r="F6416"/>
      <c r="L6416" s="45"/>
      <c r="M6416" s="1"/>
      <c r="N6416" s="44"/>
    </row>
    <row r="6417" spans="1:14" x14ac:dyDescent="0.3">
      <c r="A6417" s="42"/>
      <c r="C6417" s="52"/>
      <c r="D6417"/>
      <c r="E6417"/>
      <c r="F6417"/>
      <c r="M6417" s="1"/>
      <c r="N6417" s="44"/>
    </row>
    <row r="6418" spans="1:14" x14ac:dyDescent="0.3">
      <c r="A6418" s="42"/>
      <c r="C6418" s="52"/>
      <c r="D6418"/>
      <c r="E6418"/>
      <c r="F6418"/>
      <c r="M6418" s="1"/>
      <c r="N6418" s="44"/>
    </row>
    <row r="6419" spans="1:14" x14ac:dyDescent="0.3">
      <c r="A6419" s="42"/>
      <c r="C6419" s="52"/>
      <c r="D6419"/>
      <c r="E6419"/>
      <c r="F6419"/>
      <c r="M6419" s="1"/>
      <c r="N6419" s="44"/>
    </row>
    <row r="6420" spans="1:14" x14ac:dyDescent="0.3">
      <c r="A6420" s="42"/>
      <c r="C6420" s="52"/>
      <c r="D6420"/>
      <c r="E6420"/>
      <c r="F6420"/>
      <c r="M6420" s="1"/>
      <c r="N6420" s="44"/>
    </row>
    <row r="6421" spans="1:14" x14ac:dyDescent="0.3">
      <c r="A6421" s="42"/>
      <c r="C6421" s="52"/>
      <c r="D6421"/>
      <c r="E6421"/>
      <c r="F6421"/>
      <c r="M6421" s="1"/>
      <c r="N6421" s="44"/>
    </row>
    <row r="6422" spans="1:14" x14ac:dyDescent="0.3">
      <c r="A6422" s="42"/>
      <c r="C6422" s="52"/>
      <c r="D6422"/>
      <c r="E6422"/>
      <c r="F6422"/>
      <c r="M6422" s="1"/>
      <c r="N6422" s="44"/>
    </row>
    <row r="6423" spans="1:14" x14ac:dyDescent="0.3">
      <c r="A6423" s="42"/>
      <c r="C6423" s="52"/>
      <c r="D6423"/>
      <c r="E6423"/>
      <c r="F6423"/>
      <c r="M6423" s="1"/>
      <c r="N6423" s="44"/>
    </row>
    <row r="6424" spans="1:14" x14ac:dyDescent="0.3">
      <c r="A6424" s="42"/>
      <c r="C6424" s="52"/>
      <c r="D6424"/>
      <c r="E6424"/>
      <c r="F6424"/>
      <c r="M6424" s="54"/>
      <c r="N6424" s="44"/>
    </row>
    <row r="6425" spans="1:14" x14ac:dyDescent="0.3">
      <c r="A6425" s="42"/>
      <c r="C6425" s="52"/>
      <c r="D6425"/>
      <c r="E6425"/>
      <c r="F6425"/>
      <c r="M6425" s="1"/>
      <c r="N6425" s="44"/>
    </row>
    <row r="6426" spans="1:14" x14ac:dyDescent="0.3">
      <c r="A6426" s="42"/>
      <c r="C6426" s="52"/>
      <c r="D6426"/>
      <c r="E6426"/>
      <c r="F6426"/>
      <c r="M6426" s="1"/>
      <c r="N6426" s="44"/>
    </row>
    <row r="6427" spans="1:14" x14ac:dyDescent="0.3">
      <c r="A6427" s="42"/>
      <c r="C6427" s="52"/>
      <c r="D6427"/>
      <c r="E6427"/>
      <c r="F6427"/>
      <c r="M6427" s="1"/>
      <c r="N6427" s="44"/>
    </row>
    <row r="6428" spans="1:14" x14ac:dyDescent="0.3">
      <c r="A6428" s="42"/>
      <c r="C6428" s="52"/>
      <c r="D6428"/>
      <c r="E6428"/>
      <c r="F6428"/>
      <c r="M6428" s="1"/>
      <c r="N6428" s="44"/>
    </row>
    <row r="6429" spans="1:14" x14ac:dyDescent="0.3">
      <c r="A6429" s="42"/>
      <c r="C6429" s="52"/>
      <c r="D6429"/>
      <c r="E6429"/>
      <c r="F6429"/>
      <c r="M6429" s="1"/>
      <c r="N6429" s="44"/>
    </row>
    <row r="6430" spans="1:14" x14ac:dyDescent="0.3">
      <c r="A6430" s="42"/>
      <c r="C6430" s="52"/>
      <c r="D6430"/>
      <c r="E6430"/>
      <c r="F6430"/>
      <c r="M6430" s="1"/>
      <c r="N6430" s="44"/>
    </row>
    <row r="6431" spans="1:14" x14ac:dyDescent="0.3">
      <c r="A6431" s="42"/>
      <c r="C6431" s="52"/>
      <c r="D6431"/>
      <c r="E6431"/>
      <c r="F6431"/>
      <c r="M6431" s="1"/>
      <c r="N6431" s="44"/>
    </row>
    <row r="6432" spans="1:14" x14ac:dyDescent="0.3">
      <c r="A6432" s="42"/>
      <c r="C6432" s="52"/>
      <c r="D6432"/>
      <c r="E6432"/>
      <c r="F6432"/>
      <c r="M6432" s="1"/>
      <c r="N6432" s="44"/>
    </row>
    <row r="6433" spans="1:14" x14ac:dyDescent="0.3">
      <c r="A6433" s="42"/>
      <c r="C6433" s="52"/>
      <c r="D6433"/>
      <c r="E6433"/>
      <c r="F6433"/>
      <c r="M6433" s="1"/>
      <c r="N6433" s="44"/>
    </row>
    <row r="6434" spans="1:14" x14ac:dyDescent="0.3">
      <c r="A6434" s="42"/>
      <c r="C6434" s="52"/>
      <c r="D6434"/>
      <c r="E6434"/>
      <c r="F6434"/>
      <c r="M6434" s="1"/>
      <c r="N6434" s="44"/>
    </row>
    <row r="6435" spans="1:14" x14ac:dyDescent="0.3">
      <c r="A6435" s="42"/>
      <c r="C6435" s="52"/>
      <c r="D6435"/>
      <c r="E6435"/>
      <c r="F6435"/>
      <c r="M6435" s="1"/>
      <c r="N6435" s="44"/>
    </row>
    <row r="6436" spans="1:14" x14ac:dyDescent="0.3">
      <c r="A6436" s="42"/>
      <c r="C6436" s="52"/>
      <c r="D6436"/>
      <c r="E6436"/>
      <c r="F6436"/>
      <c r="M6436" s="1"/>
      <c r="N6436" s="44"/>
    </row>
    <row r="6437" spans="1:14" x14ac:dyDescent="0.3">
      <c r="A6437" s="42"/>
      <c r="C6437" s="52"/>
      <c r="D6437"/>
      <c r="E6437"/>
      <c r="F6437"/>
      <c r="M6437" s="1"/>
      <c r="N6437" s="44"/>
    </row>
    <row r="6438" spans="1:14" x14ac:dyDescent="0.3">
      <c r="A6438" s="42"/>
      <c r="C6438" s="52"/>
      <c r="D6438"/>
      <c r="E6438"/>
      <c r="F6438"/>
      <c r="M6438" s="1"/>
      <c r="N6438" s="44"/>
    </row>
    <row r="6439" spans="1:14" x14ac:dyDescent="0.3">
      <c r="A6439" s="42"/>
      <c r="C6439" s="52"/>
      <c r="D6439"/>
      <c r="E6439"/>
      <c r="F6439"/>
      <c r="L6439" s="45"/>
      <c r="M6439" s="1"/>
      <c r="N6439" s="44"/>
    </row>
    <row r="6440" spans="1:14" x14ac:dyDescent="0.3">
      <c r="A6440" s="42"/>
      <c r="C6440" s="52"/>
      <c r="D6440"/>
      <c r="E6440"/>
      <c r="F6440"/>
      <c r="M6440" s="1"/>
      <c r="N6440" s="44"/>
    </row>
    <row r="6441" spans="1:14" x14ac:dyDescent="0.3">
      <c r="A6441" s="42"/>
      <c r="C6441" s="52"/>
      <c r="D6441"/>
      <c r="E6441"/>
      <c r="F6441"/>
      <c r="M6441" s="1"/>
      <c r="N6441" s="44"/>
    </row>
    <row r="6442" spans="1:14" x14ac:dyDescent="0.3">
      <c r="A6442" s="42"/>
      <c r="C6442" s="52"/>
      <c r="D6442"/>
      <c r="E6442"/>
      <c r="F6442"/>
      <c r="L6442" s="45"/>
      <c r="M6442" s="1"/>
      <c r="N6442" s="44"/>
    </row>
    <row r="6443" spans="1:14" x14ac:dyDescent="0.3">
      <c r="A6443" s="42"/>
      <c r="C6443" s="52"/>
      <c r="D6443"/>
      <c r="E6443"/>
      <c r="F6443"/>
      <c r="M6443" s="1"/>
      <c r="N6443" s="44"/>
    </row>
    <row r="6444" spans="1:14" x14ac:dyDescent="0.3">
      <c r="A6444" s="42"/>
      <c r="C6444" s="52"/>
      <c r="D6444"/>
      <c r="E6444"/>
      <c r="F6444"/>
      <c r="M6444" s="1"/>
      <c r="N6444" s="44"/>
    </row>
    <row r="6445" spans="1:14" x14ac:dyDescent="0.3">
      <c r="A6445" s="42"/>
      <c r="C6445" s="52"/>
      <c r="D6445"/>
      <c r="E6445"/>
      <c r="F6445"/>
      <c r="M6445" s="1"/>
      <c r="N6445" s="44"/>
    </row>
    <row r="6446" spans="1:14" x14ac:dyDescent="0.3">
      <c r="A6446" s="42"/>
      <c r="C6446" s="52"/>
      <c r="D6446"/>
      <c r="E6446"/>
      <c r="F6446"/>
      <c r="L6446" s="45"/>
      <c r="M6446" s="1"/>
      <c r="N6446" s="44"/>
    </row>
    <row r="6447" spans="1:14" x14ac:dyDescent="0.3">
      <c r="A6447" s="42"/>
      <c r="C6447" s="52"/>
      <c r="D6447"/>
      <c r="E6447"/>
      <c r="F6447"/>
      <c r="M6447" s="1"/>
      <c r="N6447" s="44"/>
    </row>
    <row r="6448" spans="1:14" x14ac:dyDescent="0.3">
      <c r="A6448" s="42"/>
      <c r="C6448" s="52"/>
      <c r="D6448"/>
      <c r="E6448"/>
      <c r="F6448"/>
      <c r="M6448" s="1"/>
      <c r="N6448" s="44"/>
    </row>
    <row r="6449" spans="1:14" x14ac:dyDescent="0.3">
      <c r="A6449" s="42"/>
      <c r="C6449" s="52"/>
      <c r="D6449"/>
      <c r="E6449"/>
      <c r="F6449"/>
      <c r="M6449" s="1"/>
      <c r="N6449" s="44"/>
    </row>
    <row r="6450" spans="1:14" x14ac:dyDescent="0.3">
      <c r="A6450" s="42"/>
      <c r="C6450" s="52"/>
      <c r="D6450"/>
      <c r="E6450"/>
      <c r="F6450"/>
      <c r="M6450" s="1"/>
      <c r="N6450" s="44"/>
    </row>
    <row r="6451" spans="1:14" x14ac:dyDescent="0.3">
      <c r="A6451" s="42"/>
      <c r="C6451" s="52"/>
      <c r="D6451"/>
      <c r="E6451"/>
      <c r="F6451"/>
      <c r="M6451" s="1"/>
      <c r="N6451" s="44"/>
    </row>
    <row r="6452" spans="1:14" x14ac:dyDescent="0.3">
      <c r="A6452" s="42"/>
      <c r="C6452" s="52"/>
      <c r="D6452"/>
      <c r="E6452"/>
      <c r="F6452"/>
      <c r="M6452" s="1"/>
      <c r="N6452" s="44"/>
    </row>
    <row r="6453" spans="1:14" x14ac:dyDescent="0.3">
      <c r="A6453" s="42"/>
      <c r="C6453" s="52"/>
      <c r="D6453"/>
      <c r="E6453"/>
      <c r="F6453"/>
      <c r="M6453" s="1"/>
      <c r="N6453" s="44"/>
    </row>
    <row r="6454" spans="1:14" x14ac:dyDescent="0.3">
      <c r="A6454" s="42"/>
      <c r="C6454" s="52"/>
      <c r="D6454"/>
      <c r="E6454"/>
      <c r="F6454"/>
      <c r="M6454" s="1"/>
      <c r="N6454" s="44"/>
    </row>
    <row r="6455" spans="1:14" x14ac:dyDescent="0.3">
      <c r="A6455" s="42"/>
      <c r="C6455" s="52"/>
      <c r="D6455"/>
      <c r="E6455"/>
      <c r="F6455"/>
      <c r="L6455" s="45"/>
      <c r="M6455" s="1"/>
      <c r="N6455" s="44"/>
    </row>
    <row r="6456" spans="1:14" x14ac:dyDescent="0.3">
      <c r="A6456" s="42"/>
      <c r="C6456" s="52"/>
      <c r="D6456"/>
      <c r="E6456"/>
      <c r="F6456"/>
      <c r="M6456" s="1"/>
      <c r="N6456" s="44"/>
    </row>
    <row r="6457" spans="1:14" x14ac:dyDescent="0.3">
      <c r="A6457" s="42"/>
      <c r="C6457" s="52"/>
      <c r="D6457"/>
      <c r="E6457"/>
      <c r="F6457"/>
      <c r="L6457" s="45"/>
      <c r="M6457" s="1"/>
      <c r="N6457" s="44"/>
    </row>
    <row r="6458" spans="1:14" x14ac:dyDescent="0.3">
      <c r="A6458" s="42"/>
      <c r="C6458" s="52"/>
      <c r="D6458"/>
      <c r="E6458"/>
      <c r="F6458"/>
      <c r="L6458" s="45"/>
      <c r="M6458" s="1"/>
      <c r="N6458" s="44"/>
    </row>
    <row r="6459" spans="1:14" x14ac:dyDescent="0.3">
      <c r="A6459" s="42"/>
      <c r="C6459" s="52"/>
      <c r="D6459"/>
      <c r="E6459"/>
      <c r="F6459"/>
      <c r="M6459" s="1"/>
      <c r="N6459" s="44"/>
    </row>
    <row r="6460" spans="1:14" x14ac:dyDescent="0.3">
      <c r="A6460" s="42"/>
      <c r="C6460" s="52"/>
      <c r="D6460"/>
      <c r="E6460"/>
      <c r="F6460"/>
      <c r="M6460" s="1"/>
      <c r="N6460" s="44"/>
    </row>
    <row r="6461" spans="1:14" x14ac:dyDescent="0.3">
      <c r="A6461" s="42"/>
      <c r="C6461" s="52"/>
      <c r="D6461"/>
      <c r="E6461"/>
      <c r="F6461"/>
      <c r="M6461" s="54"/>
      <c r="N6461" s="44"/>
    </row>
    <row r="6462" spans="1:14" x14ac:dyDescent="0.3">
      <c r="A6462" s="42"/>
      <c r="C6462" s="52"/>
      <c r="D6462"/>
      <c r="E6462"/>
      <c r="F6462"/>
      <c r="L6462" s="45"/>
      <c r="M6462" s="1"/>
      <c r="N6462" s="44"/>
    </row>
    <row r="6463" spans="1:14" x14ac:dyDescent="0.3">
      <c r="A6463" s="42"/>
      <c r="C6463" s="52"/>
      <c r="D6463"/>
      <c r="E6463"/>
      <c r="F6463"/>
      <c r="M6463" s="1"/>
      <c r="N6463" s="44"/>
    </row>
    <row r="6464" spans="1:14" x14ac:dyDescent="0.3">
      <c r="A6464" s="42"/>
      <c r="C6464" s="52"/>
      <c r="D6464"/>
      <c r="E6464"/>
      <c r="F6464"/>
      <c r="M6464" s="1"/>
      <c r="N6464" s="44"/>
    </row>
    <row r="6465" spans="1:14" x14ac:dyDescent="0.3">
      <c r="A6465" s="42"/>
      <c r="C6465" s="52"/>
      <c r="D6465"/>
      <c r="E6465"/>
      <c r="F6465"/>
      <c r="M6465" s="1"/>
      <c r="N6465" s="44"/>
    </row>
    <row r="6466" spans="1:14" x14ac:dyDescent="0.3">
      <c r="A6466" s="42"/>
      <c r="C6466" s="52"/>
      <c r="D6466"/>
      <c r="E6466"/>
      <c r="F6466"/>
      <c r="L6466" s="45"/>
      <c r="M6466" s="1"/>
      <c r="N6466" s="44"/>
    </row>
    <row r="6467" spans="1:14" x14ac:dyDescent="0.3">
      <c r="A6467" s="42"/>
      <c r="C6467" s="52"/>
      <c r="D6467"/>
      <c r="E6467"/>
      <c r="F6467"/>
      <c r="M6467" s="1"/>
      <c r="N6467" s="44"/>
    </row>
    <row r="6468" spans="1:14" x14ac:dyDescent="0.3">
      <c r="A6468" s="42"/>
      <c r="C6468" s="52"/>
      <c r="D6468"/>
      <c r="E6468"/>
      <c r="F6468"/>
      <c r="M6468" s="1"/>
      <c r="N6468" s="44"/>
    </row>
    <row r="6469" spans="1:14" x14ac:dyDescent="0.3">
      <c r="A6469" s="42"/>
      <c r="C6469" s="52"/>
      <c r="D6469"/>
      <c r="E6469"/>
      <c r="F6469"/>
      <c r="M6469" s="54"/>
      <c r="N6469" s="44"/>
    </row>
    <row r="6470" spans="1:14" x14ac:dyDescent="0.3">
      <c r="A6470" s="42"/>
      <c r="C6470" s="52"/>
      <c r="D6470"/>
      <c r="E6470"/>
      <c r="F6470"/>
      <c r="M6470" s="1"/>
      <c r="N6470" s="44"/>
    </row>
    <row r="6471" spans="1:14" x14ac:dyDescent="0.3">
      <c r="A6471" s="42"/>
      <c r="C6471" s="52"/>
      <c r="D6471"/>
      <c r="E6471"/>
      <c r="F6471"/>
      <c r="M6471" s="1"/>
      <c r="N6471" s="44"/>
    </row>
    <row r="6472" spans="1:14" x14ac:dyDescent="0.3">
      <c r="A6472" s="42"/>
      <c r="C6472" s="52"/>
      <c r="D6472"/>
      <c r="E6472"/>
      <c r="F6472"/>
      <c r="M6472" s="1"/>
      <c r="N6472" s="44"/>
    </row>
    <row r="6473" spans="1:14" x14ac:dyDescent="0.3">
      <c r="A6473" s="42"/>
      <c r="C6473" s="52"/>
      <c r="D6473"/>
      <c r="E6473"/>
      <c r="F6473"/>
      <c r="M6473" s="1"/>
      <c r="N6473" s="44"/>
    </row>
    <row r="6474" spans="1:14" x14ac:dyDescent="0.3">
      <c r="A6474" s="42"/>
      <c r="C6474" s="52"/>
      <c r="D6474"/>
      <c r="E6474"/>
      <c r="F6474"/>
      <c r="M6474" s="1"/>
      <c r="N6474" s="44"/>
    </row>
    <row r="6475" spans="1:14" x14ac:dyDescent="0.3">
      <c r="A6475" s="42"/>
      <c r="C6475" s="52"/>
      <c r="D6475"/>
      <c r="E6475"/>
      <c r="F6475"/>
      <c r="M6475" s="1"/>
      <c r="N6475" s="44"/>
    </row>
    <row r="6476" spans="1:14" x14ac:dyDescent="0.3">
      <c r="A6476" s="42"/>
      <c r="C6476" s="52"/>
      <c r="D6476"/>
      <c r="E6476"/>
      <c r="F6476"/>
      <c r="M6476" s="1"/>
      <c r="N6476" s="44"/>
    </row>
    <row r="6477" spans="1:14" x14ac:dyDescent="0.3">
      <c r="A6477" s="42"/>
      <c r="C6477" s="52"/>
      <c r="D6477"/>
      <c r="E6477"/>
      <c r="F6477"/>
      <c r="M6477" s="1"/>
      <c r="N6477" s="44"/>
    </row>
    <row r="6478" spans="1:14" x14ac:dyDescent="0.3">
      <c r="A6478" s="42"/>
      <c r="C6478" s="52"/>
      <c r="D6478"/>
      <c r="E6478"/>
      <c r="F6478"/>
      <c r="M6478" s="1"/>
      <c r="N6478" s="44"/>
    </row>
    <row r="6479" spans="1:14" x14ac:dyDescent="0.3">
      <c r="A6479" s="42"/>
      <c r="C6479" s="52"/>
      <c r="D6479"/>
      <c r="E6479"/>
      <c r="F6479"/>
      <c r="M6479" s="1"/>
      <c r="N6479" s="44"/>
    </row>
    <row r="6480" spans="1:14" x14ac:dyDescent="0.3">
      <c r="A6480" s="42"/>
      <c r="C6480" s="52"/>
      <c r="D6480"/>
      <c r="E6480"/>
      <c r="F6480"/>
      <c r="L6480" s="45"/>
      <c r="M6480" s="1"/>
      <c r="N6480" s="44"/>
    </row>
    <row r="6481" spans="1:14" x14ac:dyDescent="0.3">
      <c r="A6481" s="42"/>
      <c r="C6481" s="52"/>
      <c r="D6481"/>
      <c r="E6481"/>
      <c r="F6481"/>
      <c r="M6481" s="1"/>
      <c r="N6481" s="44"/>
    </row>
    <row r="6482" spans="1:14" x14ac:dyDescent="0.3">
      <c r="A6482" s="42"/>
      <c r="C6482" s="52"/>
      <c r="D6482"/>
      <c r="E6482"/>
      <c r="F6482"/>
      <c r="M6482" s="1"/>
      <c r="N6482" s="44"/>
    </row>
    <row r="6483" spans="1:14" x14ac:dyDescent="0.3">
      <c r="A6483" s="42"/>
      <c r="C6483" s="52"/>
      <c r="D6483"/>
      <c r="E6483"/>
      <c r="F6483"/>
      <c r="M6483" s="1"/>
      <c r="N6483" s="44"/>
    </row>
    <row r="6484" spans="1:14" x14ac:dyDescent="0.3">
      <c r="A6484" s="42"/>
      <c r="C6484" s="52"/>
      <c r="D6484"/>
      <c r="E6484"/>
      <c r="F6484"/>
      <c r="L6484" s="45"/>
      <c r="M6484" s="1"/>
      <c r="N6484" s="44"/>
    </row>
    <row r="6485" spans="1:14" x14ac:dyDescent="0.3">
      <c r="A6485" s="42"/>
      <c r="C6485" s="52"/>
      <c r="D6485"/>
      <c r="E6485"/>
      <c r="F6485"/>
      <c r="M6485" s="1"/>
      <c r="N6485" s="44"/>
    </row>
    <row r="6486" spans="1:14" x14ac:dyDescent="0.3">
      <c r="A6486" s="42"/>
      <c r="C6486" s="52"/>
      <c r="D6486"/>
      <c r="E6486"/>
      <c r="F6486"/>
      <c r="M6486" s="1"/>
      <c r="N6486" s="44"/>
    </row>
    <row r="6487" spans="1:14" x14ac:dyDescent="0.3">
      <c r="A6487" s="42"/>
      <c r="C6487" s="52"/>
      <c r="D6487"/>
      <c r="E6487"/>
      <c r="F6487"/>
      <c r="L6487" s="45"/>
      <c r="M6487" s="1"/>
      <c r="N6487" s="44"/>
    </row>
    <row r="6488" spans="1:14" x14ac:dyDescent="0.3">
      <c r="A6488" s="42"/>
      <c r="C6488" s="52"/>
      <c r="D6488"/>
      <c r="E6488"/>
      <c r="F6488"/>
      <c r="M6488" s="1"/>
      <c r="N6488" s="44"/>
    </row>
    <row r="6489" spans="1:14" x14ac:dyDescent="0.3">
      <c r="A6489" s="42"/>
      <c r="C6489" s="52"/>
      <c r="D6489"/>
      <c r="E6489"/>
      <c r="F6489"/>
      <c r="M6489" s="1"/>
      <c r="N6489" s="44"/>
    </row>
    <row r="6490" spans="1:14" x14ac:dyDescent="0.3">
      <c r="A6490" s="42"/>
      <c r="C6490" s="52"/>
      <c r="D6490"/>
      <c r="E6490"/>
      <c r="F6490"/>
      <c r="M6490" s="1"/>
      <c r="N6490" s="44"/>
    </row>
    <row r="6491" spans="1:14" x14ac:dyDescent="0.3">
      <c r="A6491" s="42"/>
      <c r="C6491" s="52"/>
      <c r="D6491"/>
      <c r="E6491"/>
      <c r="F6491"/>
      <c r="L6491" s="45"/>
      <c r="M6491" s="1"/>
      <c r="N6491" s="44"/>
    </row>
    <row r="6492" spans="1:14" x14ac:dyDescent="0.3">
      <c r="A6492" s="42"/>
      <c r="C6492" s="52"/>
      <c r="D6492"/>
      <c r="E6492"/>
      <c r="F6492"/>
      <c r="L6492" s="45"/>
      <c r="M6492" s="1"/>
      <c r="N6492" s="44"/>
    </row>
    <row r="6493" spans="1:14" x14ac:dyDescent="0.3">
      <c r="A6493" s="42"/>
      <c r="C6493" s="52"/>
      <c r="D6493"/>
      <c r="E6493"/>
      <c r="F6493"/>
      <c r="M6493" s="1"/>
      <c r="N6493" s="44"/>
    </row>
    <row r="6494" spans="1:14" x14ac:dyDescent="0.3">
      <c r="A6494" s="42"/>
      <c r="C6494" s="52"/>
      <c r="D6494"/>
      <c r="E6494"/>
      <c r="F6494"/>
      <c r="M6494" s="1"/>
      <c r="N6494" s="44"/>
    </row>
    <row r="6495" spans="1:14" x14ac:dyDescent="0.3">
      <c r="A6495" s="42"/>
      <c r="C6495" s="52"/>
      <c r="D6495"/>
      <c r="E6495"/>
      <c r="F6495"/>
      <c r="L6495" s="45"/>
      <c r="M6495" s="1"/>
      <c r="N6495" s="44"/>
    </row>
    <row r="6496" spans="1:14" x14ac:dyDescent="0.3">
      <c r="A6496" s="42"/>
      <c r="C6496" s="52"/>
      <c r="D6496"/>
      <c r="E6496"/>
      <c r="F6496"/>
      <c r="M6496" s="1"/>
      <c r="N6496" s="44"/>
    </row>
    <row r="6497" spans="1:14" x14ac:dyDescent="0.3">
      <c r="A6497" s="42"/>
      <c r="C6497" s="52"/>
      <c r="D6497"/>
      <c r="E6497"/>
      <c r="F6497"/>
      <c r="M6497" s="1"/>
      <c r="N6497" s="44"/>
    </row>
    <row r="6498" spans="1:14" x14ac:dyDescent="0.3">
      <c r="A6498" s="42"/>
      <c r="C6498" s="52"/>
      <c r="D6498"/>
      <c r="E6498"/>
      <c r="F6498"/>
      <c r="M6498" s="1"/>
      <c r="N6498" s="44"/>
    </row>
    <row r="6499" spans="1:14" x14ac:dyDescent="0.3">
      <c r="A6499" s="42"/>
      <c r="C6499" s="52"/>
      <c r="D6499"/>
      <c r="E6499"/>
      <c r="F6499"/>
      <c r="M6499" s="1"/>
      <c r="N6499" s="44"/>
    </row>
    <row r="6500" spans="1:14" x14ac:dyDescent="0.3">
      <c r="A6500" s="42"/>
      <c r="C6500" s="52"/>
      <c r="D6500"/>
      <c r="E6500"/>
      <c r="F6500"/>
      <c r="L6500" s="45"/>
      <c r="M6500" s="1"/>
      <c r="N6500" s="44"/>
    </row>
    <row r="6501" spans="1:14" x14ac:dyDescent="0.3">
      <c r="A6501" s="42"/>
      <c r="C6501" s="52"/>
      <c r="D6501"/>
      <c r="E6501"/>
      <c r="F6501"/>
      <c r="M6501" s="1"/>
      <c r="N6501" s="44"/>
    </row>
    <row r="6502" spans="1:14" x14ac:dyDescent="0.3">
      <c r="A6502" s="42"/>
      <c r="C6502" s="52"/>
      <c r="D6502"/>
      <c r="E6502"/>
      <c r="F6502"/>
      <c r="L6502" s="45"/>
      <c r="M6502" s="1"/>
      <c r="N6502" s="44"/>
    </row>
    <row r="6503" spans="1:14" x14ac:dyDescent="0.3">
      <c r="A6503" s="42"/>
      <c r="C6503" s="52"/>
      <c r="D6503"/>
      <c r="E6503"/>
      <c r="F6503"/>
      <c r="M6503" s="1"/>
      <c r="N6503" s="44"/>
    </row>
    <row r="6504" spans="1:14" x14ac:dyDescent="0.3">
      <c r="A6504" s="42"/>
      <c r="C6504" s="52"/>
      <c r="D6504"/>
      <c r="E6504"/>
      <c r="F6504"/>
      <c r="M6504" s="1"/>
      <c r="N6504" s="44"/>
    </row>
    <row r="6505" spans="1:14" x14ac:dyDescent="0.3">
      <c r="A6505" s="42"/>
      <c r="C6505" s="52"/>
      <c r="D6505"/>
      <c r="E6505"/>
      <c r="F6505"/>
      <c r="M6505" s="1"/>
      <c r="N6505" s="44"/>
    </row>
    <row r="6506" spans="1:14" x14ac:dyDescent="0.3">
      <c r="A6506" s="42"/>
      <c r="C6506" s="52"/>
      <c r="D6506"/>
      <c r="E6506"/>
      <c r="F6506"/>
      <c r="M6506" s="1"/>
      <c r="N6506" s="44"/>
    </row>
    <row r="6507" spans="1:14" x14ac:dyDescent="0.3">
      <c r="A6507" s="42"/>
      <c r="C6507" s="52"/>
      <c r="D6507"/>
      <c r="E6507"/>
      <c r="F6507"/>
      <c r="M6507" s="1"/>
      <c r="N6507" s="44"/>
    </row>
    <row r="6508" spans="1:14" x14ac:dyDescent="0.3">
      <c r="A6508" s="42"/>
      <c r="C6508" s="52"/>
      <c r="D6508"/>
      <c r="E6508"/>
      <c r="F6508"/>
      <c r="M6508" s="1"/>
      <c r="N6508" s="44"/>
    </row>
    <row r="6509" spans="1:14" x14ac:dyDescent="0.3">
      <c r="A6509" s="42"/>
      <c r="C6509" s="52"/>
      <c r="D6509"/>
      <c r="E6509"/>
      <c r="F6509"/>
      <c r="M6509" s="1"/>
      <c r="N6509" s="44"/>
    </row>
    <row r="6510" spans="1:14" x14ac:dyDescent="0.3">
      <c r="A6510" s="42"/>
      <c r="C6510" s="52"/>
      <c r="D6510"/>
      <c r="E6510"/>
      <c r="F6510"/>
      <c r="M6510" s="1"/>
      <c r="N6510" s="44"/>
    </row>
    <row r="6511" spans="1:14" x14ac:dyDescent="0.3">
      <c r="A6511" s="42"/>
      <c r="C6511" s="52"/>
      <c r="D6511"/>
      <c r="E6511"/>
      <c r="F6511"/>
      <c r="M6511" s="1"/>
      <c r="N6511" s="44"/>
    </row>
    <row r="6512" spans="1:14" x14ac:dyDescent="0.3">
      <c r="A6512" s="42"/>
      <c r="C6512" s="52"/>
      <c r="D6512"/>
      <c r="E6512"/>
      <c r="F6512"/>
      <c r="M6512" s="1"/>
      <c r="N6512" s="44"/>
    </row>
    <row r="6513" spans="1:14" x14ac:dyDescent="0.3">
      <c r="A6513" s="42"/>
      <c r="C6513" s="52"/>
      <c r="D6513"/>
      <c r="E6513"/>
      <c r="F6513"/>
      <c r="M6513" s="1"/>
      <c r="N6513" s="44"/>
    </row>
    <row r="6514" spans="1:14" x14ac:dyDescent="0.3">
      <c r="A6514" s="42"/>
      <c r="C6514" s="52"/>
      <c r="D6514"/>
      <c r="E6514"/>
      <c r="F6514"/>
      <c r="M6514" s="1"/>
      <c r="N6514" s="44"/>
    </row>
    <row r="6515" spans="1:14" x14ac:dyDescent="0.3">
      <c r="A6515" s="42"/>
      <c r="C6515" s="52"/>
      <c r="D6515"/>
      <c r="E6515"/>
      <c r="F6515"/>
      <c r="M6515" s="1"/>
      <c r="N6515" s="44"/>
    </row>
    <row r="6516" spans="1:14" x14ac:dyDescent="0.3">
      <c r="A6516" s="42"/>
      <c r="C6516" s="52"/>
      <c r="D6516"/>
      <c r="E6516"/>
      <c r="F6516"/>
      <c r="M6516" s="1"/>
      <c r="N6516" s="44"/>
    </row>
    <row r="6517" spans="1:14" x14ac:dyDescent="0.3">
      <c r="A6517" s="42"/>
      <c r="C6517" s="52"/>
      <c r="D6517"/>
      <c r="E6517"/>
      <c r="F6517"/>
      <c r="M6517" s="1"/>
      <c r="N6517" s="44"/>
    </row>
    <row r="6518" spans="1:14" x14ac:dyDescent="0.3">
      <c r="A6518" s="42"/>
      <c r="C6518" s="52"/>
      <c r="D6518"/>
      <c r="E6518"/>
      <c r="F6518"/>
      <c r="L6518" s="45"/>
      <c r="N6518" s="44"/>
    </row>
    <row r="6519" spans="1:14" x14ac:dyDescent="0.3">
      <c r="A6519" s="42"/>
      <c r="C6519" s="52"/>
      <c r="D6519"/>
      <c r="E6519"/>
      <c r="F6519"/>
      <c r="N6519" s="44"/>
    </row>
    <row r="6520" spans="1:14" x14ac:dyDescent="0.3">
      <c r="A6520" s="42"/>
      <c r="C6520" s="52"/>
      <c r="D6520"/>
      <c r="E6520"/>
      <c r="F6520"/>
      <c r="L6520" s="45"/>
      <c r="N6520" s="44"/>
    </row>
    <row r="6521" spans="1:14" x14ac:dyDescent="0.3">
      <c r="A6521" s="42"/>
      <c r="C6521" s="52"/>
      <c r="D6521"/>
      <c r="E6521"/>
      <c r="F6521"/>
      <c r="N6521" s="44"/>
    </row>
    <row r="6522" spans="1:14" x14ac:dyDescent="0.3">
      <c r="A6522" s="42"/>
      <c r="C6522" s="52"/>
      <c r="D6522"/>
      <c r="E6522"/>
      <c r="F6522"/>
      <c r="N6522" s="44"/>
    </row>
    <row r="6523" spans="1:14" x14ac:dyDescent="0.3">
      <c r="A6523" s="42"/>
      <c r="C6523" s="52"/>
      <c r="D6523"/>
      <c r="E6523"/>
      <c r="F6523"/>
      <c r="N6523" s="44"/>
    </row>
    <row r="6524" spans="1:14" x14ac:dyDescent="0.3">
      <c r="A6524" s="42"/>
      <c r="C6524" s="52"/>
      <c r="D6524"/>
      <c r="E6524"/>
      <c r="F6524"/>
      <c r="L6524" s="45"/>
      <c r="N6524" s="44"/>
    </row>
    <row r="6525" spans="1:14" x14ac:dyDescent="0.3">
      <c r="A6525" s="42"/>
      <c r="C6525" s="52"/>
      <c r="D6525"/>
      <c r="E6525"/>
      <c r="F6525"/>
      <c r="N6525" s="44"/>
    </row>
    <row r="6526" spans="1:14" x14ac:dyDescent="0.3">
      <c r="A6526" s="42"/>
      <c r="C6526" s="52"/>
      <c r="D6526"/>
      <c r="E6526"/>
      <c r="F6526"/>
      <c r="N6526" s="44"/>
    </row>
    <row r="6527" spans="1:14" x14ac:dyDescent="0.3">
      <c r="A6527" s="42"/>
      <c r="C6527" s="52"/>
      <c r="D6527"/>
      <c r="E6527"/>
      <c r="F6527"/>
      <c r="N6527" s="44"/>
    </row>
    <row r="6528" spans="1:14" x14ac:dyDescent="0.3">
      <c r="A6528" s="42"/>
      <c r="C6528" s="52"/>
      <c r="D6528"/>
      <c r="E6528"/>
      <c r="F6528"/>
      <c r="L6528" s="45"/>
      <c r="N6528" s="44"/>
    </row>
    <row r="6529" spans="1:14" x14ac:dyDescent="0.3">
      <c r="A6529" s="42"/>
      <c r="C6529" s="52"/>
      <c r="D6529"/>
      <c r="E6529"/>
      <c r="F6529"/>
      <c r="N6529" s="44"/>
    </row>
    <row r="6530" spans="1:14" x14ac:dyDescent="0.3">
      <c r="A6530" s="42"/>
      <c r="C6530" s="52"/>
      <c r="D6530"/>
      <c r="E6530"/>
      <c r="F6530"/>
      <c r="L6530" s="45"/>
      <c r="N6530" s="44"/>
    </row>
    <row r="6531" spans="1:14" x14ac:dyDescent="0.3">
      <c r="A6531" s="42"/>
      <c r="C6531" s="52"/>
      <c r="D6531"/>
      <c r="E6531"/>
      <c r="F6531"/>
      <c r="N6531" s="44"/>
    </row>
    <row r="6532" spans="1:14" x14ac:dyDescent="0.3">
      <c r="A6532" s="42"/>
      <c r="C6532" s="52"/>
      <c r="D6532"/>
      <c r="E6532"/>
      <c r="F6532"/>
      <c r="N6532" s="44"/>
    </row>
    <row r="6533" spans="1:14" x14ac:dyDescent="0.3">
      <c r="A6533" s="42"/>
      <c r="C6533" s="52"/>
      <c r="D6533"/>
      <c r="E6533"/>
      <c r="F6533"/>
      <c r="N6533" s="44"/>
    </row>
    <row r="6534" spans="1:14" x14ac:dyDescent="0.3">
      <c r="A6534" s="42"/>
      <c r="C6534" s="52"/>
      <c r="D6534"/>
      <c r="E6534"/>
      <c r="F6534"/>
      <c r="N6534" s="44"/>
    </row>
    <row r="6535" spans="1:14" x14ac:dyDescent="0.3">
      <c r="A6535" s="42"/>
      <c r="C6535" s="52"/>
      <c r="D6535"/>
      <c r="E6535"/>
      <c r="F6535"/>
      <c r="N6535" s="44"/>
    </row>
    <row r="6536" spans="1:14" x14ac:dyDescent="0.3">
      <c r="A6536" s="42"/>
      <c r="C6536" s="52"/>
      <c r="D6536"/>
      <c r="E6536"/>
      <c r="F6536"/>
      <c r="N6536" s="44"/>
    </row>
    <row r="6537" spans="1:14" x14ac:dyDescent="0.3">
      <c r="A6537" s="42"/>
      <c r="C6537" s="52"/>
      <c r="D6537"/>
      <c r="E6537"/>
      <c r="F6537"/>
      <c r="L6537" s="45"/>
      <c r="N6537" s="44"/>
    </row>
    <row r="6538" spans="1:14" x14ac:dyDescent="0.3">
      <c r="A6538" s="42"/>
      <c r="C6538" s="52"/>
      <c r="D6538"/>
      <c r="E6538"/>
      <c r="F6538"/>
      <c r="N6538" s="44"/>
    </row>
    <row r="6539" spans="1:14" x14ac:dyDescent="0.3">
      <c r="A6539" s="42"/>
      <c r="C6539" s="52"/>
      <c r="D6539"/>
      <c r="E6539"/>
      <c r="F6539"/>
      <c r="N6539" s="44"/>
    </row>
    <row r="6540" spans="1:14" x14ac:dyDescent="0.3">
      <c r="A6540" s="42"/>
      <c r="C6540" s="52"/>
      <c r="D6540"/>
      <c r="E6540"/>
      <c r="F6540"/>
      <c r="N6540" s="44"/>
    </row>
    <row r="6541" spans="1:14" x14ac:dyDescent="0.3">
      <c r="A6541" s="42"/>
      <c r="C6541" s="52"/>
      <c r="D6541"/>
      <c r="E6541"/>
      <c r="F6541"/>
      <c r="N6541" s="44"/>
    </row>
    <row r="6542" spans="1:14" x14ac:dyDescent="0.3">
      <c r="A6542" s="42"/>
      <c r="C6542" s="52"/>
      <c r="D6542"/>
      <c r="E6542"/>
      <c r="F6542"/>
      <c r="N6542" s="44"/>
    </row>
    <row r="6543" spans="1:14" x14ac:dyDescent="0.3">
      <c r="A6543" s="42"/>
      <c r="C6543" s="52"/>
      <c r="D6543"/>
      <c r="E6543"/>
      <c r="F6543"/>
      <c r="N6543" s="44"/>
    </row>
    <row r="6544" spans="1:14" x14ac:dyDescent="0.3">
      <c r="A6544" s="42"/>
      <c r="C6544" s="52"/>
      <c r="D6544"/>
      <c r="E6544"/>
      <c r="F6544"/>
      <c r="N6544" s="44"/>
    </row>
    <row r="6545" spans="1:14" x14ac:dyDescent="0.3">
      <c r="A6545" s="42"/>
      <c r="C6545" s="52"/>
      <c r="D6545"/>
      <c r="E6545"/>
      <c r="F6545"/>
      <c r="L6545" s="45"/>
      <c r="N6545" s="44"/>
    </row>
    <row r="6546" spans="1:14" x14ac:dyDescent="0.3">
      <c r="A6546" s="42"/>
      <c r="C6546" s="52"/>
      <c r="D6546"/>
      <c r="E6546"/>
      <c r="F6546"/>
      <c r="N6546" s="44"/>
    </row>
    <row r="6547" spans="1:14" x14ac:dyDescent="0.3">
      <c r="A6547" s="42"/>
      <c r="C6547" s="52"/>
      <c r="D6547"/>
      <c r="E6547"/>
      <c r="F6547"/>
      <c r="N6547" s="44"/>
    </row>
    <row r="6548" spans="1:14" x14ac:dyDescent="0.3">
      <c r="A6548" s="42"/>
      <c r="C6548" s="52"/>
      <c r="D6548"/>
      <c r="E6548"/>
      <c r="F6548"/>
      <c r="N6548" s="44"/>
    </row>
    <row r="6549" spans="1:14" x14ac:dyDescent="0.3">
      <c r="A6549" s="42"/>
      <c r="C6549" s="52"/>
      <c r="D6549"/>
      <c r="E6549"/>
      <c r="F6549"/>
      <c r="N6549" s="44"/>
    </row>
    <row r="6550" spans="1:14" x14ac:dyDescent="0.3">
      <c r="A6550" s="42"/>
      <c r="C6550" s="52"/>
      <c r="D6550"/>
      <c r="E6550"/>
      <c r="F6550"/>
      <c r="N6550" s="44"/>
    </row>
    <row r="6551" spans="1:14" x14ac:dyDescent="0.3">
      <c r="A6551" s="42"/>
      <c r="C6551" s="52"/>
      <c r="D6551"/>
      <c r="E6551"/>
      <c r="F6551"/>
      <c r="L6551" s="45"/>
      <c r="N6551" s="44"/>
    </row>
    <row r="6552" spans="1:14" x14ac:dyDescent="0.3">
      <c r="A6552" s="42"/>
      <c r="C6552" s="52"/>
      <c r="D6552"/>
      <c r="E6552"/>
      <c r="F6552"/>
      <c r="N6552" s="44"/>
    </row>
    <row r="6553" spans="1:14" x14ac:dyDescent="0.3">
      <c r="A6553" s="42"/>
      <c r="C6553" s="52"/>
      <c r="D6553"/>
      <c r="E6553"/>
      <c r="F6553"/>
      <c r="M6553" s="45"/>
      <c r="N6553" s="44"/>
    </row>
    <row r="6554" spans="1:14" x14ac:dyDescent="0.3">
      <c r="A6554" s="42"/>
      <c r="C6554" s="52"/>
      <c r="D6554"/>
      <c r="E6554"/>
      <c r="F6554"/>
      <c r="L6554" s="45"/>
      <c r="N6554" s="44"/>
    </row>
    <row r="6555" spans="1:14" x14ac:dyDescent="0.3">
      <c r="A6555" s="42"/>
      <c r="C6555" s="52"/>
      <c r="D6555"/>
      <c r="E6555"/>
      <c r="F6555"/>
      <c r="N6555" s="44"/>
    </row>
    <row r="6556" spans="1:14" x14ac:dyDescent="0.3">
      <c r="A6556" s="42"/>
      <c r="C6556" s="52"/>
      <c r="D6556"/>
      <c r="E6556"/>
      <c r="F6556"/>
      <c r="N6556" s="44"/>
    </row>
    <row r="6557" spans="1:14" x14ac:dyDescent="0.3">
      <c r="A6557" s="42"/>
      <c r="C6557" s="52"/>
      <c r="D6557"/>
      <c r="E6557"/>
      <c r="F6557"/>
      <c r="N6557" s="44"/>
    </row>
    <row r="6558" spans="1:14" x14ac:dyDescent="0.3">
      <c r="A6558" s="42"/>
      <c r="C6558" s="52"/>
      <c r="D6558"/>
      <c r="E6558"/>
      <c r="F6558"/>
      <c r="N6558" s="44"/>
    </row>
    <row r="6559" spans="1:14" x14ac:dyDescent="0.3">
      <c r="A6559" s="42"/>
      <c r="C6559" s="52"/>
      <c r="D6559"/>
      <c r="E6559"/>
      <c r="F6559"/>
      <c r="N6559" s="44"/>
    </row>
    <row r="6560" spans="1:14" x14ac:dyDescent="0.3">
      <c r="A6560" s="42"/>
      <c r="C6560" s="52"/>
      <c r="D6560"/>
      <c r="E6560"/>
      <c r="F6560"/>
      <c r="N6560" s="44"/>
    </row>
    <row r="6561" spans="1:14" x14ac:dyDescent="0.3">
      <c r="A6561" s="42"/>
      <c r="C6561" s="52"/>
      <c r="D6561"/>
      <c r="E6561"/>
      <c r="F6561"/>
      <c r="N6561" s="44"/>
    </row>
    <row r="6562" spans="1:14" x14ac:dyDescent="0.3">
      <c r="A6562" s="42"/>
      <c r="C6562" s="52"/>
      <c r="D6562"/>
      <c r="E6562"/>
      <c r="F6562"/>
      <c r="N6562" s="44"/>
    </row>
    <row r="6563" spans="1:14" x14ac:dyDescent="0.3">
      <c r="A6563" s="42"/>
      <c r="C6563" s="52"/>
      <c r="D6563"/>
      <c r="E6563"/>
      <c r="F6563"/>
      <c r="L6563" s="45"/>
      <c r="N6563" s="44"/>
    </row>
    <row r="6564" spans="1:14" x14ac:dyDescent="0.3">
      <c r="A6564" s="42"/>
      <c r="C6564" s="52"/>
      <c r="D6564"/>
      <c r="E6564"/>
      <c r="F6564"/>
      <c r="L6564" s="45"/>
      <c r="N6564" s="44"/>
    </row>
    <row r="6565" spans="1:14" x14ac:dyDescent="0.3">
      <c r="A6565" s="42"/>
      <c r="C6565" s="52"/>
      <c r="D6565"/>
      <c r="E6565"/>
      <c r="F6565"/>
      <c r="L6565" s="45"/>
      <c r="N6565" s="44"/>
    </row>
    <row r="6566" spans="1:14" x14ac:dyDescent="0.3">
      <c r="A6566" s="42"/>
      <c r="C6566" s="52"/>
      <c r="D6566"/>
      <c r="E6566"/>
      <c r="F6566"/>
      <c r="N6566" s="44"/>
    </row>
    <row r="6567" spans="1:14" x14ac:dyDescent="0.3">
      <c r="A6567" s="42"/>
      <c r="C6567" s="52"/>
      <c r="D6567"/>
      <c r="E6567"/>
      <c r="F6567"/>
      <c r="L6567" s="45"/>
      <c r="M6567" s="45"/>
      <c r="N6567" s="44"/>
    </row>
    <row r="6568" spans="1:14" x14ac:dyDescent="0.3">
      <c r="A6568" s="42"/>
      <c r="C6568" s="52"/>
      <c r="D6568"/>
      <c r="E6568"/>
      <c r="F6568"/>
      <c r="L6568" s="45"/>
      <c r="N6568" s="44"/>
    </row>
    <row r="6569" spans="1:14" x14ac:dyDescent="0.3">
      <c r="A6569" s="42"/>
      <c r="C6569" s="52"/>
      <c r="D6569"/>
      <c r="E6569"/>
      <c r="F6569"/>
      <c r="L6569" s="45"/>
      <c r="N6569" s="44"/>
    </row>
    <row r="6570" spans="1:14" x14ac:dyDescent="0.3">
      <c r="A6570" s="42"/>
      <c r="C6570" s="52"/>
      <c r="D6570"/>
      <c r="E6570"/>
      <c r="F6570"/>
      <c r="L6570" s="45"/>
      <c r="N6570" s="44"/>
    </row>
    <row r="6571" spans="1:14" x14ac:dyDescent="0.3">
      <c r="A6571" s="42"/>
      <c r="C6571" s="52"/>
      <c r="D6571"/>
      <c r="E6571"/>
      <c r="F6571"/>
      <c r="L6571" s="45"/>
      <c r="N6571" s="44"/>
    </row>
    <row r="6572" spans="1:14" x14ac:dyDescent="0.3">
      <c r="A6572" s="42"/>
      <c r="C6572" s="52"/>
      <c r="D6572"/>
      <c r="E6572"/>
      <c r="F6572"/>
      <c r="L6572" s="45"/>
      <c r="N6572" s="44"/>
    </row>
    <row r="6573" spans="1:14" x14ac:dyDescent="0.3">
      <c r="A6573" s="42"/>
      <c r="C6573" s="52"/>
      <c r="D6573"/>
      <c r="E6573"/>
      <c r="F6573"/>
      <c r="N6573" s="44"/>
    </row>
    <row r="6574" spans="1:14" x14ac:dyDescent="0.3">
      <c r="A6574" s="42"/>
      <c r="C6574" s="52"/>
      <c r="D6574"/>
      <c r="E6574"/>
      <c r="F6574"/>
      <c r="L6574" s="45"/>
      <c r="N6574" s="44"/>
    </row>
    <row r="6575" spans="1:14" x14ac:dyDescent="0.3">
      <c r="A6575" s="42"/>
      <c r="C6575" s="52"/>
      <c r="D6575"/>
      <c r="E6575"/>
      <c r="F6575"/>
      <c r="L6575" s="45"/>
      <c r="N6575" s="44"/>
    </row>
    <row r="6576" spans="1:14" x14ac:dyDescent="0.3">
      <c r="A6576" s="42"/>
      <c r="C6576" s="52"/>
      <c r="D6576"/>
      <c r="E6576"/>
      <c r="F6576"/>
      <c r="L6576" s="45"/>
      <c r="N6576" s="44"/>
    </row>
    <row r="6577" spans="1:14" x14ac:dyDescent="0.3">
      <c r="A6577" s="42"/>
      <c r="C6577" s="52"/>
      <c r="D6577"/>
      <c r="E6577"/>
      <c r="F6577"/>
      <c r="N6577" s="44"/>
    </row>
    <row r="6578" spans="1:14" x14ac:dyDescent="0.3">
      <c r="A6578" s="42"/>
      <c r="C6578" s="52"/>
      <c r="D6578"/>
      <c r="E6578"/>
      <c r="F6578"/>
      <c r="L6578" s="45"/>
      <c r="N6578" s="44"/>
    </row>
    <row r="6579" spans="1:14" x14ac:dyDescent="0.3">
      <c r="A6579" s="42"/>
      <c r="C6579" s="52"/>
      <c r="D6579"/>
      <c r="E6579"/>
      <c r="F6579"/>
      <c r="L6579" s="45"/>
      <c r="N6579" s="44"/>
    </row>
    <row r="6580" spans="1:14" x14ac:dyDescent="0.3">
      <c r="A6580" s="42"/>
      <c r="C6580" s="52"/>
      <c r="D6580"/>
      <c r="E6580"/>
      <c r="F6580"/>
      <c r="L6580" s="45"/>
      <c r="N6580" s="44"/>
    </row>
    <row r="6581" spans="1:14" x14ac:dyDescent="0.3">
      <c r="A6581" s="42"/>
      <c r="C6581" s="52"/>
      <c r="D6581"/>
      <c r="E6581"/>
      <c r="F6581"/>
      <c r="N6581" s="44"/>
    </row>
    <row r="6582" spans="1:14" x14ac:dyDescent="0.3">
      <c r="A6582" s="42"/>
      <c r="C6582" s="52"/>
      <c r="D6582"/>
      <c r="E6582"/>
      <c r="F6582"/>
      <c r="N6582" s="44"/>
    </row>
    <row r="6583" spans="1:14" x14ac:dyDescent="0.3">
      <c r="A6583" s="42"/>
      <c r="C6583" s="52"/>
      <c r="D6583"/>
      <c r="E6583"/>
      <c r="F6583"/>
      <c r="L6583" s="45"/>
      <c r="N6583" s="44"/>
    </row>
    <row r="6584" spans="1:14" x14ac:dyDescent="0.3">
      <c r="A6584" s="42"/>
      <c r="C6584" s="52"/>
      <c r="D6584"/>
      <c r="E6584"/>
      <c r="F6584"/>
      <c r="L6584" s="45"/>
      <c r="N6584" s="44"/>
    </row>
    <row r="6585" spans="1:14" x14ac:dyDescent="0.3">
      <c r="A6585" s="42"/>
      <c r="C6585" s="52"/>
      <c r="D6585"/>
      <c r="E6585"/>
      <c r="F6585"/>
      <c r="L6585" s="45"/>
      <c r="N6585" s="44"/>
    </row>
    <row r="6586" spans="1:14" x14ac:dyDescent="0.3">
      <c r="A6586" s="42"/>
      <c r="C6586" s="52"/>
      <c r="D6586"/>
      <c r="E6586"/>
      <c r="F6586"/>
      <c r="L6586" s="45"/>
      <c r="N6586" s="44"/>
    </row>
    <row r="6587" spans="1:14" x14ac:dyDescent="0.3">
      <c r="A6587" s="42"/>
      <c r="C6587" s="52"/>
      <c r="D6587"/>
      <c r="E6587"/>
      <c r="F6587"/>
      <c r="L6587" s="45"/>
      <c r="N6587" s="44"/>
    </row>
    <row r="6588" spans="1:14" x14ac:dyDescent="0.3">
      <c r="A6588" s="42"/>
      <c r="C6588" s="52"/>
      <c r="D6588"/>
      <c r="E6588"/>
      <c r="F6588"/>
      <c r="N6588" s="44"/>
    </row>
    <row r="6589" spans="1:14" x14ac:dyDescent="0.3">
      <c r="A6589" s="42"/>
      <c r="C6589" s="52"/>
      <c r="D6589"/>
      <c r="E6589"/>
      <c r="F6589"/>
      <c r="N6589" s="44"/>
    </row>
    <row r="6590" spans="1:14" x14ac:dyDescent="0.3">
      <c r="A6590" s="42"/>
      <c r="C6590" s="52"/>
      <c r="D6590"/>
      <c r="E6590"/>
      <c r="F6590"/>
      <c r="N6590" s="44"/>
    </row>
    <row r="6591" spans="1:14" x14ac:dyDescent="0.3">
      <c r="A6591" s="42"/>
      <c r="C6591" s="52"/>
      <c r="D6591"/>
      <c r="E6591"/>
      <c r="F6591"/>
      <c r="L6591" s="45"/>
      <c r="N6591" s="44"/>
    </row>
    <row r="6592" spans="1:14" x14ac:dyDescent="0.3">
      <c r="A6592" s="42"/>
      <c r="C6592" s="52"/>
      <c r="D6592"/>
      <c r="E6592"/>
      <c r="F6592"/>
      <c r="L6592" s="45"/>
      <c r="N6592" s="44"/>
    </row>
    <row r="6593" spans="1:14" x14ac:dyDescent="0.3">
      <c r="A6593" s="42"/>
      <c r="C6593" s="52"/>
      <c r="D6593"/>
      <c r="E6593"/>
      <c r="F6593"/>
      <c r="L6593" s="45"/>
      <c r="N6593" s="44"/>
    </row>
    <row r="6594" spans="1:14" x14ac:dyDescent="0.3">
      <c r="A6594" s="42"/>
      <c r="C6594" s="52"/>
      <c r="D6594"/>
      <c r="E6594"/>
      <c r="F6594"/>
      <c r="L6594" s="45"/>
      <c r="N6594" s="44"/>
    </row>
    <row r="6595" spans="1:14" x14ac:dyDescent="0.3">
      <c r="A6595" s="42"/>
      <c r="C6595" s="52"/>
      <c r="D6595"/>
      <c r="E6595"/>
      <c r="F6595"/>
      <c r="N6595" s="44"/>
    </row>
    <row r="6596" spans="1:14" x14ac:dyDescent="0.3">
      <c r="A6596" s="42"/>
      <c r="C6596" s="52"/>
      <c r="D6596"/>
      <c r="E6596"/>
      <c r="F6596"/>
      <c r="N6596" s="44"/>
    </row>
    <row r="6597" spans="1:14" x14ac:dyDescent="0.3">
      <c r="A6597" s="42"/>
      <c r="C6597" s="52"/>
      <c r="D6597"/>
      <c r="E6597"/>
      <c r="F6597"/>
      <c r="L6597" s="45"/>
      <c r="N6597" s="44"/>
    </row>
    <row r="6598" spans="1:14" x14ac:dyDescent="0.3">
      <c r="A6598" s="42"/>
      <c r="C6598" s="52"/>
      <c r="D6598"/>
      <c r="E6598"/>
      <c r="F6598"/>
      <c r="M6598" s="45"/>
      <c r="N6598" s="44"/>
    </row>
    <row r="6599" spans="1:14" x14ac:dyDescent="0.3">
      <c r="A6599" s="42"/>
      <c r="C6599" s="52"/>
      <c r="D6599"/>
      <c r="E6599"/>
      <c r="F6599"/>
      <c r="N6599" s="44"/>
    </row>
    <row r="6600" spans="1:14" x14ac:dyDescent="0.3">
      <c r="A6600" s="42"/>
      <c r="C6600" s="52"/>
      <c r="D6600"/>
      <c r="E6600"/>
      <c r="F6600"/>
      <c r="N6600" s="44"/>
    </row>
    <row r="6601" spans="1:14" x14ac:dyDescent="0.3">
      <c r="A6601" s="42"/>
      <c r="C6601" s="52"/>
      <c r="D6601"/>
      <c r="E6601"/>
      <c r="F6601"/>
      <c r="L6601" s="45"/>
      <c r="M6601" s="45"/>
      <c r="N6601" s="44"/>
    </row>
    <row r="6602" spans="1:14" x14ac:dyDescent="0.3">
      <c r="A6602" s="42"/>
      <c r="C6602" s="52"/>
      <c r="D6602"/>
      <c r="E6602"/>
      <c r="F6602"/>
      <c r="N6602" s="44"/>
    </row>
    <row r="6603" spans="1:14" x14ac:dyDescent="0.3">
      <c r="A6603" s="42"/>
      <c r="C6603" s="52"/>
      <c r="D6603"/>
      <c r="E6603"/>
      <c r="F6603"/>
      <c r="N6603" s="44"/>
    </row>
    <row r="6604" spans="1:14" x14ac:dyDescent="0.3">
      <c r="A6604" s="42"/>
      <c r="C6604" s="52"/>
      <c r="D6604"/>
      <c r="E6604"/>
      <c r="F6604"/>
      <c r="N6604" s="44"/>
    </row>
    <row r="6605" spans="1:14" x14ac:dyDescent="0.3">
      <c r="A6605" s="42"/>
      <c r="C6605" s="52"/>
      <c r="D6605"/>
      <c r="E6605"/>
      <c r="F6605"/>
      <c r="N6605" s="44"/>
    </row>
    <row r="6606" spans="1:14" x14ac:dyDescent="0.3">
      <c r="A6606" s="42"/>
      <c r="C6606" s="52"/>
      <c r="D6606"/>
      <c r="E6606"/>
      <c r="F6606"/>
      <c r="N6606" s="44"/>
    </row>
    <row r="6607" spans="1:14" x14ac:dyDescent="0.3">
      <c r="A6607" s="42"/>
      <c r="C6607" s="52"/>
      <c r="D6607"/>
      <c r="E6607"/>
      <c r="F6607"/>
      <c r="N6607" s="44"/>
    </row>
    <row r="6608" spans="1:14" x14ac:dyDescent="0.3">
      <c r="A6608" s="42"/>
      <c r="C6608" s="52"/>
      <c r="D6608"/>
      <c r="E6608"/>
      <c r="F6608"/>
      <c r="L6608" s="45"/>
      <c r="N6608" s="44"/>
    </row>
    <row r="6609" spans="1:14" x14ac:dyDescent="0.3">
      <c r="A6609" s="42"/>
      <c r="C6609" s="52"/>
      <c r="D6609"/>
      <c r="E6609"/>
      <c r="F6609"/>
      <c r="N6609" s="44"/>
    </row>
    <row r="6610" spans="1:14" x14ac:dyDescent="0.3">
      <c r="A6610" s="42"/>
      <c r="C6610" s="52"/>
      <c r="D6610"/>
      <c r="E6610"/>
      <c r="F6610"/>
      <c r="N6610" s="44"/>
    </row>
    <row r="6611" spans="1:14" x14ac:dyDescent="0.3">
      <c r="A6611" s="42"/>
      <c r="C6611" s="52"/>
      <c r="D6611"/>
      <c r="E6611"/>
      <c r="F6611"/>
      <c r="L6611" s="45"/>
      <c r="N6611" s="44"/>
    </row>
    <row r="6612" spans="1:14" x14ac:dyDescent="0.3">
      <c r="A6612" s="42"/>
      <c r="C6612" s="52"/>
      <c r="D6612"/>
      <c r="E6612"/>
      <c r="F6612"/>
      <c r="N6612" s="44"/>
    </row>
    <row r="6613" spans="1:14" x14ac:dyDescent="0.3">
      <c r="A6613" s="42"/>
      <c r="C6613" s="52"/>
      <c r="D6613"/>
      <c r="E6613"/>
      <c r="F6613"/>
      <c r="N6613" s="44"/>
    </row>
    <row r="6614" spans="1:14" x14ac:dyDescent="0.3">
      <c r="A6614" s="42"/>
      <c r="C6614" s="52"/>
      <c r="D6614"/>
      <c r="E6614"/>
      <c r="F6614"/>
      <c r="N6614" s="44"/>
    </row>
    <row r="6615" spans="1:14" x14ac:dyDescent="0.3">
      <c r="A6615" s="42"/>
      <c r="C6615" s="52"/>
      <c r="D6615"/>
      <c r="E6615"/>
      <c r="F6615"/>
      <c r="L6615" s="45"/>
      <c r="N6615" s="44"/>
    </row>
    <row r="6616" spans="1:14" x14ac:dyDescent="0.3">
      <c r="A6616" s="42"/>
      <c r="C6616" s="52"/>
      <c r="D6616"/>
      <c r="E6616"/>
      <c r="F6616"/>
      <c r="N6616" s="44"/>
    </row>
    <row r="6617" spans="1:14" x14ac:dyDescent="0.3">
      <c r="A6617" s="42"/>
      <c r="C6617" s="52"/>
      <c r="D6617"/>
      <c r="E6617"/>
      <c r="F6617"/>
      <c r="N6617" s="44"/>
    </row>
    <row r="6618" spans="1:14" x14ac:dyDescent="0.3">
      <c r="A6618" s="42"/>
      <c r="C6618" s="52"/>
      <c r="D6618"/>
      <c r="E6618"/>
      <c r="F6618"/>
      <c r="N6618" s="44"/>
    </row>
    <row r="6619" spans="1:14" x14ac:dyDescent="0.3">
      <c r="A6619" s="42"/>
      <c r="C6619" s="52"/>
      <c r="D6619"/>
      <c r="E6619"/>
      <c r="F6619"/>
      <c r="N6619" s="44"/>
    </row>
    <row r="6620" spans="1:14" x14ac:dyDescent="0.3">
      <c r="A6620" s="42"/>
      <c r="C6620" s="52"/>
      <c r="D6620"/>
      <c r="E6620"/>
      <c r="F6620"/>
      <c r="N6620" s="44"/>
    </row>
    <row r="6621" spans="1:14" x14ac:dyDescent="0.3">
      <c r="A6621" s="42"/>
      <c r="C6621" s="52"/>
      <c r="D6621"/>
      <c r="E6621"/>
      <c r="F6621"/>
      <c r="N6621" s="44"/>
    </row>
    <row r="6622" spans="1:14" x14ac:dyDescent="0.3">
      <c r="A6622" s="42"/>
      <c r="C6622" s="52"/>
      <c r="D6622"/>
      <c r="E6622"/>
      <c r="F6622"/>
      <c r="N6622" s="44"/>
    </row>
    <row r="6623" spans="1:14" x14ac:dyDescent="0.3">
      <c r="A6623" s="42"/>
      <c r="C6623" s="52"/>
      <c r="D6623"/>
      <c r="E6623"/>
      <c r="F6623"/>
      <c r="N6623" s="44"/>
    </row>
    <row r="6624" spans="1:14" x14ac:dyDescent="0.3">
      <c r="A6624" s="42"/>
      <c r="C6624" s="52"/>
      <c r="D6624"/>
      <c r="E6624"/>
      <c r="F6624"/>
      <c r="N6624" s="44"/>
    </row>
    <row r="6625" spans="1:14" x14ac:dyDescent="0.3">
      <c r="A6625" s="42"/>
      <c r="C6625" s="52"/>
      <c r="D6625"/>
      <c r="E6625"/>
      <c r="F6625"/>
      <c r="N6625" s="44"/>
    </row>
    <row r="6626" spans="1:14" x14ac:dyDescent="0.3">
      <c r="A6626" s="42"/>
      <c r="C6626" s="52"/>
      <c r="D6626"/>
      <c r="E6626"/>
      <c r="F6626"/>
      <c r="N6626" s="44"/>
    </row>
    <row r="6627" spans="1:14" x14ac:dyDescent="0.3">
      <c r="A6627" s="42"/>
      <c r="C6627" s="52"/>
      <c r="D6627"/>
      <c r="E6627"/>
      <c r="F6627"/>
      <c r="N6627" s="44"/>
    </row>
    <row r="6628" spans="1:14" x14ac:dyDescent="0.3">
      <c r="A6628" s="42"/>
      <c r="C6628" s="52"/>
      <c r="D6628"/>
      <c r="E6628"/>
      <c r="F6628"/>
      <c r="N6628" s="44"/>
    </row>
    <row r="6629" spans="1:14" x14ac:dyDescent="0.3">
      <c r="A6629" s="42"/>
      <c r="C6629" s="52"/>
      <c r="D6629"/>
      <c r="E6629"/>
      <c r="F6629"/>
      <c r="N6629" s="44"/>
    </row>
    <row r="6630" spans="1:14" x14ac:dyDescent="0.3">
      <c r="A6630" s="42"/>
      <c r="C6630" s="52"/>
      <c r="D6630"/>
      <c r="E6630"/>
      <c r="F6630"/>
      <c r="L6630" s="45"/>
      <c r="N6630" s="44"/>
    </row>
    <row r="6631" spans="1:14" x14ac:dyDescent="0.3">
      <c r="A6631" s="42"/>
      <c r="C6631" s="52"/>
      <c r="D6631"/>
      <c r="E6631"/>
      <c r="F6631"/>
      <c r="N6631" s="44"/>
    </row>
    <row r="6632" spans="1:14" x14ac:dyDescent="0.3">
      <c r="A6632" s="42"/>
      <c r="C6632" s="52"/>
      <c r="D6632"/>
      <c r="E6632"/>
      <c r="F6632"/>
      <c r="L6632" s="45"/>
      <c r="N6632" s="44"/>
    </row>
    <row r="6633" spans="1:14" x14ac:dyDescent="0.3">
      <c r="A6633" s="42"/>
      <c r="C6633" s="52"/>
      <c r="D6633"/>
      <c r="E6633"/>
      <c r="F6633"/>
      <c r="N6633" s="44"/>
    </row>
    <row r="6634" spans="1:14" x14ac:dyDescent="0.3">
      <c r="A6634" s="42"/>
      <c r="C6634" s="52"/>
      <c r="D6634"/>
      <c r="E6634"/>
      <c r="F6634"/>
      <c r="L6634" s="45"/>
      <c r="N6634" s="44"/>
    </row>
    <row r="6635" spans="1:14" x14ac:dyDescent="0.3">
      <c r="A6635" s="42"/>
      <c r="C6635" s="52"/>
      <c r="D6635"/>
      <c r="E6635"/>
      <c r="F6635"/>
      <c r="L6635" s="45"/>
      <c r="N6635" s="44"/>
    </row>
    <row r="6636" spans="1:14" x14ac:dyDescent="0.3">
      <c r="A6636" s="42"/>
      <c r="C6636" s="52"/>
      <c r="D6636"/>
      <c r="E6636"/>
      <c r="F6636"/>
      <c r="N6636" s="44"/>
    </row>
    <row r="6637" spans="1:14" x14ac:dyDescent="0.3">
      <c r="A6637" s="42"/>
      <c r="C6637" s="52"/>
      <c r="D6637"/>
      <c r="E6637"/>
      <c r="F6637"/>
      <c r="N6637" s="44"/>
    </row>
    <row r="6638" spans="1:14" x14ac:dyDescent="0.3">
      <c r="A6638" s="42"/>
      <c r="C6638" s="52"/>
      <c r="D6638"/>
      <c r="E6638"/>
      <c r="F6638"/>
      <c r="L6638" s="45"/>
      <c r="N6638" s="44"/>
    </row>
    <row r="6639" spans="1:14" x14ac:dyDescent="0.3">
      <c r="A6639" s="42"/>
      <c r="C6639" s="52"/>
      <c r="D6639"/>
      <c r="E6639"/>
      <c r="F6639"/>
      <c r="L6639" s="45"/>
      <c r="N6639" s="44"/>
    </row>
    <row r="6640" spans="1:14" x14ac:dyDescent="0.3">
      <c r="A6640" s="42"/>
      <c r="C6640" s="52"/>
      <c r="D6640"/>
      <c r="E6640"/>
      <c r="F6640"/>
      <c r="N6640" s="44"/>
    </row>
    <row r="6641" spans="1:14" x14ac:dyDescent="0.3">
      <c r="A6641" s="42"/>
      <c r="C6641" s="52"/>
      <c r="D6641"/>
      <c r="E6641"/>
      <c r="F6641"/>
      <c r="N6641" s="44"/>
    </row>
    <row r="6642" spans="1:14" x14ac:dyDescent="0.3">
      <c r="A6642" s="42"/>
      <c r="C6642" s="52"/>
      <c r="D6642"/>
      <c r="E6642"/>
      <c r="F6642"/>
      <c r="N6642" s="44"/>
    </row>
    <row r="6643" spans="1:14" x14ac:dyDescent="0.3">
      <c r="A6643" s="42"/>
      <c r="C6643" s="52"/>
      <c r="D6643"/>
      <c r="E6643"/>
      <c r="F6643"/>
      <c r="N6643" s="44"/>
    </row>
    <row r="6644" spans="1:14" x14ac:dyDescent="0.3">
      <c r="A6644" s="42"/>
      <c r="C6644" s="52"/>
      <c r="D6644"/>
      <c r="E6644"/>
      <c r="F6644"/>
      <c r="N6644" s="44"/>
    </row>
    <row r="6645" spans="1:14" x14ac:dyDescent="0.3">
      <c r="A6645" s="42"/>
      <c r="C6645" s="52"/>
      <c r="D6645"/>
      <c r="E6645"/>
      <c r="F6645"/>
      <c r="N6645" s="44"/>
    </row>
    <row r="6646" spans="1:14" x14ac:dyDescent="0.3">
      <c r="A6646" s="42"/>
      <c r="C6646" s="52"/>
      <c r="D6646"/>
      <c r="E6646"/>
      <c r="F6646"/>
      <c r="L6646" s="45"/>
      <c r="N6646" s="44"/>
    </row>
    <row r="6647" spans="1:14" x14ac:dyDescent="0.3">
      <c r="A6647" s="42"/>
      <c r="C6647" s="52"/>
      <c r="D6647"/>
      <c r="E6647"/>
      <c r="F6647"/>
      <c r="L6647" s="45"/>
      <c r="N6647" s="44"/>
    </row>
    <row r="6648" spans="1:14" x14ac:dyDescent="0.3">
      <c r="A6648" s="42"/>
      <c r="C6648" s="52"/>
      <c r="D6648"/>
      <c r="E6648"/>
      <c r="F6648"/>
      <c r="L6648" s="45"/>
      <c r="N6648" s="44"/>
    </row>
    <row r="6649" spans="1:14" x14ac:dyDescent="0.3">
      <c r="A6649" s="42"/>
      <c r="C6649" s="52"/>
      <c r="D6649"/>
      <c r="E6649"/>
      <c r="F6649"/>
      <c r="L6649" s="45"/>
      <c r="N6649" s="44"/>
    </row>
    <row r="6650" spans="1:14" x14ac:dyDescent="0.3">
      <c r="A6650" s="42"/>
      <c r="C6650" s="52"/>
      <c r="D6650"/>
      <c r="E6650"/>
      <c r="F6650"/>
      <c r="L6650" s="45"/>
      <c r="N6650" s="44"/>
    </row>
    <row r="6651" spans="1:14" x14ac:dyDescent="0.3">
      <c r="A6651" s="42"/>
      <c r="C6651" s="52"/>
      <c r="D6651"/>
      <c r="E6651"/>
      <c r="F6651"/>
      <c r="L6651" s="45"/>
      <c r="N6651" s="44"/>
    </row>
    <row r="6652" spans="1:14" x14ac:dyDescent="0.3">
      <c r="A6652" s="42"/>
      <c r="C6652" s="52"/>
      <c r="D6652"/>
      <c r="E6652"/>
      <c r="F6652"/>
      <c r="L6652" s="45"/>
      <c r="N6652" s="44"/>
    </row>
    <row r="6653" spans="1:14" x14ac:dyDescent="0.3">
      <c r="A6653" s="42"/>
      <c r="C6653" s="52"/>
      <c r="D6653"/>
      <c r="E6653"/>
      <c r="F6653"/>
      <c r="L6653" s="45"/>
      <c r="N6653" s="44"/>
    </row>
    <row r="6654" spans="1:14" x14ac:dyDescent="0.3">
      <c r="A6654" s="42"/>
      <c r="C6654" s="52"/>
      <c r="D6654"/>
      <c r="E6654"/>
      <c r="F6654"/>
      <c r="N6654" s="44"/>
    </row>
    <row r="6655" spans="1:14" x14ac:dyDescent="0.3">
      <c r="A6655" s="42"/>
      <c r="C6655" s="52"/>
      <c r="D6655"/>
      <c r="E6655"/>
      <c r="F6655"/>
      <c r="L6655" s="45"/>
      <c r="N6655" s="44"/>
    </row>
    <row r="6656" spans="1:14" x14ac:dyDescent="0.3">
      <c r="A6656" s="42"/>
      <c r="C6656" s="52"/>
      <c r="D6656"/>
      <c r="E6656"/>
      <c r="F6656"/>
      <c r="L6656" s="45"/>
      <c r="N6656" s="44"/>
    </row>
    <row r="6657" spans="1:14" x14ac:dyDescent="0.3">
      <c r="A6657" s="42"/>
      <c r="C6657" s="52"/>
      <c r="D6657"/>
      <c r="E6657"/>
      <c r="F6657"/>
      <c r="L6657" s="45"/>
      <c r="N6657" s="44"/>
    </row>
    <row r="6658" spans="1:14" x14ac:dyDescent="0.3">
      <c r="A6658" s="42"/>
      <c r="C6658" s="52"/>
      <c r="D6658"/>
      <c r="E6658"/>
      <c r="F6658"/>
      <c r="L6658" s="45"/>
      <c r="N6658" s="44"/>
    </row>
    <row r="6659" spans="1:14" x14ac:dyDescent="0.3">
      <c r="A6659" s="42"/>
      <c r="C6659" s="52"/>
      <c r="D6659"/>
      <c r="E6659"/>
      <c r="F6659"/>
      <c r="N6659" s="44"/>
    </row>
    <row r="6660" spans="1:14" x14ac:dyDescent="0.3">
      <c r="A6660" s="42"/>
      <c r="C6660" s="52"/>
      <c r="D6660"/>
      <c r="E6660"/>
      <c r="F6660"/>
      <c r="N6660" s="44"/>
    </row>
    <row r="6661" spans="1:14" x14ac:dyDescent="0.3">
      <c r="A6661" s="42"/>
      <c r="C6661" s="52"/>
      <c r="D6661"/>
      <c r="E6661"/>
      <c r="F6661"/>
      <c r="L6661" s="45"/>
      <c r="N6661" s="44"/>
    </row>
    <row r="6662" spans="1:14" x14ac:dyDescent="0.3">
      <c r="A6662" s="42"/>
      <c r="C6662" s="52"/>
      <c r="D6662"/>
      <c r="E6662"/>
      <c r="F6662"/>
      <c r="L6662" s="45"/>
      <c r="N6662" s="44"/>
    </row>
    <row r="6663" spans="1:14" x14ac:dyDescent="0.3">
      <c r="A6663" s="42"/>
      <c r="C6663" s="52"/>
      <c r="D6663"/>
      <c r="E6663"/>
      <c r="F6663"/>
      <c r="L6663" s="45"/>
      <c r="N6663" s="44"/>
    </row>
    <row r="6664" spans="1:14" x14ac:dyDescent="0.3">
      <c r="A6664" s="42"/>
      <c r="C6664" s="52"/>
      <c r="D6664"/>
      <c r="E6664"/>
      <c r="F6664"/>
      <c r="L6664" s="45"/>
      <c r="N6664" s="44"/>
    </row>
    <row r="6665" spans="1:14" x14ac:dyDescent="0.3">
      <c r="A6665" s="42"/>
      <c r="C6665" s="52"/>
      <c r="D6665"/>
      <c r="E6665"/>
      <c r="F6665"/>
      <c r="N6665" s="44"/>
    </row>
    <row r="6666" spans="1:14" x14ac:dyDescent="0.3">
      <c r="A6666" s="42"/>
      <c r="C6666" s="52"/>
      <c r="D6666"/>
      <c r="E6666"/>
      <c r="F6666"/>
      <c r="L6666" s="45"/>
      <c r="N6666" s="44"/>
    </row>
    <row r="6667" spans="1:14" x14ac:dyDescent="0.3">
      <c r="A6667" s="42"/>
      <c r="C6667" s="52"/>
      <c r="D6667"/>
      <c r="E6667"/>
      <c r="F6667"/>
      <c r="L6667" s="45"/>
      <c r="N6667" s="44"/>
    </row>
    <row r="6668" spans="1:14" x14ac:dyDescent="0.3">
      <c r="A6668" s="42"/>
      <c r="C6668" s="52"/>
      <c r="D6668"/>
      <c r="E6668"/>
      <c r="F6668"/>
      <c r="N6668" s="44"/>
    </row>
    <row r="6669" spans="1:14" x14ac:dyDescent="0.3">
      <c r="A6669" s="42"/>
      <c r="C6669" s="52"/>
      <c r="D6669"/>
      <c r="E6669"/>
      <c r="F6669"/>
      <c r="N6669" s="44"/>
    </row>
    <row r="6670" spans="1:14" x14ac:dyDescent="0.3">
      <c r="A6670" s="42"/>
      <c r="C6670" s="52"/>
      <c r="D6670"/>
      <c r="E6670"/>
      <c r="F6670"/>
      <c r="N6670" s="44"/>
    </row>
    <row r="6671" spans="1:14" x14ac:dyDescent="0.3">
      <c r="A6671" s="42"/>
      <c r="C6671" s="52"/>
      <c r="D6671"/>
      <c r="E6671"/>
      <c r="F6671"/>
      <c r="N6671" s="44"/>
    </row>
    <row r="6672" spans="1:14" x14ac:dyDescent="0.3">
      <c r="A6672" s="42"/>
      <c r="C6672" s="52"/>
      <c r="D6672"/>
      <c r="E6672"/>
      <c r="F6672"/>
      <c r="N6672" s="44"/>
    </row>
    <row r="6673" spans="1:14" x14ac:dyDescent="0.3">
      <c r="A6673" s="42"/>
      <c r="C6673" s="52"/>
      <c r="D6673"/>
      <c r="E6673"/>
      <c r="F6673"/>
      <c r="N6673" s="44"/>
    </row>
    <row r="6674" spans="1:14" x14ac:dyDescent="0.3">
      <c r="A6674" s="42"/>
      <c r="C6674" s="52"/>
      <c r="D6674"/>
      <c r="E6674"/>
      <c r="F6674"/>
      <c r="N6674" s="44"/>
    </row>
    <row r="6675" spans="1:14" x14ac:dyDescent="0.3">
      <c r="A6675" s="42"/>
      <c r="C6675" s="52"/>
      <c r="D6675"/>
      <c r="E6675"/>
      <c r="F6675"/>
      <c r="N6675" s="44"/>
    </row>
    <row r="6676" spans="1:14" x14ac:dyDescent="0.3">
      <c r="A6676" s="42"/>
      <c r="C6676" s="52"/>
      <c r="D6676"/>
      <c r="E6676"/>
      <c r="F6676"/>
      <c r="N6676" s="44"/>
    </row>
    <row r="6677" spans="1:14" x14ac:dyDescent="0.3">
      <c r="A6677" s="42"/>
      <c r="C6677" s="52"/>
      <c r="D6677"/>
      <c r="E6677"/>
      <c r="F6677"/>
      <c r="N6677" s="44"/>
    </row>
    <row r="6678" spans="1:14" x14ac:dyDescent="0.3">
      <c r="A6678" s="42"/>
      <c r="C6678" s="52"/>
      <c r="D6678"/>
      <c r="E6678"/>
      <c r="F6678"/>
      <c r="N6678" s="44"/>
    </row>
    <row r="6679" spans="1:14" x14ac:dyDescent="0.3">
      <c r="A6679" s="42"/>
      <c r="C6679" s="52"/>
      <c r="D6679"/>
      <c r="E6679"/>
      <c r="F6679"/>
      <c r="N6679" s="44"/>
    </row>
    <row r="6680" spans="1:14" x14ac:dyDescent="0.3">
      <c r="A6680" s="42"/>
      <c r="C6680" s="52"/>
      <c r="D6680"/>
      <c r="E6680"/>
      <c r="F6680"/>
      <c r="N6680" s="44"/>
    </row>
    <row r="6681" spans="1:14" x14ac:dyDescent="0.3">
      <c r="A6681" s="42"/>
      <c r="C6681" s="52"/>
      <c r="D6681"/>
      <c r="E6681"/>
      <c r="F6681"/>
      <c r="N6681" s="44"/>
    </row>
    <row r="6682" spans="1:14" x14ac:dyDescent="0.3">
      <c r="A6682" s="42"/>
      <c r="C6682" s="52"/>
      <c r="D6682"/>
      <c r="E6682"/>
      <c r="F6682"/>
      <c r="N6682" s="44"/>
    </row>
    <row r="6683" spans="1:14" x14ac:dyDescent="0.3">
      <c r="A6683" s="42"/>
      <c r="C6683" s="52"/>
      <c r="D6683"/>
      <c r="E6683"/>
      <c r="F6683"/>
      <c r="N6683" s="44"/>
    </row>
    <row r="6684" spans="1:14" x14ac:dyDescent="0.3">
      <c r="A6684" s="42"/>
      <c r="C6684" s="52"/>
      <c r="D6684"/>
      <c r="E6684"/>
      <c r="F6684"/>
      <c r="N6684" s="44"/>
    </row>
    <row r="6685" spans="1:14" x14ac:dyDescent="0.3">
      <c r="A6685" s="42"/>
      <c r="C6685" s="52"/>
      <c r="D6685"/>
      <c r="E6685"/>
      <c r="F6685"/>
      <c r="L6685" s="45"/>
      <c r="N6685" s="44"/>
    </row>
    <row r="6686" spans="1:14" x14ac:dyDescent="0.3">
      <c r="A6686" s="42"/>
      <c r="C6686" s="52"/>
      <c r="D6686"/>
      <c r="E6686"/>
      <c r="F6686"/>
      <c r="N6686" s="44"/>
    </row>
    <row r="6687" spans="1:14" x14ac:dyDescent="0.3">
      <c r="A6687" s="42"/>
      <c r="C6687" s="52"/>
      <c r="D6687"/>
      <c r="E6687"/>
      <c r="F6687"/>
      <c r="N6687" s="44"/>
    </row>
    <row r="6688" spans="1:14" x14ac:dyDescent="0.3">
      <c r="A6688" s="42"/>
      <c r="C6688" s="52"/>
      <c r="D6688"/>
      <c r="E6688"/>
      <c r="F6688"/>
      <c r="N6688" s="44"/>
    </row>
    <row r="6689" spans="1:14" x14ac:dyDescent="0.3">
      <c r="A6689" s="42"/>
      <c r="C6689" s="52"/>
      <c r="D6689"/>
      <c r="E6689"/>
      <c r="F6689"/>
      <c r="L6689" s="45"/>
      <c r="N6689" s="44"/>
    </row>
    <row r="6690" spans="1:14" x14ac:dyDescent="0.3">
      <c r="A6690" s="42"/>
      <c r="C6690" s="52"/>
      <c r="D6690"/>
      <c r="E6690"/>
      <c r="F6690"/>
      <c r="N6690" s="44"/>
    </row>
    <row r="6691" spans="1:14" x14ac:dyDescent="0.3">
      <c r="A6691" s="42"/>
      <c r="C6691" s="52"/>
      <c r="D6691"/>
      <c r="E6691"/>
      <c r="F6691"/>
      <c r="N6691" s="44"/>
    </row>
    <row r="6692" spans="1:14" x14ac:dyDescent="0.3">
      <c r="A6692" s="42"/>
      <c r="C6692" s="52"/>
      <c r="D6692"/>
      <c r="E6692"/>
      <c r="F6692"/>
      <c r="L6692" s="45"/>
      <c r="N6692" s="44"/>
    </row>
    <row r="6693" spans="1:14" x14ac:dyDescent="0.3">
      <c r="A6693" s="42"/>
      <c r="C6693" s="52"/>
      <c r="D6693"/>
      <c r="E6693"/>
      <c r="F6693"/>
      <c r="N6693" s="44"/>
    </row>
    <row r="6694" spans="1:14" x14ac:dyDescent="0.3">
      <c r="A6694" s="42"/>
      <c r="C6694" s="52"/>
      <c r="D6694"/>
      <c r="E6694"/>
      <c r="F6694"/>
      <c r="L6694" s="45"/>
      <c r="N6694" s="44"/>
    </row>
    <row r="6695" spans="1:14" x14ac:dyDescent="0.3">
      <c r="A6695" s="42"/>
      <c r="C6695" s="52"/>
      <c r="D6695"/>
      <c r="E6695"/>
      <c r="F6695"/>
      <c r="N6695" s="44"/>
    </row>
    <row r="6696" spans="1:14" x14ac:dyDescent="0.3">
      <c r="A6696" s="42"/>
      <c r="C6696" s="52"/>
      <c r="D6696"/>
      <c r="E6696"/>
      <c r="F6696"/>
      <c r="L6696" s="45"/>
      <c r="N6696" s="44"/>
    </row>
    <row r="6697" spans="1:14" x14ac:dyDescent="0.3">
      <c r="A6697" s="42"/>
      <c r="C6697" s="52"/>
      <c r="D6697"/>
      <c r="E6697"/>
      <c r="F6697"/>
      <c r="N6697" s="44"/>
    </row>
    <row r="6698" spans="1:14" x14ac:dyDescent="0.3">
      <c r="A6698" s="42"/>
      <c r="C6698" s="52"/>
      <c r="D6698"/>
      <c r="E6698"/>
      <c r="F6698"/>
      <c r="N6698" s="44"/>
    </row>
    <row r="6699" spans="1:14" x14ac:dyDescent="0.3">
      <c r="A6699" s="42"/>
      <c r="C6699" s="52"/>
      <c r="D6699"/>
      <c r="E6699"/>
      <c r="F6699"/>
      <c r="N6699" s="44"/>
    </row>
    <row r="6700" spans="1:14" x14ac:dyDescent="0.3">
      <c r="A6700" s="42"/>
      <c r="C6700" s="52"/>
      <c r="D6700"/>
      <c r="E6700"/>
      <c r="F6700"/>
      <c r="N6700" s="44"/>
    </row>
    <row r="6701" spans="1:14" x14ac:dyDescent="0.3">
      <c r="A6701" s="42"/>
      <c r="C6701" s="52"/>
      <c r="D6701"/>
      <c r="E6701"/>
      <c r="F6701"/>
      <c r="N6701" s="44"/>
    </row>
    <row r="6702" spans="1:14" x14ac:dyDescent="0.3">
      <c r="A6702" s="42"/>
      <c r="C6702" s="52"/>
      <c r="D6702"/>
      <c r="E6702"/>
      <c r="F6702"/>
      <c r="N6702" s="44"/>
    </row>
    <row r="6703" spans="1:14" x14ac:dyDescent="0.3">
      <c r="A6703" s="42"/>
      <c r="C6703" s="52"/>
      <c r="D6703"/>
      <c r="E6703"/>
      <c r="F6703"/>
      <c r="N6703" s="44"/>
    </row>
    <row r="6704" spans="1:14" x14ac:dyDescent="0.3">
      <c r="A6704" s="42"/>
      <c r="C6704" s="52"/>
      <c r="D6704"/>
      <c r="E6704"/>
      <c r="F6704"/>
      <c r="N6704" s="44"/>
    </row>
    <row r="6705" spans="1:14" x14ac:dyDescent="0.3">
      <c r="A6705" s="42"/>
      <c r="C6705" s="52"/>
      <c r="D6705"/>
      <c r="E6705"/>
      <c r="F6705"/>
      <c r="N6705" s="44"/>
    </row>
    <row r="6706" spans="1:14" x14ac:dyDescent="0.3">
      <c r="A6706" s="42"/>
      <c r="C6706" s="52"/>
      <c r="D6706"/>
      <c r="E6706"/>
      <c r="F6706"/>
      <c r="N6706" s="44"/>
    </row>
    <row r="6707" spans="1:14" x14ac:dyDescent="0.3">
      <c r="A6707" s="42"/>
      <c r="C6707" s="52"/>
      <c r="D6707"/>
      <c r="E6707"/>
      <c r="F6707"/>
      <c r="N6707" s="44"/>
    </row>
    <row r="6708" spans="1:14" x14ac:dyDescent="0.3">
      <c r="A6708" s="42"/>
      <c r="C6708" s="52"/>
      <c r="D6708"/>
      <c r="E6708"/>
      <c r="F6708"/>
      <c r="N6708" s="44"/>
    </row>
    <row r="6709" spans="1:14" x14ac:dyDescent="0.3">
      <c r="A6709" s="42"/>
      <c r="C6709" s="52"/>
      <c r="D6709"/>
      <c r="E6709"/>
      <c r="F6709"/>
      <c r="N6709" s="44"/>
    </row>
    <row r="6710" spans="1:14" x14ac:dyDescent="0.3">
      <c r="A6710" s="42"/>
      <c r="C6710" s="52"/>
      <c r="D6710"/>
      <c r="E6710"/>
      <c r="F6710"/>
      <c r="N6710" s="44"/>
    </row>
    <row r="6711" spans="1:14" x14ac:dyDescent="0.3">
      <c r="A6711" s="42"/>
      <c r="C6711" s="52"/>
      <c r="D6711"/>
      <c r="E6711"/>
      <c r="F6711"/>
      <c r="N6711" s="44"/>
    </row>
    <row r="6712" spans="1:14" x14ac:dyDescent="0.3">
      <c r="A6712" s="42"/>
      <c r="C6712" s="52"/>
      <c r="D6712"/>
      <c r="E6712"/>
      <c r="F6712"/>
      <c r="N6712" s="44"/>
    </row>
    <row r="6713" spans="1:14" x14ac:dyDescent="0.3">
      <c r="A6713" s="42"/>
      <c r="C6713" s="52"/>
      <c r="D6713"/>
      <c r="E6713"/>
      <c r="F6713"/>
      <c r="L6713" s="45"/>
      <c r="N6713" s="44"/>
    </row>
    <row r="6714" spans="1:14" x14ac:dyDescent="0.3">
      <c r="A6714" s="42"/>
      <c r="C6714" s="52"/>
      <c r="D6714"/>
      <c r="E6714"/>
      <c r="F6714"/>
      <c r="L6714" s="45"/>
      <c r="N6714" s="44"/>
    </row>
    <row r="6715" spans="1:14" x14ac:dyDescent="0.3">
      <c r="A6715" s="42"/>
      <c r="C6715" s="52"/>
      <c r="D6715"/>
      <c r="E6715"/>
      <c r="F6715"/>
      <c r="N6715" s="44"/>
    </row>
    <row r="6716" spans="1:14" x14ac:dyDescent="0.3">
      <c r="A6716" s="42"/>
      <c r="C6716" s="52"/>
      <c r="D6716"/>
      <c r="E6716"/>
      <c r="F6716"/>
      <c r="N6716" s="44"/>
    </row>
    <row r="6717" spans="1:14" x14ac:dyDescent="0.3">
      <c r="A6717" s="42"/>
      <c r="C6717" s="52"/>
      <c r="D6717"/>
      <c r="E6717"/>
      <c r="F6717"/>
      <c r="L6717" s="45"/>
      <c r="N6717" s="44"/>
    </row>
    <row r="6718" spans="1:14" x14ac:dyDescent="0.3">
      <c r="A6718" s="42"/>
      <c r="C6718" s="52"/>
      <c r="D6718"/>
      <c r="E6718"/>
      <c r="F6718"/>
      <c r="N6718" s="44"/>
    </row>
    <row r="6719" spans="1:14" x14ac:dyDescent="0.3">
      <c r="A6719" s="42"/>
      <c r="C6719" s="52"/>
      <c r="D6719"/>
      <c r="E6719"/>
      <c r="F6719"/>
      <c r="N6719" s="44"/>
    </row>
    <row r="6720" spans="1:14" x14ac:dyDescent="0.3">
      <c r="A6720" s="42"/>
      <c r="C6720" s="52"/>
      <c r="D6720"/>
      <c r="E6720"/>
      <c r="F6720"/>
      <c r="N6720" s="44"/>
    </row>
    <row r="6721" spans="1:14" x14ac:dyDescent="0.3">
      <c r="A6721" s="42"/>
      <c r="C6721" s="52"/>
      <c r="D6721"/>
      <c r="E6721"/>
      <c r="F6721"/>
      <c r="N6721" s="44"/>
    </row>
    <row r="6722" spans="1:14" x14ac:dyDescent="0.3">
      <c r="A6722" s="42"/>
      <c r="C6722" s="52"/>
      <c r="D6722"/>
      <c r="E6722"/>
      <c r="F6722"/>
      <c r="N6722" s="44"/>
    </row>
    <row r="6723" spans="1:14" x14ac:dyDescent="0.3">
      <c r="A6723" s="42"/>
      <c r="C6723" s="52"/>
      <c r="D6723"/>
      <c r="E6723"/>
      <c r="F6723"/>
      <c r="N6723" s="44"/>
    </row>
    <row r="6724" spans="1:14" x14ac:dyDescent="0.3">
      <c r="A6724" s="42"/>
      <c r="C6724" s="52"/>
      <c r="D6724"/>
      <c r="E6724"/>
      <c r="F6724"/>
      <c r="L6724" s="45"/>
      <c r="N6724" s="44"/>
    </row>
    <row r="6725" spans="1:14" x14ac:dyDescent="0.3">
      <c r="A6725" s="42"/>
      <c r="C6725" s="52"/>
      <c r="D6725"/>
      <c r="E6725"/>
      <c r="F6725"/>
      <c r="N6725" s="44"/>
    </row>
    <row r="6726" spans="1:14" x14ac:dyDescent="0.3">
      <c r="A6726" s="42"/>
      <c r="C6726" s="52"/>
      <c r="D6726"/>
      <c r="E6726"/>
      <c r="F6726"/>
      <c r="N6726" s="44"/>
    </row>
    <row r="6727" spans="1:14" x14ac:dyDescent="0.3">
      <c r="A6727" s="42"/>
      <c r="C6727" s="52"/>
      <c r="D6727"/>
      <c r="E6727"/>
      <c r="F6727"/>
      <c r="N6727" s="44"/>
    </row>
    <row r="6728" spans="1:14" x14ac:dyDescent="0.3">
      <c r="A6728" s="42"/>
      <c r="C6728" s="52"/>
      <c r="D6728"/>
      <c r="E6728"/>
      <c r="F6728"/>
      <c r="N6728" s="44"/>
    </row>
    <row r="6729" spans="1:14" x14ac:dyDescent="0.3">
      <c r="A6729" s="42"/>
      <c r="C6729" s="52"/>
      <c r="D6729"/>
      <c r="E6729"/>
      <c r="F6729"/>
      <c r="N6729" s="44"/>
    </row>
    <row r="6730" spans="1:14" x14ac:dyDescent="0.3">
      <c r="A6730" s="42"/>
      <c r="C6730" s="52"/>
      <c r="D6730"/>
      <c r="E6730"/>
      <c r="F6730"/>
      <c r="N6730" s="44"/>
    </row>
    <row r="6731" spans="1:14" x14ac:dyDescent="0.3">
      <c r="A6731" s="42"/>
      <c r="C6731" s="52"/>
      <c r="D6731"/>
      <c r="E6731"/>
      <c r="F6731"/>
      <c r="N6731" s="44"/>
    </row>
    <row r="6732" spans="1:14" x14ac:dyDescent="0.3">
      <c r="A6732" s="42"/>
      <c r="C6732" s="52"/>
      <c r="D6732"/>
      <c r="E6732"/>
      <c r="F6732"/>
      <c r="N6732" s="44"/>
    </row>
    <row r="6733" spans="1:14" x14ac:dyDescent="0.3">
      <c r="A6733" s="42"/>
      <c r="C6733" s="52"/>
      <c r="D6733"/>
      <c r="E6733"/>
      <c r="F6733"/>
      <c r="N6733" s="44"/>
    </row>
    <row r="6734" spans="1:14" x14ac:dyDescent="0.3">
      <c r="A6734" s="42"/>
      <c r="C6734" s="52"/>
      <c r="D6734"/>
      <c r="E6734"/>
      <c r="F6734"/>
      <c r="N6734" s="44"/>
    </row>
    <row r="6735" spans="1:14" x14ac:dyDescent="0.3">
      <c r="A6735" s="42"/>
      <c r="C6735" s="52"/>
      <c r="D6735"/>
      <c r="E6735"/>
      <c r="F6735"/>
      <c r="N6735" s="44"/>
    </row>
    <row r="6736" spans="1:14" x14ac:dyDescent="0.3">
      <c r="A6736" s="42"/>
      <c r="C6736" s="52"/>
      <c r="D6736"/>
      <c r="E6736"/>
      <c r="F6736"/>
      <c r="N6736" s="44"/>
    </row>
    <row r="6737" spans="1:14" x14ac:dyDescent="0.3">
      <c r="A6737" s="42"/>
      <c r="C6737" s="52"/>
      <c r="D6737"/>
      <c r="E6737"/>
      <c r="F6737"/>
      <c r="N6737" s="44"/>
    </row>
    <row r="6738" spans="1:14" x14ac:dyDescent="0.3">
      <c r="A6738" s="42"/>
      <c r="C6738" s="52"/>
      <c r="D6738"/>
      <c r="E6738"/>
      <c r="F6738"/>
      <c r="N6738" s="44"/>
    </row>
    <row r="6739" spans="1:14" x14ac:dyDescent="0.3">
      <c r="A6739" s="42"/>
      <c r="C6739" s="52"/>
      <c r="D6739"/>
      <c r="E6739"/>
      <c r="F6739"/>
      <c r="N6739" s="44"/>
    </row>
    <row r="6740" spans="1:14" x14ac:dyDescent="0.3">
      <c r="A6740" s="42"/>
      <c r="C6740" s="52"/>
      <c r="D6740"/>
      <c r="E6740"/>
      <c r="F6740"/>
      <c r="N6740" s="44"/>
    </row>
    <row r="6741" spans="1:14" x14ac:dyDescent="0.3">
      <c r="A6741" s="42"/>
      <c r="C6741" s="52"/>
      <c r="D6741"/>
      <c r="E6741"/>
      <c r="F6741"/>
      <c r="N6741" s="44"/>
    </row>
    <row r="6742" spans="1:14" x14ac:dyDescent="0.3">
      <c r="A6742" s="42"/>
      <c r="C6742" s="52"/>
      <c r="D6742"/>
      <c r="E6742"/>
      <c r="F6742"/>
      <c r="N6742" s="44"/>
    </row>
    <row r="6743" spans="1:14" x14ac:dyDescent="0.3">
      <c r="A6743" s="42"/>
      <c r="C6743" s="52"/>
      <c r="D6743"/>
      <c r="E6743"/>
      <c r="F6743"/>
      <c r="N6743" s="44"/>
    </row>
    <row r="6744" spans="1:14" x14ac:dyDescent="0.3">
      <c r="A6744" s="42"/>
      <c r="C6744" s="52"/>
      <c r="D6744"/>
      <c r="E6744"/>
      <c r="F6744"/>
      <c r="N6744" s="44"/>
    </row>
    <row r="6745" spans="1:14" x14ac:dyDescent="0.3">
      <c r="A6745" s="42"/>
      <c r="C6745" s="52"/>
      <c r="D6745"/>
      <c r="E6745"/>
      <c r="F6745"/>
      <c r="N6745" s="44"/>
    </row>
    <row r="6746" spans="1:14" x14ac:dyDescent="0.3">
      <c r="A6746" s="42"/>
      <c r="C6746" s="52"/>
      <c r="D6746"/>
      <c r="E6746"/>
      <c r="F6746"/>
      <c r="N6746" s="44"/>
    </row>
    <row r="6747" spans="1:14" x14ac:dyDescent="0.3">
      <c r="A6747" s="42"/>
      <c r="C6747" s="52"/>
      <c r="D6747"/>
      <c r="E6747"/>
      <c r="F6747"/>
      <c r="N6747" s="44"/>
    </row>
    <row r="6748" spans="1:14" x14ac:dyDescent="0.3">
      <c r="A6748" s="42"/>
      <c r="C6748" s="52"/>
      <c r="D6748"/>
      <c r="E6748"/>
      <c r="F6748"/>
      <c r="L6748" s="45"/>
      <c r="N6748" s="44"/>
    </row>
    <row r="6749" spans="1:14" x14ac:dyDescent="0.3">
      <c r="A6749" s="42"/>
      <c r="C6749" s="52"/>
      <c r="D6749"/>
      <c r="E6749"/>
      <c r="F6749"/>
      <c r="L6749" s="45"/>
      <c r="N6749" s="44"/>
    </row>
    <row r="6750" spans="1:14" x14ac:dyDescent="0.3">
      <c r="A6750" s="42"/>
      <c r="C6750" s="52"/>
      <c r="D6750"/>
      <c r="E6750"/>
      <c r="F6750"/>
      <c r="L6750" s="45"/>
      <c r="N6750" s="44"/>
    </row>
    <row r="6751" spans="1:14" x14ac:dyDescent="0.3">
      <c r="A6751" s="42"/>
      <c r="C6751" s="52"/>
      <c r="D6751"/>
      <c r="E6751"/>
      <c r="F6751"/>
      <c r="N6751" s="44"/>
    </row>
    <row r="6752" spans="1:14" x14ac:dyDescent="0.3">
      <c r="A6752" s="42"/>
      <c r="C6752" s="52"/>
      <c r="D6752"/>
      <c r="E6752"/>
      <c r="F6752"/>
      <c r="N6752" s="44"/>
    </row>
    <row r="6753" spans="1:14" x14ac:dyDescent="0.3">
      <c r="A6753" s="42"/>
      <c r="C6753" s="52"/>
      <c r="D6753"/>
      <c r="E6753"/>
      <c r="F6753"/>
      <c r="N6753" s="44"/>
    </row>
    <row r="6754" spans="1:14" x14ac:dyDescent="0.3">
      <c r="A6754" s="42"/>
      <c r="C6754" s="52"/>
      <c r="D6754"/>
      <c r="E6754"/>
      <c r="F6754"/>
      <c r="L6754" s="45"/>
      <c r="N6754" s="44"/>
    </row>
    <row r="6755" spans="1:14" x14ac:dyDescent="0.3">
      <c r="A6755" s="42"/>
      <c r="C6755" s="52"/>
      <c r="D6755"/>
      <c r="E6755"/>
      <c r="F6755"/>
      <c r="N6755" s="44"/>
    </row>
    <row r="6756" spans="1:14" x14ac:dyDescent="0.3">
      <c r="A6756" s="42"/>
      <c r="C6756" s="52"/>
      <c r="D6756"/>
      <c r="E6756"/>
      <c r="F6756"/>
      <c r="L6756" s="45"/>
      <c r="N6756" s="44"/>
    </row>
    <row r="6757" spans="1:14" x14ac:dyDescent="0.3">
      <c r="A6757" s="42"/>
      <c r="C6757" s="52"/>
      <c r="D6757"/>
      <c r="E6757"/>
      <c r="F6757"/>
      <c r="N6757" s="44"/>
    </row>
    <row r="6758" spans="1:14" x14ac:dyDescent="0.3">
      <c r="A6758" s="42"/>
      <c r="C6758" s="52"/>
      <c r="D6758"/>
      <c r="E6758"/>
      <c r="F6758"/>
      <c r="N6758" s="44"/>
    </row>
    <row r="6759" spans="1:14" x14ac:dyDescent="0.3">
      <c r="A6759" s="42"/>
      <c r="C6759" s="52"/>
      <c r="D6759"/>
      <c r="E6759"/>
      <c r="F6759"/>
      <c r="N6759" s="44"/>
    </row>
    <row r="6760" spans="1:14" x14ac:dyDescent="0.3">
      <c r="A6760" s="42"/>
      <c r="C6760" s="52"/>
      <c r="D6760"/>
      <c r="E6760"/>
      <c r="F6760"/>
      <c r="N6760" s="44"/>
    </row>
    <row r="6761" spans="1:14" x14ac:dyDescent="0.3">
      <c r="A6761" s="42"/>
      <c r="C6761" s="52"/>
      <c r="D6761"/>
      <c r="E6761"/>
      <c r="F6761"/>
      <c r="L6761" s="45"/>
      <c r="N6761" s="44"/>
    </row>
    <row r="6762" spans="1:14" x14ac:dyDescent="0.3">
      <c r="A6762" s="42"/>
      <c r="C6762" s="52"/>
      <c r="D6762"/>
      <c r="E6762"/>
      <c r="F6762"/>
      <c r="L6762" s="45"/>
      <c r="N6762" s="44"/>
    </row>
    <row r="6763" spans="1:14" x14ac:dyDescent="0.3">
      <c r="A6763" s="42"/>
      <c r="C6763" s="52"/>
      <c r="D6763"/>
      <c r="E6763"/>
      <c r="F6763"/>
      <c r="N6763" s="44"/>
    </row>
    <row r="6764" spans="1:14" x14ac:dyDescent="0.3">
      <c r="A6764" s="42"/>
      <c r="C6764" s="52"/>
      <c r="D6764"/>
      <c r="E6764"/>
      <c r="F6764"/>
      <c r="N6764" s="44"/>
    </row>
    <row r="6765" spans="1:14" x14ac:dyDescent="0.3">
      <c r="A6765" s="42"/>
      <c r="C6765" s="52"/>
      <c r="D6765"/>
      <c r="E6765"/>
      <c r="F6765"/>
      <c r="N6765" s="44"/>
    </row>
    <row r="6766" spans="1:14" x14ac:dyDescent="0.3">
      <c r="A6766" s="42"/>
      <c r="C6766" s="52"/>
      <c r="D6766"/>
      <c r="E6766"/>
      <c r="F6766"/>
      <c r="N6766" s="44"/>
    </row>
    <row r="6767" spans="1:14" x14ac:dyDescent="0.3">
      <c r="A6767" s="42"/>
      <c r="C6767" s="52"/>
      <c r="D6767"/>
      <c r="E6767"/>
      <c r="F6767"/>
      <c r="N6767" s="44"/>
    </row>
    <row r="6768" spans="1:14" x14ac:dyDescent="0.3">
      <c r="A6768" s="42"/>
      <c r="C6768" s="52"/>
      <c r="D6768"/>
      <c r="E6768"/>
      <c r="F6768"/>
      <c r="N6768" s="44"/>
    </row>
    <row r="6769" spans="1:14" x14ac:dyDescent="0.3">
      <c r="A6769" s="42"/>
      <c r="C6769" s="52"/>
      <c r="D6769"/>
      <c r="E6769"/>
      <c r="F6769"/>
      <c r="N6769" s="44"/>
    </row>
    <row r="6770" spans="1:14" x14ac:dyDescent="0.3">
      <c r="A6770" s="42"/>
      <c r="C6770" s="52"/>
      <c r="D6770"/>
      <c r="E6770"/>
      <c r="F6770"/>
      <c r="N6770" s="44"/>
    </row>
    <row r="6771" spans="1:14" x14ac:dyDescent="0.3">
      <c r="A6771" s="42"/>
      <c r="C6771" s="52"/>
      <c r="D6771"/>
      <c r="E6771"/>
      <c r="F6771"/>
      <c r="N6771" s="44"/>
    </row>
    <row r="6772" spans="1:14" x14ac:dyDescent="0.3">
      <c r="A6772" s="42"/>
      <c r="C6772" s="52"/>
      <c r="D6772"/>
      <c r="E6772"/>
      <c r="F6772"/>
      <c r="N6772" s="44"/>
    </row>
    <row r="6773" spans="1:14" x14ac:dyDescent="0.3">
      <c r="A6773" s="42"/>
      <c r="C6773" s="52"/>
      <c r="D6773"/>
      <c r="E6773"/>
      <c r="F6773"/>
      <c r="L6773" s="45"/>
      <c r="N6773" s="44"/>
    </row>
    <row r="6774" spans="1:14" x14ac:dyDescent="0.3">
      <c r="A6774" s="42"/>
      <c r="C6774" s="52"/>
      <c r="D6774"/>
      <c r="E6774"/>
      <c r="F6774"/>
      <c r="N6774" s="44"/>
    </row>
    <row r="6775" spans="1:14" x14ac:dyDescent="0.3">
      <c r="A6775" s="42"/>
      <c r="C6775" s="52"/>
      <c r="D6775"/>
      <c r="E6775"/>
      <c r="F6775"/>
      <c r="N6775" s="44"/>
    </row>
    <row r="6776" spans="1:14" x14ac:dyDescent="0.3">
      <c r="A6776" s="42"/>
      <c r="C6776" s="52"/>
      <c r="D6776"/>
      <c r="E6776"/>
      <c r="F6776"/>
      <c r="N6776" s="44"/>
    </row>
    <row r="6777" spans="1:14" x14ac:dyDescent="0.3">
      <c r="A6777" s="42"/>
      <c r="C6777" s="52"/>
      <c r="D6777"/>
      <c r="E6777"/>
      <c r="F6777"/>
      <c r="N6777" s="44"/>
    </row>
    <row r="6778" spans="1:14" x14ac:dyDescent="0.3">
      <c r="A6778" s="42"/>
      <c r="C6778" s="52"/>
      <c r="D6778"/>
      <c r="E6778"/>
      <c r="F6778"/>
      <c r="N6778" s="44"/>
    </row>
    <row r="6779" spans="1:14" x14ac:dyDescent="0.3">
      <c r="A6779" s="42"/>
      <c r="C6779" s="52"/>
      <c r="D6779"/>
      <c r="E6779"/>
      <c r="F6779"/>
      <c r="N6779" s="44"/>
    </row>
    <row r="6780" spans="1:14" x14ac:dyDescent="0.3">
      <c r="A6780" s="42"/>
      <c r="C6780" s="52"/>
      <c r="D6780"/>
      <c r="E6780"/>
      <c r="F6780"/>
      <c r="N6780" s="44"/>
    </row>
    <row r="6781" spans="1:14" x14ac:dyDescent="0.3">
      <c r="A6781" s="42"/>
      <c r="C6781" s="52"/>
      <c r="D6781"/>
      <c r="E6781"/>
      <c r="F6781"/>
      <c r="N6781" s="44"/>
    </row>
    <row r="6782" spans="1:14" x14ac:dyDescent="0.3">
      <c r="A6782" s="42"/>
      <c r="C6782" s="52"/>
      <c r="D6782"/>
      <c r="E6782"/>
      <c r="F6782"/>
      <c r="N6782" s="44"/>
    </row>
    <row r="6783" spans="1:14" x14ac:dyDescent="0.3">
      <c r="A6783" s="42"/>
      <c r="C6783" s="52"/>
      <c r="D6783"/>
      <c r="E6783"/>
      <c r="F6783"/>
      <c r="N6783" s="44"/>
    </row>
    <row r="6784" spans="1:14" x14ac:dyDescent="0.3">
      <c r="A6784" s="42"/>
      <c r="C6784" s="52"/>
      <c r="D6784"/>
      <c r="E6784"/>
      <c r="F6784"/>
      <c r="N6784" s="44"/>
    </row>
    <row r="6785" spans="1:14" x14ac:dyDescent="0.3">
      <c r="A6785" s="42"/>
      <c r="C6785" s="52"/>
      <c r="D6785"/>
      <c r="E6785"/>
      <c r="F6785"/>
      <c r="L6785" s="45"/>
      <c r="N6785" s="44"/>
    </row>
    <row r="6786" spans="1:14" x14ac:dyDescent="0.3">
      <c r="A6786" s="42"/>
      <c r="C6786" s="52"/>
      <c r="D6786"/>
      <c r="E6786"/>
      <c r="F6786"/>
      <c r="N6786" s="44"/>
    </row>
    <row r="6787" spans="1:14" x14ac:dyDescent="0.3">
      <c r="A6787" s="42"/>
      <c r="C6787" s="52"/>
      <c r="D6787"/>
      <c r="E6787"/>
      <c r="F6787"/>
      <c r="N6787" s="44"/>
    </row>
    <row r="6788" spans="1:14" x14ac:dyDescent="0.3">
      <c r="A6788" s="42"/>
      <c r="C6788" s="52"/>
      <c r="D6788"/>
      <c r="E6788"/>
      <c r="F6788"/>
      <c r="N6788" s="44"/>
    </row>
    <row r="6789" spans="1:14" x14ac:dyDescent="0.3">
      <c r="A6789" s="42"/>
      <c r="C6789" s="52"/>
      <c r="D6789"/>
      <c r="E6789"/>
      <c r="F6789"/>
      <c r="N6789" s="44"/>
    </row>
    <row r="6790" spans="1:14" x14ac:dyDescent="0.3">
      <c r="A6790" s="42"/>
      <c r="C6790" s="52"/>
      <c r="D6790"/>
      <c r="E6790"/>
      <c r="F6790"/>
      <c r="N6790" s="44"/>
    </row>
    <row r="6791" spans="1:14" x14ac:dyDescent="0.3">
      <c r="A6791" s="42"/>
      <c r="C6791" s="52"/>
      <c r="D6791"/>
      <c r="E6791"/>
      <c r="F6791"/>
      <c r="N6791" s="44"/>
    </row>
    <row r="6792" spans="1:14" x14ac:dyDescent="0.3">
      <c r="A6792" s="42"/>
      <c r="C6792" s="52"/>
      <c r="D6792"/>
      <c r="E6792"/>
      <c r="F6792"/>
      <c r="N6792" s="44"/>
    </row>
    <row r="6793" spans="1:14" x14ac:dyDescent="0.3">
      <c r="A6793" s="42"/>
      <c r="C6793" s="52"/>
      <c r="D6793"/>
      <c r="E6793"/>
      <c r="F6793"/>
      <c r="N6793" s="44"/>
    </row>
    <row r="6794" spans="1:14" x14ac:dyDescent="0.3">
      <c r="A6794" s="42"/>
      <c r="C6794" s="52"/>
      <c r="D6794"/>
      <c r="E6794"/>
      <c r="F6794"/>
      <c r="N6794" s="44"/>
    </row>
    <row r="6795" spans="1:14" x14ac:dyDescent="0.3">
      <c r="A6795" s="42"/>
      <c r="C6795" s="52"/>
      <c r="D6795"/>
      <c r="E6795"/>
      <c r="F6795"/>
      <c r="N6795" s="44"/>
    </row>
    <row r="6796" spans="1:14" x14ac:dyDescent="0.3">
      <c r="A6796" s="42"/>
      <c r="C6796" s="52"/>
      <c r="D6796"/>
      <c r="E6796"/>
      <c r="F6796"/>
      <c r="N6796" s="44"/>
    </row>
    <row r="6797" spans="1:14" x14ac:dyDescent="0.3">
      <c r="A6797" s="42"/>
      <c r="C6797" s="52"/>
      <c r="D6797"/>
      <c r="E6797"/>
      <c r="F6797"/>
      <c r="N6797" s="44"/>
    </row>
    <row r="6798" spans="1:14" x14ac:dyDescent="0.3">
      <c r="A6798" s="42"/>
      <c r="C6798" s="52"/>
      <c r="D6798"/>
      <c r="E6798"/>
      <c r="F6798"/>
      <c r="N6798" s="44"/>
    </row>
    <row r="6799" spans="1:14" x14ac:dyDescent="0.3">
      <c r="A6799" s="42"/>
      <c r="C6799" s="52"/>
      <c r="D6799"/>
      <c r="E6799"/>
      <c r="F6799"/>
      <c r="N6799" s="44"/>
    </row>
    <row r="6800" spans="1:14" x14ac:dyDescent="0.3">
      <c r="A6800" s="42"/>
      <c r="C6800" s="52"/>
      <c r="D6800"/>
      <c r="E6800"/>
      <c r="F6800"/>
      <c r="N6800" s="44"/>
    </row>
    <row r="6801" spans="1:14" x14ac:dyDescent="0.3">
      <c r="A6801" s="42"/>
      <c r="C6801" s="52"/>
      <c r="D6801"/>
      <c r="E6801"/>
      <c r="F6801"/>
      <c r="N6801" s="44"/>
    </row>
    <row r="6802" spans="1:14" x14ac:dyDescent="0.3">
      <c r="A6802" s="42"/>
      <c r="C6802" s="52"/>
      <c r="D6802"/>
      <c r="E6802"/>
      <c r="F6802"/>
      <c r="N6802" s="44"/>
    </row>
    <row r="6803" spans="1:14" x14ac:dyDescent="0.3">
      <c r="A6803" s="42"/>
      <c r="C6803" s="52"/>
      <c r="D6803"/>
      <c r="E6803"/>
      <c r="F6803"/>
      <c r="N6803" s="44"/>
    </row>
    <row r="6804" spans="1:14" x14ac:dyDescent="0.3">
      <c r="A6804" s="42"/>
      <c r="C6804" s="52"/>
      <c r="D6804"/>
      <c r="E6804"/>
      <c r="F6804"/>
      <c r="N6804" s="44"/>
    </row>
    <row r="6805" spans="1:14" x14ac:dyDescent="0.3">
      <c r="A6805" s="42"/>
      <c r="C6805" s="52"/>
      <c r="D6805"/>
      <c r="E6805"/>
      <c r="F6805"/>
      <c r="N6805" s="44"/>
    </row>
    <row r="6806" spans="1:14" x14ac:dyDescent="0.3">
      <c r="A6806" s="42"/>
      <c r="C6806" s="52"/>
      <c r="D6806"/>
      <c r="E6806"/>
      <c r="F6806"/>
      <c r="N6806" s="44"/>
    </row>
    <row r="6807" spans="1:14" x14ac:dyDescent="0.3">
      <c r="A6807" s="42"/>
      <c r="C6807" s="52"/>
      <c r="D6807"/>
      <c r="E6807"/>
      <c r="F6807"/>
      <c r="N6807" s="44"/>
    </row>
    <row r="6808" spans="1:14" x14ac:dyDescent="0.3">
      <c r="A6808" s="42"/>
      <c r="C6808" s="52"/>
      <c r="D6808"/>
      <c r="E6808"/>
      <c r="F6808"/>
      <c r="N6808" s="44"/>
    </row>
    <row r="6809" spans="1:14" x14ac:dyDescent="0.3">
      <c r="A6809" s="42"/>
      <c r="C6809" s="52"/>
      <c r="D6809"/>
      <c r="E6809"/>
      <c r="F6809"/>
      <c r="N6809" s="44"/>
    </row>
    <row r="6810" spans="1:14" x14ac:dyDescent="0.3">
      <c r="A6810" s="42"/>
      <c r="C6810" s="52"/>
      <c r="D6810"/>
      <c r="E6810"/>
      <c r="F6810"/>
      <c r="N6810" s="44"/>
    </row>
    <row r="6811" spans="1:14" x14ac:dyDescent="0.3">
      <c r="A6811" s="42"/>
      <c r="C6811" s="52"/>
      <c r="D6811"/>
      <c r="E6811"/>
      <c r="F6811"/>
      <c r="N6811" s="44"/>
    </row>
    <row r="6812" spans="1:14" x14ac:dyDescent="0.3">
      <c r="A6812" s="42"/>
      <c r="C6812" s="52"/>
      <c r="D6812"/>
      <c r="E6812"/>
      <c r="F6812"/>
      <c r="N6812" s="44"/>
    </row>
    <row r="6813" spans="1:14" x14ac:dyDescent="0.3">
      <c r="A6813" s="42"/>
      <c r="C6813" s="52"/>
      <c r="D6813"/>
      <c r="E6813"/>
      <c r="F6813"/>
      <c r="N6813" s="44"/>
    </row>
    <row r="6814" spans="1:14" x14ac:dyDescent="0.3">
      <c r="A6814" s="42"/>
      <c r="C6814" s="52"/>
      <c r="D6814"/>
      <c r="E6814"/>
      <c r="F6814"/>
      <c r="N6814" s="44"/>
    </row>
    <row r="6815" spans="1:14" x14ac:dyDescent="0.3">
      <c r="A6815" s="42"/>
      <c r="C6815" s="52"/>
      <c r="D6815"/>
      <c r="E6815"/>
      <c r="F6815"/>
      <c r="N6815" s="44"/>
    </row>
    <row r="6816" spans="1:14" x14ac:dyDescent="0.3">
      <c r="A6816" s="42"/>
      <c r="C6816" s="52"/>
      <c r="D6816"/>
      <c r="E6816"/>
      <c r="F6816"/>
      <c r="N6816" s="44"/>
    </row>
    <row r="6817" spans="1:14" x14ac:dyDescent="0.3">
      <c r="A6817" s="42"/>
      <c r="C6817" s="52"/>
      <c r="D6817"/>
      <c r="E6817"/>
      <c r="F6817"/>
      <c r="N6817" s="44"/>
    </row>
    <row r="6818" spans="1:14" x14ac:dyDescent="0.3">
      <c r="A6818" s="42"/>
      <c r="C6818" s="52"/>
      <c r="D6818"/>
      <c r="E6818"/>
      <c r="F6818"/>
      <c r="N6818" s="44"/>
    </row>
    <row r="6819" spans="1:14" x14ac:dyDescent="0.3">
      <c r="A6819" s="42"/>
      <c r="C6819" s="52"/>
      <c r="D6819"/>
      <c r="E6819"/>
      <c r="F6819"/>
      <c r="N6819" s="44"/>
    </row>
    <row r="6820" spans="1:14" x14ac:dyDescent="0.3">
      <c r="A6820" s="42"/>
      <c r="C6820" s="52"/>
      <c r="D6820"/>
      <c r="E6820"/>
      <c r="F6820"/>
      <c r="N6820" s="44"/>
    </row>
    <row r="6821" spans="1:14" x14ac:dyDescent="0.3">
      <c r="A6821" s="42"/>
      <c r="C6821" s="52"/>
      <c r="D6821"/>
      <c r="E6821"/>
      <c r="F6821"/>
      <c r="N6821" s="44"/>
    </row>
    <row r="6822" spans="1:14" x14ac:dyDescent="0.3">
      <c r="A6822" s="42"/>
      <c r="C6822" s="52"/>
      <c r="D6822"/>
      <c r="E6822"/>
      <c r="F6822"/>
      <c r="N6822" s="44"/>
    </row>
    <row r="6823" spans="1:14" x14ac:dyDescent="0.3">
      <c r="A6823" s="42"/>
      <c r="C6823" s="52"/>
      <c r="D6823"/>
      <c r="E6823"/>
      <c r="F6823"/>
      <c r="N6823" s="44"/>
    </row>
    <row r="6824" spans="1:14" x14ac:dyDescent="0.3">
      <c r="A6824" s="42"/>
      <c r="C6824" s="52"/>
      <c r="D6824"/>
      <c r="E6824"/>
      <c r="F6824"/>
      <c r="N6824" s="44"/>
    </row>
    <row r="6825" spans="1:14" x14ac:dyDescent="0.3">
      <c r="A6825" s="42"/>
      <c r="C6825" s="52"/>
      <c r="D6825"/>
      <c r="E6825"/>
      <c r="F6825"/>
      <c r="N6825" s="44"/>
    </row>
    <row r="6826" spans="1:14" x14ac:dyDescent="0.3">
      <c r="A6826" s="42"/>
      <c r="C6826" s="52"/>
      <c r="D6826"/>
      <c r="E6826"/>
      <c r="F6826"/>
      <c r="N6826" s="44"/>
    </row>
    <row r="6827" spans="1:14" x14ac:dyDescent="0.3">
      <c r="A6827" s="42"/>
      <c r="C6827" s="52"/>
      <c r="D6827"/>
      <c r="E6827"/>
      <c r="F6827"/>
      <c r="M6827" s="45"/>
      <c r="N6827" s="44"/>
    </row>
    <row r="6828" spans="1:14" x14ac:dyDescent="0.3">
      <c r="A6828" s="42"/>
      <c r="C6828" s="52"/>
      <c r="D6828"/>
      <c r="E6828"/>
      <c r="F6828"/>
      <c r="N6828" s="44"/>
    </row>
    <row r="6829" spans="1:14" x14ac:dyDescent="0.3">
      <c r="A6829" s="42"/>
      <c r="C6829" s="52"/>
      <c r="D6829"/>
      <c r="E6829"/>
      <c r="F6829"/>
      <c r="N6829" s="44"/>
    </row>
    <row r="6830" spans="1:14" x14ac:dyDescent="0.3">
      <c r="A6830" s="42"/>
      <c r="C6830" s="52"/>
      <c r="D6830"/>
      <c r="E6830"/>
      <c r="F6830"/>
      <c r="N6830" s="44"/>
    </row>
    <row r="6831" spans="1:14" x14ac:dyDescent="0.3">
      <c r="A6831" s="42"/>
      <c r="C6831" s="52"/>
      <c r="D6831"/>
      <c r="E6831"/>
      <c r="F6831"/>
      <c r="N6831" s="44"/>
    </row>
    <row r="6832" spans="1:14" x14ac:dyDescent="0.3">
      <c r="A6832" s="42"/>
      <c r="C6832" s="52"/>
      <c r="D6832"/>
      <c r="E6832"/>
      <c r="F6832"/>
      <c r="N6832" s="44"/>
    </row>
    <row r="6833" spans="1:14" x14ac:dyDescent="0.3">
      <c r="A6833" s="42"/>
      <c r="C6833" s="52"/>
      <c r="D6833"/>
      <c r="E6833"/>
      <c r="F6833"/>
      <c r="N6833" s="44"/>
    </row>
    <row r="6834" spans="1:14" x14ac:dyDescent="0.3">
      <c r="A6834" s="42"/>
      <c r="C6834" s="52"/>
      <c r="D6834"/>
      <c r="E6834"/>
      <c r="F6834"/>
      <c r="N6834" s="44"/>
    </row>
    <row r="6835" spans="1:14" x14ac:dyDescent="0.3">
      <c r="A6835" s="42"/>
      <c r="C6835" s="52"/>
      <c r="D6835"/>
      <c r="E6835"/>
      <c r="F6835"/>
      <c r="M6835" s="45"/>
      <c r="N6835" s="44"/>
    </row>
    <row r="6836" spans="1:14" x14ac:dyDescent="0.3">
      <c r="A6836" s="42"/>
      <c r="C6836" s="52"/>
      <c r="D6836"/>
      <c r="E6836"/>
      <c r="F6836"/>
      <c r="N6836" s="44"/>
    </row>
    <row r="6837" spans="1:14" x14ac:dyDescent="0.3">
      <c r="A6837" s="42"/>
      <c r="C6837" s="52"/>
      <c r="D6837"/>
      <c r="E6837"/>
      <c r="F6837"/>
      <c r="N6837" s="44"/>
    </row>
    <row r="6838" spans="1:14" x14ac:dyDescent="0.3">
      <c r="A6838" s="42"/>
      <c r="C6838" s="52"/>
      <c r="D6838"/>
      <c r="E6838"/>
      <c r="F6838"/>
      <c r="N6838" s="44"/>
    </row>
    <row r="6839" spans="1:14" x14ac:dyDescent="0.3">
      <c r="A6839" s="42"/>
      <c r="C6839" s="52"/>
      <c r="D6839"/>
      <c r="E6839"/>
      <c r="F6839"/>
      <c r="N6839" s="44"/>
    </row>
    <row r="6840" spans="1:14" x14ac:dyDescent="0.3">
      <c r="A6840" s="42"/>
      <c r="C6840" s="52"/>
      <c r="D6840"/>
      <c r="E6840"/>
      <c r="F6840"/>
      <c r="N6840" s="44"/>
    </row>
    <row r="6841" spans="1:14" x14ac:dyDescent="0.3">
      <c r="A6841" s="42"/>
      <c r="C6841" s="52"/>
      <c r="D6841"/>
      <c r="E6841"/>
      <c r="F6841"/>
      <c r="N6841" s="44"/>
    </row>
    <row r="6842" spans="1:14" x14ac:dyDescent="0.3">
      <c r="A6842" s="42"/>
      <c r="C6842" s="52"/>
      <c r="D6842"/>
      <c r="E6842"/>
      <c r="F6842"/>
      <c r="N6842" s="44"/>
    </row>
    <row r="6843" spans="1:14" x14ac:dyDescent="0.3">
      <c r="A6843" s="42"/>
      <c r="C6843" s="52"/>
      <c r="D6843"/>
      <c r="E6843"/>
      <c r="F6843"/>
      <c r="N6843" s="44"/>
    </row>
    <row r="6844" spans="1:14" x14ac:dyDescent="0.3">
      <c r="A6844" s="42"/>
      <c r="C6844" s="52"/>
      <c r="D6844"/>
      <c r="E6844"/>
      <c r="F6844"/>
      <c r="N6844" s="44"/>
    </row>
    <row r="6845" spans="1:14" x14ac:dyDescent="0.3">
      <c r="A6845" s="42"/>
      <c r="C6845" s="52"/>
      <c r="D6845"/>
      <c r="E6845"/>
      <c r="F6845"/>
      <c r="N6845" s="44"/>
    </row>
    <row r="6846" spans="1:14" x14ac:dyDescent="0.3">
      <c r="A6846" s="42"/>
      <c r="C6846" s="52"/>
      <c r="D6846"/>
      <c r="E6846"/>
      <c r="F6846"/>
      <c r="N6846" s="44"/>
    </row>
    <row r="6847" spans="1:14" x14ac:dyDescent="0.3">
      <c r="A6847" s="42"/>
      <c r="C6847" s="52"/>
      <c r="D6847"/>
      <c r="E6847"/>
      <c r="F6847"/>
      <c r="N6847" s="44"/>
    </row>
    <row r="6848" spans="1:14" x14ac:dyDescent="0.3">
      <c r="A6848" s="42"/>
      <c r="C6848" s="52"/>
      <c r="D6848"/>
      <c r="E6848"/>
      <c r="F6848"/>
      <c r="N6848" s="44"/>
    </row>
    <row r="6849" spans="1:14" x14ac:dyDescent="0.3">
      <c r="A6849" s="42"/>
      <c r="C6849" s="52"/>
      <c r="D6849"/>
      <c r="E6849"/>
      <c r="F6849"/>
      <c r="N6849" s="44"/>
    </row>
    <row r="6850" spans="1:14" x14ac:dyDescent="0.3">
      <c r="A6850" s="42"/>
      <c r="C6850" s="52"/>
      <c r="D6850"/>
      <c r="E6850"/>
      <c r="F6850"/>
      <c r="N6850" s="44"/>
    </row>
    <row r="6851" spans="1:14" x14ac:dyDescent="0.3">
      <c r="A6851" s="42"/>
      <c r="C6851" s="52"/>
      <c r="D6851"/>
      <c r="E6851"/>
      <c r="F6851"/>
      <c r="N6851" s="44"/>
    </row>
    <row r="6852" spans="1:14" x14ac:dyDescent="0.3">
      <c r="A6852" s="42"/>
      <c r="C6852" s="52"/>
      <c r="D6852"/>
      <c r="E6852"/>
      <c r="F6852"/>
      <c r="N6852" s="44"/>
    </row>
    <row r="6853" spans="1:14" x14ac:dyDescent="0.3">
      <c r="A6853" s="42"/>
      <c r="C6853" s="52"/>
      <c r="D6853"/>
      <c r="E6853"/>
      <c r="F6853"/>
      <c r="N6853" s="44"/>
    </row>
    <row r="6854" spans="1:14" x14ac:dyDescent="0.3">
      <c r="A6854" s="42"/>
      <c r="C6854" s="52"/>
      <c r="D6854"/>
      <c r="E6854"/>
      <c r="F6854"/>
      <c r="N6854" s="44"/>
    </row>
    <row r="6855" spans="1:14" x14ac:dyDescent="0.3">
      <c r="A6855" s="42"/>
      <c r="C6855" s="52"/>
      <c r="D6855"/>
      <c r="E6855"/>
      <c r="F6855"/>
      <c r="N6855" s="44"/>
    </row>
    <row r="6856" spans="1:14" x14ac:dyDescent="0.3">
      <c r="A6856" s="42"/>
      <c r="C6856" s="52"/>
      <c r="D6856"/>
      <c r="E6856"/>
      <c r="F6856"/>
      <c r="N6856" s="44"/>
    </row>
    <row r="6857" spans="1:14" x14ac:dyDescent="0.3">
      <c r="A6857" s="42"/>
      <c r="C6857" s="52"/>
      <c r="D6857"/>
      <c r="E6857"/>
      <c r="F6857"/>
      <c r="N6857" s="44"/>
    </row>
    <row r="6858" spans="1:14" x14ac:dyDescent="0.3">
      <c r="A6858" s="42"/>
      <c r="C6858" s="52"/>
      <c r="D6858"/>
      <c r="E6858"/>
      <c r="F6858"/>
      <c r="N6858" s="44"/>
    </row>
    <row r="6859" spans="1:14" x14ac:dyDescent="0.3">
      <c r="A6859" s="42"/>
      <c r="C6859" s="52"/>
      <c r="D6859"/>
      <c r="E6859"/>
      <c r="F6859"/>
      <c r="N6859" s="44"/>
    </row>
    <row r="6860" spans="1:14" x14ac:dyDescent="0.3">
      <c r="A6860" s="42"/>
      <c r="C6860" s="52"/>
      <c r="D6860"/>
      <c r="E6860"/>
      <c r="F6860"/>
      <c r="M6860" s="45"/>
      <c r="N6860" s="44"/>
    </row>
    <row r="6861" spans="1:14" x14ac:dyDescent="0.3">
      <c r="A6861" s="42"/>
      <c r="C6861" s="52"/>
      <c r="D6861"/>
      <c r="E6861"/>
      <c r="F6861"/>
      <c r="N6861" s="44"/>
    </row>
    <row r="6862" spans="1:14" x14ac:dyDescent="0.3">
      <c r="A6862" s="42"/>
      <c r="C6862" s="52"/>
      <c r="D6862"/>
      <c r="E6862"/>
      <c r="F6862"/>
      <c r="N6862" s="44"/>
    </row>
    <row r="6863" spans="1:14" x14ac:dyDescent="0.3">
      <c r="A6863" s="42"/>
      <c r="C6863" s="52"/>
      <c r="D6863"/>
      <c r="E6863"/>
      <c r="F6863"/>
      <c r="N6863" s="44"/>
    </row>
    <row r="6864" spans="1:14" x14ac:dyDescent="0.3">
      <c r="A6864" s="42"/>
      <c r="C6864" s="52"/>
      <c r="D6864"/>
      <c r="E6864"/>
      <c r="F6864"/>
      <c r="N6864" s="44"/>
    </row>
    <row r="6865" spans="1:14" x14ac:dyDescent="0.3">
      <c r="A6865" s="42"/>
      <c r="C6865" s="52"/>
      <c r="D6865"/>
      <c r="E6865"/>
      <c r="F6865"/>
      <c r="N6865" s="44"/>
    </row>
    <row r="6866" spans="1:14" x14ac:dyDescent="0.3">
      <c r="A6866" s="42"/>
      <c r="C6866" s="52"/>
      <c r="D6866"/>
      <c r="E6866"/>
      <c r="F6866"/>
      <c r="N6866" s="44"/>
    </row>
    <row r="6867" spans="1:14" x14ac:dyDescent="0.3">
      <c r="A6867" s="42"/>
      <c r="C6867" s="52"/>
      <c r="D6867"/>
      <c r="E6867"/>
      <c r="F6867"/>
      <c r="N6867" s="44"/>
    </row>
    <row r="6868" spans="1:14" x14ac:dyDescent="0.3">
      <c r="A6868" s="42"/>
      <c r="C6868" s="52"/>
      <c r="D6868"/>
      <c r="E6868"/>
      <c r="F6868"/>
      <c r="N6868" s="44"/>
    </row>
    <row r="6869" spans="1:14" x14ac:dyDescent="0.3">
      <c r="A6869" s="42"/>
      <c r="C6869" s="52"/>
      <c r="D6869"/>
      <c r="E6869"/>
      <c r="F6869"/>
      <c r="N6869" s="44"/>
    </row>
    <row r="6870" spans="1:14" x14ac:dyDescent="0.3">
      <c r="A6870" s="42"/>
      <c r="C6870" s="52"/>
      <c r="D6870"/>
      <c r="E6870"/>
      <c r="F6870"/>
      <c r="N6870" s="44"/>
    </row>
    <row r="6871" spans="1:14" x14ac:dyDescent="0.3">
      <c r="A6871" s="42"/>
      <c r="C6871" s="52"/>
      <c r="D6871"/>
      <c r="E6871"/>
      <c r="F6871"/>
      <c r="N6871" s="44"/>
    </row>
    <row r="6872" spans="1:14" x14ac:dyDescent="0.3">
      <c r="A6872" s="42"/>
      <c r="C6872" s="52"/>
      <c r="D6872"/>
      <c r="E6872"/>
      <c r="F6872"/>
      <c r="N6872" s="44"/>
    </row>
    <row r="6873" spans="1:14" x14ac:dyDescent="0.3">
      <c r="A6873" s="42"/>
      <c r="C6873" s="52"/>
      <c r="D6873"/>
      <c r="E6873"/>
      <c r="F6873"/>
      <c r="N6873" s="44"/>
    </row>
    <row r="6874" spans="1:14" x14ac:dyDescent="0.3">
      <c r="A6874" s="42"/>
      <c r="C6874" s="52"/>
      <c r="D6874"/>
      <c r="E6874"/>
      <c r="F6874"/>
      <c r="N6874" s="44"/>
    </row>
    <row r="6875" spans="1:14" x14ac:dyDescent="0.3">
      <c r="A6875" s="42"/>
      <c r="C6875" s="52"/>
      <c r="D6875"/>
      <c r="E6875"/>
      <c r="F6875"/>
      <c r="N6875" s="44"/>
    </row>
    <row r="6876" spans="1:14" x14ac:dyDescent="0.3">
      <c r="A6876" s="42"/>
      <c r="C6876" s="52"/>
      <c r="D6876"/>
      <c r="E6876"/>
      <c r="F6876"/>
      <c r="N6876" s="44"/>
    </row>
    <row r="6877" spans="1:14" x14ac:dyDescent="0.3">
      <c r="A6877" s="42"/>
      <c r="C6877" s="52"/>
      <c r="D6877"/>
      <c r="E6877"/>
      <c r="F6877"/>
      <c r="N6877" s="44"/>
    </row>
    <row r="6878" spans="1:14" x14ac:dyDescent="0.3">
      <c r="A6878" s="42"/>
      <c r="C6878" s="52"/>
      <c r="D6878"/>
      <c r="E6878"/>
      <c r="F6878"/>
      <c r="N6878" s="44"/>
    </row>
    <row r="6879" spans="1:14" x14ac:dyDescent="0.3">
      <c r="A6879" s="42"/>
      <c r="C6879" s="52"/>
      <c r="D6879"/>
      <c r="E6879"/>
      <c r="F6879"/>
      <c r="N6879" s="44"/>
    </row>
    <row r="6880" spans="1:14" x14ac:dyDescent="0.3">
      <c r="A6880" s="42"/>
      <c r="C6880" s="52"/>
      <c r="D6880"/>
      <c r="E6880"/>
      <c r="F6880"/>
      <c r="N6880" s="44"/>
    </row>
    <row r="6881" spans="1:14" x14ac:dyDescent="0.3">
      <c r="A6881" s="42"/>
      <c r="C6881" s="52"/>
      <c r="D6881"/>
      <c r="E6881"/>
      <c r="F6881"/>
      <c r="N6881" s="44"/>
    </row>
    <row r="6882" spans="1:14" x14ac:dyDescent="0.3">
      <c r="A6882" s="42"/>
      <c r="C6882" s="52"/>
      <c r="D6882"/>
      <c r="E6882"/>
      <c r="F6882"/>
      <c r="N6882" s="44"/>
    </row>
    <row r="6883" spans="1:14" x14ac:dyDescent="0.3">
      <c r="A6883" s="42"/>
      <c r="C6883" s="52"/>
      <c r="D6883"/>
      <c r="E6883"/>
      <c r="F6883"/>
      <c r="N6883" s="44"/>
    </row>
    <row r="6884" spans="1:14" x14ac:dyDescent="0.3">
      <c r="A6884" s="42"/>
      <c r="C6884" s="52"/>
      <c r="D6884"/>
      <c r="E6884"/>
      <c r="F6884"/>
      <c r="N6884" s="44"/>
    </row>
    <row r="6885" spans="1:14" x14ac:dyDescent="0.3">
      <c r="A6885" s="42"/>
      <c r="C6885" s="52"/>
      <c r="D6885"/>
      <c r="E6885"/>
      <c r="F6885"/>
      <c r="N6885" s="44"/>
    </row>
    <row r="6886" spans="1:14" x14ac:dyDescent="0.3">
      <c r="A6886" s="42"/>
      <c r="C6886" s="52"/>
      <c r="D6886"/>
      <c r="E6886"/>
      <c r="F6886"/>
      <c r="N6886" s="44"/>
    </row>
    <row r="6887" spans="1:14" x14ac:dyDescent="0.3">
      <c r="A6887" s="42"/>
      <c r="C6887" s="52"/>
      <c r="D6887"/>
      <c r="E6887"/>
      <c r="F6887"/>
      <c r="N6887" s="44"/>
    </row>
    <row r="6888" spans="1:14" x14ac:dyDescent="0.3">
      <c r="A6888" s="42"/>
      <c r="C6888" s="52"/>
      <c r="D6888"/>
      <c r="E6888"/>
      <c r="F6888"/>
      <c r="N6888" s="44"/>
    </row>
    <row r="6889" spans="1:14" x14ac:dyDescent="0.3">
      <c r="A6889" s="42"/>
      <c r="C6889" s="52"/>
      <c r="D6889"/>
      <c r="E6889"/>
      <c r="F6889"/>
      <c r="N6889" s="44"/>
    </row>
    <row r="6890" spans="1:14" x14ac:dyDescent="0.3">
      <c r="A6890" s="42"/>
      <c r="C6890" s="52"/>
      <c r="D6890"/>
      <c r="E6890"/>
      <c r="F6890"/>
      <c r="N6890" s="44"/>
    </row>
    <row r="6891" spans="1:14" x14ac:dyDescent="0.3">
      <c r="A6891" s="42"/>
      <c r="C6891" s="52"/>
      <c r="D6891"/>
      <c r="E6891"/>
      <c r="F6891"/>
      <c r="N6891" s="44"/>
    </row>
    <row r="6892" spans="1:14" x14ac:dyDescent="0.3">
      <c r="A6892" s="42"/>
      <c r="C6892" s="52"/>
      <c r="D6892"/>
      <c r="E6892"/>
      <c r="F6892"/>
      <c r="N6892" s="44"/>
    </row>
    <row r="6893" spans="1:14" x14ac:dyDescent="0.3">
      <c r="A6893" s="42"/>
      <c r="C6893" s="52"/>
      <c r="D6893"/>
      <c r="E6893"/>
      <c r="F6893"/>
      <c r="N6893" s="44"/>
    </row>
    <row r="6894" spans="1:14" x14ac:dyDescent="0.3">
      <c r="A6894" s="42"/>
      <c r="C6894" s="52"/>
      <c r="D6894"/>
      <c r="E6894"/>
      <c r="F6894"/>
      <c r="N6894" s="44"/>
    </row>
    <row r="6895" spans="1:14" x14ac:dyDescent="0.3">
      <c r="A6895" s="42"/>
      <c r="C6895" s="52"/>
      <c r="D6895"/>
      <c r="E6895"/>
      <c r="F6895"/>
      <c r="N6895" s="44"/>
    </row>
    <row r="6896" spans="1:14" x14ac:dyDescent="0.3">
      <c r="A6896" s="42"/>
      <c r="C6896" s="52"/>
      <c r="D6896"/>
      <c r="E6896"/>
      <c r="F6896"/>
      <c r="N6896" s="44"/>
    </row>
    <row r="6897" spans="1:14" x14ac:dyDescent="0.3">
      <c r="A6897" s="42"/>
      <c r="C6897" s="52"/>
      <c r="D6897"/>
      <c r="E6897"/>
      <c r="F6897"/>
      <c r="N6897" s="44"/>
    </row>
    <row r="6898" spans="1:14" x14ac:dyDescent="0.3">
      <c r="A6898" s="42"/>
      <c r="C6898" s="52"/>
      <c r="D6898"/>
      <c r="E6898"/>
      <c r="F6898"/>
      <c r="N6898" s="44"/>
    </row>
    <row r="6899" spans="1:14" x14ac:dyDescent="0.3">
      <c r="A6899" s="42"/>
      <c r="C6899" s="52"/>
      <c r="D6899"/>
      <c r="E6899"/>
      <c r="F6899"/>
      <c r="N6899" s="44"/>
    </row>
    <row r="6900" spans="1:14" x14ac:dyDescent="0.3">
      <c r="A6900" s="42"/>
      <c r="C6900" s="52"/>
      <c r="D6900"/>
      <c r="E6900"/>
      <c r="F6900"/>
      <c r="N6900" s="44"/>
    </row>
    <row r="6901" spans="1:14" x14ac:dyDescent="0.3">
      <c r="A6901" s="42"/>
      <c r="C6901" s="52"/>
      <c r="D6901"/>
      <c r="E6901"/>
      <c r="F6901"/>
      <c r="N6901" s="44"/>
    </row>
    <row r="6902" spans="1:14" x14ac:dyDescent="0.3">
      <c r="A6902" s="42"/>
      <c r="C6902" s="52"/>
      <c r="D6902"/>
      <c r="E6902"/>
      <c r="F6902"/>
      <c r="N6902" s="44"/>
    </row>
    <row r="6903" spans="1:14" x14ac:dyDescent="0.3">
      <c r="A6903" s="42"/>
      <c r="C6903" s="52"/>
      <c r="D6903"/>
      <c r="E6903"/>
      <c r="F6903"/>
      <c r="N6903" s="44"/>
    </row>
    <row r="6904" spans="1:14" x14ac:dyDescent="0.3">
      <c r="A6904" s="42"/>
      <c r="C6904" s="52"/>
      <c r="D6904"/>
      <c r="E6904"/>
      <c r="F6904"/>
      <c r="N6904" s="44"/>
    </row>
    <row r="6905" spans="1:14" x14ac:dyDescent="0.3">
      <c r="A6905" s="42"/>
      <c r="C6905" s="52"/>
      <c r="D6905"/>
      <c r="E6905"/>
      <c r="F6905"/>
      <c r="N6905" s="44"/>
    </row>
    <row r="6906" spans="1:14" x14ac:dyDescent="0.3">
      <c r="A6906" s="42"/>
      <c r="C6906" s="52"/>
      <c r="D6906"/>
      <c r="E6906"/>
      <c r="F6906"/>
      <c r="N6906" s="44"/>
    </row>
    <row r="6907" spans="1:14" x14ac:dyDescent="0.3">
      <c r="A6907" s="42"/>
      <c r="C6907" s="52"/>
      <c r="D6907"/>
      <c r="E6907"/>
      <c r="F6907"/>
      <c r="N6907" s="44"/>
    </row>
    <row r="6908" spans="1:14" x14ac:dyDescent="0.3">
      <c r="A6908" s="42"/>
      <c r="C6908" s="52"/>
      <c r="D6908"/>
      <c r="E6908"/>
      <c r="F6908"/>
      <c r="N6908" s="44"/>
    </row>
    <row r="6909" spans="1:14" x14ac:dyDescent="0.3">
      <c r="A6909" s="42"/>
      <c r="C6909" s="52"/>
      <c r="D6909"/>
      <c r="E6909"/>
      <c r="F6909"/>
      <c r="N6909" s="44"/>
    </row>
    <row r="6910" spans="1:14" x14ac:dyDescent="0.3">
      <c r="A6910" s="42"/>
      <c r="C6910" s="52"/>
      <c r="D6910"/>
      <c r="E6910"/>
      <c r="F6910"/>
      <c r="N6910" s="44"/>
    </row>
    <row r="6911" spans="1:14" x14ac:dyDescent="0.3">
      <c r="A6911" s="42"/>
      <c r="C6911" s="52"/>
      <c r="D6911"/>
      <c r="E6911"/>
      <c r="F6911"/>
      <c r="N6911" s="44"/>
    </row>
    <row r="6912" spans="1:14" x14ac:dyDescent="0.3">
      <c r="A6912" s="42"/>
      <c r="C6912" s="52"/>
      <c r="D6912"/>
      <c r="E6912"/>
      <c r="F6912"/>
      <c r="N6912" s="44"/>
    </row>
    <row r="6913" spans="1:14" x14ac:dyDescent="0.3">
      <c r="A6913" s="42"/>
      <c r="C6913" s="52"/>
      <c r="D6913"/>
      <c r="E6913"/>
      <c r="F6913"/>
      <c r="N6913" s="44"/>
    </row>
    <row r="6914" spans="1:14" x14ac:dyDescent="0.3">
      <c r="A6914" s="42"/>
      <c r="C6914" s="52"/>
      <c r="D6914"/>
      <c r="E6914"/>
      <c r="F6914"/>
      <c r="N6914" s="44"/>
    </row>
    <row r="6915" spans="1:14" x14ac:dyDescent="0.3">
      <c r="A6915" s="42"/>
      <c r="C6915" s="52"/>
      <c r="D6915"/>
      <c r="E6915"/>
      <c r="F6915"/>
      <c r="N6915" s="44"/>
    </row>
    <row r="6916" spans="1:14" x14ac:dyDescent="0.3">
      <c r="A6916" s="42"/>
      <c r="C6916" s="52"/>
      <c r="D6916"/>
      <c r="E6916"/>
      <c r="F6916"/>
      <c r="N6916" s="44"/>
    </row>
    <row r="6917" spans="1:14" x14ac:dyDescent="0.3">
      <c r="A6917" s="42"/>
      <c r="C6917" s="52"/>
      <c r="D6917"/>
      <c r="E6917"/>
      <c r="F6917"/>
      <c r="N6917" s="44"/>
    </row>
    <row r="6918" spans="1:14" x14ac:dyDescent="0.3">
      <c r="A6918" s="42"/>
      <c r="C6918" s="52"/>
      <c r="D6918"/>
      <c r="E6918"/>
      <c r="F6918"/>
      <c r="N6918" s="44"/>
    </row>
    <row r="6919" spans="1:14" x14ac:dyDescent="0.3">
      <c r="A6919" s="42"/>
      <c r="C6919" s="52"/>
      <c r="D6919"/>
      <c r="E6919"/>
      <c r="F6919"/>
      <c r="N6919" s="44"/>
    </row>
    <row r="6920" spans="1:14" x14ac:dyDescent="0.3">
      <c r="A6920" s="42"/>
      <c r="C6920" s="52"/>
      <c r="D6920"/>
      <c r="E6920"/>
      <c r="F6920"/>
      <c r="N6920" s="44"/>
    </row>
    <row r="6921" spans="1:14" x14ac:dyDescent="0.3">
      <c r="A6921" s="42"/>
      <c r="C6921" s="52"/>
      <c r="D6921"/>
      <c r="E6921"/>
      <c r="F6921"/>
      <c r="N6921" s="44"/>
    </row>
    <row r="6922" spans="1:14" x14ac:dyDescent="0.3">
      <c r="A6922" s="42"/>
      <c r="C6922" s="52"/>
      <c r="D6922"/>
      <c r="E6922"/>
      <c r="F6922"/>
      <c r="N6922" s="44"/>
    </row>
    <row r="6923" spans="1:14" x14ac:dyDescent="0.3">
      <c r="A6923" s="42"/>
      <c r="C6923" s="52"/>
      <c r="D6923"/>
      <c r="E6923"/>
      <c r="F6923"/>
      <c r="N6923" s="44"/>
    </row>
    <row r="6924" spans="1:14" x14ac:dyDescent="0.3">
      <c r="A6924" s="42"/>
      <c r="C6924" s="52"/>
      <c r="D6924"/>
      <c r="E6924"/>
      <c r="F6924"/>
      <c r="N6924" s="44"/>
    </row>
    <row r="6925" spans="1:14" x14ac:dyDescent="0.3">
      <c r="A6925" s="42"/>
      <c r="C6925" s="52"/>
      <c r="D6925"/>
      <c r="E6925"/>
      <c r="F6925"/>
      <c r="N6925" s="44"/>
    </row>
    <row r="6926" spans="1:14" x14ac:dyDescent="0.3">
      <c r="A6926" s="42"/>
      <c r="C6926" s="52"/>
      <c r="D6926"/>
      <c r="E6926"/>
      <c r="F6926"/>
      <c r="N6926" s="44"/>
    </row>
    <row r="6927" spans="1:14" x14ac:dyDescent="0.3">
      <c r="A6927" s="42"/>
      <c r="C6927" s="52"/>
      <c r="D6927"/>
      <c r="E6927"/>
      <c r="F6927"/>
      <c r="N6927" s="44"/>
    </row>
    <row r="6928" spans="1:14" x14ac:dyDescent="0.3">
      <c r="A6928" s="42"/>
      <c r="C6928" s="52"/>
      <c r="D6928"/>
      <c r="E6928"/>
      <c r="F6928"/>
      <c r="N6928" s="44"/>
    </row>
    <row r="6929" spans="1:14" x14ac:dyDescent="0.3">
      <c r="A6929" s="42"/>
      <c r="C6929" s="52"/>
      <c r="D6929"/>
      <c r="E6929"/>
      <c r="F6929"/>
      <c r="N6929" s="44"/>
    </row>
    <row r="6930" spans="1:14" x14ac:dyDescent="0.3">
      <c r="A6930" s="42"/>
      <c r="C6930" s="52"/>
      <c r="D6930"/>
      <c r="E6930"/>
      <c r="F6930"/>
      <c r="N6930" s="44"/>
    </row>
    <row r="6931" spans="1:14" x14ac:dyDescent="0.3">
      <c r="A6931" s="42"/>
      <c r="C6931" s="52"/>
      <c r="D6931"/>
      <c r="E6931"/>
      <c r="F6931"/>
      <c r="N6931" s="44"/>
    </row>
    <row r="6932" spans="1:14" x14ac:dyDescent="0.3">
      <c r="A6932" s="42"/>
      <c r="C6932" s="52"/>
      <c r="D6932"/>
      <c r="E6932"/>
      <c r="F6932"/>
      <c r="N6932" s="44"/>
    </row>
    <row r="6933" spans="1:14" x14ac:dyDescent="0.3">
      <c r="A6933" s="42"/>
      <c r="C6933" s="52"/>
      <c r="D6933"/>
      <c r="E6933"/>
      <c r="F6933"/>
      <c r="N6933" s="44"/>
    </row>
    <row r="6934" spans="1:14" x14ac:dyDescent="0.3">
      <c r="A6934" s="42"/>
      <c r="C6934" s="52"/>
      <c r="D6934"/>
      <c r="E6934"/>
      <c r="F6934"/>
      <c r="N6934" s="44"/>
    </row>
    <row r="6935" spans="1:14" x14ac:dyDescent="0.3">
      <c r="A6935" s="42"/>
      <c r="C6935" s="52"/>
      <c r="D6935"/>
      <c r="E6935"/>
      <c r="F6935"/>
      <c r="N6935" s="44"/>
    </row>
    <row r="6936" spans="1:14" x14ac:dyDescent="0.3">
      <c r="A6936" s="42"/>
      <c r="C6936" s="52"/>
      <c r="D6936"/>
      <c r="E6936"/>
      <c r="F6936"/>
      <c r="N6936" s="44"/>
    </row>
    <row r="6937" spans="1:14" x14ac:dyDescent="0.3">
      <c r="A6937" s="42"/>
      <c r="C6937" s="52"/>
      <c r="D6937"/>
      <c r="E6937"/>
      <c r="F6937"/>
      <c r="N6937" s="44"/>
    </row>
    <row r="6938" spans="1:14" x14ac:dyDescent="0.3">
      <c r="A6938" s="42"/>
      <c r="C6938" s="52"/>
      <c r="D6938"/>
      <c r="E6938"/>
      <c r="F6938"/>
      <c r="N6938" s="44"/>
    </row>
    <row r="6939" spans="1:14" x14ac:dyDescent="0.3">
      <c r="A6939" s="42"/>
      <c r="C6939" s="52"/>
      <c r="D6939"/>
      <c r="E6939"/>
      <c r="F6939"/>
      <c r="M6939" s="45"/>
      <c r="N6939" s="44"/>
    </row>
    <row r="6940" spans="1:14" x14ac:dyDescent="0.3">
      <c r="A6940" s="42"/>
      <c r="C6940" s="52"/>
      <c r="D6940"/>
      <c r="E6940"/>
      <c r="F6940"/>
      <c r="N6940" s="44"/>
    </row>
    <row r="6941" spans="1:14" x14ac:dyDescent="0.3">
      <c r="A6941" s="42"/>
      <c r="C6941" s="52"/>
      <c r="D6941"/>
      <c r="E6941"/>
      <c r="F6941"/>
      <c r="N6941" s="44"/>
    </row>
    <row r="6942" spans="1:14" x14ac:dyDescent="0.3">
      <c r="A6942" s="42"/>
      <c r="C6942" s="52"/>
      <c r="D6942"/>
      <c r="E6942"/>
      <c r="F6942"/>
      <c r="N6942" s="44"/>
    </row>
    <row r="6943" spans="1:14" x14ac:dyDescent="0.3">
      <c r="A6943" s="42"/>
      <c r="C6943" s="52"/>
      <c r="D6943"/>
      <c r="E6943"/>
      <c r="F6943"/>
      <c r="N6943" s="44"/>
    </row>
    <row r="6944" spans="1:14" x14ac:dyDescent="0.3">
      <c r="A6944" s="42"/>
      <c r="C6944" s="52"/>
      <c r="D6944"/>
      <c r="E6944"/>
      <c r="F6944"/>
      <c r="N6944" s="44"/>
    </row>
    <row r="6945" spans="1:14" x14ac:dyDescent="0.3">
      <c r="A6945" s="42"/>
      <c r="C6945" s="52"/>
      <c r="D6945"/>
      <c r="E6945"/>
      <c r="F6945"/>
      <c r="N6945" s="44"/>
    </row>
    <row r="6946" spans="1:14" x14ac:dyDescent="0.3">
      <c r="A6946" s="42"/>
      <c r="C6946" s="52"/>
      <c r="D6946"/>
      <c r="E6946"/>
      <c r="F6946"/>
      <c r="N6946" s="44"/>
    </row>
    <row r="6947" spans="1:14" x14ac:dyDescent="0.3">
      <c r="A6947" s="42"/>
      <c r="C6947" s="52"/>
      <c r="D6947"/>
      <c r="E6947"/>
      <c r="F6947"/>
      <c r="N6947" s="44"/>
    </row>
    <row r="6948" spans="1:14" x14ac:dyDescent="0.3">
      <c r="A6948" s="42"/>
      <c r="C6948" s="52"/>
      <c r="D6948"/>
      <c r="E6948"/>
      <c r="F6948"/>
      <c r="N6948" s="44"/>
    </row>
    <row r="6949" spans="1:14" x14ac:dyDescent="0.3">
      <c r="A6949" s="42"/>
      <c r="C6949" s="52"/>
      <c r="D6949"/>
      <c r="E6949"/>
      <c r="F6949"/>
      <c r="N6949" s="44"/>
    </row>
    <row r="6950" spans="1:14" x14ac:dyDescent="0.3">
      <c r="A6950" s="42"/>
      <c r="C6950" s="52"/>
      <c r="D6950"/>
      <c r="E6950"/>
      <c r="F6950"/>
      <c r="N6950" s="44"/>
    </row>
    <row r="6951" spans="1:14" x14ac:dyDescent="0.3">
      <c r="A6951" s="42"/>
      <c r="C6951" s="52"/>
      <c r="D6951"/>
      <c r="E6951"/>
      <c r="F6951"/>
      <c r="N6951" s="44"/>
    </row>
    <row r="6952" spans="1:14" x14ac:dyDescent="0.3">
      <c r="A6952" s="42"/>
      <c r="C6952" s="52"/>
      <c r="D6952"/>
      <c r="E6952"/>
      <c r="F6952"/>
      <c r="N6952" s="44"/>
    </row>
    <row r="6953" spans="1:14" x14ac:dyDescent="0.3">
      <c r="A6953" s="42"/>
      <c r="C6953" s="52"/>
      <c r="D6953"/>
      <c r="E6953"/>
      <c r="F6953"/>
      <c r="N6953" s="44"/>
    </row>
    <row r="6954" spans="1:14" x14ac:dyDescent="0.3">
      <c r="A6954" s="42"/>
      <c r="C6954" s="52"/>
      <c r="D6954"/>
      <c r="E6954"/>
      <c r="F6954"/>
      <c r="N6954" s="44"/>
    </row>
    <row r="6955" spans="1:14" x14ac:dyDescent="0.3">
      <c r="A6955" s="42"/>
      <c r="C6955" s="52"/>
      <c r="D6955"/>
      <c r="E6955"/>
      <c r="F6955"/>
      <c r="N6955" s="44"/>
    </row>
    <row r="6956" spans="1:14" x14ac:dyDescent="0.3">
      <c r="A6956" s="42"/>
      <c r="C6956" s="52"/>
      <c r="D6956"/>
      <c r="E6956"/>
      <c r="F6956"/>
      <c r="N6956" s="44"/>
    </row>
    <row r="6957" spans="1:14" x14ac:dyDescent="0.3">
      <c r="A6957" s="42"/>
      <c r="C6957" s="52"/>
      <c r="D6957"/>
      <c r="E6957"/>
      <c r="F6957"/>
      <c r="N6957" s="44"/>
    </row>
    <row r="6958" spans="1:14" x14ac:dyDescent="0.3">
      <c r="A6958" s="42"/>
      <c r="C6958" s="52"/>
      <c r="D6958"/>
      <c r="E6958"/>
      <c r="F6958"/>
      <c r="N6958" s="44"/>
    </row>
    <row r="6959" spans="1:14" x14ac:dyDescent="0.3">
      <c r="A6959" s="42"/>
      <c r="C6959" s="52"/>
      <c r="D6959"/>
      <c r="E6959"/>
      <c r="F6959"/>
      <c r="N6959" s="44"/>
    </row>
    <row r="6960" spans="1:14" x14ac:dyDescent="0.3">
      <c r="A6960" s="42"/>
      <c r="C6960" s="52"/>
      <c r="D6960"/>
      <c r="E6960"/>
      <c r="F6960"/>
      <c r="N6960" s="44"/>
    </row>
    <row r="6961" spans="1:14" x14ac:dyDescent="0.3">
      <c r="A6961" s="42"/>
      <c r="C6961" s="52"/>
      <c r="D6961"/>
      <c r="E6961"/>
      <c r="F6961"/>
      <c r="N6961" s="44"/>
    </row>
    <row r="6962" spans="1:14" x14ac:dyDescent="0.3">
      <c r="A6962" s="42"/>
      <c r="C6962" s="52"/>
      <c r="D6962"/>
      <c r="E6962"/>
      <c r="F6962"/>
      <c r="N6962" s="44"/>
    </row>
    <row r="6963" spans="1:14" x14ac:dyDescent="0.3">
      <c r="A6963" s="42"/>
      <c r="C6963" s="52"/>
      <c r="D6963"/>
      <c r="E6963"/>
      <c r="F6963"/>
      <c r="N6963" s="44"/>
    </row>
    <row r="6964" spans="1:14" x14ac:dyDescent="0.3">
      <c r="A6964" s="42"/>
      <c r="C6964" s="52"/>
      <c r="D6964"/>
      <c r="E6964"/>
      <c r="F6964"/>
      <c r="N6964" s="44"/>
    </row>
    <row r="6965" spans="1:14" x14ac:dyDescent="0.3">
      <c r="A6965" s="42"/>
      <c r="C6965" s="52"/>
      <c r="D6965"/>
      <c r="E6965"/>
      <c r="F6965"/>
      <c r="N6965" s="44"/>
    </row>
    <row r="6966" spans="1:14" x14ac:dyDescent="0.3">
      <c r="A6966" s="42"/>
      <c r="C6966" s="52"/>
      <c r="D6966"/>
      <c r="E6966"/>
      <c r="F6966"/>
      <c r="N6966" s="44"/>
    </row>
    <row r="6967" spans="1:14" x14ac:dyDescent="0.3">
      <c r="A6967" s="42"/>
      <c r="C6967" s="52"/>
      <c r="D6967"/>
      <c r="E6967"/>
      <c r="F6967"/>
      <c r="N6967" s="44"/>
    </row>
    <row r="6968" spans="1:14" x14ac:dyDescent="0.3">
      <c r="A6968" s="42"/>
      <c r="C6968" s="52"/>
      <c r="D6968"/>
      <c r="E6968"/>
      <c r="F6968"/>
      <c r="N6968" s="44"/>
    </row>
    <row r="6969" spans="1:14" x14ac:dyDescent="0.3">
      <c r="A6969" s="42"/>
      <c r="C6969" s="52"/>
      <c r="D6969"/>
      <c r="E6969"/>
      <c r="F6969"/>
      <c r="N6969" s="44"/>
    </row>
    <row r="6970" spans="1:14" x14ac:dyDescent="0.3">
      <c r="A6970" s="42"/>
      <c r="C6970" s="52"/>
      <c r="D6970"/>
      <c r="E6970"/>
      <c r="F6970"/>
      <c r="N6970" s="44"/>
    </row>
    <row r="6971" spans="1:14" x14ac:dyDescent="0.3">
      <c r="A6971" s="42"/>
      <c r="C6971" s="52"/>
      <c r="D6971"/>
      <c r="E6971"/>
      <c r="F6971"/>
      <c r="N6971" s="44"/>
    </row>
    <row r="6972" spans="1:14" x14ac:dyDescent="0.3">
      <c r="A6972" s="42"/>
      <c r="C6972" s="52"/>
      <c r="D6972"/>
      <c r="E6972"/>
      <c r="F6972"/>
      <c r="N6972" s="44"/>
    </row>
    <row r="6973" spans="1:14" x14ac:dyDescent="0.3">
      <c r="A6973" s="42"/>
      <c r="C6973" s="52"/>
      <c r="D6973"/>
      <c r="E6973"/>
      <c r="F6973"/>
      <c r="N6973" s="44"/>
    </row>
    <row r="6974" spans="1:14" x14ac:dyDescent="0.3">
      <c r="A6974" s="42"/>
      <c r="C6974" s="52"/>
      <c r="D6974"/>
      <c r="E6974"/>
      <c r="F6974"/>
      <c r="N6974" s="44"/>
    </row>
    <row r="6975" spans="1:14" x14ac:dyDescent="0.3">
      <c r="A6975" s="42"/>
      <c r="C6975" s="52"/>
      <c r="D6975"/>
      <c r="E6975"/>
      <c r="F6975"/>
      <c r="N6975" s="44"/>
    </row>
    <row r="6976" spans="1:14" x14ac:dyDescent="0.3">
      <c r="A6976" s="42"/>
      <c r="C6976" s="52"/>
      <c r="D6976"/>
      <c r="E6976"/>
      <c r="F6976"/>
      <c r="N6976" s="44"/>
    </row>
    <row r="6977" spans="1:14" x14ac:dyDescent="0.3">
      <c r="A6977" s="42"/>
      <c r="C6977" s="52"/>
      <c r="D6977"/>
      <c r="E6977"/>
      <c r="F6977"/>
      <c r="N6977" s="44"/>
    </row>
    <row r="6978" spans="1:14" x14ac:dyDescent="0.3">
      <c r="A6978" s="42"/>
      <c r="C6978" s="52"/>
      <c r="D6978"/>
      <c r="E6978"/>
      <c r="F6978"/>
      <c r="N6978" s="44"/>
    </row>
    <row r="6979" spans="1:14" x14ac:dyDescent="0.3">
      <c r="A6979" s="42"/>
      <c r="C6979" s="52"/>
      <c r="D6979"/>
      <c r="E6979"/>
      <c r="F6979"/>
      <c r="N6979" s="44"/>
    </row>
    <row r="6980" spans="1:14" x14ac:dyDescent="0.3">
      <c r="A6980" s="42"/>
      <c r="C6980" s="52"/>
      <c r="D6980"/>
      <c r="E6980"/>
      <c r="F6980"/>
      <c r="N6980" s="44"/>
    </row>
    <row r="6981" spans="1:14" x14ac:dyDescent="0.3">
      <c r="A6981" s="42"/>
      <c r="C6981" s="52"/>
      <c r="D6981"/>
      <c r="E6981"/>
      <c r="F6981"/>
      <c r="N6981" s="44"/>
    </row>
    <row r="6982" spans="1:14" x14ac:dyDescent="0.3">
      <c r="A6982" s="42"/>
      <c r="C6982" s="52"/>
      <c r="D6982"/>
      <c r="E6982"/>
      <c r="F6982"/>
      <c r="N6982" s="44"/>
    </row>
    <row r="6983" spans="1:14" x14ac:dyDescent="0.3">
      <c r="A6983" s="42"/>
      <c r="C6983" s="52"/>
      <c r="D6983"/>
      <c r="E6983"/>
      <c r="F6983"/>
      <c r="N6983" s="44"/>
    </row>
    <row r="6984" spans="1:14" x14ac:dyDescent="0.3">
      <c r="A6984" s="42"/>
      <c r="C6984" s="52"/>
      <c r="D6984"/>
      <c r="E6984"/>
      <c r="F6984"/>
      <c r="N6984" s="44"/>
    </row>
    <row r="6985" spans="1:14" x14ac:dyDescent="0.3">
      <c r="A6985" s="42"/>
      <c r="C6985" s="52"/>
      <c r="D6985"/>
      <c r="E6985"/>
      <c r="F6985"/>
      <c r="N6985" s="44"/>
    </row>
    <row r="6986" spans="1:14" x14ac:dyDescent="0.3">
      <c r="A6986" s="42"/>
      <c r="C6986" s="52"/>
      <c r="D6986"/>
      <c r="E6986"/>
      <c r="F6986"/>
      <c r="N6986" s="44"/>
    </row>
    <row r="6987" spans="1:14" x14ac:dyDescent="0.3">
      <c r="A6987" s="42"/>
      <c r="C6987" s="52"/>
      <c r="D6987"/>
      <c r="E6987"/>
      <c r="F6987"/>
      <c r="N6987" s="44"/>
    </row>
    <row r="6988" spans="1:14" x14ac:dyDescent="0.3">
      <c r="A6988" s="42"/>
      <c r="C6988" s="52"/>
      <c r="D6988"/>
      <c r="E6988"/>
      <c r="F6988"/>
      <c r="N6988" s="44"/>
    </row>
    <row r="6989" spans="1:14" x14ac:dyDescent="0.3">
      <c r="A6989" s="42"/>
      <c r="C6989" s="52"/>
      <c r="D6989"/>
      <c r="E6989"/>
      <c r="F6989"/>
      <c r="N6989" s="44"/>
    </row>
    <row r="6990" spans="1:14" x14ac:dyDescent="0.3">
      <c r="A6990" s="42"/>
      <c r="C6990" s="52"/>
      <c r="D6990"/>
      <c r="E6990"/>
      <c r="F6990"/>
      <c r="N6990" s="44"/>
    </row>
    <row r="6991" spans="1:14" x14ac:dyDescent="0.3">
      <c r="A6991" s="42"/>
      <c r="C6991" s="52"/>
      <c r="D6991"/>
      <c r="E6991"/>
      <c r="F6991"/>
      <c r="N6991" s="44"/>
    </row>
    <row r="6992" spans="1:14" x14ac:dyDescent="0.3">
      <c r="A6992" s="42"/>
      <c r="C6992" s="52"/>
      <c r="D6992"/>
      <c r="E6992"/>
      <c r="F6992"/>
      <c r="N6992" s="44"/>
    </row>
    <row r="6993" spans="1:14" x14ac:dyDescent="0.3">
      <c r="A6993" s="42"/>
      <c r="C6993" s="52"/>
      <c r="D6993"/>
      <c r="E6993"/>
      <c r="F6993"/>
      <c r="N6993" s="44"/>
    </row>
    <row r="6994" spans="1:14" x14ac:dyDescent="0.3">
      <c r="A6994" s="42"/>
      <c r="C6994" s="52"/>
      <c r="D6994"/>
      <c r="E6994"/>
      <c r="F6994"/>
      <c r="N6994" s="44"/>
    </row>
    <row r="6995" spans="1:14" x14ac:dyDescent="0.3">
      <c r="A6995" s="42"/>
      <c r="C6995" s="52"/>
      <c r="D6995"/>
      <c r="E6995"/>
      <c r="F6995"/>
      <c r="N6995" s="44"/>
    </row>
    <row r="6996" spans="1:14" x14ac:dyDescent="0.3">
      <c r="A6996" s="42"/>
      <c r="C6996" s="52"/>
      <c r="D6996"/>
      <c r="E6996"/>
      <c r="F6996"/>
      <c r="N6996" s="44"/>
    </row>
    <row r="6997" spans="1:14" x14ac:dyDescent="0.3">
      <c r="A6997" s="42"/>
      <c r="C6997" s="52"/>
      <c r="D6997"/>
      <c r="E6997"/>
      <c r="F6997"/>
      <c r="N6997" s="44"/>
    </row>
    <row r="6998" spans="1:14" x14ac:dyDescent="0.3">
      <c r="A6998" s="42"/>
      <c r="C6998" s="52"/>
      <c r="D6998"/>
      <c r="E6998"/>
      <c r="F6998"/>
      <c r="N6998" s="44"/>
    </row>
    <row r="6999" spans="1:14" x14ac:dyDescent="0.3">
      <c r="A6999" s="42"/>
      <c r="C6999" s="52"/>
      <c r="D6999"/>
      <c r="E6999"/>
      <c r="F6999"/>
      <c r="N6999" s="44"/>
    </row>
    <row r="7000" spans="1:14" x14ac:dyDescent="0.3">
      <c r="A7000" s="42"/>
      <c r="C7000" s="52"/>
      <c r="D7000"/>
      <c r="E7000"/>
      <c r="F7000"/>
      <c r="N7000" s="44"/>
    </row>
    <row r="7001" spans="1:14" x14ac:dyDescent="0.3">
      <c r="A7001" s="42"/>
      <c r="C7001" s="52"/>
      <c r="D7001"/>
      <c r="E7001"/>
      <c r="F7001"/>
      <c r="N7001" s="44"/>
    </row>
    <row r="7002" spans="1:14" x14ac:dyDescent="0.3">
      <c r="A7002" s="42"/>
      <c r="C7002" s="52"/>
      <c r="D7002"/>
      <c r="E7002"/>
      <c r="F7002"/>
      <c r="N7002" s="44"/>
    </row>
    <row r="7003" spans="1:14" x14ac:dyDescent="0.3">
      <c r="A7003" s="42"/>
      <c r="C7003" s="52"/>
      <c r="D7003"/>
      <c r="E7003"/>
      <c r="F7003"/>
      <c r="N7003" s="44"/>
    </row>
    <row r="7004" spans="1:14" x14ac:dyDescent="0.3">
      <c r="A7004" s="42"/>
      <c r="C7004" s="52"/>
      <c r="D7004"/>
      <c r="E7004"/>
      <c r="F7004"/>
      <c r="N7004" s="44"/>
    </row>
    <row r="7005" spans="1:14" x14ac:dyDescent="0.3">
      <c r="A7005" s="42"/>
      <c r="C7005" s="52"/>
      <c r="D7005"/>
      <c r="E7005"/>
      <c r="F7005"/>
      <c r="N7005" s="44"/>
    </row>
    <row r="7006" spans="1:14" x14ac:dyDescent="0.3">
      <c r="A7006" s="42"/>
      <c r="C7006" s="52"/>
      <c r="D7006"/>
      <c r="E7006"/>
      <c r="F7006"/>
      <c r="N7006" s="44"/>
    </row>
    <row r="7007" spans="1:14" x14ac:dyDescent="0.3">
      <c r="A7007" s="42"/>
      <c r="C7007" s="52"/>
      <c r="D7007"/>
      <c r="E7007"/>
      <c r="F7007"/>
      <c r="N7007" s="44"/>
    </row>
    <row r="7008" spans="1:14" x14ac:dyDescent="0.3">
      <c r="A7008" s="42"/>
      <c r="C7008" s="52"/>
      <c r="D7008"/>
      <c r="E7008"/>
      <c r="F7008"/>
      <c r="N7008" s="44"/>
    </row>
    <row r="7009" spans="1:14" x14ac:dyDescent="0.3">
      <c r="A7009" s="42"/>
      <c r="C7009" s="52"/>
      <c r="D7009"/>
      <c r="E7009"/>
      <c r="F7009"/>
      <c r="N7009" s="44"/>
    </row>
    <row r="7010" spans="1:14" x14ac:dyDescent="0.3">
      <c r="A7010" s="42"/>
      <c r="C7010" s="52"/>
      <c r="D7010"/>
      <c r="E7010"/>
      <c r="F7010"/>
      <c r="N7010" s="44"/>
    </row>
    <row r="7011" spans="1:14" x14ac:dyDescent="0.3">
      <c r="A7011" s="42"/>
      <c r="C7011" s="52"/>
      <c r="D7011"/>
      <c r="E7011"/>
      <c r="F7011"/>
      <c r="N7011" s="44"/>
    </row>
    <row r="7012" spans="1:14" x14ac:dyDescent="0.3">
      <c r="A7012" s="42"/>
      <c r="C7012" s="52"/>
      <c r="D7012"/>
      <c r="E7012"/>
      <c r="F7012"/>
      <c r="N7012" s="44"/>
    </row>
    <row r="7013" spans="1:14" x14ac:dyDescent="0.3">
      <c r="A7013" s="42"/>
      <c r="C7013" s="52"/>
      <c r="D7013"/>
      <c r="E7013"/>
      <c r="F7013"/>
      <c r="N7013" s="44"/>
    </row>
    <row r="7014" spans="1:14" x14ac:dyDescent="0.3">
      <c r="A7014" s="42"/>
      <c r="C7014" s="52"/>
      <c r="D7014"/>
      <c r="E7014"/>
      <c r="F7014"/>
      <c r="N7014" s="44"/>
    </row>
    <row r="7015" spans="1:14" x14ac:dyDescent="0.3">
      <c r="A7015" s="42"/>
      <c r="C7015" s="52"/>
      <c r="D7015"/>
      <c r="E7015"/>
      <c r="F7015"/>
      <c r="N7015" s="44"/>
    </row>
    <row r="7016" spans="1:14" x14ac:dyDescent="0.3">
      <c r="A7016" s="42"/>
      <c r="C7016" s="52"/>
      <c r="D7016"/>
      <c r="E7016"/>
      <c r="F7016"/>
      <c r="N7016" s="44"/>
    </row>
    <row r="7017" spans="1:14" x14ac:dyDescent="0.3">
      <c r="A7017" s="42"/>
      <c r="C7017" s="52"/>
      <c r="D7017"/>
      <c r="E7017"/>
      <c r="F7017"/>
      <c r="N7017" s="44"/>
    </row>
    <row r="7018" spans="1:14" x14ac:dyDescent="0.3">
      <c r="A7018" s="42"/>
      <c r="C7018" s="52"/>
      <c r="D7018"/>
      <c r="E7018"/>
      <c r="F7018"/>
      <c r="N7018" s="44"/>
    </row>
    <row r="7019" spans="1:14" x14ac:dyDescent="0.3">
      <c r="A7019" s="42"/>
      <c r="C7019" s="52"/>
      <c r="D7019"/>
      <c r="E7019"/>
      <c r="F7019"/>
      <c r="N7019" s="44"/>
    </row>
    <row r="7020" spans="1:14" x14ac:dyDescent="0.3">
      <c r="A7020" s="42"/>
      <c r="C7020" s="52"/>
      <c r="D7020"/>
      <c r="E7020"/>
      <c r="F7020"/>
      <c r="N7020" s="44"/>
    </row>
    <row r="7021" spans="1:14" x14ac:dyDescent="0.3">
      <c r="A7021" s="42"/>
      <c r="C7021" s="52"/>
      <c r="D7021"/>
      <c r="E7021"/>
      <c r="F7021"/>
      <c r="N7021" s="44"/>
    </row>
    <row r="7022" spans="1:14" x14ac:dyDescent="0.3">
      <c r="A7022" s="42"/>
      <c r="C7022" s="52"/>
      <c r="D7022"/>
      <c r="E7022"/>
      <c r="F7022"/>
      <c r="N7022" s="44"/>
    </row>
    <row r="7023" spans="1:14" x14ac:dyDescent="0.3">
      <c r="A7023" s="42"/>
      <c r="C7023" s="52"/>
      <c r="D7023"/>
      <c r="E7023"/>
      <c r="F7023"/>
      <c r="N7023" s="44"/>
    </row>
    <row r="7024" spans="1:14" x14ac:dyDescent="0.3">
      <c r="A7024" s="42"/>
      <c r="C7024" s="52"/>
      <c r="D7024"/>
      <c r="E7024"/>
      <c r="F7024"/>
      <c r="N7024" s="44"/>
    </row>
    <row r="7025" spans="1:14" x14ac:dyDescent="0.3">
      <c r="A7025" s="42"/>
      <c r="C7025" s="52"/>
      <c r="D7025"/>
      <c r="E7025"/>
      <c r="F7025"/>
      <c r="N7025" s="44"/>
    </row>
    <row r="7026" spans="1:14" x14ac:dyDescent="0.3">
      <c r="A7026" s="42"/>
      <c r="C7026" s="52"/>
      <c r="D7026"/>
      <c r="E7026"/>
      <c r="F7026"/>
      <c r="N7026" s="44"/>
    </row>
    <row r="7027" spans="1:14" x14ac:dyDescent="0.3">
      <c r="A7027" s="42"/>
      <c r="C7027" s="52"/>
      <c r="D7027"/>
      <c r="E7027"/>
      <c r="F7027"/>
      <c r="N7027" s="44"/>
    </row>
    <row r="7028" spans="1:14" x14ac:dyDescent="0.3">
      <c r="A7028" s="42"/>
      <c r="C7028" s="52"/>
      <c r="D7028"/>
      <c r="E7028"/>
      <c r="F7028"/>
      <c r="N7028" s="44"/>
    </row>
    <row r="7029" spans="1:14" x14ac:dyDescent="0.3">
      <c r="A7029" s="42"/>
      <c r="C7029" s="52"/>
      <c r="D7029"/>
      <c r="E7029"/>
      <c r="F7029"/>
      <c r="N7029" s="44"/>
    </row>
    <row r="7030" spans="1:14" x14ac:dyDescent="0.3">
      <c r="A7030" s="42"/>
      <c r="C7030" s="52"/>
      <c r="D7030"/>
      <c r="E7030"/>
      <c r="F7030"/>
      <c r="N7030" s="44"/>
    </row>
    <row r="7031" spans="1:14" x14ac:dyDescent="0.3">
      <c r="A7031" s="42"/>
      <c r="C7031" s="52"/>
      <c r="D7031"/>
      <c r="E7031"/>
      <c r="F7031"/>
      <c r="N7031" s="44"/>
    </row>
    <row r="7032" spans="1:14" x14ac:dyDescent="0.3">
      <c r="A7032" s="42"/>
      <c r="C7032" s="52"/>
      <c r="D7032"/>
      <c r="E7032"/>
      <c r="F7032"/>
      <c r="N7032" s="44"/>
    </row>
    <row r="7033" spans="1:14" x14ac:dyDescent="0.3">
      <c r="A7033" s="42"/>
      <c r="C7033" s="52"/>
      <c r="D7033"/>
      <c r="E7033"/>
      <c r="F7033"/>
      <c r="N7033" s="44"/>
    </row>
    <row r="7034" spans="1:14" x14ac:dyDescent="0.3">
      <c r="A7034" s="42"/>
      <c r="C7034" s="52"/>
      <c r="D7034"/>
      <c r="E7034"/>
      <c r="F7034"/>
      <c r="N7034" s="44"/>
    </row>
    <row r="7035" spans="1:14" x14ac:dyDescent="0.3">
      <c r="A7035" s="42"/>
      <c r="C7035" s="52"/>
      <c r="D7035"/>
      <c r="E7035"/>
      <c r="F7035"/>
      <c r="N7035" s="44"/>
    </row>
    <row r="7036" spans="1:14" x14ac:dyDescent="0.3">
      <c r="A7036" s="42"/>
      <c r="C7036" s="52"/>
      <c r="D7036"/>
      <c r="E7036"/>
      <c r="F7036"/>
      <c r="N7036" s="44"/>
    </row>
    <row r="7037" spans="1:14" x14ac:dyDescent="0.3">
      <c r="A7037" s="42"/>
      <c r="C7037" s="52"/>
      <c r="D7037"/>
      <c r="E7037"/>
      <c r="F7037"/>
      <c r="N7037" s="44"/>
    </row>
    <row r="7038" spans="1:14" x14ac:dyDescent="0.3">
      <c r="A7038" s="42"/>
      <c r="C7038" s="52"/>
      <c r="D7038"/>
      <c r="E7038"/>
      <c r="F7038"/>
      <c r="N7038" s="44"/>
    </row>
    <row r="7039" spans="1:14" x14ac:dyDescent="0.3">
      <c r="A7039" s="42"/>
      <c r="C7039" s="52"/>
      <c r="D7039"/>
      <c r="E7039"/>
      <c r="F7039"/>
      <c r="N7039" s="44"/>
    </row>
    <row r="7040" spans="1:14" x14ac:dyDescent="0.3">
      <c r="A7040" s="42"/>
      <c r="C7040" s="52"/>
      <c r="D7040"/>
      <c r="E7040"/>
      <c r="F7040"/>
      <c r="N7040" s="44"/>
    </row>
    <row r="7041" spans="1:14" x14ac:dyDescent="0.3">
      <c r="A7041" s="42"/>
      <c r="C7041" s="52"/>
      <c r="D7041"/>
      <c r="E7041"/>
      <c r="F7041"/>
      <c r="N7041" s="44"/>
    </row>
    <row r="7042" spans="1:14" x14ac:dyDescent="0.3">
      <c r="A7042" s="42"/>
      <c r="C7042" s="52"/>
      <c r="D7042"/>
      <c r="E7042"/>
      <c r="F7042"/>
      <c r="N7042" s="44"/>
    </row>
    <row r="7043" spans="1:14" x14ac:dyDescent="0.3">
      <c r="A7043" s="42"/>
      <c r="C7043" s="52"/>
      <c r="D7043"/>
      <c r="E7043"/>
      <c r="F7043"/>
      <c r="M7043" s="45"/>
      <c r="N7043" s="44"/>
    </row>
    <row r="7044" spans="1:14" x14ac:dyDescent="0.3">
      <c r="A7044" s="42"/>
      <c r="C7044" s="52"/>
      <c r="D7044"/>
      <c r="E7044"/>
      <c r="F7044"/>
      <c r="M7044" s="45"/>
      <c r="N7044" s="44"/>
    </row>
    <row r="7045" spans="1:14" x14ac:dyDescent="0.3">
      <c r="A7045" s="42"/>
      <c r="C7045" s="52"/>
      <c r="D7045"/>
      <c r="E7045"/>
      <c r="F7045"/>
      <c r="N7045" s="44"/>
    </row>
    <row r="7046" spans="1:14" x14ac:dyDescent="0.3">
      <c r="A7046" s="42"/>
      <c r="C7046" s="52"/>
      <c r="D7046"/>
      <c r="E7046"/>
      <c r="F7046"/>
      <c r="N7046" s="44"/>
    </row>
    <row r="7047" spans="1:14" x14ac:dyDescent="0.3">
      <c r="A7047" s="42"/>
      <c r="C7047" s="52"/>
      <c r="D7047"/>
      <c r="E7047"/>
      <c r="F7047"/>
      <c r="N7047" s="44"/>
    </row>
    <row r="7048" spans="1:14" x14ac:dyDescent="0.3">
      <c r="A7048" s="42"/>
      <c r="C7048" s="52"/>
      <c r="D7048"/>
      <c r="E7048"/>
      <c r="F7048"/>
      <c r="N7048" s="44"/>
    </row>
    <row r="7049" spans="1:14" x14ac:dyDescent="0.3">
      <c r="A7049" s="42"/>
      <c r="C7049" s="52"/>
      <c r="D7049"/>
      <c r="E7049"/>
      <c r="F7049"/>
      <c r="N7049" s="44"/>
    </row>
    <row r="7050" spans="1:14" x14ac:dyDescent="0.3">
      <c r="A7050" s="42"/>
      <c r="C7050" s="52"/>
      <c r="D7050"/>
      <c r="E7050"/>
      <c r="F7050"/>
      <c r="N7050" s="44"/>
    </row>
    <row r="7051" spans="1:14" x14ac:dyDescent="0.3">
      <c r="A7051" s="42"/>
      <c r="C7051" s="52"/>
      <c r="D7051"/>
      <c r="E7051"/>
      <c r="F7051"/>
      <c r="N7051" s="44"/>
    </row>
    <row r="7052" spans="1:14" x14ac:dyDescent="0.3">
      <c r="A7052" s="42"/>
      <c r="C7052" s="52"/>
      <c r="D7052"/>
      <c r="E7052"/>
      <c r="F7052"/>
      <c r="M7052" s="45"/>
      <c r="N7052" s="44"/>
    </row>
    <row r="7053" spans="1:14" x14ac:dyDescent="0.3">
      <c r="A7053" s="42"/>
      <c r="C7053" s="52"/>
      <c r="D7053"/>
      <c r="E7053"/>
      <c r="F7053"/>
      <c r="N7053" s="44"/>
    </row>
    <row r="7054" spans="1:14" x14ac:dyDescent="0.3">
      <c r="A7054" s="42"/>
      <c r="C7054" s="52"/>
      <c r="D7054"/>
      <c r="E7054"/>
      <c r="F7054"/>
      <c r="N7054" s="44"/>
    </row>
    <row r="7055" spans="1:14" x14ac:dyDescent="0.3">
      <c r="A7055" s="42"/>
      <c r="C7055" s="52"/>
      <c r="D7055"/>
      <c r="E7055"/>
      <c r="F7055"/>
      <c r="N7055" s="44"/>
    </row>
    <row r="7056" spans="1:14" x14ac:dyDescent="0.3">
      <c r="A7056" s="42"/>
      <c r="C7056" s="52"/>
      <c r="D7056"/>
      <c r="E7056"/>
      <c r="F7056"/>
      <c r="N7056" s="44"/>
    </row>
    <row r="7057" spans="1:14" x14ac:dyDescent="0.3">
      <c r="A7057" s="42"/>
      <c r="C7057" s="52"/>
      <c r="D7057"/>
      <c r="E7057"/>
      <c r="F7057"/>
      <c r="N7057" s="44"/>
    </row>
    <row r="7058" spans="1:14" x14ac:dyDescent="0.3">
      <c r="A7058" s="42"/>
      <c r="C7058" s="52"/>
      <c r="D7058"/>
      <c r="E7058"/>
      <c r="F7058"/>
      <c r="N7058" s="44"/>
    </row>
    <row r="7059" spans="1:14" x14ac:dyDescent="0.3">
      <c r="A7059" s="42"/>
      <c r="C7059" s="52"/>
      <c r="D7059"/>
      <c r="E7059"/>
      <c r="F7059"/>
      <c r="N7059" s="44"/>
    </row>
    <row r="7060" spans="1:14" x14ac:dyDescent="0.3">
      <c r="A7060" s="42"/>
      <c r="C7060" s="52"/>
      <c r="D7060"/>
      <c r="E7060"/>
      <c r="F7060"/>
      <c r="N7060" s="44"/>
    </row>
    <row r="7061" spans="1:14" x14ac:dyDescent="0.3">
      <c r="A7061" s="42"/>
      <c r="C7061" s="52"/>
      <c r="D7061"/>
      <c r="E7061"/>
      <c r="F7061"/>
      <c r="N7061" s="44"/>
    </row>
    <row r="7062" spans="1:14" x14ac:dyDescent="0.3">
      <c r="A7062" s="42"/>
      <c r="C7062" s="52"/>
      <c r="D7062"/>
      <c r="E7062"/>
      <c r="F7062"/>
      <c r="N7062" s="44"/>
    </row>
    <row r="7063" spans="1:14" x14ac:dyDescent="0.3">
      <c r="A7063" s="42"/>
      <c r="C7063" s="52"/>
      <c r="D7063"/>
      <c r="E7063"/>
      <c r="F7063"/>
      <c r="N7063" s="44"/>
    </row>
    <row r="7064" spans="1:14" x14ac:dyDescent="0.3">
      <c r="A7064" s="42"/>
      <c r="C7064" s="52"/>
      <c r="D7064"/>
      <c r="E7064"/>
      <c r="F7064"/>
      <c r="N7064" s="44"/>
    </row>
    <row r="7065" spans="1:14" x14ac:dyDescent="0.3">
      <c r="A7065" s="42"/>
      <c r="C7065" s="52"/>
      <c r="D7065"/>
      <c r="E7065"/>
      <c r="F7065"/>
      <c r="N7065" s="44"/>
    </row>
    <row r="7066" spans="1:14" x14ac:dyDescent="0.3">
      <c r="A7066" s="42"/>
      <c r="C7066" s="52"/>
      <c r="D7066"/>
      <c r="E7066"/>
      <c r="F7066"/>
      <c r="N7066" s="44"/>
    </row>
    <row r="7067" spans="1:14" x14ac:dyDescent="0.3">
      <c r="A7067" s="42"/>
      <c r="C7067" s="52"/>
      <c r="D7067"/>
      <c r="E7067"/>
      <c r="F7067"/>
      <c r="N7067" s="44"/>
    </row>
    <row r="7068" spans="1:14" x14ac:dyDescent="0.3">
      <c r="A7068" s="42"/>
      <c r="C7068" s="52"/>
      <c r="D7068"/>
      <c r="E7068"/>
      <c r="F7068"/>
      <c r="N7068" s="44"/>
    </row>
    <row r="7069" spans="1:14" x14ac:dyDescent="0.3">
      <c r="A7069" s="42"/>
      <c r="C7069" s="52"/>
      <c r="D7069"/>
      <c r="E7069"/>
      <c r="F7069"/>
      <c r="N7069" s="44"/>
    </row>
    <row r="7070" spans="1:14" x14ac:dyDescent="0.3">
      <c r="A7070" s="42"/>
      <c r="C7070" s="52"/>
      <c r="D7070"/>
      <c r="E7070"/>
      <c r="F7070"/>
      <c r="N7070" s="44"/>
    </row>
    <row r="7071" spans="1:14" x14ac:dyDescent="0.3">
      <c r="A7071" s="42"/>
      <c r="C7071" s="52"/>
      <c r="D7071"/>
      <c r="E7071"/>
      <c r="F7071"/>
      <c r="N7071" s="44"/>
    </row>
    <row r="7072" spans="1:14" x14ac:dyDescent="0.3">
      <c r="A7072" s="42"/>
      <c r="C7072" s="52"/>
      <c r="D7072"/>
      <c r="E7072"/>
      <c r="F7072"/>
      <c r="N7072" s="44"/>
    </row>
    <row r="7073" spans="1:14" x14ac:dyDescent="0.3">
      <c r="A7073" s="42"/>
      <c r="C7073" s="52"/>
      <c r="D7073"/>
      <c r="E7073"/>
      <c r="F7073"/>
      <c r="N7073" s="44"/>
    </row>
    <row r="7074" spans="1:14" x14ac:dyDescent="0.3">
      <c r="A7074" s="42"/>
      <c r="C7074" s="52"/>
      <c r="D7074"/>
      <c r="E7074"/>
      <c r="F7074"/>
      <c r="N7074" s="44"/>
    </row>
    <row r="7075" spans="1:14" x14ac:dyDescent="0.3">
      <c r="A7075" s="42"/>
      <c r="C7075" s="52"/>
      <c r="D7075"/>
      <c r="E7075"/>
      <c r="F7075"/>
      <c r="N7075" s="44"/>
    </row>
    <row r="7076" spans="1:14" x14ac:dyDescent="0.3">
      <c r="A7076" s="42"/>
      <c r="C7076" s="52"/>
      <c r="D7076"/>
      <c r="E7076"/>
      <c r="F7076"/>
      <c r="N7076" s="44"/>
    </row>
    <row r="7077" spans="1:14" x14ac:dyDescent="0.3">
      <c r="A7077" s="42"/>
      <c r="C7077" s="52"/>
      <c r="D7077"/>
      <c r="E7077"/>
      <c r="F7077"/>
      <c r="N7077" s="44"/>
    </row>
    <row r="7078" spans="1:14" x14ac:dyDescent="0.3">
      <c r="A7078" s="42"/>
      <c r="C7078" s="52"/>
      <c r="D7078"/>
      <c r="E7078"/>
      <c r="F7078"/>
      <c r="N7078" s="44"/>
    </row>
    <row r="7079" spans="1:14" x14ac:dyDescent="0.3">
      <c r="A7079" s="42"/>
      <c r="C7079" s="52"/>
      <c r="D7079"/>
      <c r="E7079"/>
      <c r="F7079"/>
      <c r="N7079" s="44"/>
    </row>
    <row r="7080" spans="1:14" x14ac:dyDescent="0.3">
      <c r="A7080" s="42"/>
      <c r="C7080" s="52"/>
      <c r="D7080"/>
      <c r="E7080"/>
      <c r="F7080"/>
      <c r="M7080" s="45"/>
      <c r="N7080" s="44"/>
    </row>
    <row r="7081" spans="1:14" x14ac:dyDescent="0.3">
      <c r="A7081" s="42"/>
      <c r="C7081" s="52"/>
      <c r="D7081"/>
      <c r="E7081"/>
      <c r="F7081"/>
      <c r="N7081" s="44"/>
    </row>
    <row r="7082" spans="1:14" x14ac:dyDescent="0.3">
      <c r="A7082" s="42"/>
      <c r="C7082" s="52"/>
      <c r="D7082"/>
      <c r="E7082"/>
      <c r="F7082"/>
      <c r="N7082" s="44"/>
    </row>
    <row r="7083" spans="1:14" x14ac:dyDescent="0.3">
      <c r="A7083" s="42"/>
      <c r="C7083" s="52"/>
      <c r="D7083"/>
      <c r="E7083"/>
      <c r="F7083"/>
      <c r="N7083" s="44"/>
    </row>
    <row r="7084" spans="1:14" x14ac:dyDescent="0.3">
      <c r="A7084" s="42"/>
      <c r="C7084" s="52"/>
      <c r="D7084"/>
      <c r="E7084"/>
      <c r="F7084"/>
      <c r="N7084" s="44"/>
    </row>
    <row r="7085" spans="1:14" x14ac:dyDescent="0.3">
      <c r="A7085" s="42"/>
      <c r="C7085" s="52"/>
      <c r="D7085"/>
      <c r="E7085"/>
      <c r="F7085"/>
      <c r="N7085" s="44"/>
    </row>
    <row r="7086" spans="1:14" x14ac:dyDescent="0.3">
      <c r="A7086" s="42"/>
      <c r="C7086" s="52"/>
      <c r="D7086"/>
      <c r="E7086"/>
      <c r="F7086"/>
      <c r="N7086" s="44"/>
    </row>
    <row r="7087" spans="1:14" x14ac:dyDescent="0.3">
      <c r="A7087" s="42"/>
      <c r="C7087" s="52"/>
      <c r="D7087"/>
      <c r="E7087"/>
      <c r="F7087"/>
      <c r="N7087" s="44"/>
    </row>
    <row r="7088" spans="1:14" x14ac:dyDescent="0.3">
      <c r="A7088" s="42"/>
      <c r="C7088" s="52"/>
      <c r="D7088"/>
      <c r="E7088"/>
      <c r="F7088"/>
      <c r="N7088" s="44"/>
    </row>
    <row r="7089" spans="1:14" x14ac:dyDescent="0.3">
      <c r="A7089" s="42"/>
      <c r="C7089" s="52"/>
      <c r="D7089"/>
      <c r="E7089"/>
      <c r="F7089"/>
      <c r="N7089" s="44"/>
    </row>
    <row r="7090" spans="1:14" x14ac:dyDescent="0.3">
      <c r="A7090" s="42"/>
      <c r="C7090" s="52"/>
      <c r="D7090"/>
      <c r="E7090"/>
      <c r="F7090"/>
      <c r="N7090" s="44"/>
    </row>
    <row r="7091" spans="1:14" x14ac:dyDescent="0.3">
      <c r="A7091" s="42"/>
      <c r="C7091" s="52"/>
      <c r="D7091"/>
      <c r="E7091"/>
      <c r="F7091"/>
      <c r="N7091" s="44"/>
    </row>
    <row r="7092" spans="1:14" x14ac:dyDescent="0.3">
      <c r="A7092" s="42"/>
      <c r="C7092" s="52"/>
      <c r="D7092"/>
      <c r="E7092"/>
      <c r="F7092"/>
      <c r="N7092" s="44"/>
    </row>
    <row r="7093" spans="1:14" x14ac:dyDescent="0.3">
      <c r="A7093" s="42"/>
      <c r="C7093" s="52"/>
      <c r="D7093"/>
      <c r="E7093"/>
      <c r="F7093"/>
      <c r="N7093" s="44"/>
    </row>
    <row r="7094" spans="1:14" x14ac:dyDescent="0.3">
      <c r="A7094" s="42"/>
      <c r="C7094" s="52"/>
      <c r="D7094"/>
      <c r="E7094"/>
      <c r="F7094"/>
      <c r="N7094" s="44"/>
    </row>
    <row r="7095" spans="1:14" x14ac:dyDescent="0.3">
      <c r="A7095" s="42"/>
      <c r="C7095" s="52"/>
      <c r="D7095"/>
      <c r="E7095"/>
      <c r="F7095"/>
      <c r="N7095" s="44"/>
    </row>
    <row r="7096" spans="1:14" x14ac:dyDescent="0.3">
      <c r="A7096" s="42"/>
      <c r="C7096" s="52"/>
      <c r="D7096"/>
      <c r="E7096"/>
      <c r="F7096"/>
      <c r="N7096" s="44"/>
    </row>
    <row r="7097" spans="1:14" x14ac:dyDescent="0.3">
      <c r="A7097" s="42"/>
      <c r="C7097" s="52"/>
      <c r="D7097"/>
      <c r="E7097"/>
      <c r="F7097"/>
      <c r="N7097" s="44"/>
    </row>
    <row r="7098" spans="1:14" x14ac:dyDescent="0.3">
      <c r="A7098" s="42"/>
      <c r="C7098" s="52"/>
      <c r="D7098"/>
      <c r="E7098"/>
      <c r="F7098"/>
      <c r="N7098" s="44"/>
    </row>
    <row r="7099" spans="1:14" x14ac:dyDescent="0.3">
      <c r="A7099" s="42"/>
      <c r="C7099" s="52"/>
      <c r="D7099"/>
      <c r="E7099"/>
      <c r="F7099"/>
      <c r="N7099" s="44"/>
    </row>
    <row r="7100" spans="1:14" x14ac:dyDescent="0.3">
      <c r="A7100" s="42"/>
      <c r="C7100" s="52"/>
      <c r="D7100"/>
      <c r="E7100"/>
      <c r="F7100"/>
      <c r="N7100" s="44"/>
    </row>
    <row r="7101" spans="1:14" x14ac:dyDescent="0.3">
      <c r="A7101" s="42"/>
      <c r="C7101" s="52"/>
      <c r="D7101"/>
      <c r="E7101"/>
      <c r="F7101"/>
      <c r="N7101" s="44"/>
    </row>
    <row r="7102" spans="1:14" x14ac:dyDescent="0.3">
      <c r="A7102" s="42"/>
      <c r="C7102" s="52"/>
      <c r="D7102"/>
      <c r="E7102"/>
      <c r="F7102"/>
      <c r="N7102" s="44"/>
    </row>
    <row r="7103" spans="1:14" x14ac:dyDescent="0.3">
      <c r="A7103" s="42"/>
      <c r="C7103" s="52"/>
      <c r="D7103"/>
      <c r="E7103"/>
      <c r="F7103"/>
      <c r="N7103" s="44"/>
    </row>
    <row r="7104" spans="1:14" x14ac:dyDescent="0.3">
      <c r="A7104" s="42"/>
      <c r="C7104" s="52"/>
      <c r="D7104"/>
      <c r="E7104"/>
      <c r="F7104"/>
      <c r="N7104" s="44"/>
    </row>
    <row r="7105" spans="1:14" x14ac:dyDescent="0.3">
      <c r="A7105" s="42"/>
      <c r="C7105" s="52"/>
      <c r="D7105"/>
      <c r="E7105"/>
      <c r="F7105"/>
      <c r="N7105" s="44"/>
    </row>
    <row r="7106" spans="1:14" x14ac:dyDescent="0.3">
      <c r="A7106" s="42"/>
      <c r="C7106" s="52"/>
      <c r="D7106"/>
      <c r="E7106"/>
      <c r="F7106"/>
      <c r="N7106" s="44"/>
    </row>
    <row r="7107" spans="1:14" x14ac:dyDescent="0.3">
      <c r="A7107" s="42"/>
      <c r="C7107" s="52"/>
      <c r="D7107"/>
      <c r="E7107"/>
      <c r="F7107"/>
      <c r="N7107" s="44"/>
    </row>
    <row r="7108" spans="1:14" x14ac:dyDescent="0.3">
      <c r="A7108" s="42"/>
      <c r="C7108" s="52"/>
      <c r="D7108"/>
      <c r="E7108"/>
      <c r="F7108"/>
      <c r="N7108" s="44"/>
    </row>
    <row r="7109" spans="1:14" x14ac:dyDescent="0.3">
      <c r="A7109" s="42"/>
      <c r="C7109" s="52"/>
      <c r="D7109"/>
      <c r="E7109"/>
      <c r="F7109"/>
      <c r="N7109" s="44"/>
    </row>
    <row r="7110" spans="1:14" x14ac:dyDescent="0.3">
      <c r="A7110" s="42"/>
      <c r="C7110" s="52"/>
      <c r="D7110"/>
      <c r="E7110"/>
      <c r="F7110"/>
      <c r="N7110" s="44"/>
    </row>
    <row r="7111" spans="1:14" x14ac:dyDescent="0.3">
      <c r="A7111" s="42"/>
      <c r="C7111" s="52"/>
      <c r="D7111"/>
      <c r="E7111"/>
      <c r="F7111"/>
      <c r="N7111" s="44"/>
    </row>
    <row r="7112" spans="1:14" x14ac:dyDescent="0.3">
      <c r="A7112" s="42"/>
      <c r="C7112" s="52"/>
      <c r="D7112"/>
      <c r="E7112"/>
      <c r="F7112"/>
      <c r="N7112" s="44"/>
    </row>
    <row r="7113" spans="1:14" x14ac:dyDescent="0.3">
      <c r="A7113" s="42"/>
      <c r="C7113" s="52"/>
      <c r="D7113"/>
      <c r="E7113"/>
      <c r="F7113"/>
      <c r="N7113" s="44"/>
    </row>
    <row r="7114" spans="1:14" x14ac:dyDescent="0.3">
      <c r="A7114" s="42"/>
      <c r="C7114" s="52"/>
      <c r="D7114"/>
      <c r="E7114"/>
      <c r="F7114"/>
      <c r="N7114" s="44"/>
    </row>
    <row r="7115" spans="1:14" x14ac:dyDescent="0.3">
      <c r="A7115" s="42"/>
      <c r="C7115" s="52"/>
      <c r="D7115"/>
      <c r="E7115"/>
      <c r="F7115"/>
      <c r="N7115" s="44"/>
    </row>
    <row r="7116" spans="1:14" x14ac:dyDescent="0.3">
      <c r="A7116" s="42"/>
      <c r="C7116" s="52"/>
      <c r="D7116"/>
      <c r="E7116"/>
      <c r="F7116"/>
      <c r="N7116" s="44"/>
    </row>
    <row r="7117" spans="1:14" x14ac:dyDescent="0.3">
      <c r="A7117" s="42"/>
      <c r="C7117" s="52"/>
      <c r="D7117"/>
      <c r="E7117"/>
      <c r="F7117"/>
      <c r="N7117" s="44"/>
    </row>
    <row r="7118" spans="1:14" x14ac:dyDescent="0.3">
      <c r="A7118" s="42"/>
      <c r="C7118" s="52"/>
      <c r="D7118"/>
      <c r="E7118"/>
      <c r="F7118"/>
      <c r="N7118" s="44"/>
    </row>
    <row r="7119" spans="1:14" x14ac:dyDescent="0.3">
      <c r="A7119" s="42"/>
      <c r="C7119" s="52"/>
      <c r="D7119"/>
      <c r="E7119"/>
      <c r="F7119"/>
      <c r="N7119" s="44"/>
    </row>
    <row r="7120" spans="1:14" x14ac:dyDescent="0.3">
      <c r="A7120" s="42"/>
      <c r="C7120" s="52"/>
      <c r="D7120"/>
      <c r="E7120"/>
      <c r="F7120"/>
      <c r="N7120" s="44"/>
    </row>
    <row r="7121" spans="1:14" x14ac:dyDescent="0.3">
      <c r="A7121" s="42"/>
      <c r="C7121" s="52"/>
      <c r="D7121"/>
      <c r="E7121"/>
      <c r="F7121"/>
      <c r="N7121" s="44"/>
    </row>
    <row r="7122" spans="1:14" x14ac:dyDescent="0.3">
      <c r="A7122" s="42"/>
      <c r="C7122" s="52"/>
      <c r="D7122"/>
      <c r="E7122"/>
      <c r="F7122"/>
      <c r="N7122" s="44"/>
    </row>
    <row r="7123" spans="1:14" x14ac:dyDescent="0.3">
      <c r="A7123" s="42"/>
      <c r="C7123" s="52"/>
      <c r="D7123"/>
      <c r="E7123"/>
      <c r="F7123"/>
      <c r="N7123" s="44"/>
    </row>
    <row r="7124" spans="1:14" x14ac:dyDescent="0.3">
      <c r="A7124" s="42"/>
      <c r="C7124" s="52"/>
      <c r="D7124"/>
      <c r="E7124"/>
      <c r="F7124"/>
      <c r="N7124" s="44"/>
    </row>
    <row r="7125" spans="1:14" x14ac:dyDescent="0.3">
      <c r="A7125" s="42"/>
      <c r="C7125" s="52"/>
      <c r="D7125"/>
      <c r="E7125"/>
      <c r="F7125"/>
      <c r="N7125" s="44"/>
    </row>
    <row r="7126" spans="1:14" x14ac:dyDescent="0.3">
      <c r="A7126" s="42"/>
      <c r="C7126" s="52"/>
      <c r="D7126"/>
      <c r="E7126"/>
      <c r="F7126"/>
      <c r="N7126" s="44"/>
    </row>
    <row r="7127" spans="1:14" x14ac:dyDescent="0.3">
      <c r="A7127" s="42"/>
      <c r="C7127" s="52"/>
      <c r="D7127"/>
      <c r="E7127"/>
      <c r="F7127"/>
      <c r="N7127" s="44"/>
    </row>
    <row r="7128" spans="1:14" x14ac:dyDescent="0.3">
      <c r="A7128" s="42"/>
      <c r="C7128" s="52"/>
      <c r="D7128"/>
      <c r="E7128"/>
      <c r="F7128"/>
      <c r="N7128" s="44"/>
    </row>
    <row r="7129" spans="1:14" x14ac:dyDescent="0.3">
      <c r="A7129" s="42"/>
      <c r="C7129" s="52"/>
      <c r="D7129"/>
      <c r="E7129"/>
      <c r="F7129"/>
      <c r="N7129" s="44"/>
    </row>
    <row r="7130" spans="1:14" x14ac:dyDescent="0.3">
      <c r="A7130" s="42"/>
      <c r="C7130" s="52"/>
      <c r="D7130"/>
      <c r="E7130"/>
      <c r="F7130"/>
      <c r="N7130" s="44"/>
    </row>
    <row r="7131" spans="1:14" x14ac:dyDescent="0.3">
      <c r="A7131" s="42"/>
      <c r="C7131" s="52"/>
      <c r="D7131"/>
      <c r="E7131"/>
      <c r="F7131"/>
      <c r="N7131" s="44"/>
    </row>
    <row r="7132" spans="1:14" x14ac:dyDescent="0.3">
      <c r="A7132" s="42"/>
      <c r="C7132" s="52"/>
      <c r="D7132"/>
      <c r="E7132"/>
      <c r="F7132"/>
      <c r="N7132" s="44"/>
    </row>
    <row r="7133" spans="1:14" x14ac:dyDescent="0.3">
      <c r="A7133" s="42"/>
      <c r="C7133" s="52"/>
      <c r="D7133"/>
      <c r="E7133"/>
      <c r="F7133"/>
      <c r="N7133" s="44"/>
    </row>
    <row r="7134" spans="1:14" x14ac:dyDescent="0.3">
      <c r="A7134" s="42"/>
      <c r="C7134" s="52"/>
      <c r="D7134"/>
      <c r="E7134"/>
      <c r="F7134"/>
      <c r="N7134" s="44"/>
    </row>
    <row r="7135" spans="1:14" x14ac:dyDescent="0.3">
      <c r="A7135" s="42"/>
      <c r="C7135" s="52"/>
      <c r="D7135"/>
      <c r="E7135"/>
      <c r="F7135"/>
      <c r="N7135" s="44"/>
    </row>
    <row r="7136" spans="1:14" x14ac:dyDescent="0.3">
      <c r="A7136" s="42"/>
      <c r="C7136" s="52"/>
      <c r="D7136"/>
      <c r="E7136"/>
      <c r="F7136"/>
      <c r="N7136" s="44"/>
    </row>
    <row r="7137" spans="1:14" x14ac:dyDescent="0.3">
      <c r="A7137" s="42"/>
      <c r="C7137" s="52"/>
      <c r="D7137"/>
      <c r="E7137"/>
      <c r="F7137"/>
      <c r="N7137" s="44"/>
    </row>
    <row r="7138" spans="1:14" x14ac:dyDescent="0.3">
      <c r="A7138" s="42"/>
      <c r="C7138" s="52"/>
      <c r="D7138"/>
      <c r="E7138"/>
      <c r="F7138"/>
      <c r="N7138" s="44"/>
    </row>
    <row r="7139" spans="1:14" x14ac:dyDescent="0.3">
      <c r="A7139" s="42"/>
      <c r="C7139" s="52"/>
      <c r="D7139"/>
      <c r="E7139"/>
      <c r="F7139"/>
      <c r="N7139" s="44"/>
    </row>
    <row r="7140" spans="1:14" x14ac:dyDescent="0.3">
      <c r="A7140" s="42"/>
      <c r="C7140" s="52"/>
      <c r="D7140"/>
      <c r="E7140"/>
      <c r="F7140"/>
      <c r="N7140" s="44"/>
    </row>
    <row r="7141" spans="1:14" x14ac:dyDescent="0.3">
      <c r="A7141" s="42"/>
      <c r="C7141" s="52"/>
      <c r="D7141"/>
      <c r="E7141"/>
      <c r="F7141"/>
      <c r="N7141" s="44"/>
    </row>
    <row r="7142" spans="1:14" x14ac:dyDescent="0.3">
      <c r="A7142" s="42"/>
      <c r="C7142" s="52"/>
      <c r="D7142"/>
      <c r="E7142"/>
      <c r="F7142"/>
      <c r="N7142" s="44"/>
    </row>
    <row r="7143" spans="1:14" x14ac:dyDescent="0.3">
      <c r="A7143" s="42"/>
      <c r="C7143" s="52"/>
      <c r="D7143"/>
      <c r="E7143"/>
      <c r="F7143"/>
      <c r="N7143" s="44"/>
    </row>
    <row r="7144" spans="1:14" x14ac:dyDescent="0.3">
      <c r="A7144" s="42"/>
      <c r="C7144" s="52"/>
      <c r="D7144"/>
      <c r="E7144"/>
      <c r="F7144"/>
      <c r="N7144" s="44"/>
    </row>
    <row r="7145" spans="1:14" x14ac:dyDescent="0.3">
      <c r="A7145" s="42"/>
      <c r="C7145" s="52"/>
      <c r="D7145"/>
      <c r="E7145"/>
      <c r="F7145"/>
      <c r="N7145" s="44"/>
    </row>
    <row r="7146" spans="1:14" x14ac:dyDescent="0.3">
      <c r="A7146" s="42"/>
      <c r="C7146" s="52"/>
      <c r="D7146"/>
      <c r="E7146"/>
      <c r="F7146"/>
      <c r="N7146" s="44"/>
    </row>
    <row r="7147" spans="1:14" x14ac:dyDescent="0.3">
      <c r="A7147" s="42"/>
      <c r="C7147" s="52"/>
      <c r="D7147"/>
      <c r="E7147"/>
      <c r="F7147"/>
      <c r="N7147" s="44"/>
    </row>
    <row r="7148" spans="1:14" x14ac:dyDescent="0.3">
      <c r="A7148" s="42"/>
      <c r="C7148" s="52"/>
      <c r="D7148"/>
      <c r="E7148"/>
      <c r="F7148"/>
      <c r="N7148" s="44"/>
    </row>
    <row r="7149" spans="1:14" x14ac:dyDescent="0.3">
      <c r="A7149" s="42"/>
      <c r="C7149" s="52"/>
      <c r="D7149"/>
      <c r="E7149"/>
      <c r="F7149"/>
      <c r="N7149" s="44"/>
    </row>
    <row r="7150" spans="1:14" x14ac:dyDescent="0.3">
      <c r="A7150" s="42"/>
      <c r="C7150" s="52"/>
      <c r="D7150"/>
      <c r="E7150"/>
      <c r="F7150"/>
      <c r="N7150" s="44"/>
    </row>
    <row r="7151" spans="1:14" x14ac:dyDescent="0.3">
      <c r="A7151" s="42"/>
      <c r="C7151" s="52"/>
      <c r="D7151"/>
      <c r="E7151"/>
      <c r="F7151"/>
      <c r="N7151" s="44"/>
    </row>
    <row r="7152" spans="1:14" x14ac:dyDescent="0.3">
      <c r="A7152" s="42"/>
      <c r="C7152" s="52"/>
      <c r="D7152"/>
      <c r="E7152"/>
      <c r="F7152"/>
      <c r="N7152" s="44"/>
    </row>
    <row r="7153" spans="1:14" x14ac:dyDescent="0.3">
      <c r="A7153" s="42"/>
      <c r="C7153" s="52"/>
      <c r="D7153"/>
      <c r="E7153"/>
      <c r="F7153"/>
      <c r="N7153" s="44"/>
    </row>
    <row r="7154" spans="1:14" x14ac:dyDescent="0.3">
      <c r="A7154" s="42"/>
      <c r="C7154" s="52"/>
      <c r="D7154"/>
      <c r="E7154"/>
      <c r="F7154"/>
      <c r="N7154" s="44"/>
    </row>
    <row r="7155" spans="1:14" x14ac:dyDescent="0.3">
      <c r="A7155" s="42"/>
      <c r="C7155" s="52"/>
      <c r="D7155"/>
      <c r="E7155"/>
      <c r="F7155"/>
      <c r="N7155" s="44"/>
    </row>
    <row r="7156" spans="1:14" x14ac:dyDescent="0.3">
      <c r="A7156" s="42"/>
      <c r="C7156" s="52"/>
      <c r="D7156"/>
      <c r="E7156"/>
      <c r="F7156"/>
      <c r="M7156" s="45"/>
      <c r="N7156" s="44"/>
    </row>
    <row r="7157" spans="1:14" x14ac:dyDescent="0.3">
      <c r="A7157" s="42"/>
      <c r="C7157" s="52"/>
      <c r="D7157"/>
      <c r="E7157"/>
      <c r="F7157"/>
      <c r="N7157" s="44"/>
    </row>
    <row r="7158" spans="1:14" x14ac:dyDescent="0.3">
      <c r="A7158" s="42"/>
      <c r="C7158" s="52"/>
      <c r="D7158"/>
      <c r="E7158"/>
      <c r="F7158"/>
      <c r="N7158" s="44"/>
    </row>
    <row r="7159" spans="1:14" x14ac:dyDescent="0.3">
      <c r="A7159" s="42"/>
      <c r="C7159" s="52"/>
      <c r="D7159"/>
      <c r="E7159"/>
      <c r="F7159"/>
      <c r="N7159" s="44"/>
    </row>
    <row r="7160" spans="1:14" x14ac:dyDescent="0.3">
      <c r="A7160" s="42"/>
      <c r="C7160" s="52"/>
      <c r="D7160"/>
      <c r="E7160"/>
      <c r="F7160"/>
      <c r="N7160" s="44"/>
    </row>
    <row r="7161" spans="1:14" x14ac:dyDescent="0.3">
      <c r="A7161" s="42"/>
      <c r="C7161" s="52"/>
      <c r="D7161"/>
      <c r="E7161"/>
      <c r="F7161"/>
      <c r="N7161" s="44"/>
    </row>
    <row r="7162" spans="1:14" x14ac:dyDescent="0.3">
      <c r="A7162" s="42"/>
      <c r="C7162" s="52"/>
      <c r="D7162"/>
      <c r="E7162"/>
      <c r="F7162"/>
      <c r="N7162" s="44"/>
    </row>
    <row r="7163" spans="1:14" x14ac:dyDescent="0.3">
      <c r="A7163" s="42"/>
      <c r="C7163" s="52"/>
      <c r="D7163"/>
      <c r="E7163"/>
      <c r="F7163"/>
      <c r="N7163" s="44"/>
    </row>
    <row r="7164" spans="1:14" x14ac:dyDescent="0.3">
      <c r="A7164" s="42"/>
      <c r="C7164" s="52"/>
      <c r="D7164"/>
      <c r="E7164"/>
      <c r="F7164"/>
      <c r="N7164" s="44"/>
    </row>
    <row r="7165" spans="1:14" x14ac:dyDescent="0.3">
      <c r="A7165" s="42"/>
      <c r="C7165" s="52"/>
      <c r="D7165"/>
      <c r="E7165"/>
      <c r="F7165"/>
      <c r="N7165" s="44"/>
    </row>
    <row r="7166" spans="1:14" x14ac:dyDescent="0.3">
      <c r="A7166" s="42"/>
      <c r="C7166" s="52"/>
      <c r="D7166"/>
      <c r="E7166"/>
      <c r="F7166"/>
      <c r="N7166" s="44"/>
    </row>
    <row r="7167" spans="1:14" x14ac:dyDescent="0.3">
      <c r="A7167" s="42"/>
      <c r="C7167" s="52"/>
      <c r="D7167"/>
      <c r="E7167"/>
      <c r="F7167"/>
      <c r="N7167" s="44"/>
    </row>
    <row r="7168" spans="1:14" x14ac:dyDescent="0.3">
      <c r="A7168" s="42"/>
      <c r="C7168" s="52"/>
      <c r="D7168"/>
      <c r="E7168"/>
      <c r="F7168"/>
      <c r="N7168" s="44"/>
    </row>
    <row r="7169" spans="1:14" x14ac:dyDescent="0.3">
      <c r="A7169" s="42"/>
      <c r="C7169" s="52"/>
      <c r="D7169"/>
      <c r="E7169"/>
      <c r="F7169"/>
      <c r="N7169" s="44"/>
    </row>
    <row r="7170" spans="1:14" x14ac:dyDescent="0.3">
      <c r="A7170" s="42"/>
      <c r="C7170" s="52"/>
      <c r="D7170"/>
      <c r="E7170"/>
      <c r="F7170"/>
      <c r="N7170" s="44"/>
    </row>
    <row r="7171" spans="1:14" x14ac:dyDescent="0.3">
      <c r="A7171" s="42"/>
      <c r="C7171" s="52"/>
      <c r="D7171"/>
      <c r="E7171"/>
      <c r="F7171"/>
      <c r="N7171" s="44"/>
    </row>
    <row r="7172" spans="1:14" x14ac:dyDescent="0.3">
      <c r="A7172" s="42"/>
      <c r="C7172" s="52"/>
      <c r="D7172"/>
      <c r="E7172"/>
      <c r="F7172"/>
      <c r="N7172" s="44"/>
    </row>
    <row r="7173" spans="1:14" x14ac:dyDescent="0.3">
      <c r="A7173" s="42"/>
      <c r="C7173" s="52"/>
      <c r="D7173"/>
      <c r="E7173"/>
      <c r="F7173"/>
      <c r="N7173" s="44"/>
    </row>
    <row r="7174" spans="1:14" x14ac:dyDescent="0.3">
      <c r="A7174" s="42"/>
      <c r="C7174" s="52"/>
      <c r="D7174"/>
      <c r="E7174"/>
      <c r="F7174"/>
      <c r="N7174" s="44"/>
    </row>
    <row r="7175" spans="1:14" x14ac:dyDescent="0.3">
      <c r="A7175" s="42"/>
      <c r="C7175" s="52"/>
      <c r="D7175"/>
      <c r="E7175"/>
      <c r="F7175"/>
      <c r="N7175" s="44"/>
    </row>
    <row r="7176" spans="1:14" x14ac:dyDescent="0.3">
      <c r="A7176" s="42"/>
      <c r="C7176" s="52"/>
      <c r="D7176"/>
      <c r="E7176"/>
      <c r="F7176"/>
      <c r="N7176" s="44"/>
    </row>
    <row r="7177" spans="1:14" x14ac:dyDescent="0.3">
      <c r="A7177" s="42"/>
      <c r="C7177" s="52"/>
      <c r="D7177"/>
      <c r="E7177"/>
      <c r="F7177"/>
      <c r="N7177" s="44"/>
    </row>
    <row r="7178" spans="1:14" x14ac:dyDescent="0.3">
      <c r="A7178" s="42"/>
      <c r="C7178" s="52"/>
      <c r="D7178"/>
      <c r="E7178"/>
      <c r="F7178"/>
      <c r="N7178" s="44"/>
    </row>
    <row r="7179" spans="1:14" x14ac:dyDescent="0.3">
      <c r="A7179" s="42"/>
      <c r="C7179" s="52"/>
      <c r="D7179"/>
      <c r="E7179"/>
      <c r="F7179"/>
      <c r="N7179" s="44"/>
    </row>
    <row r="7180" spans="1:14" x14ac:dyDescent="0.3">
      <c r="A7180" s="42"/>
      <c r="C7180" s="52"/>
      <c r="D7180"/>
      <c r="E7180"/>
      <c r="F7180"/>
      <c r="N7180" s="44"/>
    </row>
    <row r="7181" spans="1:14" x14ac:dyDescent="0.3">
      <c r="A7181" s="42"/>
      <c r="C7181" s="52"/>
      <c r="D7181"/>
      <c r="E7181"/>
      <c r="F7181"/>
      <c r="N7181" s="44"/>
    </row>
    <row r="7182" spans="1:14" x14ac:dyDescent="0.3">
      <c r="A7182" s="42"/>
      <c r="C7182" s="52"/>
      <c r="D7182"/>
      <c r="E7182"/>
      <c r="F7182"/>
      <c r="N7182" s="44"/>
    </row>
    <row r="7183" spans="1:14" x14ac:dyDescent="0.3">
      <c r="A7183" s="42"/>
      <c r="C7183" s="52"/>
      <c r="D7183"/>
      <c r="E7183"/>
      <c r="F7183"/>
      <c r="N7183" s="44"/>
    </row>
    <row r="7184" spans="1:14" x14ac:dyDescent="0.3">
      <c r="A7184" s="42"/>
      <c r="C7184" s="52"/>
      <c r="D7184"/>
      <c r="E7184"/>
      <c r="F7184"/>
      <c r="N7184" s="44"/>
    </row>
    <row r="7185" spans="1:14" x14ac:dyDescent="0.3">
      <c r="A7185" s="42"/>
      <c r="C7185" s="52"/>
      <c r="D7185"/>
      <c r="E7185"/>
      <c r="F7185"/>
      <c r="N7185" s="44"/>
    </row>
    <row r="7186" spans="1:14" x14ac:dyDescent="0.3">
      <c r="A7186" s="42"/>
      <c r="C7186" s="52"/>
      <c r="D7186"/>
      <c r="E7186"/>
      <c r="F7186"/>
      <c r="N7186" s="44"/>
    </row>
    <row r="7187" spans="1:14" x14ac:dyDescent="0.3">
      <c r="A7187" s="42"/>
      <c r="C7187" s="52"/>
      <c r="D7187"/>
      <c r="E7187"/>
      <c r="F7187"/>
      <c r="N7187" s="44"/>
    </row>
    <row r="7188" spans="1:14" x14ac:dyDescent="0.3">
      <c r="A7188" s="42"/>
      <c r="C7188" s="52"/>
      <c r="D7188"/>
      <c r="E7188"/>
      <c r="F7188"/>
      <c r="N7188" s="44"/>
    </row>
    <row r="7189" spans="1:14" x14ac:dyDescent="0.3">
      <c r="A7189" s="42"/>
      <c r="C7189" s="52"/>
      <c r="D7189"/>
      <c r="E7189"/>
      <c r="F7189"/>
      <c r="N7189" s="44"/>
    </row>
    <row r="7190" spans="1:14" x14ac:dyDescent="0.3">
      <c r="A7190" s="42"/>
      <c r="C7190" s="52"/>
      <c r="D7190"/>
      <c r="E7190"/>
      <c r="F7190"/>
      <c r="N7190" s="44"/>
    </row>
    <row r="7191" spans="1:14" x14ac:dyDescent="0.3">
      <c r="A7191" s="42"/>
      <c r="C7191" s="52"/>
      <c r="D7191"/>
      <c r="E7191"/>
      <c r="F7191"/>
      <c r="N7191" s="44"/>
    </row>
    <row r="7192" spans="1:14" x14ac:dyDescent="0.3">
      <c r="A7192" s="42"/>
      <c r="C7192" s="52"/>
      <c r="D7192"/>
      <c r="E7192"/>
      <c r="F7192"/>
      <c r="N7192" s="44"/>
    </row>
    <row r="7193" spans="1:14" x14ac:dyDescent="0.3">
      <c r="A7193" s="42"/>
      <c r="C7193" s="52"/>
      <c r="D7193"/>
      <c r="E7193"/>
      <c r="F7193"/>
      <c r="N7193" s="44"/>
    </row>
    <row r="7194" spans="1:14" x14ac:dyDescent="0.3">
      <c r="A7194" s="42"/>
      <c r="C7194" s="52"/>
      <c r="D7194"/>
      <c r="E7194"/>
      <c r="F7194"/>
      <c r="N7194" s="44"/>
    </row>
    <row r="7195" spans="1:14" x14ac:dyDescent="0.3">
      <c r="A7195" s="42"/>
      <c r="C7195" s="52"/>
      <c r="D7195"/>
      <c r="E7195"/>
      <c r="F7195"/>
      <c r="N7195" s="44"/>
    </row>
    <row r="7196" spans="1:14" x14ac:dyDescent="0.3">
      <c r="A7196" s="42"/>
      <c r="C7196" s="52"/>
      <c r="D7196"/>
      <c r="E7196"/>
      <c r="F7196"/>
      <c r="N7196" s="44"/>
    </row>
    <row r="7197" spans="1:14" x14ac:dyDescent="0.3">
      <c r="A7197" s="42"/>
      <c r="C7197" s="52"/>
      <c r="D7197"/>
      <c r="E7197"/>
      <c r="F7197"/>
      <c r="N7197" s="44"/>
    </row>
    <row r="7198" spans="1:14" x14ac:dyDescent="0.3">
      <c r="A7198" s="42"/>
      <c r="C7198" s="52"/>
      <c r="D7198"/>
      <c r="E7198"/>
      <c r="F7198"/>
      <c r="N7198" s="44"/>
    </row>
    <row r="7199" spans="1:14" x14ac:dyDescent="0.3">
      <c r="A7199" s="42"/>
      <c r="C7199" s="52"/>
      <c r="D7199"/>
      <c r="E7199"/>
      <c r="F7199"/>
      <c r="N7199" s="44"/>
    </row>
    <row r="7200" spans="1:14" x14ac:dyDescent="0.3">
      <c r="A7200" s="42"/>
      <c r="C7200" s="52"/>
      <c r="D7200"/>
      <c r="E7200"/>
      <c r="F7200"/>
      <c r="N7200" s="44"/>
    </row>
    <row r="7201" spans="1:14" x14ac:dyDescent="0.3">
      <c r="A7201" s="42"/>
      <c r="C7201" s="52"/>
      <c r="D7201"/>
      <c r="E7201"/>
      <c r="F7201"/>
      <c r="N7201" s="44"/>
    </row>
    <row r="7202" spans="1:14" x14ac:dyDescent="0.3">
      <c r="A7202" s="42"/>
      <c r="C7202" s="52"/>
      <c r="D7202"/>
      <c r="E7202"/>
      <c r="F7202"/>
      <c r="N7202" s="44"/>
    </row>
    <row r="7203" spans="1:14" x14ac:dyDescent="0.3">
      <c r="A7203" s="42"/>
      <c r="C7203" s="52"/>
      <c r="D7203"/>
      <c r="E7203"/>
      <c r="F7203"/>
      <c r="N7203" s="44"/>
    </row>
    <row r="7204" spans="1:14" x14ac:dyDescent="0.3">
      <c r="A7204" s="42"/>
      <c r="C7204" s="52"/>
      <c r="D7204"/>
      <c r="E7204"/>
      <c r="F7204"/>
      <c r="N7204" s="44"/>
    </row>
    <row r="7205" spans="1:14" x14ac:dyDescent="0.3">
      <c r="A7205" s="42"/>
      <c r="C7205" s="52"/>
      <c r="D7205"/>
      <c r="E7205"/>
      <c r="F7205"/>
      <c r="N7205" s="44"/>
    </row>
    <row r="7206" spans="1:14" x14ac:dyDescent="0.3">
      <c r="A7206" s="42"/>
      <c r="C7206" s="52"/>
      <c r="D7206"/>
      <c r="E7206"/>
      <c r="F7206"/>
      <c r="N7206" s="44"/>
    </row>
    <row r="7207" spans="1:14" x14ac:dyDescent="0.3">
      <c r="A7207" s="42"/>
      <c r="C7207" s="52"/>
      <c r="D7207"/>
      <c r="E7207"/>
      <c r="F7207"/>
      <c r="N7207" s="44"/>
    </row>
    <row r="7208" spans="1:14" x14ac:dyDescent="0.3">
      <c r="A7208" s="42"/>
      <c r="C7208" s="52"/>
      <c r="D7208"/>
      <c r="E7208"/>
      <c r="F7208"/>
      <c r="N7208" s="44"/>
    </row>
    <row r="7209" spans="1:14" x14ac:dyDescent="0.3">
      <c r="A7209" s="42"/>
      <c r="C7209" s="52"/>
      <c r="D7209"/>
      <c r="E7209"/>
      <c r="F7209"/>
      <c r="N7209" s="44"/>
    </row>
    <row r="7210" spans="1:14" x14ac:dyDescent="0.3">
      <c r="A7210" s="42"/>
      <c r="C7210" s="52"/>
      <c r="D7210"/>
      <c r="E7210"/>
      <c r="F7210"/>
      <c r="N7210" s="44"/>
    </row>
    <row r="7211" spans="1:14" x14ac:dyDescent="0.3">
      <c r="A7211" s="42"/>
      <c r="C7211" s="52"/>
      <c r="D7211"/>
      <c r="E7211"/>
      <c r="F7211"/>
      <c r="N7211" s="44"/>
    </row>
    <row r="7212" spans="1:14" x14ac:dyDescent="0.3">
      <c r="A7212" s="42"/>
      <c r="C7212" s="52"/>
      <c r="D7212"/>
      <c r="E7212"/>
      <c r="F7212"/>
      <c r="N7212" s="44"/>
    </row>
    <row r="7213" spans="1:14" x14ac:dyDescent="0.3">
      <c r="A7213" s="42"/>
      <c r="C7213" s="52"/>
      <c r="D7213"/>
      <c r="E7213"/>
      <c r="F7213"/>
      <c r="N7213" s="44"/>
    </row>
    <row r="7214" spans="1:14" x14ac:dyDescent="0.3">
      <c r="A7214" s="42"/>
      <c r="C7214" s="52"/>
      <c r="D7214"/>
      <c r="E7214"/>
      <c r="F7214"/>
      <c r="N7214" s="44"/>
    </row>
    <row r="7215" spans="1:14" x14ac:dyDescent="0.3">
      <c r="A7215" s="42"/>
      <c r="C7215" s="52"/>
      <c r="D7215"/>
      <c r="E7215"/>
      <c r="F7215"/>
      <c r="N7215" s="44"/>
    </row>
    <row r="7216" spans="1:14" x14ac:dyDescent="0.3">
      <c r="A7216" s="42"/>
      <c r="C7216" s="52"/>
      <c r="D7216"/>
      <c r="E7216"/>
      <c r="F7216"/>
      <c r="N7216" s="44"/>
    </row>
    <row r="7217" spans="1:14" x14ac:dyDescent="0.3">
      <c r="A7217" s="42"/>
      <c r="C7217" s="52"/>
      <c r="D7217"/>
      <c r="E7217"/>
      <c r="F7217"/>
      <c r="N7217" s="44"/>
    </row>
    <row r="7218" spans="1:14" x14ac:dyDescent="0.3">
      <c r="A7218" s="42"/>
      <c r="C7218" s="52"/>
      <c r="D7218"/>
      <c r="E7218"/>
      <c r="F7218"/>
      <c r="N7218" s="44"/>
    </row>
    <row r="7219" spans="1:14" x14ac:dyDescent="0.3">
      <c r="A7219" s="42"/>
      <c r="C7219" s="52"/>
      <c r="D7219"/>
      <c r="E7219"/>
      <c r="F7219"/>
      <c r="N7219" s="44"/>
    </row>
    <row r="7220" spans="1:14" x14ac:dyDescent="0.3">
      <c r="A7220" s="42"/>
      <c r="C7220" s="52"/>
      <c r="D7220"/>
      <c r="E7220"/>
      <c r="F7220"/>
      <c r="N7220" s="44"/>
    </row>
    <row r="7221" spans="1:14" x14ac:dyDescent="0.3">
      <c r="A7221" s="42"/>
      <c r="C7221" s="52"/>
      <c r="D7221"/>
      <c r="E7221"/>
      <c r="F7221"/>
      <c r="N7221" s="44"/>
    </row>
    <row r="7222" spans="1:14" x14ac:dyDescent="0.3">
      <c r="A7222" s="42"/>
      <c r="C7222" s="52"/>
      <c r="D7222"/>
      <c r="E7222"/>
      <c r="F7222"/>
      <c r="N7222" s="44"/>
    </row>
    <row r="7223" spans="1:14" x14ac:dyDescent="0.3">
      <c r="A7223" s="42"/>
      <c r="C7223" s="52"/>
      <c r="D7223"/>
      <c r="E7223"/>
      <c r="F7223"/>
      <c r="N7223" s="44"/>
    </row>
    <row r="7224" spans="1:14" x14ac:dyDescent="0.3">
      <c r="A7224" s="42"/>
      <c r="C7224" s="52"/>
      <c r="D7224"/>
      <c r="E7224"/>
      <c r="F7224"/>
      <c r="N7224" s="44"/>
    </row>
    <row r="7225" spans="1:14" x14ac:dyDescent="0.3">
      <c r="A7225" s="42"/>
      <c r="C7225" s="52"/>
      <c r="D7225"/>
      <c r="E7225"/>
      <c r="F7225"/>
      <c r="N7225" s="44"/>
    </row>
    <row r="7226" spans="1:14" x14ac:dyDescent="0.3">
      <c r="A7226" s="42"/>
      <c r="C7226" s="52"/>
      <c r="D7226"/>
      <c r="E7226"/>
      <c r="F7226"/>
      <c r="N7226" s="44"/>
    </row>
    <row r="7227" spans="1:14" x14ac:dyDescent="0.3">
      <c r="A7227" s="42"/>
      <c r="C7227" s="52"/>
      <c r="D7227"/>
      <c r="E7227"/>
      <c r="F7227"/>
      <c r="N7227" s="44"/>
    </row>
    <row r="7228" spans="1:14" x14ac:dyDescent="0.3">
      <c r="A7228" s="42"/>
      <c r="C7228" s="52"/>
      <c r="D7228"/>
      <c r="E7228"/>
      <c r="F7228"/>
      <c r="N7228" s="44"/>
    </row>
    <row r="7229" spans="1:14" x14ac:dyDescent="0.3">
      <c r="A7229" s="42"/>
      <c r="C7229" s="52"/>
      <c r="D7229"/>
      <c r="E7229"/>
      <c r="F7229"/>
      <c r="N7229" s="44"/>
    </row>
    <row r="7230" spans="1:14" x14ac:dyDescent="0.3">
      <c r="A7230" s="42"/>
      <c r="C7230" s="52"/>
      <c r="D7230"/>
      <c r="E7230"/>
      <c r="F7230"/>
      <c r="N7230" s="44"/>
    </row>
    <row r="7231" spans="1:14" x14ac:dyDescent="0.3">
      <c r="A7231" s="42"/>
      <c r="C7231" s="52"/>
      <c r="D7231"/>
      <c r="E7231"/>
      <c r="F7231"/>
      <c r="N7231" s="44"/>
    </row>
    <row r="7232" spans="1:14" x14ac:dyDescent="0.3">
      <c r="A7232" s="42"/>
      <c r="C7232" s="52"/>
      <c r="D7232"/>
      <c r="E7232"/>
      <c r="F7232"/>
      <c r="N7232" s="44"/>
    </row>
    <row r="7233" spans="1:14" x14ac:dyDescent="0.3">
      <c r="A7233" s="42"/>
      <c r="C7233" s="52"/>
      <c r="D7233"/>
      <c r="E7233"/>
      <c r="F7233"/>
      <c r="N7233" s="44"/>
    </row>
    <row r="7234" spans="1:14" x14ac:dyDescent="0.3">
      <c r="A7234" s="42"/>
      <c r="C7234" s="52"/>
      <c r="D7234"/>
      <c r="E7234"/>
      <c r="F7234"/>
      <c r="N7234" s="44"/>
    </row>
    <row r="7235" spans="1:14" x14ac:dyDescent="0.3">
      <c r="A7235" s="42"/>
      <c r="C7235" s="52"/>
      <c r="D7235"/>
      <c r="E7235"/>
      <c r="F7235"/>
      <c r="N7235" s="44"/>
    </row>
    <row r="7236" spans="1:14" x14ac:dyDescent="0.3">
      <c r="A7236" s="42"/>
      <c r="C7236" s="52"/>
      <c r="D7236"/>
      <c r="E7236"/>
      <c r="F7236"/>
      <c r="N7236" s="44"/>
    </row>
    <row r="7237" spans="1:14" x14ac:dyDescent="0.3">
      <c r="A7237" s="42"/>
      <c r="C7237" s="52"/>
      <c r="D7237"/>
      <c r="E7237"/>
      <c r="F7237"/>
      <c r="N7237" s="44"/>
    </row>
    <row r="7238" spans="1:14" x14ac:dyDescent="0.3">
      <c r="A7238" s="42"/>
      <c r="C7238" s="52"/>
      <c r="D7238"/>
      <c r="E7238"/>
      <c r="F7238"/>
      <c r="N7238" s="44"/>
    </row>
    <row r="7239" spans="1:14" x14ac:dyDescent="0.3">
      <c r="A7239" s="42"/>
      <c r="C7239" s="52"/>
      <c r="D7239"/>
      <c r="E7239"/>
      <c r="F7239"/>
      <c r="N7239" s="44"/>
    </row>
    <row r="7240" spans="1:14" x14ac:dyDescent="0.3">
      <c r="A7240" s="42"/>
      <c r="C7240" s="52"/>
      <c r="D7240"/>
      <c r="E7240"/>
      <c r="F7240"/>
      <c r="N7240" s="44"/>
    </row>
    <row r="7241" spans="1:14" x14ac:dyDescent="0.3">
      <c r="A7241" s="42"/>
      <c r="C7241" s="52"/>
      <c r="D7241"/>
      <c r="E7241"/>
      <c r="F7241"/>
      <c r="N7241" s="44"/>
    </row>
    <row r="7242" spans="1:14" x14ac:dyDescent="0.3">
      <c r="A7242" s="42"/>
      <c r="C7242" s="52"/>
      <c r="D7242"/>
      <c r="E7242"/>
      <c r="F7242"/>
      <c r="N7242" s="44"/>
    </row>
    <row r="7243" spans="1:14" x14ac:dyDescent="0.3">
      <c r="A7243" s="42"/>
      <c r="C7243" s="52"/>
      <c r="D7243"/>
      <c r="E7243"/>
      <c r="F7243"/>
      <c r="N7243" s="44"/>
    </row>
    <row r="7244" spans="1:14" x14ac:dyDescent="0.3">
      <c r="A7244" s="42"/>
      <c r="C7244" s="52"/>
      <c r="D7244"/>
      <c r="E7244"/>
      <c r="F7244"/>
      <c r="N7244" s="44"/>
    </row>
    <row r="7245" spans="1:14" x14ac:dyDescent="0.3">
      <c r="A7245" s="42"/>
      <c r="C7245" s="52"/>
      <c r="D7245"/>
      <c r="E7245"/>
      <c r="F7245"/>
      <c r="N7245" s="44"/>
    </row>
    <row r="7246" spans="1:14" x14ac:dyDescent="0.3">
      <c r="A7246" s="42"/>
      <c r="C7246" s="52"/>
      <c r="D7246"/>
      <c r="E7246"/>
      <c r="F7246"/>
      <c r="N7246" s="44"/>
    </row>
    <row r="7247" spans="1:14" x14ac:dyDescent="0.3">
      <c r="A7247" s="42"/>
      <c r="C7247" s="52"/>
      <c r="D7247"/>
      <c r="E7247"/>
      <c r="F7247"/>
      <c r="N7247" s="44"/>
    </row>
    <row r="7248" spans="1:14" x14ac:dyDescent="0.3">
      <c r="A7248" s="42"/>
      <c r="C7248" s="52"/>
      <c r="D7248"/>
      <c r="E7248"/>
      <c r="F7248"/>
      <c r="N7248" s="44"/>
    </row>
    <row r="7249" spans="1:14" x14ac:dyDescent="0.3">
      <c r="A7249" s="42"/>
      <c r="C7249" s="52"/>
      <c r="D7249"/>
      <c r="E7249"/>
      <c r="F7249"/>
      <c r="N7249" s="44"/>
    </row>
    <row r="7250" spans="1:14" x14ac:dyDescent="0.3">
      <c r="A7250" s="42"/>
      <c r="C7250" s="52"/>
      <c r="D7250"/>
      <c r="E7250"/>
      <c r="F7250"/>
      <c r="N7250" s="44"/>
    </row>
    <row r="7251" spans="1:14" x14ac:dyDescent="0.3">
      <c r="A7251" s="42"/>
      <c r="C7251" s="52"/>
      <c r="D7251"/>
      <c r="E7251"/>
      <c r="F7251"/>
      <c r="N7251" s="44"/>
    </row>
    <row r="7252" spans="1:14" x14ac:dyDescent="0.3">
      <c r="A7252" s="42"/>
      <c r="C7252" s="52"/>
      <c r="D7252"/>
      <c r="E7252"/>
      <c r="F7252"/>
      <c r="N7252" s="44"/>
    </row>
    <row r="7253" spans="1:14" x14ac:dyDescent="0.3">
      <c r="A7253" s="42"/>
      <c r="C7253" s="52"/>
      <c r="D7253"/>
      <c r="E7253"/>
      <c r="F7253"/>
      <c r="N7253" s="44"/>
    </row>
    <row r="7254" spans="1:14" x14ac:dyDescent="0.3">
      <c r="A7254" s="42"/>
      <c r="C7254" s="52"/>
      <c r="D7254"/>
      <c r="E7254"/>
      <c r="F7254"/>
      <c r="N7254" s="44"/>
    </row>
    <row r="7255" spans="1:14" x14ac:dyDescent="0.3">
      <c r="A7255" s="42"/>
      <c r="C7255" s="52"/>
      <c r="D7255"/>
      <c r="E7255"/>
      <c r="F7255"/>
      <c r="N7255" s="44"/>
    </row>
    <row r="7256" spans="1:14" x14ac:dyDescent="0.3">
      <c r="A7256" s="42"/>
      <c r="C7256" s="52"/>
      <c r="D7256"/>
      <c r="E7256"/>
      <c r="F7256"/>
      <c r="N7256" s="44"/>
    </row>
    <row r="7257" spans="1:14" x14ac:dyDescent="0.3">
      <c r="A7257" s="42"/>
      <c r="C7257" s="52"/>
      <c r="D7257"/>
      <c r="E7257"/>
      <c r="F7257"/>
      <c r="N7257" s="44"/>
    </row>
    <row r="7258" spans="1:14" x14ac:dyDescent="0.3">
      <c r="A7258" s="42"/>
      <c r="C7258" s="52"/>
      <c r="D7258"/>
      <c r="E7258"/>
      <c r="F7258"/>
      <c r="N7258" s="44"/>
    </row>
    <row r="7259" spans="1:14" x14ac:dyDescent="0.3">
      <c r="A7259" s="42"/>
      <c r="C7259" s="52"/>
      <c r="D7259"/>
      <c r="E7259"/>
      <c r="F7259"/>
      <c r="N7259" s="44"/>
    </row>
    <row r="7260" spans="1:14" x14ac:dyDescent="0.3">
      <c r="A7260" s="42"/>
      <c r="C7260" s="52"/>
      <c r="D7260"/>
      <c r="E7260"/>
      <c r="F7260"/>
      <c r="N7260" s="44"/>
    </row>
    <row r="7261" spans="1:14" x14ac:dyDescent="0.3">
      <c r="A7261" s="42"/>
      <c r="C7261" s="52"/>
      <c r="D7261"/>
      <c r="E7261"/>
      <c r="F7261"/>
      <c r="N7261" s="44"/>
    </row>
    <row r="7262" spans="1:14" x14ac:dyDescent="0.3">
      <c r="A7262" s="42"/>
      <c r="C7262" s="52"/>
      <c r="D7262"/>
      <c r="E7262"/>
      <c r="F7262"/>
      <c r="N7262" s="44"/>
    </row>
    <row r="7263" spans="1:14" x14ac:dyDescent="0.3">
      <c r="A7263" s="42"/>
      <c r="C7263" s="52"/>
      <c r="D7263"/>
      <c r="E7263"/>
      <c r="F7263"/>
      <c r="N7263" s="44"/>
    </row>
    <row r="7264" spans="1:14" x14ac:dyDescent="0.3">
      <c r="A7264" s="42"/>
      <c r="C7264" s="52"/>
      <c r="D7264"/>
      <c r="E7264"/>
      <c r="F7264"/>
      <c r="N7264" s="44"/>
    </row>
    <row r="7265" spans="1:14" x14ac:dyDescent="0.3">
      <c r="A7265" s="42"/>
      <c r="C7265" s="52"/>
      <c r="D7265"/>
      <c r="E7265"/>
      <c r="F7265"/>
      <c r="M7265" s="45"/>
      <c r="N7265" s="44"/>
    </row>
    <row r="7266" spans="1:14" x14ac:dyDescent="0.3">
      <c r="A7266" s="42"/>
      <c r="C7266" s="52"/>
      <c r="D7266"/>
      <c r="E7266"/>
      <c r="F7266"/>
      <c r="N7266" s="44"/>
    </row>
    <row r="7267" spans="1:14" x14ac:dyDescent="0.3">
      <c r="A7267" s="42"/>
      <c r="C7267" s="52"/>
      <c r="D7267"/>
      <c r="E7267"/>
      <c r="F7267"/>
      <c r="N7267" s="44"/>
    </row>
    <row r="7268" spans="1:14" x14ac:dyDescent="0.3">
      <c r="A7268" s="42"/>
      <c r="C7268" s="52"/>
      <c r="D7268"/>
      <c r="E7268"/>
      <c r="F7268"/>
      <c r="N7268" s="44"/>
    </row>
    <row r="7269" spans="1:14" x14ac:dyDescent="0.3">
      <c r="A7269" s="42"/>
      <c r="C7269" s="52"/>
      <c r="D7269"/>
      <c r="E7269"/>
      <c r="F7269"/>
      <c r="N7269" s="44"/>
    </row>
    <row r="7270" spans="1:14" x14ac:dyDescent="0.3">
      <c r="A7270" s="42"/>
      <c r="C7270" s="52"/>
      <c r="D7270"/>
      <c r="E7270"/>
      <c r="F7270"/>
      <c r="N7270" s="44"/>
    </row>
    <row r="7271" spans="1:14" x14ac:dyDescent="0.3">
      <c r="A7271" s="42"/>
      <c r="C7271" s="52"/>
      <c r="D7271"/>
      <c r="E7271"/>
      <c r="F7271"/>
      <c r="N7271" s="44"/>
    </row>
    <row r="7272" spans="1:14" x14ac:dyDescent="0.3">
      <c r="A7272" s="42"/>
      <c r="C7272" s="52"/>
      <c r="D7272"/>
      <c r="E7272"/>
      <c r="F7272"/>
      <c r="N7272" s="44"/>
    </row>
    <row r="7273" spans="1:14" x14ac:dyDescent="0.3">
      <c r="A7273" s="42"/>
      <c r="C7273" s="52"/>
      <c r="D7273"/>
      <c r="E7273"/>
      <c r="F7273"/>
      <c r="M7273" s="45"/>
      <c r="N7273" s="44"/>
    </row>
    <row r="7274" spans="1:14" x14ac:dyDescent="0.3">
      <c r="A7274" s="42"/>
      <c r="C7274" s="52"/>
      <c r="D7274"/>
      <c r="E7274"/>
      <c r="F7274"/>
      <c r="N7274" s="44"/>
    </row>
    <row r="7275" spans="1:14" x14ac:dyDescent="0.3">
      <c r="A7275" s="42"/>
      <c r="C7275" s="52"/>
      <c r="D7275"/>
      <c r="E7275"/>
      <c r="F7275"/>
      <c r="N7275" s="44"/>
    </row>
    <row r="7276" spans="1:14" x14ac:dyDescent="0.3">
      <c r="A7276" s="42"/>
      <c r="C7276" s="52"/>
      <c r="D7276"/>
      <c r="E7276"/>
      <c r="F7276"/>
      <c r="N7276" s="44"/>
    </row>
    <row r="7277" spans="1:14" x14ac:dyDescent="0.3">
      <c r="A7277" s="42"/>
      <c r="C7277" s="52"/>
      <c r="D7277"/>
      <c r="E7277"/>
      <c r="F7277"/>
      <c r="N7277" s="44"/>
    </row>
    <row r="7278" spans="1:14" x14ac:dyDescent="0.3">
      <c r="A7278" s="42"/>
      <c r="C7278" s="52"/>
      <c r="D7278"/>
      <c r="E7278"/>
      <c r="F7278"/>
      <c r="N7278" s="44"/>
    </row>
    <row r="7279" spans="1:14" x14ac:dyDescent="0.3">
      <c r="A7279" s="42"/>
      <c r="C7279" s="52"/>
      <c r="D7279"/>
      <c r="E7279"/>
      <c r="F7279"/>
      <c r="N7279" s="44"/>
    </row>
    <row r="7280" spans="1:14" x14ac:dyDescent="0.3">
      <c r="A7280" s="42"/>
      <c r="C7280" s="52"/>
      <c r="D7280"/>
      <c r="E7280"/>
      <c r="F7280"/>
      <c r="N7280" s="44"/>
    </row>
    <row r="7281" spans="1:14" x14ac:dyDescent="0.3">
      <c r="A7281" s="42"/>
      <c r="C7281" s="52"/>
      <c r="D7281"/>
      <c r="E7281"/>
      <c r="F7281"/>
      <c r="N7281" s="44"/>
    </row>
    <row r="7282" spans="1:14" x14ac:dyDescent="0.3">
      <c r="A7282" s="42"/>
      <c r="C7282" s="52"/>
      <c r="D7282"/>
      <c r="E7282"/>
      <c r="F7282"/>
      <c r="N7282" s="44"/>
    </row>
    <row r="7283" spans="1:14" x14ac:dyDescent="0.3">
      <c r="A7283" s="42"/>
      <c r="C7283" s="52"/>
      <c r="D7283"/>
      <c r="E7283"/>
      <c r="F7283"/>
      <c r="N7283" s="44"/>
    </row>
    <row r="7284" spans="1:14" x14ac:dyDescent="0.3">
      <c r="A7284" s="42"/>
      <c r="C7284" s="52"/>
      <c r="D7284"/>
      <c r="E7284"/>
      <c r="F7284"/>
      <c r="N7284" s="44"/>
    </row>
    <row r="7285" spans="1:14" x14ac:dyDescent="0.3">
      <c r="A7285" s="42"/>
      <c r="C7285" s="52"/>
      <c r="D7285"/>
      <c r="E7285"/>
      <c r="F7285"/>
      <c r="N7285" s="44"/>
    </row>
    <row r="7286" spans="1:14" x14ac:dyDescent="0.3">
      <c r="A7286" s="42"/>
      <c r="C7286" s="52"/>
      <c r="D7286"/>
      <c r="E7286"/>
      <c r="F7286"/>
      <c r="N7286" s="44"/>
    </row>
    <row r="7287" spans="1:14" x14ac:dyDescent="0.3">
      <c r="A7287" s="42"/>
      <c r="C7287" s="52"/>
      <c r="D7287"/>
      <c r="E7287"/>
      <c r="F7287"/>
      <c r="N7287" s="44"/>
    </row>
    <row r="7288" spans="1:14" x14ac:dyDescent="0.3">
      <c r="A7288" s="42"/>
      <c r="C7288" s="52"/>
      <c r="D7288"/>
      <c r="E7288"/>
      <c r="F7288"/>
      <c r="N7288" s="44"/>
    </row>
    <row r="7289" spans="1:14" x14ac:dyDescent="0.3">
      <c r="A7289" s="42"/>
      <c r="C7289" s="52"/>
      <c r="D7289"/>
      <c r="E7289"/>
      <c r="F7289"/>
      <c r="N7289" s="44"/>
    </row>
    <row r="7290" spans="1:14" x14ac:dyDescent="0.3">
      <c r="A7290" s="42"/>
      <c r="C7290" s="52"/>
      <c r="D7290"/>
      <c r="E7290"/>
      <c r="F7290"/>
      <c r="N7290" s="44"/>
    </row>
    <row r="7291" spans="1:14" x14ac:dyDescent="0.3">
      <c r="A7291" s="42"/>
      <c r="C7291" s="52"/>
      <c r="D7291"/>
      <c r="E7291"/>
      <c r="F7291"/>
      <c r="N7291" s="44"/>
    </row>
    <row r="7292" spans="1:14" x14ac:dyDescent="0.3">
      <c r="A7292" s="42"/>
      <c r="C7292" s="52"/>
      <c r="D7292"/>
      <c r="E7292"/>
      <c r="F7292"/>
      <c r="N7292" s="44"/>
    </row>
    <row r="7293" spans="1:14" x14ac:dyDescent="0.3">
      <c r="A7293" s="42"/>
      <c r="C7293" s="52"/>
      <c r="D7293"/>
      <c r="E7293"/>
      <c r="F7293"/>
      <c r="N7293" s="44"/>
    </row>
    <row r="7294" spans="1:14" x14ac:dyDescent="0.3">
      <c r="A7294" s="42"/>
      <c r="C7294" s="52"/>
      <c r="D7294"/>
      <c r="E7294"/>
      <c r="F7294"/>
      <c r="N7294" s="44"/>
    </row>
    <row r="7295" spans="1:14" x14ac:dyDescent="0.3">
      <c r="A7295" s="42"/>
      <c r="C7295" s="52"/>
      <c r="D7295"/>
      <c r="E7295"/>
      <c r="F7295"/>
      <c r="N7295" s="44"/>
    </row>
    <row r="7296" spans="1:14" x14ac:dyDescent="0.3">
      <c r="A7296" s="42"/>
      <c r="C7296" s="52"/>
      <c r="D7296"/>
      <c r="E7296"/>
      <c r="F7296"/>
      <c r="N7296" s="44"/>
    </row>
    <row r="7297" spans="1:14" x14ac:dyDescent="0.3">
      <c r="A7297" s="42"/>
      <c r="C7297" s="52"/>
      <c r="D7297"/>
      <c r="E7297"/>
      <c r="F7297"/>
      <c r="N7297" s="44"/>
    </row>
    <row r="7298" spans="1:14" x14ac:dyDescent="0.3">
      <c r="A7298" s="42"/>
      <c r="C7298" s="52"/>
      <c r="D7298"/>
      <c r="E7298"/>
      <c r="F7298"/>
      <c r="N7298" s="44"/>
    </row>
    <row r="7299" spans="1:14" x14ac:dyDescent="0.3">
      <c r="A7299" s="42"/>
      <c r="C7299" s="52"/>
      <c r="D7299"/>
      <c r="E7299"/>
      <c r="F7299"/>
      <c r="N7299" s="44"/>
    </row>
    <row r="7300" spans="1:14" x14ac:dyDescent="0.3">
      <c r="A7300" s="42"/>
      <c r="C7300" s="52"/>
      <c r="D7300"/>
      <c r="E7300"/>
      <c r="F7300"/>
      <c r="N7300" s="44"/>
    </row>
    <row r="7301" spans="1:14" x14ac:dyDescent="0.3">
      <c r="A7301" s="42"/>
      <c r="C7301" s="52"/>
      <c r="D7301"/>
      <c r="E7301"/>
      <c r="F7301"/>
      <c r="N7301" s="44"/>
    </row>
    <row r="7302" spans="1:14" x14ac:dyDescent="0.3">
      <c r="A7302" s="42"/>
      <c r="C7302" s="52"/>
      <c r="D7302"/>
      <c r="E7302"/>
      <c r="F7302"/>
      <c r="N7302" s="44"/>
    </row>
    <row r="7303" spans="1:14" x14ac:dyDescent="0.3">
      <c r="A7303" s="42"/>
      <c r="C7303" s="52"/>
      <c r="D7303"/>
      <c r="E7303"/>
      <c r="F7303"/>
      <c r="N7303" s="44"/>
    </row>
    <row r="7304" spans="1:14" x14ac:dyDescent="0.3">
      <c r="A7304" s="42"/>
      <c r="C7304" s="52"/>
      <c r="D7304"/>
      <c r="E7304"/>
      <c r="F7304"/>
      <c r="N7304" s="44"/>
    </row>
    <row r="7305" spans="1:14" x14ac:dyDescent="0.3">
      <c r="A7305" s="42"/>
      <c r="C7305" s="52"/>
      <c r="D7305"/>
      <c r="E7305"/>
      <c r="F7305"/>
      <c r="N7305" s="44"/>
    </row>
    <row r="7306" spans="1:14" x14ac:dyDescent="0.3">
      <c r="A7306" s="42"/>
      <c r="C7306" s="52"/>
      <c r="D7306"/>
      <c r="E7306"/>
      <c r="F7306"/>
      <c r="N7306" s="44"/>
    </row>
    <row r="7307" spans="1:14" x14ac:dyDescent="0.3">
      <c r="A7307" s="42"/>
      <c r="C7307" s="52"/>
      <c r="D7307"/>
      <c r="E7307"/>
      <c r="F7307"/>
      <c r="N7307" s="44"/>
    </row>
    <row r="7308" spans="1:14" x14ac:dyDescent="0.3">
      <c r="A7308" s="42"/>
      <c r="C7308" s="52"/>
      <c r="D7308"/>
      <c r="E7308"/>
      <c r="F7308"/>
      <c r="N7308" s="44"/>
    </row>
    <row r="7309" spans="1:14" x14ac:dyDescent="0.3">
      <c r="A7309" s="42"/>
      <c r="C7309" s="52"/>
      <c r="D7309"/>
      <c r="E7309"/>
      <c r="F7309"/>
      <c r="N7309" s="44"/>
    </row>
    <row r="7310" spans="1:14" x14ac:dyDescent="0.3">
      <c r="A7310" s="42"/>
      <c r="C7310" s="52"/>
      <c r="D7310"/>
      <c r="E7310"/>
      <c r="F7310"/>
      <c r="N7310" s="44"/>
    </row>
    <row r="7311" spans="1:14" x14ac:dyDescent="0.3">
      <c r="A7311" s="42"/>
      <c r="C7311" s="52"/>
      <c r="D7311"/>
      <c r="E7311"/>
      <c r="F7311"/>
      <c r="N7311" s="44"/>
    </row>
    <row r="7312" spans="1:14" x14ac:dyDescent="0.3">
      <c r="A7312" s="42"/>
      <c r="C7312" s="52"/>
      <c r="D7312"/>
      <c r="E7312"/>
      <c r="F7312"/>
      <c r="N7312" s="44"/>
    </row>
    <row r="7313" spans="1:14" x14ac:dyDescent="0.3">
      <c r="A7313" s="42"/>
      <c r="C7313" s="52"/>
      <c r="D7313"/>
      <c r="E7313"/>
      <c r="F7313"/>
      <c r="N7313" s="44"/>
    </row>
    <row r="7314" spans="1:14" x14ac:dyDescent="0.3">
      <c r="A7314" s="42"/>
      <c r="C7314" s="52"/>
      <c r="D7314"/>
      <c r="E7314"/>
      <c r="F7314"/>
      <c r="N7314" s="44"/>
    </row>
    <row r="7315" spans="1:14" x14ac:dyDescent="0.3">
      <c r="A7315" s="42"/>
      <c r="C7315" s="52"/>
      <c r="D7315"/>
      <c r="E7315"/>
      <c r="F7315"/>
      <c r="N7315" s="44"/>
    </row>
    <row r="7316" spans="1:14" x14ac:dyDescent="0.3">
      <c r="A7316" s="42"/>
      <c r="C7316" s="52"/>
      <c r="D7316"/>
      <c r="E7316"/>
      <c r="F7316"/>
      <c r="N7316" s="44"/>
    </row>
    <row r="7317" spans="1:14" x14ac:dyDescent="0.3">
      <c r="A7317" s="42"/>
      <c r="C7317" s="52"/>
      <c r="D7317"/>
      <c r="E7317"/>
      <c r="F7317"/>
      <c r="N7317" s="44"/>
    </row>
    <row r="7318" spans="1:14" x14ac:dyDescent="0.3">
      <c r="A7318" s="42"/>
      <c r="C7318" s="52"/>
      <c r="D7318"/>
      <c r="E7318"/>
      <c r="F7318"/>
      <c r="N7318" s="44"/>
    </row>
    <row r="7319" spans="1:14" x14ac:dyDescent="0.3">
      <c r="A7319" s="42"/>
      <c r="C7319" s="52"/>
      <c r="D7319"/>
      <c r="E7319"/>
      <c r="F7319"/>
      <c r="N7319" s="44"/>
    </row>
    <row r="7320" spans="1:14" x14ac:dyDescent="0.3">
      <c r="A7320" s="42"/>
      <c r="C7320" s="52"/>
      <c r="D7320"/>
      <c r="E7320"/>
      <c r="F7320"/>
      <c r="N7320" s="44"/>
    </row>
    <row r="7321" spans="1:14" x14ac:dyDescent="0.3">
      <c r="A7321" s="42"/>
      <c r="C7321" s="52"/>
      <c r="D7321"/>
      <c r="E7321"/>
      <c r="F7321"/>
      <c r="N7321" s="44"/>
    </row>
    <row r="7322" spans="1:14" x14ac:dyDescent="0.3">
      <c r="A7322" s="42"/>
      <c r="C7322" s="52"/>
      <c r="D7322"/>
      <c r="E7322"/>
      <c r="F7322"/>
      <c r="N7322" s="44"/>
    </row>
    <row r="7323" spans="1:14" x14ac:dyDescent="0.3">
      <c r="A7323" s="42"/>
      <c r="C7323" s="52"/>
      <c r="D7323"/>
      <c r="E7323"/>
      <c r="F7323"/>
      <c r="N7323" s="44"/>
    </row>
    <row r="7324" spans="1:14" x14ac:dyDescent="0.3">
      <c r="A7324" s="42"/>
      <c r="C7324" s="52"/>
      <c r="D7324"/>
      <c r="E7324"/>
      <c r="F7324"/>
      <c r="N7324" s="44"/>
    </row>
    <row r="7325" spans="1:14" x14ac:dyDescent="0.3">
      <c r="A7325" s="42"/>
      <c r="C7325" s="52"/>
      <c r="D7325"/>
      <c r="E7325"/>
      <c r="F7325"/>
      <c r="N7325" s="44"/>
    </row>
    <row r="7326" spans="1:14" x14ac:dyDescent="0.3">
      <c r="A7326" s="42"/>
      <c r="C7326" s="52"/>
      <c r="D7326"/>
      <c r="E7326"/>
      <c r="F7326"/>
      <c r="N7326" s="44"/>
    </row>
    <row r="7327" spans="1:14" x14ac:dyDescent="0.3">
      <c r="A7327" s="42"/>
      <c r="C7327" s="52"/>
      <c r="D7327"/>
      <c r="E7327"/>
      <c r="F7327"/>
      <c r="N7327" s="44"/>
    </row>
    <row r="7328" spans="1:14" x14ac:dyDescent="0.3">
      <c r="A7328" s="42"/>
      <c r="C7328" s="52"/>
      <c r="D7328"/>
      <c r="E7328"/>
      <c r="F7328"/>
      <c r="N7328" s="44"/>
    </row>
    <row r="7329" spans="1:14" x14ac:dyDescent="0.3">
      <c r="A7329" s="42"/>
      <c r="C7329" s="52"/>
      <c r="D7329"/>
      <c r="E7329"/>
      <c r="F7329"/>
      <c r="N7329" s="44"/>
    </row>
    <row r="7330" spans="1:14" x14ac:dyDescent="0.3">
      <c r="A7330" s="42"/>
      <c r="C7330" s="52"/>
      <c r="D7330"/>
      <c r="E7330"/>
      <c r="F7330"/>
      <c r="N7330" s="44"/>
    </row>
    <row r="7331" spans="1:14" x14ac:dyDescent="0.3">
      <c r="A7331" s="42"/>
      <c r="C7331" s="52"/>
      <c r="D7331"/>
      <c r="E7331"/>
      <c r="F7331"/>
      <c r="N7331" s="44"/>
    </row>
    <row r="7332" spans="1:14" x14ac:dyDescent="0.3">
      <c r="A7332" s="42"/>
      <c r="C7332" s="52"/>
      <c r="D7332"/>
      <c r="E7332"/>
      <c r="F7332"/>
      <c r="N7332" s="44"/>
    </row>
    <row r="7333" spans="1:14" x14ac:dyDescent="0.3">
      <c r="A7333" s="42"/>
      <c r="C7333" s="52"/>
      <c r="D7333"/>
      <c r="E7333"/>
      <c r="F7333"/>
      <c r="N7333" s="44"/>
    </row>
    <row r="7334" spans="1:14" x14ac:dyDescent="0.3">
      <c r="A7334" s="42"/>
      <c r="C7334" s="52"/>
      <c r="D7334"/>
      <c r="E7334"/>
      <c r="F7334"/>
      <c r="N7334" s="44"/>
    </row>
    <row r="7335" spans="1:14" x14ac:dyDescent="0.3">
      <c r="A7335" s="42"/>
      <c r="C7335" s="52"/>
      <c r="D7335"/>
      <c r="E7335"/>
      <c r="F7335"/>
      <c r="N7335" s="44"/>
    </row>
    <row r="7336" spans="1:14" x14ac:dyDescent="0.3">
      <c r="A7336" s="42"/>
      <c r="C7336" s="52"/>
      <c r="D7336"/>
      <c r="E7336"/>
      <c r="F7336"/>
      <c r="N7336" s="44"/>
    </row>
    <row r="7337" spans="1:14" x14ac:dyDescent="0.3">
      <c r="A7337" s="42"/>
      <c r="C7337" s="52"/>
      <c r="D7337"/>
      <c r="E7337"/>
      <c r="F7337"/>
      <c r="N7337" s="44"/>
    </row>
    <row r="7338" spans="1:14" x14ac:dyDescent="0.3">
      <c r="A7338" s="42"/>
      <c r="C7338" s="52"/>
      <c r="D7338"/>
      <c r="E7338"/>
      <c r="F7338"/>
      <c r="N7338" s="44"/>
    </row>
    <row r="7339" spans="1:14" x14ac:dyDescent="0.3">
      <c r="A7339" s="42"/>
      <c r="C7339" s="52"/>
      <c r="D7339"/>
      <c r="E7339"/>
      <c r="F7339"/>
      <c r="N7339" s="44"/>
    </row>
    <row r="7340" spans="1:14" x14ac:dyDescent="0.3">
      <c r="A7340" s="42"/>
      <c r="C7340" s="52"/>
      <c r="D7340"/>
      <c r="E7340"/>
      <c r="F7340"/>
      <c r="N7340" s="44"/>
    </row>
    <row r="7341" spans="1:14" x14ac:dyDescent="0.3">
      <c r="A7341" s="42"/>
      <c r="C7341" s="52"/>
      <c r="D7341"/>
      <c r="E7341"/>
      <c r="F7341"/>
      <c r="N7341" s="44"/>
    </row>
    <row r="7342" spans="1:14" x14ac:dyDescent="0.3">
      <c r="A7342" s="42"/>
      <c r="C7342" s="52"/>
      <c r="D7342"/>
      <c r="E7342"/>
      <c r="F7342"/>
      <c r="N7342" s="44"/>
    </row>
    <row r="7343" spans="1:14" x14ac:dyDescent="0.3">
      <c r="A7343" s="42"/>
      <c r="C7343" s="52"/>
      <c r="D7343"/>
      <c r="E7343"/>
      <c r="F7343"/>
      <c r="N7343" s="44"/>
    </row>
    <row r="7344" spans="1:14" x14ac:dyDescent="0.3">
      <c r="A7344" s="42"/>
      <c r="C7344" s="52"/>
      <c r="D7344"/>
      <c r="E7344"/>
      <c r="F7344"/>
      <c r="N7344" s="44"/>
    </row>
    <row r="7345" spans="1:14" x14ac:dyDescent="0.3">
      <c r="A7345" s="42"/>
      <c r="C7345" s="52"/>
      <c r="D7345"/>
      <c r="E7345"/>
      <c r="F7345"/>
      <c r="N7345" s="44"/>
    </row>
    <row r="7346" spans="1:14" x14ac:dyDescent="0.3">
      <c r="A7346" s="42"/>
      <c r="C7346" s="52"/>
      <c r="D7346"/>
      <c r="E7346"/>
      <c r="F7346"/>
      <c r="N7346" s="44"/>
    </row>
    <row r="7347" spans="1:14" x14ac:dyDescent="0.3">
      <c r="A7347" s="42"/>
      <c r="C7347" s="52"/>
      <c r="D7347"/>
      <c r="E7347"/>
      <c r="F7347"/>
      <c r="N7347" s="44"/>
    </row>
    <row r="7348" spans="1:14" x14ac:dyDescent="0.3">
      <c r="A7348" s="42"/>
      <c r="C7348" s="52"/>
      <c r="D7348"/>
      <c r="E7348"/>
      <c r="F7348"/>
      <c r="N7348" s="44"/>
    </row>
    <row r="7349" spans="1:14" x14ac:dyDescent="0.3">
      <c r="A7349" s="42"/>
      <c r="C7349" s="52"/>
      <c r="D7349"/>
      <c r="E7349"/>
      <c r="F7349"/>
      <c r="N7349" s="44"/>
    </row>
    <row r="7350" spans="1:14" x14ac:dyDescent="0.3">
      <c r="A7350" s="42"/>
      <c r="C7350" s="52"/>
      <c r="D7350"/>
      <c r="E7350"/>
      <c r="F7350"/>
      <c r="N7350" s="44"/>
    </row>
    <row r="7351" spans="1:14" x14ac:dyDescent="0.3">
      <c r="A7351" s="42"/>
      <c r="C7351" s="52"/>
      <c r="D7351"/>
      <c r="E7351"/>
      <c r="F7351"/>
      <c r="N7351" s="44"/>
    </row>
    <row r="7352" spans="1:14" x14ac:dyDescent="0.3">
      <c r="A7352" s="42"/>
      <c r="C7352" s="52"/>
      <c r="D7352"/>
      <c r="E7352"/>
      <c r="F7352"/>
      <c r="N7352" s="44"/>
    </row>
    <row r="7353" spans="1:14" x14ac:dyDescent="0.3">
      <c r="A7353" s="42"/>
      <c r="C7353" s="52"/>
      <c r="D7353"/>
      <c r="E7353"/>
      <c r="F7353"/>
      <c r="N7353" s="44"/>
    </row>
    <row r="7354" spans="1:14" x14ac:dyDescent="0.3">
      <c r="A7354" s="42"/>
      <c r="C7354" s="52"/>
      <c r="D7354"/>
      <c r="E7354"/>
      <c r="F7354"/>
      <c r="N7354" s="44"/>
    </row>
    <row r="7355" spans="1:14" x14ac:dyDescent="0.3">
      <c r="A7355" s="42"/>
      <c r="C7355" s="52"/>
      <c r="D7355"/>
      <c r="E7355"/>
      <c r="F7355"/>
      <c r="N7355" s="44"/>
    </row>
    <row r="7356" spans="1:14" x14ac:dyDescent="0.3">
      <c r="A7356" s="42"/>
      <c r="C7356" s="52"/>
      <c r="D7356"/>
      <c r="E7356"/>
      <c r="F7356"/>
      <c r="N7356" s="44"/>
    </row>
    <row r="7357" spans="1:14" x14ac:dyDescent="0.3">
      <c r="A7357" s="42"/>
      <c r="C7357" s="52"/>
      <c r="D7357"/>
      <c r="E7357"/>
      <c r="F7357"/>
      <c r="N7357" s="44"/>
    </row>
    <row r="7358" spans="1:14" x14ac:dyDescent="0.3">
      <c r="A7358" s="42"/>
      <c r="C7358" s="52"/>
      <c r="D7358"/>
      <c r="E7358"/>
      <c r="F7358"/>
      <c r="N7358" s="44"/>
    </row>
    <row r="7359" spans="1:14" x14ac:dyDescent="0.3">
      <c r="A7359" s="42"/>
      <c r="C7359" s="52"/>
      <c r="D7359"/>
      <c r="E7359"/>
      <c r="F7359"/>
      <c r="N7359" s="44"/>
    </row>
    <row r="7360" spans="1:14" x14ac:dyDescent="0.3">
      <c r="A7360" s="42"/>
      <c r="C7360" s="52"/>
      <c r="D7360"/>
      <c r="E7360"/>
      <c r="F7360"/>
      <c r="N7360" s="44"/>
    </row>
    <row r="7361" spans="1:14" x14ac:dyDescent="0.3">
      <c r="A7361" s="42"/>
      <c r="C7361" s="52"/>
      <c r="D7361"/>
      <c r="E7361"/>
      <c r="F7361"/>
      <c r="N7361" s="44"/>
    </row>
    <row r="7362" spans="1:14" x14ac:dyDescent="0.3">
      <c r="A7362" s="42"/>
      <c r="C7362" s="52"/>
      <c r="D7362"/>
      <c r="E7362"/>
      <c r="F7362"/>
      <c r="N7362" s="44"/>
    </row>
    <row r="7363" spans="1:14" x14ac:dyDescent="0.3">
      <c r="A7363" s="42"/>
      <c r="C7363" s="52"/>
      <c r="D7363"/>
      <c r="E7363"/>
      <c r="F7363"/>
      <c r="N7363" s="44"/>
    </row>
    <row r="7364" spans="1:14" x14ac:dyDescent="0.3">
      <c r="A7364" s="42"/>
      <c r="C7364" s="52"/>
      <c r="D7364"/>
      <c r="E7364"/>
      <c r="F7364"/>
      <c r="N7364" s="44"/>
    </row>
    <row r="7365" spans="1:14" x14ac:dyDescent="0.3">
      <c r="A7365" s="42"/>
      <c r="C7365" s="52"/>
      <c r="D7365"/>
      <c r="E7365"/>
      <c r="F7365"/>
      <c r="M7365" s="45"/>
      <c r="N7365" s="44"/>
    </row>
    <row r="7366" spans="1:14" x14ac:dyDescent="0.3">
      <c r="A7366" s="42"/>
      <c r="C7366" s="52"/>
      <c r="D7366"/>
      <c r="E7366"/>
      <c r="F7366"/>
      <c r="N7366" s="44"/>
    </row>
    <row r="7367" spans="1:14" x14ac:dyDescent="0.3">
      <c r="A7367" s="42"/>
      <c r="C7367" s="52"/>
      <c r="D7367"/>
      <c r="E7367"/>
      <c r="F7367"/>
      <c r="N7367" s="44"/>
    </row>
    <row r="7368" spans="1:14" x14ac:dyDescent="0.3">
      <c r="A7368" s="42"/>
      <c r="C7368" s="52"/>
      <c r="D7368"/>
      <c r="E7368"/>
      <c r="F7368"/>
      <c r="N7368" s="44"/>
    </row>
    <row r="7369" spans="1:14" x14ac:dyDescent="0.3">
      <c r="A7369" s="42"/>
      <c r="C7369" s="52"/>
      <c r="D7369"/>
      <c r="E7369"/>
      <c r="F7369"/>
      <c r="N7369" s="44"/>
    </row>
    <row r="7370" spans="1:14" x14ac:dyDescent="0.3">
      <c r="A7370" s="42"/>
      <c r="C7370" s="52"/>
      <c r="D7370"/>
      <c r="E7370"/>
      <c r="F7370"/>
      <c r="N7370" s="44"/>
    </row>
    <row r="7371" spans="1:14" x14ac:dyDescent="0.3">
      <c r="A7371" s="42"/>
      <c r="C7371" s="52"/>
      <c r="D7371"/>
      <c r="E7371"/>
      <c r="F7371"/>
      <c r="N7371" s="44"/>
    </row>
    <row r="7372" spans="1:14" x14ac:dyDescent="0.3">
      <c r="A7372" s="42"/>
      <c r="C7372" s="52"/>
      <c r="D7372"/>
      <c r="E7372"/>
      <c r="F7372"/>
      <c r="N7372" s="44"/>
    </row>
    <row r="7373" spans="1:14" x14ac:dyDescent="0.3">
      <c r="A7373" s="42"/>
      <c r="C7373" s="52"/>
      <c r="D7373"/>
      <c r="E7373"/>
      <c r="F7373"/>
      <c r="N7373" s="44"/>
    </row>
    <row r="7374" spans="1:14" x14ac:dyDescent="0.3">
      <c r="A7374" s="42"/>
      <c r="C7374" s="52"/>
      <c r="D7374"/>
      <c r="E7374"/>
      <c r="F7374"/>
      <c r="N7374" s="44"/>
    </row>
    <row r="7375" spans="1:14" x14ac:dyDescent="0.3">
      <c r="A7375" s="42"/>
      <c r="C7375" s="52"/>
      <c r="D7375"/>
      <c r="E7375"/>
      <c r="F7375"/>
      <c r="N7375" s="44"/>
    </row>
    <row r="7376" spans="1:14" x14ac:dyDescent="0.3">
      <c r="A7376" s="42"/>
      <c r="C7376" s="52"/>
      <c r="D7376"/>
      <c r="E7376"/>
      <c r="F7376"/>
      <c r="N7376" s="44"/>
    </row>
    <row r="7377" spans="1:14" x14ac:dyDescent="0.3">
      <c r="A7377" s="42"/>
      <c r="C7377" s="52"/>
      <c r="D7377"/>
      <c r="E7377"/>
      <c r="F7377"/>
      <c r="N7377" s="44"/>
    </row>
    <row r="7378" spans="1:14" x14ac:dyDescent="0.3">
      <c r="A7378" s="42"/>
      <c r="C7378" s="52"/>
      <c r="D7378"/>
      <c r="E7378"/>
      <c r="F7378"/>
      <c r="N7378" s="44"/>
    </row>
    <row r="7379" spans="1:14" x14ac:dyDescent="0.3">
      <c r="A7379" s="42"/>
      <c r="C7379" s="52"/>
      <c r="D7379"/>
      <c r="E7379"/>
      <c r="F7379"/>
      <c r="N7379" s="44"/>
    </row>
    <row r="7380" spans="1:14" x14ac:dyDescent="0.3">
      <c r="A7380" s="42"/>
      <c r="C7380" s="52"/>
      <c r="D7380"/>
      <c r="E7380"/>
      <c r="F7380"/>
      <c r="N7380" s="44"/>
    </row>
    <row r="7381" spans="1:14" x14ac:dyDescent="0.3">
      <c r="A7381" s="42"/>
      <c r="C7381" s="52"/>
      <c r="D7381"/>
      <c r="E7381"/>
      <c r="F7381"/>
      <c r="N7381" s="44"/>
    </row>
    <row r="7382" spans="1:14" x14ac:dyDescent="0.3">
      <c r="A7382" s="42"/>
      <c r="C7382" s="52"/>
      <c r="D7382"/>
      <c r="E7382"/>
      <c r="F7382"/>
      <c r="N7382" s="44"/>
    </row>
    <row r="7383" spans="1:14" x14ac:dyDescent="0.3">
      <c r="A7383" s="42"/>
      <c r="C7383" s="52"/>
      <c r="D7383"/>
      <c r="E7383"/>
      <c r="F7383"/>
      <c r="N7383" s="44"/>
    </row>
    <row r="7384" spans="1:14" x14ac:dyDescent="0.3">
      <c r="A7384" s="42"/>
      <c r="C7384" s="52"/>
      <c r="D7384"/>
      <c r="E7384"/>
      <c r="F7384"/>
      <c r="N7384" s="44"/>
    </row>
    <row r="7385" spans="1:14" x14ac:dyDescent="0.3">
      <c r="A7385" s="42"/>
      <c r="C7385" s="52"/>
      <c r="D7385"/>
      <c r="E7385"/>
      <c r="F7385"/>
      <c r="N7385" s="44"/>
    </row>
    <row r="7386" spans="1:14" x14ac:dyDescent="0.3">
      <c r="A7386" s="42"/>
      <c r="C7386" s="52"/>
      <c r="D7386"/>
      <c r="E7386"/>
      <c r="F7386"/>
      <c r="N7386" s="44"/>
    </row>
    <row r="7387" spans="1:14" x14ac:dyDescent="0.3">
      <c r="A7387" s="42"/>
      <c r="C7387" s="52"/>
      <c r="D7387"/>
      <c r="E7387"/>
      <c r="F7387"/>
      <c r="N7387" s="44"/>
    </row>
    <row r="7388" spans="1:14" x14ac:dyDescent="0.3">
      <c r="A7388" s="42"/>
      <c r="C7388" s="52"/>
      <c r="D7388"/>
      <c r="E7388"/>
      <c r="F7388"/>
      <c r="N7388" s="44"/>
    </row>
    <row r="7389" spans="1:14" x14ac:dyDescent="0.3">
      <c r="A7389" s="42"/>
      <c r="C7389" s="52"/>
      <c r="D7389"/>
      <c r="E7389"/>
      <c r="F7389"/>
      <c r="N7389" s="44"/>
    </row>
    <row r="7390" spans="1:14" x14ac:dyDescent="0.3">
      <c r="A7390" s="42"/>
      <c r="C7390" s="52"/>
      <c r="D7390"/>
      <c r="E7390"/>
      <c r="F7390"/>
      <c r="N7390" s="44"/>
    </row>
    <row r="7391" spans="1:14" x14ac:dyDescent="0.3">
      <c r="A7391" s="42"/>
      <c r="C7391" s="52"/>
      <c r="D7391"/>
      <c r="E7391"/>
      <c r="F7391"/>
      <c r="N7391" s="44"/>
    </row>
    <row r="7392" spans="1:14" x14ac:dyDescent="0.3">
      <c r="A7392" s="42"/>
      <c r="C7392" s="52"/>
      <c r="D7392"/>
      <c r="E7392"/>
      <c r="F7392"/>
      <c r="N7392" s="44"/>
    </row>
    <row r="7393" spans="1:14" x14ac:dyDescent="0.3">
      <c r="A7393" s="42"/>
      <c r="C7393" s="52"/>
      <c r="D7393"/>
      <c r="E7393"/>
      <c r="F7393"/>
      <c r="N7393" s="44"/>
    </row>
    <row r="7394" spans="1:14" x14ac:dyDescent="0.3">
      <c r="A7394" s="42"/>
      <c r="C7394" s="52"/>
      <c r="D7394"/>
      <c r="E7394"/>
      <c r="F7394"/>
      <c r="N7394" s="44"/>
    </row>
    <row r="7395" spans="1:14" x14ac:dyDescent="0.3">
      <c r="A7395" s="42"/>
      <c r="C7395" s="52"/>
      <c r="D7395"/>
      <c r="E7395"/>
      <c r="F7395"/>
      <c r="N7395" s="44"/>
    </row>
    <row r="7396" spans="1:14" x14ac:dyDescent="0.3">
      <c r="A7396" s="42"/>
      <c r="C7396" s="52"/>
      <c r="D7396"/>
      <c r="E7396"/>
      <c r="F7396"/>
      <c r="N7396" s="44"/>
    </row>
    <row r="7397" spans="1:14" x14ac:dyDescent="0.3">
      <c r="A7397" s="42"/>
      <c r="C7397" s="52"/>
      <c r="D7397"/>
      <c r="E7397"/>
      <c r="F7397"/>
      <c r="N7397" s="44"/>
    </row>
    <row r="7398" spans="1:14" x14ac:dyDescent="0.3">
      <c r="A7398" s="42"/>
      <c r="C7398" s="52"/>
      <c r="D7398"/>
      <c r="E7398"/>
      <c r="F7398"/>
      <c r="N7398" s="44"/>
    </row>
    <row r="7399" spans="1:14" x14ac:dyDescent="0.3">
      <c r="A7399" s="42"/>
      <c r="C7399" s="52"/>
      <c r="D7399"/>
      <c r="E7399"/>
      <c r="F7399"/>
      <c r="N7399" s="44"/>
    </row>
    <row r="7400" spans="1:14" x14ac:dyDescent="0.3">
      <c r="A7400" s="42"/>
      <c r="C7400" s="52"/>
      <c r="D7400"/>
      <c r="E7400"/>
      <c r="F7400"/>
      <c r="N7400" s="44"/>
    </row>
    <row r="7401" spans="1:14" x14ac:dyDescent="0.3">
      <c r="A7401" s="42"/>
      <c r="C7401" s="52"/>
      <c r="D7401"/>
      <c r="E7401"/>
      <c r="F7401"/>
      <c r="N7401" s="44"/>
    </row>
    <row r="7402" spans="1:14" x14ac:dyDescent="0.3">
      <c r="A7402" s="42"/>
      <c r="C7402" s="52"/>
      <c r="D7402"/>
      <c r="E7402"/>
      <c r="F7402"/>
      <c r="N7402" s="44"/>
    </row>
    <row r="7403" spans="1:14" x14ac:dyDescent="0.3">
      <c r="A7403" s="42"/>
      <c r="C7403" s="52"/>
      <c r="D7403"/>
      <c r="E7403"/>
      <c r="F7403"/>
      <c r="N7403" s="44"/>
    </row>
    <row r="7404" spans="1:14" x14ac:dyDescent="0.3">
      <c r="A7404" s="42"/>
      <c r="C7404" s="52"/>
      <c r="D7404"/>
      <c r="E7404"/>
      <c r="F7404"/>
      <c r="N7404" s="44"/>
    </row>
    <row r="7405" spans="1:14" x14ac:dyDescent="0.3">
      <c r="A7405" s="42"/>
      <c r="C7405" s="52"/>
      <c r="D7405"/>
      <c r="E7405"/>
      <c r="F7405"/>
      <c r="N7405" s="44"/>
    </row>
    <row r="7406" spans="1:14" x14ac:dyDescent="0.3">
      <c r="A7406" s="42"/>
      <c r="C7406" s="52"/>
      <c r="D7406"/>
      <c r="E7406"/>
      <c r="F7406"/>
      <c r="N7406" s="44"/>
    </row>
    <row r="7407" spans="1:14" x14ac:dyDescent="0.3">
      <c r="A7407" s="42"/>
      <c r="C7407" s="52"/>
      <c r="D7407"/>
      <c r="E7407"/>
      <c r="F7407"/>
      <c r="N7407" s="44"/>
    </row>
    <row r="7408" spans="1:14" x14ac:dyDescent="0.3">
      <c r="A7408" s="42"/>
      <c r="C7408" s="52"/>
      <c r="D7408"/>
      <c r="E7408"/>
      <c r="F7408"/>
      <c r="N7408" s="44"/>
    </row>
    <row r="7409" spans="1:14" x14ac:dyDescent="0.3">
      <c r="A7409" s="42"/>
      <c r="C7409" s="52"/>
      <c r="D7409"/>
      <c r="E7409"/>
      <c r="F7409"/>
      <c r="N7409" s="44"/>
    </row>
    <row r="7410" spans="1:14" x14ac:dyDescent="0.3">
      <c r="A7410" s="42"/>
      <c r="C7410" s="52"/>
      <c r="D7410"/>
      <c r="E7410"/>
      <c r="F7410"/>
      <c r="N7410" s="44"/>
    </row>
    <row r="7411" spans="1:14" x14ac:dyDescent="0.3">
      <c r="A7411" s="42"/>
      <c r="C7411" s="52"/>
      <c r="D7411"/>
      <c r="E7411"/>
      <c r="F7411"/>
      <c r="N7411" s="44"/>
    </row>
    <row r="7412" spans="1:14" x14ac:dyDescent="0.3">
      <c r="A7412" s="42"/>
      <c r="C7412" s="52"/>
      <c r="D7412"/>
      <c r="E7412"/>
      <c r="F7412"/>
      <c r="N7412" s="44"/>
    </row>
    <row r="7413" spans="1:14" x14ac:dyDescent="0.3">
      <c r="A7413" s="42"/>
      <c r="C7413" s="52"/>
      <c r="D7413"/>
      <c r="E7413"/>
      <c r="F7413"/>
      <c r="N7413" s="44"/>
    </row>
    <row r="7414" spans="1:14" x14ac:dyDescent="0.3">
      <c r="A7414" s="42"/>
      <c r="C7414" s="52"/>
      <c r="D7414"/>
      <c r="E7414"/>
      <c r="F7414"/>
      <c r="N7414" s="44"/>
    </row>
    <row r="7415" spans="1:14" x14ac:dyDescent="0.3">
      <c r="A7415" s="42"/>
      <c r="C7415" s="52"/>
      <c r="D7415"/>
      <c r="E7415"/>
      <c r="F7415"/>
      <c r="N7415" s="44"/>
    </row>
    <row r="7416" spans="1:14" x14ac:dyDescent="0.3">
      <c r="A7416" s="42"/>
      <c r="C7416" s="52"/>
      <c r="D7416"/>
      <c r="E7416"/>
      <c r="F7416"/>
      <c r="N7416" s="44"/>
    </row>
    <row r="7417" spans="1:14" x14ac:dyDescent="0.3">
      <c r="A7417" s="42"/>
      <c r="C7417" s="52"/>
      <c r="D7417"/>
      <c r="E7417"/>
      <c r="F7417"/>
      <c r="N7417" s="44"/>
    </row>
    <row r="7418" spans="1:14" x14ac:dyDescent="0.3">
      <c r="A7418" s="42"/>
      <c r="C7418" s="52"/>
      <c r="D7418"/>
      <c r="E7418"/>
      <c r="F7418"/>
      <c r="N7418" s="44"/>
    </row>
    <row r="7419" spans="1:14" x14ac:dyDescent="0.3">
      <c r="A7419" s="42"/>
      <c r="C7419" s="52"/>
      <c r="D7419"/>
      <c r="E7419"/>
      <c r="F7419"/>
      <c r="N7419" s="44"/>
    </row>
    <row r="7420" spans="1:14" x14ac:dyDescent="0.3">
      <c r="A7420" s="42"/>
      <c r="C7420" s="52"/>
      <c r="D7420"/>
      <c r="E7420"/>
      <c r="F7420"/>
      <c r="N7420" s="44"/>
    </row>
    <row r="7421" spans="1:14" x14ac:dyDescent="0.3">
      <c r="A7421" s="42"/>
      <c r="C7421" s="52"/>
      <c r="D7421"/>
      <c r="E7421"/>
      <c r="F7421"/>
      <c r="N7421" s="44"/>
    </row>
    <row r="7422" spans="1:14" x14ac:dyDescent="0.3">
      <c r="A7422" s="42"/>
      <c r="C7422" s="52"/>
      <c r="D7422"/>
      <c r="E7422"/>
      <c r="F7422"/>
      <c r="N7422" s="44"/>
    </row>
    <row r="7423" spans="1:14" x14ac:dyDescent="0.3">
      <c r="A7423" s="42"/>
      <c r="C7423" s="52"/>
      <c r="D7423"/>
      <c r="E7423"/>
      <c r="F7423"/>
      <c r="N7423" s="44"/>
    </row>
    <row r="7424" spans="1:14" x14ac:dyDescent="0.3">
      <c r="A7424" s="42"/>
      <c r="C7424" s="52"/>
      <c r="D7424"/>
      <c r="E7424"/>
      <c r="F7424"/>
      <c r="N7424" s="44"/>
    </row>
    <row r="7425" spans="1:14" x14ac:dyDescent="0.3">
      <c r="A7425" s="42"/>
      <c r="C7425" s="52"/>
      <c r="D7425"/>
      <c r="E7425"/>
      <c r="F7425"/>
      <c r="N7425" s="44"/>
    </row>
    <row r="7426" spans="1:14" x14ac:dyDescent="0.3">
      <c r="A7426" s="42"/>
      <c r="C7426" s="52"/>
      <c r="D7426"/>
      <c r="E7426"/>
      <c r="F7426"/>
      <c r="N7426" s="44"/>
    </row>
    <row r="7427" spans="1:14" x14ac:dyDescent="0.3">
      <c r="A7427" s="42"/>
      <c r="C7427" s="52"/>
      <c r="D7427"/>
      <c r="E7427"/>
      <c r="F7427"/>
      <c r="N7427" s="44"/>
    </row>
    <row r="7428" spans="1:14" x14ac:dyDescent="0.3">
      <c r="A7428" s="42"/>
      <c r="C7428" s="52"/>
      <c r="D7428"/>
      <c r="E7428"/>
      <c r="F7428"/>
      <c r="N7428" s="44"/>
    </row>
    <row r="7429" spans="1:14" x14ac:dyDescent="0.3">
      <c r="A7429" s="42"/>
      <c r="C7429" s="52"/>
      <c r="D7429"/>
      <c r="E7429"/>
      <c r="F7429"/>
      <c r="N7429" s="44"/>
    </row>
    <row r="7430" spans="1:14" x14ac:dyDescent="0.3">
      <c r="A7430" s="42"/>
      <c r="C7430" s="52"/>
      <c r="D7430"/>
      <c r="E7430"/>
      <c r="F7430"/>
      <c r="N7430" s="44"/>
    </row>
    <row r="7431" spans="1:14" x14ac:dyDescent="0.3">
      <c r="A7431" s="42"/>
      <c r="C7431" s="52"/>
      <c r="D7431"/>
      <c r="E7431"/>
      <c r="F7431"/>
      <c r="N7431" s="44"/>
    </row>
    <row r="7432" spans="1:14" x14ac:dyDescent="0.3">
      <c r="A7432" s="42"/>
      <c r="C7432" s="52"/>
      <c r="D7432"/>
      <c r="E7432"/>
      <c r="F7432"/>
      <c r="N7432" s="44"/>
    </row>
    <row r="7433" spans="1:14" x14ac:dyDescent="0.3">
      <c r="A7433" s="42"/>
      <c r="C7433" s="52"/>
      <c r="D7433"/>
      <c r="E7433"/>
      <c r="F7433"/>
      <c r="N7433" s="44"/>
    </row>
    <row r="7434" spans="1:14" x14ac:dyDescent="0.3">
      <c r="A7434" s="42"/>
      <c r="C7434" s="52"/>
      <c r="D7434"/>
      <c r="E7434"/>
      <c r="F7434"/>
      <c r="N7434" s="44"/>
    </row>
    <row r="7435" spans="1:14" x14ac:dyDescent="0.3">
      <c r="A7435" s="42"/>
      <c r="C7435" s="52"/>
      <c r="D7435"/>
      <c r="E7435"/>
      <c r="F7435"/>
      <c r="N7435" s="44"/>
    </row>
    <row r="7436" spans="1:14" x14ac:dyDescent="0.3">
      <c r="A7436" s="42"/>
      <c r="C7436" s="52"/>
      <c r="D7436"/>
      <c r="E7436"/>
      <c r="F7436"/>
      <c r="N7436" s="44"/>
    </row>
    <row r="7437" spans="1:14" x14ac:dyDescent="0.3">
      <c r="A7437" s="42"/>
      <c r="C7437" s="52"/>
      <c r="D7437"/>
      <c r="E7437"/>
      <c r="F7437"/>
      <c r="N7437" s="44"/>
    </row>
    <row r="7438" spans="1:14" x14ac:dyDescent="0.3">
      <c r="A7438" s="42"/>
      <c r="C7438" s="52"/>
      <c r="D7438"/>
      <c r="E7438"/>
      <c r="F7438"/>
      <c r="N7438" s="44"/>
    </row>
    <row r="7439" spans="1:14" x14ac:dyDescent="0.3">
      <c r="A7439" s="42"/>
      <c r="C7439" s="52"/>
      <c r="D7439"/>
      <c r="E7439"/>
      <c r="F7439"/>
      <c r="N7439" s="44"/>
    </row>
    <row r="7440" spans="1:14" x14ac:dyDescent="0.3">
      <c r="A7440" s="42"/>
      <c r="C7440" s="52"/>
      <c r="D7440"/>
      <c r="E7440"/>
      <c r="F7440"/>
      <c r="N7440" s="44"/>
    </row>
    <row r="7441" spans="1:14" x14ac:dyDescent="0.3">
      <c r="A7441" s="42"/>
      <c r="C7441" s="52"/>
      <c r="D7441"/>
      <c r="E7441"/>
      <c r="F7441"/>
      <c r="N7441" s="44"/>
    </row>
    <row r="7442" spans="1:14" x14ac:dyDescent="0.3">
      <c r="A7442" s="42"/>
      <c r="C7442" s="52"/>
      <c r="D7442"/>
      <c r="E7442"/>
      <c r="F7442"/>
      <c r="N7442" s="44"/>
    </row>
    <row r="7443" spans="1:14" x14ac:dyDescent="0.3">
      <c r="A7443" s="42"/>
      <c r="C7443" s="52"/>
      <c r="D7443"/>
      <c r="E7443"/>
      <c r="F7443"/>
      <c r="N7443" s="44"/>
    </row>
    <row r="7444" spans="1:14" x14ac:dyDescent="0.3">
      <c r="A7444" s="42"/>
      <c r="C7444" s="52"/>
      <c r="D7444"/>
      <c r="E7444"/>
      <c r="F7444"/>
      <c r="N7444" s="44"/>
    </row>
    <row r="7445" spans="1:14" x14ac:dyDescent="0.3">
      <c r="A7445" s="42"/>
      <c r="C7445" s="52"/>
      <c r="D7445"/>
      <c r="E7445"/>
      <c r="F7445"/>
      <c r="N7445" s="44"/>
    </row>
    <row r="7446" spans="1:14" x14ac:dyDescent="0.3">
      <c r="A7446" s="42"/>
      <c r="C7446" s="52"/>
      <c r="D7446"/>
      <c r="E7446"/>
      <c r="F7446"/>
      <c r="N7446" s="44"/>
    </row>
    <row r="7447" spans="1:14" x14ac:dyDescent="0.3">
      <c r="A7447" s="42"/>
      <c r="C7447" s="52"/>
      <c r="D7447"/>
      <c r="E7447"/>
      <c r="F7447"/>
      <c r="N7447" s="44"/>
    </row>
    <row r="7448" spans="1:14" x14ac:dyDescent="0.3">
      <c r="A7448" s="42"/>
      <c r="C7448" s="52"/>
      <c r="D7448"/>
      <c r="E7448"/>
      <c r="F7448"/>
      <c r="N7448" s="44"/>
    </row>
    <row r="7449" spans="1:14" x14ac:dyDescent="0.3">
      <c r="A7449" s="42"/>
      <c r="C7449" s="52"/>
      <c r="D7449"/>
      <c r="E7449"/>
      <c r="F7449"/>
      <c r="N7449" s="44"/>
    </row>
    <row r="7450" spans="1:14" x14ac:dyDescent="0.3">
      <c r="A7450" s="42"/>
      <c r="C7450" s="52"/>
      <c r="D7450"/>
      <c r="E7450"/>
      <c r="F7450"/>
      <c r="N7450" s="44"/>
    </row>
    <row r="7451" spans="1:14" x14ac:dyDescent="0.3">
      <c r="A7451" s="42"/>
      <c r="C7451" s="52"/>
      <c r="D7451"/>
      <c r="E7451"/>
      <c r="F7451"/>
      <c r="N7451" s="44"/>
    </row>
    <row r="7452" spans="1:14" x14ac:dyDescent="0.3">
      <c r="A7452" s="42"/>
      <c r="C7452" s="52"/>
      <c r="D7452"/>
      <c r="E7452"/>
      <c r="F7452"/>
      <c r="N7452" s="44"/>
    </row>
    <row r="7453" spans="1:14" x14ac:dyDescent="0.3">
      <c r="A7453" s="42"/>
      <c r="C7453" s="52"/>
      <c r="D7453"/>
      <c r="E7453"/>
      <c r="F7453"/>
      <c r="N7453" s="44"/>
    </row>
    <row r="7454" spans="1:14" x14ac:dyDescent="0.3">
      <c r="A7454" s="42"/>
      <c r="C7454" s="52"/>
      <c r="D7454"/>
      <c r="E7454"/>
      <c r="F7454"/>
      <c r="N7454" s="44"/>
    </row>
    <row r="7455" spans="1:14" x14ac:dyDescent="0.3">
      <c r="A7455" s="42"/>
      <c r="C7455" s="52"/>
      <c r="D7455"/>
      <c r="E7455"/>
      <c r="F7455"/>
      <c r="N7455" s="44"/>
    </row>
    <row r="7456" spans="1:14" x14ac:dyDescent="0.3">
      <c r="A7456" s="42"/>
      <c r="C7456" s="52"/>
      <c r="D7456"/>
      <c r="E7456"/>
      <c r="F7456"/>
      <c r="N7456" s="44"/>
    </row>
    <row r="7457" spans="1:14" x14ac:dyDescent="0.3">
      <c r="A7457" s="42"/>
      <c r="C7457" s="52"/>
      <c r="D7457"/>
      <c r="E7457"/>
      <c r="F7457"/>
      <c r="N7457" s="44"/>
    </row>
    <row r="7458" spans="1:14" x14ac:dyDescent="0.3">
      <c r="A7458" s="42"/>
      <c r="C7458" s="52"/>
      <c r="D7458"/>
      <c r="E7458"/>
      <c r="F7458"/>
      <c r="N7458" s="44"/>
    </row>
    <row r="7459" spans="1:14" x14ac:dyDescent="0.3">
      <c r="A7459" s="42"/>
      <c r="C7459" s="52"/>
      <c r="D7459"/>
      <c r="E7459"/>
      <c r="F7459"/>
      <c r="N7459" s="44"/>
    </row>
    <row r="7460" spans="1:14" x14ac:dyDescent="0.3">
      <c r="A7460" s="42"/>
      <c r="C7460" s="52"/>
      <c r="D7460"/>
      <c r="E7460"/>
      <c r="F7460"/>
      <c r="N7460" s="44"/>
    </row>
    <row r="7461" spans="1:14" x14ac:dyDescent="0.3">
      <c r="A7461" s="42"/>
      <c r="C7461" s="52"/>
      <c r="D7461"/>
      <c r="E7461"/>
      <c r="F7461"/>
      <c r="N7461" s="44"/>
    </row>
    <row r="7462" spans="1:14" x14ac:dyDescent="0.3">
      <c r="A7462" s="42"/>
      <c r="C7462" s="52"/>
      <c r="D7462"/>
      <c r="E7462"/>
      <c r="F7462"/>
      <c r="N7462" s="44"/>
    </row>
    <row r="7463" spans="1:14" x14ac:dyDescent="0.3">
      <c r="A7463" s="42"/>
      <c r="C7463" s="52"/>
      <c r="D7463"/>
      <c r="E7463"/>
      <c r="F7463"/>
      <c r="N7463" s="44"/>
    </row>
    <row r="7464" spans="1:14" x14ac:dyDescent="0.3">
      <c r="A7464" s="42"/>
      <c r="C7464" s="52"/>
      <c r="D7464"/>
      <c r="E7464"/>
      <c r="F7464"/>
      <c r="N7464" s="44"/>
    </row>
    <row r="7465" spans="1:14" x14ac:dyDescent="0.3">
      <c r="A7465" s="42"/>
      <c r="C7465" s="52"/>
      <c r="D7465"/>
      <c r="E7465"/>
      <c r="F7465"/>
      <c r="N7465" s="44"/>
    </row>
    <row r="7466" spans="1:14" x14ac:dyDescent="0.3">
      <c r="A7466" s="42"/>
      <c r="C7466" s="52"/>
      <c r="D7466"/>
      <c r="E7466"/>
      <c r="F7466"/>
      <c r="N7466" s="44"/>
    </row>
    <row r="7467" spans="1:14" x14ac:dyDescent="0.3">
      <c r="A7467" s="42"/>
      <c r="C7467" s="52"/>
      <c r="D7467"/>
      <c r="E7467"/>
      <c r="F7467"/>
      <c r="N7467" s="44"/>
    </row>
    <row r="7468" spans="1:14" x14ac:dyDescent="0.3">
      <c r="A7468" s="42"/>
      <c r="C7468" s="52"/>
      <c r="D7468"/>
      <c r="E7468"/>
      <c r="F7468"/>
      <c r="N7468" s="44"/>
    </row>
    <row r="7469" spans="1:14" x14ac:dyDescent="0.3">
      <c r="A7469" s="42"/>
      <c r="C7469" s="52"/>
      <c r="D7469"/>
      <c r="E7469"/>
      <c r="F7469"/>
      <c r="N7469" s="44"/>
    </row>
    <row r="7470" spans="1:14" x14ac:dyDescent="0.3">
      <c r="A7470" s="42"/>
      <c r="C7470" s="52"/>
      <c r="D7470"/>
      <c r="E7470"/>
      <c r="F7470"/>
      <c r="N7470" s="44"/>
    </row>
    <row r="7471" spans="1:14" x14ac:dyDescent="0.3">
      <c r="A7471" s="42"/>
      <c r="C7471" s="52"/>
      <c r="D7471"/>
      <c r="E7471"/>
      <c r="F7471"/>
      <c r="N7471" s="44"/>
    </row>
    <row r="7472" spans="1:14" x14ac:dyDescent="0.3">
      <c r="A7472" s="42"/>
      <c r="C7472" s="52"/>
      <c r="D7472"/>
      <c r="E7472"/>
      <c r="F7472"/>
      <c r="N7472" s="44"/>
    </row>
    <row r="7473" spans="1:14" x14ac:dyDescent="0.3">
      <c r="A7473" s="42"/>
      <c r="C7473" s="52"/>
      <c r="D7473"/>
      <c r="E7473"/>
      <c r="F7473"/>
      <c r="N7473" s="44"/>
    </row>
    <row r="7474" spans="1:14" x14ac:dyDescent="0.3">
      <c r="A7474" s="42"/>
      <c r="C7474" s="52"/>
      <c r="D7474"/>
      <c r="E7474"/>
      <c r="F7474"/>
      <c r="N7474" s="44"/>
    </row>
    <row r="7475" spans="1:14" x14ac:dyDescent="0.3">
      <c r="A7475" s="42"/>
      <c r="C7475" s="52"/>
      <c r="D7475"/>
      <c r="E7475"/>
      <c r="F7475"/>
      <c r="N7475" s="44"/>
    </row>
    <row r="7476" spans="1:14" x14ac:dyDescent="0.3">
      <c r="A7476" s="42"/>
      <c r="C7476" s="52"/>
      <c r="D7476"/>
      <c r="E7476"/>
      <c r="F7476"/>
      <c r="N7476" s="44"/>
    </row>
    <row r="7477" spans="1:14" x14ac:dyDescent="0.3">
      <c r="A7477" s="42"/>
      <c r="C7477" s="52"/>
      <c r="D7477"/>
      <c r="E7477"/>
      <c r="F7477"/>
      <c r="N7477" s="44"/>
    </row>
    <row r="7478" spans="1:14" x14ac:dyDescent="0.3">
      <c r="A7478" s="42"/>
      <c r="C7478" s="52"/>
      <c r="D7478"/>
      <c r="E7478"/>
      <c r="F7478"/>
      <c r="N7478" s="44"/>
    </row>
    <row r="7479" spans="1:14" x14ac:dyDescent="0.3">
      <c r="A7479" s="42"/>
      <c r="C7479" s="52"/>
      <c r="D7479"/>
      <c r="E7479"/>
      <c r="F7479"/>
      <c r="N7479" s="44"/>
    </row>
    <row r="7480" spans="1:14" x14ac:dyDescent="0.3">
      <c r="A7480" s="42"/>
      <c r="C7480" s="52"/>
      <c r="D7480"/>
      <c r="E7480"/>
      <c r="F7480"/>
      <c r="N7480" s="44"/>
    </row>
    <row r="7481" spans="1:14" x14ac:dyDescent="0.3">
      <c r="A7481" s="42"/>
      <c r="C7481" s="52"/>
      <c r="D7481"/>
      <c r="E7481"/>
      <c r="F7481"/>
      <c r="N7481" s="44"/>
    </row>
    <row r="7482" spans="1:14" x14ac:dyDescent="0.3">
      <c r="A7482" s="42"/>
      <c r="C7482" s="52"/>
      <c r="D7482"/>
      <c r="E7482"/>
      <c r="F7482"/>
      <c r="N7482" s="44"/>
    </row>
    <row r="7483" spans="1:14" x14ac:dyDescent="0.3">
      <c r="A7483" s="42"/>
      <c r="C7483" s="52"/>
      <c r="D7483"/>
      <c r="E7483"/>
      <c r="F7483"/>
      <c r="N7483" s="44"/>
    </row>
    <row r="7484" spans="1:14" x14ac:dyDescent="0.3">
      <c r="A7484" s="42"/>
      <c r="C7484" s="52"/>
      <c r="D7484"/>
      <c r="E7484"/>
      <c r="F7484"/>
      <c r="N7484" s="44"/>
    </row>
    <row r="7485" spans="1:14" x14ac:dyDescent="0.3">
      <c r="A7485" s="42"/>
      <c r="C7485" s="52"/>
      <c r="D7485"/>
      <c r="E7485"/>
      <c r="F7485"/>
      <c r="N7485" s="44"/>
    </row>
    <row r="7486" spans="1:14" x14ac:dyDescent="0.3">
      <c r="A7486" s="42"/>
      <c r="C7486" s="52"/>
      <c r="D7486"/>
      <c r="E7486"/>
      <c r="F7486"/>
      <c r="N7486" s="44"/>
    </row>
    <row r="7487" spans="1:14" x14ac:dyDescent="0.3">
      <c r="A7487" s="42"/>
      <c r="C7487" s="52"/>
      <c r="D7487"/>
      <c r="E7487"/>
      <c r="F7487"/>
      <c r="N7487" s="44"/>
    </row>
    <row r="7488" spans="1:14" x14ac:dyDescent="0.3">
      <c r="A7488" s="42"/>
      <c r="C7488" s="52"/>
      <c r="D7488"/>
      <c r="E7488"/>
      <c r="F7488"/>
      <c r="N7488" s="44"/>
    </row>
    <row r="7489" spans="1:14" x14ac:dyDescent="0.3">
      <c r="A7489" s="42"/>
      <c r="C7489" s="52"/>
      <c r="D7489"/>
      <c r="E7489"/>
      <c r="F7489"/>
      <c r="N7489" s="44"/>
    </row>
    <row r="7490" spans="1:14" x14ac:dyDescent="0.3">
      <c r="A7490" s="42"/>
      <c r="C7490" s="52"/>
      <c r="D7490"/>
      <c r="E7490"/>
      <c r="F7490"/>
      <c r="N7490" s="44"/>
    </row>
    <row r="7491" spans="1:14" x14ac:dyDescent="0.3">
      <c r="A7491" s="42"/>
      <c r="C7491" s="52"/>
      <c r="D7491"/>
      <c r="E7491"/>
      <c r="F7491"/>
      <c r="N7491" s="44"/>
    </row>
    <row r="7492" spans="1:14" x14ac:dyDescent="0.3">
      <c r="A7492" s="42"/>
      <c r="C7492" s="52"/>
      <c r="D7492"/>
      <c r="E7492"/>
      <c r="F7492"/>
      <c r="N7492" s="44"/>
    </row>
    <row r="7493" spans="1:14" x14ac:dyDescent="0.3">
      <c r="A7493" s="42"/>
      <c r="C7493" s="52"/>
      <c r="D7493"/>
      <c r="E7493"/>
      <c r="F7493"/>
      <c r="N7493" s="44"/>
    </row>
    <row r="7494" spans="1:14" x14ac:dyDescent="0.3">
      <c r="A7494" s="42"/>
      <c r="C7494" s="52"/>
      <c r="D7494"/>
      <c r="E7494"/>
      <c r="F7494"/>
      <c r="N7494" s="44"/>
    </row>
    <row r="7495" spans="1:14" x14ac:dyDescent="0.3">
      <c r="A7495" s="42"/>
      <c r="C7495" s="52"/>
      <c r="D7495"/>
      <c r="E7495"/>
      <c r="F7495"/>
      <c r="N7495" s="44"/>
    </row>
    <row r="7496" spans="1:14" x14ac:dyDescent="0.3">
      <c r="A7496" s="42"/>
      <c r="C7496" s="52"/>
      <c r="D7496"/>
      <c r="E7496"/>
      <c r="F7496"/>
      <c r="N7496" s="44"/>
    </row>
    <row r="7497" spans="1:14" x14ac:dyDescent="0.3">
      <c r="A7497" s="42"/>
      <c r="C7497" s="52"/>
      <c r="D7497"/>
      <c r="E7497"/>
      <c r="F7497"/>
      <c r="N7497" s="44"/>
    </row>
    <row r="7498" spans="1:14" x14ac:dyDescent="0.3">
      <c r="A7498" s="42"/>
      <c r="C7498" s="52"/>
      <c r="D7498"/>
      <c r="E7498"/>
      <c r="F7498"/>
      <c r="N7498" s="44"/>
    </row>
    <row r="7499" spans="1:14" x14ac:dyDescent="0.3">
      <c r="A7499" s="42"/>
      <c r="C7499" s="52"/>
      <c r="D7499"/>
      <c r="E7499"/>
      <c r="F7499"/>
      <c r="M7499" s="45"/>
      <c r="N7499" s="44"/>
    </row>
    <row r="7500" spans="1:14" x14ac:dyDescent="0.3">
      <c r="A7500" s="42"/>
      <c r="C7500" s="52"/>
      <c r="D7500"/>
      <c r="E7500"/>
      <c r="F7500"/>
      <c r="N7500" s="44"/>
    </row>
    <row r="7501" spans="1:14" x14ac:dyDescent="0.3">
      <c r="A7501" s="42"/>
      <c r="C7501" s="52"/>
      <c r="D7501"/>
      <c r="E7501"/>
      <c r="F7501"/>
      <c r="N7501" s="44"/>
    </row>
    <row r="7502" spans="1:14" x14ac:dyDescent="0.3">
      <c r="A7502" s="42"/>
      <c r="C7502" s="52"/>
      <c r="D7502"/>
      <c r="E7502"/>
      <c r="F7502"/>
      <c r="N7502" s="44"/>
    </row>
    <row r="7503" spans="1:14" x14ac:dyDescent="0.3">
      <c r="A7503" s="42"/>
      <c r="C7503" s="52"/>
      <c r="D7503"/>
      <c r="E7503"/>
      <c r="F7503"/>
      <c r="N7503" s="44"/>
    </row>
    <row r="7504" spans="1:14" x14ac:dyDescent="0.3">
      <c r="A7504" s="42"/>
      <c r="C7504" s="52"/>
      <c r="D7504"/>
      <c r="E7504"/>
      <c r="F7504"/>
      <c r="N7504" s="44"/>
    </row>
    <row r="7505" spans="1:14" x14ac:dyDescent="0.3">
      <c r="A7505" s="42"/>
      <c r="C7505" s="52"/>
      <c r="D7505"/>
      <c r="E7505"/>
      <c r="F7505"/>
      <c r="N7505" s="44"/>
    </row>
    <row r="7506" spans="1:14" x14ac:dyDescent="0.3">
      <c r="A7506" s="42"/>
      <c r="C7506" s="52"/>
      <c r="D7506"/>
      <c r="E7506"/>
      <c r="F7506"/>
      <c r="N7506" s="44"/>
    </row>
    <row r="7507" spans="1:14" x14ac:dyDescent="0.3">
      <c r="A7507" s="42"/>
      <c r="C7507" s="52"/>
      <c r="D7507"/>
      <c r="E7507"/>
      <c r="F7507"/>
      <c r="N7507" s="44"/>
    </row>
    <row r="7508" spans="1:14" x14ac:dyDescent="0.3">
      <c r="A7508" s="42"/>
      <c r="C7508" s="52"/>
      <c r="D7508"/>
      <c r="E7508"/>
      <c r="F7508"/>
      <c r="N7508" s="44"/>
    </row>
    <row r="7509" spans="1:14" x14ac:dyDescent="0.3">
      <c r="A7509" s="42"/>
      <c r="C7509" s="52"/>
      <c r="D7509"/>
      <c r="E7509"/>
      <c r="F7509"/>
      <c r="N7509" s="44"/>
    </row>
    <row r="7510" spans="1:14" x14ac:dyDescent="0.3">
      <c r="A7510" s="42"/>
      <c r="C7510" s="52"/>
      <c r="D7510"/>
      <c r="E7510"/>
      <c r="F7510"/>
      <c r="N7510" s="44"/>
    </row>
    <row r="7511" spans="1:14" x14ac:dyDescent="0.3">
      <c r="A7511" s="42"/>
      <c r="C7511" s="52"/>
      <c r="D7511"/>
      <c r="E7511"/>
      <c r="F7511"/>
      <c r="N7511" s="44"/>
    </row>
    <row r="7512" spans="1:14" x14ac:dyDescent="0.3">
      <c r="A7512" s="42"/>
      <c r="C7512" s="52"/>
      <c r="D7512"/>
      <c r="E7512"/>
      <c r="F7512"/>
      <c r="N7512" s="44"/>
    </row>
    <row r="7513" spans="1:14" x14ac:dyDescent="0.3">
      <c r="A7513" s="42"/>
      <c r="C7513" s="52"/>
      <c r="D7513"/>
      <c r="E7513"/>
      <c r="F7513"/>
      <c r="N7513" s="44"/>
    </row>
    <row r="7514" spans="1:14" x14ac:dyDescent="0.3">
      <c r="A7514" s="42"/>
      <c r="C7514" s="52"/>
      <c r="D7514"/>
      <c r="E7514"/>
      <c r="F7514"/>
      <c r="N7514" s="44"/>
    </row>
    <row r="7515" spans="1:14" x14ac:dyDescent="0.3">
      <c r="A7515" s="42"/>
      <c r="C7515" s="52"/>
      <c r="D7515"/>
      <c r="E7515"/>
      <c r="F7515"/>
      <c r="N7515" s="44"/>
    </row>
    <row r="7516" spans="1:14" x14ac:dyDescent="0.3">
      <c r="A7516" s="42"/>
      <c r="C7516" s="52"/>
      <c r="D7516"/>
      <c r="E7516"/>
      <c r="F7516"/>
      <c r="N7516" s="44"/>
    </row>
    <row r="7517" spans="1:14" x14ac:dyDescent="0.3">
      <c r="A7517" s="42"/>
      <c r="C7517" s="52"/>
      <c r="D7517"/>
      <c r="E7517"/>
      <c r="F7517"/>
      <c r="N7517" s="44"/>
    </row>
    <row r="7518" spans="1:14" x14ac:dyDescent="0.3">
      <c r="A7518" s="42"/>
      <c r="C7518" s="52"/>
      <c r="D7518"/>
      <c r="E7518"/>
      <c r="F7518"/>
      <c r="N7518" s="44"/>
    </row>
    <row r="7519" spans="1:14" x14ac:dyDescent="0.3">
      <c r="A7519" s="42"/>
      <c r="C7519" s="52"/>
      <c r="D7519"/>
      <c r="E7519"/>
      <c r="F7519"/>
      <c r="N7519" s="44"/>
    </row>
    <row r="7520" spans="1:14" x14ac:dyDescent="0.3">
      <c r="A7520" s="42"/>
      <c r="C7520" s="52"/>
      <c r="D7520"/>
      <c r="E7520"/>
      <c r="F7520"/>
      <c r="N7520" s="44"/>
    </row>
    <row r="7521" spans="1:14" x14ac:dyDescent="0.3">
      <c r="A7521" s="42"/>
      <c r="C7521" s="52"/>
      <c r="D7521"/>
      <c r="E7521"/>
      <c r="F7521"/>
      <c r="N7521" s="44"/>
    </row>
    <row r="7522" spans="1:14" x14ac:dyDescent="0.3">
      <c r="A7522" s="42"/>
      <c r="C7522" s="52"/>
      <c r="D7522"/>
      <c r="E7522"/>
      <c r="F7522"/>
      <c r="N7522" s="44"/>
    </row>
    <row r="7523" spans="1:14" x14ac:dyDescent="0.3">
      <c r="A7523" s="42"/>
      <c r="C7523" s="52"/>
      <c r="D7523"/>
      <c r="E7523"/>
      <c r="F7523"/>
      <c r="N7523" s="44"/>
    </row>
    <row r="7524" spans="1:14" x14ac:dyDescent="0.3">
      <c r="A7524" s="42"/>
      <c r="C7524" s="52"/>
      <c r="D7524"/>
      <c r="E7524"/>
      <c r="F7524"/>
      <c r="N7524" s="44"/>
    </row>
    <row r="7525" spans="1:14" x14ac:dyDescent="0.3">
      <c r="A7525" s="42"/>
      <c r="C7525" s="52"/>
      <c r="D7525"/>
      <c r="E7525"/>
      <c r="F7525"/>
      <c r="N7525" s="44"/>
    </row>
    <row r="7526" spans="1:14" x14ac:dyDescent="0.3">
      <c r="A7526" s="42"/>
      <c r="C7526" s="52"/>
      <c r="D7526"/>
      <c r="E7526"/>
      <c r="F7526"/>
      <c r="N7526" s="44"/>
    </row>
    <row r="7527" spans="1:14" x14ac:dyDescent="0.3">
      <c r="A7527" s="42"/>
      <c r="C7527" s="52"/>
      <c r="D7527"/>
      <c r="E7527"/>
      <c r="F7527"/>
      <c r="N7527" s="44"/>
    </row>
    <row r="7528" spans="1:14" x14ac:dyDescent="0.3">
      <c r="A7528" s="42"/>
      <c r="C7528" s="52"/>
      <c r="D7528"/>
      <c r="E7528"/>
      <c r="F7528"/>
      <c r="N7528" s="44"/>
    </row>
    <row r="7529" spans="1:14" x14ac:dyDescent="0.3">
      <c r="A7529" s="42"/>
      <c r="C7529" s="52"/>
      <c r="D7529"/>
      <c r="E7529"/>
      <c r="F7529"/>
      <c r="N7529" s="44"/>
    </row>
    <row r="7530" spans="1:14" x14ac:dyDescent="0.3">
      <c r="A7530" s="42"/>
      <c r="C7530" s="52"/>
      <c r="D7530"/>
      <c r="E7530"/>
      <c r="F7530"/>
      <c r="N7530" s="44"/>
    </row>
    <row r="7531" spans="1:14" x14ac:dyDescent="0.3">
      <c r="A7531" s="42"/>
      <c r="C7531" s="52"/>
      <c r="D7531"/>
      <c r="E7531"/>
      <c r="F7531"/>
      <c r="N7531" s="44"/>
    </row>
    <row r="7532" spans="1:14" x14ac:dyDescent="0.3">
      <c r="A7532" s="42"/>
      <c r="C7532" s="52"/>
      <c r="D7532"/>
      <c r="E7532"/>
      <c r="F7532"/>
      <c r="N7532" s="44"/>
    </row>
    <row r="7533" spans="1:14" x14ac:dyDescent="0.3">
      <c r="A7533" s="42"/>
      <c r="C7533" s="52"/>
      <c r="D7533"/>
      <c r="E7533"/>
      <c r="F7533"/>
      <c r="N7533" s="44"/>
    </row>
    <row r="7534" spans="1:14" x14ac:dyDescent="0.3">
      <c r="A7534" s="42"/>
      <c r="C7534" s="52"/>
      <c r="D7534"/>
      <c r="E7534"/>
      <c r="F7534"/>
      <c r="N7534" s="44"/>
    </row>
    <row r="7535" spans="1:14" x14ac:dyDescent="0.3">
      <c r="A7535" s="42"/>
      <c r="C7535" s="52"/>
      <c r="D7535"/>
      <c r="E7535"/>
      <c r="F7535"/>
      <c r="N7535" s="44"/>
    </row>
    <row r="7536" spans="1:14" x14ac:dyDescent="0.3">
      <c r="A7536" s="42"/>
      <c r="C7536" s="52"/>
      <c r="D7536"/>
      <c r="E7536"/>
      <c r="F7536"/>
      <c r="N7536" s="44"/>
    </row>
    <row r="7537" spans="1:14" x14ac:dyDescent="0.3">
      <c r="A7537" s="42"/>
      <c r="C7537" s="52"/>
      <c r="D7537"/>
      <c r="E7537"/>
      <c r="F7537"/>
      <c r="M7537" s="45"/>
      <c r="N7537" s="44"/>
    </row>
    <row r="7538" spans="1:14" x14ac:dyDescent="0.3">
      <c r="A7538" s="42"/>
      <c r="C7538" s="52"/>
      <c r="D7538"/>
      <c r="E7538"/>
      <c r="F7538"/>
      <c r="N7538" s="44"/>
    </row>
    <row r="7539" spans="1:14" x14ac:dyDescent="0.3">
      <c r="A7539" s="42"/>
      <c r="C7539" s="52"/>
      <c r="D7539"/>
      <c r="E7539"/>
      <c r="F7539"/>
      <c r="N7539" s="44"/>
    </row>
    <row r="7540" spans="1:14" x14ac:dyDescent="0.3">
      <c r="A7540" s="42"/>
      <c r="C7540" s="52"/>
      <c r="D7540"/>
      <c r="E7540"/>
      <c r="F7540"/>
      <c r="M7540" s="45"/>
      <c r="N7540" s="44"/>
    </row>
    <row r="7541" spans="1:14" x14ac:dyDescent="0.3">
      <c r="A7541" s="42"/>
      <c r="C7541" s="52"/>
      <c r="D7541"/>
      <c r="E7541"/>
      <c r="F7541"/>
      <c r="N7541" s="44"/>
    </row>
    <row r="7542" spans="1:14" x14ac:dyDescent="0.3">
      <c r="A7542" s="42"/>
      <c r="C7542" s="52"/>
      <c r="D7542"/>
      <c r="E7542"/>
      <c r="F7542"/>
      <c r="N7542" s="44"/>
    </row>
    <row r="7543" spans="1:14" x14ac:dyDescent="0.3">
      <c r="A7543" s="42"/>
      <c r="C7543" s="52"/>
      <c r="D7543"/>
      <c r="E7543"/>
      <c r="F7543"/>
      <c r="N7543" s="44"/>
    </row>
    <row r="7544" spans="1:14" x14ac:dyDescent="0.3">
      <c r="A7544" s="42"/>
      <c r="C7544" s="52"/>
      <c r="D7544"/>
      <c r="E7544"/>
      <c r="F7544"/>
      <c r="N7544" s="44"/>
    </row>
    <row r="7545" spans="1:14" x14ac:dyDescent="0.3">
      <c r="A7545" s="42"/>
      <c r="C7545" s="52"/>
      <c r="D7545"/>
      <c r="E7545"/>
      <c r="F7545"/>
      <c r="N7545" s="44"/>
    </row>
    <row r="7546" spans="1:14" x14ac:dyDescent="0.3">
      <c r="A7546" s="42"/>
      <c r="C7546" s="52"/>
      <c r="D7546"/>
      <c r="E7546"/>
      <c r="F7546"/>
      <c r="N7546" s="44"/>
    </row>
    <row r="7547" spans="1:14" x14ac:dyDescent="0.3">
      <c r="A7547" s="42"/>
      <c r="C7547" s="52"/>
      <c r="D7547"/>
      <c r="E7547"/>
      <c r="F7547"/>
      <c r="N7547" s="44"/>
    </row>
    <row r="7548" spans="1:14" x14ac:dyDescent="0.3">
      <c r="A7548" s="42"/>
      <c r="C7548" s="52"/>
      <c r="D7548"/>
      <c r="E7548"/>
      <c r="F7548"/>
      <c r="N7548" s="44"/>
    </row>
    <row r="7549" spans="1:14" x14ac:dyDescent="0.3">
      <c r="A7549" s="42"/>
      <c r="C7549" s="52"/>
      <c r="D7549"/>
      <c r="E7549"/>
      <c r="F7549"/>
      <c r="N7549" s="44"/>
    </row>
    <row r="7550" spans="1:14" x14ac:dyDescent="0.3">
      <c r="A7550" s="42"/>
      <c r="C7550" s="52"/>
      <c r="D7550"/>
      <c r="E7550"/>
      <c r="F7550"/>
      <c r="N7550" s="44"/>
    </row>
    <row r="7551" spans="1:14" x14ac:dyDescent="0.3">
      <c r="A7551" s="42"/>
      <c r="C7551" s="52"/>
      <c r="D7551"/>
      <c r="E7551"/>
      <c r="F7551"/>
      <c r="N7551" s="44"/>
    </row>
    <row r="7552" spans="1:14" x14ac:dyDescent="0.3">
      <c r="A7552" s="42"/>
      <c r="C7552" s="52"/>
      <c r="D7552"/>
      <c r="E7552"/>
      <c r="F7552"/>
      <c r="N7552" s="44"/>
    </row>
    <row r="7553" spans="1:14" x14ac:dyDescent="0.3">
      <c r="A7553" s="42"/>
      <c r="C7553" s="52"/>
      <c r="D7553"/>
      <c r="E7553"/>
      <c r="F7553"/>
      <c r="N7553" s="44"/>
    </row>
    <row r="7554" spans="1:14" x14ac:dyDescent="0.3">
      <c r="A7554" s="42"/>
      <c r="C7554" s="52"/>
      <c r="D7554"/>
      <c r="E7554"/>
      <c r="F7554"/>
      <c r="N7554" s="44"/>
    </row>
    <row r="7555" spans="1:14" x14ac:dyDescent="0.3">
      <c r="A7555" s="42"/>
      <c r="C7555" s="52"/>
      <c r="D7555"/>
      <c r="E7555"/>
      <c r="F7555"/>
      <c r="N7555" s="44"/>
    </row>
    <row r="7556" spans="1:14" x14ac:dyDescent="0.3">
      <c r="A7556" s="42"/>
      <c r="C7556" s="52"/>
      <c r="D7556"/>
      <c r="E7556"/>
      <c r="F7556"/>
      <c r="N7556" s="44"/>
    </row>
    <row r="7557" spans="1:14" x14ac:dyDescent="0.3">
      <c r="A7557" s="42"/>
      <c r="C7557" s="52"/>
      <c r="D7557"/>
      <c r="E7557"/>
      <c r="F7557"/>
      <c r="N7557" s="44"/>
    </row>
    <row r="7558" spans="1:14" x14ac:dyDescent="0.3">
      <c r="A7558" s="42"/>
      <c r="C7558" s="52"/>
      <c r="D7558"/>
      <c r="E7558"/>
      <c r="F7558"/>
      <c r="N7558" s="44"/>
    </row>
    <row r="7559" spans="1:14" x14ac:dyDescent="0.3">
      <c r="A7559" s="42"/>
      <c r="C7559" s="52"/>
      <c r="D7559"/>
      <c r="E7559"/>
      <c r="F7559"/>
      <c r="N7559" s="44"/>
    </row>
    <row r="7560" spans="1:14" x14ac:dyDescent="0.3">
      <c r="A7560" s="42"/>
      <c r="C7560" s="52"/>
      <c r="D7560"/>
      <c r="E7560"/>
      <c r="F7560"/>
      <c r="N7560" s="44"/>
    </row>
    <row r="7561" spans="1:14" x14ac:dyDescent="0.3">
      <c r="A7561" s="42"/>
      <c r="C7561" s="52"/>
      <c r="D7561"/>
      <c r="E7561"/>
      <c r="F7561"/>
      <c r="N7561" s="44"/>
    </row>
    <row r="7562" spans="1:14" x14ac:dyDescent="0.3">
      <c r="A7562" s="42"/>
      <c r="C7562" s="52"/>
      <c r="D7562"/>
      <c r="E7562"/>
      <c r="F7562"/>
      <c r="N7562" s="44"/>
    </row>
    <row r="7563" spans="1:14" x14ac:dyDescent="0.3">
      <c r="A7563" s="42"/>
      <c r="C7563" s="52"/>
      <c r="D7563"/>
      <c r="E7563"/>
      <c r="F7563"/>
      <c r="N7563" s="44"/>
    </row>
    <row r="7564" spans="1:14" x14ac:dyDescent="0.3">
      <c r="A7564" s="42"/>
      <c r="C7564" s="52"/>
      <c r="D7564"/>
      <c r="E7564"/>
      <c r="F7564"/>
      <c r="N7564" s="44"/>
    </row>
    <row r="7565" spans="1:14" x14ac:dyDescent="0.3">
      <c r="A7565" s="42"/>
      <c r="C7565" s="52"/>
      <c r="D7565"/>
      <c r="E7565"/>
      <c r="F7565"/>
      <c r="N7565" s="44"/>
    </row>
    <row r="7566" spans="1:14" x14ac:dyDescent="0.3">
      <c r="A7566" s="42"/>
      <c r="C7566" s="52"/>
      <c r="D7566"/>
      <c r="E7566"/>
      <c r="F7566"/>
      <c r="N7566" s="44"/>
    </row>
    <row r="7567" spans="1:14" x14ac:dyDescent="0.3">
      <c r="A7567" s="42"/>
      <c r="C7567" s="52"/>
      <c r="D7567"/>
      <c r="E7567"/>
      <c r="F7567"/>
      <c r="N7567" s="44"/>
    </row>
    <row r="7568" spans="1:14" x14ac:dyDescent="0.3">
      <c r="A7568" s="42"/>
      <c r="C7568" s="52"/>
      <c r="D7568"/>
      <c r="E7568"/>
      <c r="F7568"/>
      <c r="N7568" s="44"/>
    </row>
    <row r="7569" spans="1:14" x14ac:dyDescent="0.3">
      <c r="A7569" s="42"/>
      <c r="C7569" s="52"/>
      <c r="D7569"/>
      <c r="E7569"/>
      <c r="F7569"/>
      <c r="N7569" s="44"/>
    </row>
    <row r="7570" spans="1:14" x14ac:dyDescent="0.3">
      <c r="A7570" s="42"/>
      <c r="C7570" s="52"/>
      <c r="D7570"/>
      <c r="E7570"/>
      <c r="F7570"/>
      <c r="N7570" s="44"/>
    </row>
    <row r="7571" spans="1:14" x14ac:dyDescent="0.3">
      <c r="A7571" s="42"/>
      <c r="C7571" s="52"/>
      <c r="D7571"/>
      <c r="E7571"/>
      <c r="F7571"/>
      <c r="N7571" s="44"/>
    </row>
    <row r="7572" spans="1:14" x14ac:dyDescent="0.3">
      <c r="A7572" s="42"/>
      <c r="C7572" s="52"/>
      <c r="D7572"/>
      <c r="E7572"/>
      <c r="F7572"/>
      <c r="N7572" s="44"/>
    </row>
    <row r="7573" spans="1:14" x14ac:dyDescent="0.3">
      <c r="A7573" s="42"/>
      <c r="C7573" s="52"/>
      <c r="D7573"/>
      <c r="E7573"/>
      <c r="F7573"/>
      <c r="N7573" s="44"/>
    </row>
    <row r="7574" spans="1:14" x14ac:dyDescent="0.3">
      <c r="A7574" s="42"/>
      <c r="C7574" s="52"/>
      <c r="D7574"/>
      <c r="E7574"/>
      <c r="F7574"/>
      <c r="N7574" s="44"/>
    </row>
    <row r="7575" spans="1:14" x14ac:dyDescent="0.3">
      <c r="A7575" s="42"/>
      <c r="C7575" s="52"/>
      <c r="D7575"/>
      <c r="E7575"/>
      <c r="F7575"/>
      <c r="N7575" s="44"/>
    </row>
    <row r="7576" spans="1:14" x14ac:dyDescent="0.3">
      <c r="A7576" s="42"/>
      <c r="C7576" s="52"/>
      <c r="D7576"/>
      <c r="E7576"/>
      <c r="F7576"/>
      <c r="N7576" s="44"/>
    </row>
    <row r="7577" spans="1:14" x14ac:dyDescent="0.3">
      <c r="A7577" s="42"/>
      <c r="C7577" s="52"/>
      <c r="D7577"/>
      <c r="E7577"/>
      <c r="F7577"/>
      <c r="N7577" s="44"/>
    </row>
    <row r="7578" spans="1:14" x14ac:dyDescent="0.3">
      <c r="A7578" s="42"/>
      <c r="C7578" s="52"/>
      <c r="D7578"/>
      <c r="E7578"/>
      <c r="F7578"/>
      <c r="N7578" s="44"/>
    </row>
    <row r="7579" spans="1:14" x14ac:dyDescent="0.3">
      <c r="A7579" s="42"/>
      <c r="C7579" s="52"/>
      <c r="D7579"/>
      <c r="E7579"/>
      <c r="F7579"/>
      <c r="N7579" s="44"/>
    </row>
    <row r="7580" spans="1:14" x14ac:dyDescent="0.3">
      <c r="A7580" s="42"/>
      <c r="C7580" s="52"/>
      <c r="D7580"/>
      <c r="E7580"/>
      <c r="F7580"/>
      <c r="N7580" s="44"/>
    </row>
    <row r="7581" spans="1:14" x14ac:dyDescent="0.3">
      <c r="A7581" s="42"/>
      <c r="C7581" s="52"/>
      <c r="D7581"/>
      <c r="E7581"/>
      <c r="F7581"/>
      <c r="N7581" s="44"/>
    </row>
    <row r="7582" spans="1:14" x14ac:dyDescent="0.3">
      <c r="A7582" s="42"/>
      <c r="C7582" s="52"/>
      <c r="D7582"/>
      <c r="E7582"/>
      <c r="F7582"/>
      <c r="N7582" s="44"/>
    </row>
    <row r="7583" spans="1:14" x14ac:dyDescent="0.3">
      <c r="A7583" s="42"/>
      <c r="C7583" s="52"/>
      <c r="D7583"/>
      <c r="E7583"/>
      <c r="F7583"/>
      <c r="N7583" s="44"/>
    </row>
    <row r="7584" spans="1:14" x14ac:dyDescent="0.3">
      <c r="A7584" s="42"/>
      <c r="C7584" s="52"/>
      <c r="D7584"/>
      <c r="E7584"/>
      <c r="F7584"/>
      <c r="N7584" s="44"/>
    </row>
    <row r="7585" spans="1:14" x14ac:dyDescent="0.3">
      <c r="A7585" s="42"/>
      <c r="C7585" s="52"/>
      <c r="D7585"/>
      <c r="E7585"/>
      <c r="F7585"/>
      <c r="N7585" s="44"/>
    </row>
    <row r="7586" spans="1:14" x14ac:dyDescent="0.3">
      <c r="A7586" s="42"/>
      <c r="C7586" s="52"/>
      <c r="D7586"/>
      <c r="E7586"/>
      <c r="F7586"/>
      <c r="N7586" s="44"/>
    </row>
    <row r="7587" spans="1:14" x14ac:dyDescent="0.3">
      <c r="A7587" s="42"/>
      <c r="C7587" s="52"/>
      <c r="D7587"/>
      <c r="E7587"/>
      <c r="F7587"/>
      <c r="N7587" s="44"/>
    </row>
    <row r="7588" spans="1:14" x14ac:dyDescent="0.3">
      <c r="A7588" s="42"/>
      <c r="C7588" s="52"/>
      <c r="D7588"/>
      <c r="E7588"/>
      <c r="F7588"/>
      <c r="N7588" s="44"/>
    </row>
    <row r="7589" spans="1:14" x14ac:dyDescent="0.3">
      <c r="A7589" s="42"/>
      <c r="C7589" s="52"/>
      <c r="D7589"/>
      <c r="E7589"/>
      <c r="F7589"/>
      <c r="N7589" s="44"/>
    </row>
    <row r="7590" spans="1:14" x14ac:dyDescent="0.3">
      <c r="A7590" s="42"/>
      <c r="C7590" s="52"/>
      <c r="D7590"/>
      <c r="E7590"/>
      <c r="F7590"/>
      <c r="N7590" s="44"/>
    </row>
    <row r="7591" spans="1:14" x14ac:dyDescent="0.3">
      <c r="A7591" s="42"/>
      <c r="C7591" s="52"/>
      <c r="D7591"/>
      <c r="E7591"/>
      <c r="F7591"/>
      <c r="N7591" s="44"/>
    </row>
    <row r="7592" spans="1:14" x14ac:dyDescent="0.3">
      <c r="A7592" s="42"/>
      <c r="C7592" s="52"/>
      <c r="D7592"/>
      <c r="E7592"/>
      <c r="F7592"/>
      <c r="N7592" s="44"/>
    </row>
    <row r="7593" spans="1:14" x14ac:dyDescent="0.3">
      <c r="A7593" s="42"/>
      <c r="C7593" s="52"/>
      <c r="D7593"/>
      <c r="E7593"/>
      <c r="F7593"/>
      <c r="N7593" s="44"/>
    </row>
    <row r="7594" spans="1:14" x14ac:dyDescent="0.3">
      <c r="A7594" s="42"/>
      <c r="C7594" s="52"/>
      <c r="D7594"/>
      <c r="E7594"/>
      <c r="F7594"/>
      <c r="N7594" s="44"/>
    </row>
    <row r="7595" spans="1:14" x14ac:dyDescent="0.3">
      <c r="A7595" s="42"/>
      <c r="C7595" s="52"/>
      <c r="D7595"/>
      <c r="E7595"/>
      <c r="F7595"/>
      <c r="N7595" s="44"/>
    </row>
    <row r="7596" spans="1:14" x14ac:dyDescent="0.3">
      <c r="A7596" s="42"/>
      <c r="C7596" s="52"/>
      <c r="D7596"/>
      <c r="E7596"/>
      <c r="F7596"/>
      <c r="N7596" s="44"/>
    </row>
    <row r="7597" spans="1:14" x14ac:dyDescent="0.3">
      <c r="A7597" s="42"/>
      <c r="C7597" s="52"/>
      <c r="D7597"/>
      <c r="E7597"/>
      <c r="F7597"/>
      <c r="N7597" s="44"/>
    </row>
    <row r="7598" spans="1:14" x14ac:dyDescent="0.3">
      <c r="A7598" s="42"/>
      <c r="C7598" s="52"/>
      <c r="D7598"/>
      <c r="E7598"/>
      <c r="F7598"/>
      <c r="N7598" s="44"/>
    </row>
    <row r="7599" spans="1:14" x14ac:dyDescent="0.3">
      <c r="A7599" s="42"/>
      <c r="C7599" s="52"/>
      <c r="D7599"/>
      <c r="E7599"/>
      <c r="F7599"/>
      <c r="N7599" s="44"/>
    </row>
    <row r="7600" spans="1:14" x14ac:dyDescent="0.3">
      <c r="A7600" s="42"/>
      <c r="C7600" s="52"/>
      <c r="D7600"/>
      <c r="E7600"/>
      <c r="F7600"/>
      <c r="N7600" s="44"/>
    </row>
    <row r="7601" spans="1:14" x14ac:dyDescent="0.3">
      <c r="A7601" s="42"/>
      <c r="C7601" s="52"/>
      <c r="D7601"/>
      <c r="E7601"/>
      <c r="F7601"/>
      <c r="N7601" s="44"/>
    </row>
    <row r="7602" spans="1:14" x14ac:dyDescent="0.3">
      <c r="A7602" s="42"/>
      <c r="C7602" s="52"/>
      <c r="D7602"/>
      <c r="E7602"/>
      <c r="F7602"/>
      <c r="N7602" s="44"/>
    </row>
    <row r="7603" spans="1:14" x14ac:dyDescent="0.3">
      <c r="A7603" s="42"/>
      <c r="C7603" s="52"/>
      <c r="D7603"/>
      <c r="E7603"/>
      <c r="F7603"/>
      <c r="N7603" s="44"/>
    </row>
    <row r="7604" spans="1:14" x14ac:dyDescent="0.3">
      <c r="A7604" s="42"/>
      <c r="C7604" s="52"/>
      <c r="D7604"/>
      <c r="E7604"/>
      <c r="F7604"/>
      <c r="N7604" s="44"/>
    </row>
    <row r="7605" spans="1:14" x14ac:dyDescent="0.3">
      <c r="A7605" s="42"/>
      <c r="C7605" s="52"/>
      <c r="D7605"/>
      <c r="E7605"/>
      <c r="F7605"/>
      <c r="N7605" s="44"/>
    </row>
    <row r="7606" spans="1:14" x14ac:dyDescent="0.3">
      <c r="A7606" s="42"/>
      <c r="C7606" s="52"/>
      <c r="D7606"/>
      <c r="E7606"/>
      <c r="F7606"/>
      <c r="N7606" s="44"/>
    </row>
    <row r="7607" spans="1:14" x14ac:dyDescent="0.3">
      <c r="A7607" s="42"/>
      <c r="C7607" s="52"/>
      <c r="D7607"/>
      <c r="E7607"/>
      <c r="F7607"/>
      <c r="N7607" s="44"/>
    </row>
    <row r="7608" spans="1:14" x14ac:dyDescent="0.3">
      <c r="A7608" s="42"/>
      <c r="C7608" s="52"/>
      <c r="D7608"/>
      <c r="E7608"/>
      <c r="F7608"/>
      <c r="N7608" s="44"/>
    </row>
    <row r="7609" spans="1:14" x14ac:dyDescent="0.3">
      <c r="A7609" s="42"/>
      <c r="C7609" s="52"/>
      <c r="D7609"/>
      <c r="E7609"/>
      <c r="F7609"/>
      <c r="N7609" s="44"/>
    </row>
    <row r="7610" spans="1:14" x14ac:dyDescent="0.3">
      <c r="A7610" s="42"/>
      <c r="C7610" s="52"/>
      <c r="D7610"/>
      <c r="E7610"/>
      <c r="F7610"/>
      <c r="N7610" s="44"/>
    </row>
    <row r="7611" spans="1:14" x14ac:dyDescent="0.3">
      <c r="A7611" s="42"/>
      <c r="C7611" s="52"/>
      <c r="D7611"/>
      <c r="E7611"/>
      <c r="F7611"/>
      <c r="N7611" s="44"/>
    </row>
    <row r="7612" spans="1:14" x14ac:dyDescent="0.3">
      <c r="A7612" s="42"/>
      <c r="C7612" s="52"/>
      <c r="D7612"/>
      <c r="E7612"/>
      <c r="F7612"/>
      <c r="N7612" s="44"/>
    </row>
    <row r="7613" spans="1:14" x14ac:dyDescent="0.3">
      <c r="A7613" s="42"/>
      <c r="C7613" s="52"/>
      <c r="D7613"/>
      <c r="E7613"/>
      <c r="F7613"/>
      <c r="N7613" s="44"/>
    </row>
    <row r="7614" spans="1:14" x14ac:dyDescent="0.3">
      <c r="A7614" s="42"/>
      <c r="C7614" s="52"/>
      <c r="D7614"/>
      <c r="E7614"/>
      <c r="F7614"/>
      <c r="N7614" s="44"/>
    </row>
    <row r="7615" spans="1:14" x14ac:dyDescent="0.3">
      <c r="A7615" s="42"/>
      <c r="C7615" s="52"/>
      <c r="D7615"/>
      <c r="E7615"/>
      <c r="F7615"/>
      <c r="N7615" s="44"/>
    </row>
    <row r="7616" spans="1:14" x14ac:dyDescent="0.3">
      <c r="A7616" s="42"/>
      <c r="C7616" s="52"/>
      <c r="D7616"/>
      <c r="E7616"/>
      <c r="F7616"/>
      <c r="N7616" s="44"/>
    </row>
    <row r="7617" spans="1:14" x14ac:dyDescent="0.3">
      <c r="A7617" s="42"/>
      <c r="C7617" s="52"/>
      <c r="D7617"/>
      <c r="E7617"/>
      <c r="F7617"/>
      <c r="N7617" s="44"/>
    </row>
    <row r="7618" spans="1:14" x14ac:dyDescent="0.3">
      <c r="A7618" s="42"/>
      <c r="C7618" s="52"/>
      <c r="D7618"/>
      <c r="E7618"/>
      <c r="F7618"/>
      <c r="N7618" s="44"/>
    </row>
    <row r="7619" spans="1:14" x14ac:dyDescent="0.3">
      <c r="A7619" s="42"/>
      <c r="C7619" s="52"/>
      <c r="D7619"/>
      <c r="E7619"/>
      <c r="F7619"/>
      <c r="N7619" s="44"/>
    </row>
    <row r="7620" spans="1:14" x14ac:dyDescent="0.3">
      <c r="A7620" s="42"/>
      <c r="C7620" s="52"/>
      <c r="D7620"/>
      <c r="E7620"/>
      <c r="F7620"/>
      <c r="N7620" s="44"/>
    </row>
    <row r="7621" spans="1:14" x14ac:dyDescent="0.3">
      <c r="A7621" s="42"/>
      <c r="C7621" s="52"/>
      <c r="D7621"/>
      <c r="E7621"/>
      <c r="F7621"/>
      <c r="N7621" s="44"/>
    </row>
    <row r="7622" spans="1:14" x14ac:dyDescent="0.3">
      <c r="A7622" s="42"/>
      <c r="C7622" s="52"/>
      <c r="D7622"/>
      <c r="E7622"/>
      <c r="F7622"/>
      <c r="N7622" s="44"/>
    </row>
    <row r="7623" spans="1:14" x14ac:dyDescent="0.3">
      <c r="A7623" s="42"/>
      <c r="C7623" s="52"/>
      <c r="D7623"/>
      <c r="E7623"/>
      <c r="F7623"/>
      <c r="N7623" s="44"/>
    </row>
    <row r="7624" spans="1:14" x14ac:dyDescent="0.3">
      <c r="A7624" s="42"/>
      <c r="C7624" s="52"/>
      <c r="D7624"/>
      <c r="E7624"/>
      <c r="F7624"/>
      <c r="N7624" s="44"/>
    </row>
    <row r="7625" spans="1:14" x14ac:dyDescent="0.3">
      <c r="A7625" s="42"/>
      <c r="C7625" s="52"/>
      <c r="D7625"/>
      <c r="E7625"/>
      <c r="F7625"/>
      <c r="N7625" s="44"/>
    </row>
    <row r="7626" spans="1:14" x14ac:dyDescent="0.3">
      <c r="A7626" s="42"/>
      <c r="C7626" s="52"/>
      <c r="D7626"/>
      <c r="E7626"/>
      <c r="F7626"/>
      <c r="N7626" s="44"/>
    </row>
    <row r="7627" spans="1:14" x14ac:dyDescent="0.3">
      <c r="A7627" s="42"/>
      <c r="C7627" s="52"/>
      <c r="D7627"/>
      <c r="E7627"/>
      <c r="F7627"/>
      <c r="N7627" s="44"/>
    </row>
    <row r="7628" spans="1:14" x14ac:dyDescent="0.3">
      <c r="A7628" s="42"/>
      <c r="C7628" s="52"/>
      <c r="D7628"/>
      <c r="E7628"/>
      <c r="F7628"/>
      <c r="N7628" s="44"/>
    </row>
    <row r="7629" spans="1:14" x14ac:dyDescent="0.3">
      <c r="A7629" s="42"/>
      <c r="C7629" s="52"/>
      <c r="D7629"/>
      <c r="E7629"/>
      <c r="F7629"/>
      <c r="N7629" s="44"/>
    </row>
    <row r="7630" spans="1:14" x14ac:dyDescent="0.3">
      <c r="A7630" s="42"/>
      <c r="C7630" s="52"/>
      <c r="D7630"/>
      <c r="E7630"/>
      <c r="F7630"/>
      <c r="N7630" s="44"/>
    </row>
    <row r="7631" spans="1:14" x14ac:dyDescent="0.3">
      <c r="A7631" s="42"/>
      <c r="C7631" s="52"/>
      <c r="D7631"/>
      <c r="E7631"/>
      <c r="F7631"/>
      <c r="N7631" s="44"/>
    </row>
    <row r="7632" spans="1:14" x14ac:dyDescent="0.3">
      <c r="A7632" s="42"/>
      <c r="C7632" s="52"/>
      <c r="D7632"/>
      <c r="E7632"/>
      <c r="F7632"/>
      <c r="N7632" s="44"/>
    </row>
    <row r="7633" spans="1:14" x14ac:dyDescent="0.3">
      <c r="A7633" s="42"/>
      <c r="C7633" s="52"/>
      <c r="D7633"/>
      <c r="E7633"/>
      <c r="F7633"/>
      <c r="N7633" s="44"/>
    </row>
    <row r="7634" spans="1:14" x14ac:dyDescent="0.3">
      <c r="A7634" s="42"/>
      <c r="C7634" s="52"/>
      <c r="D7634"/>
      <c r="E7634"/>
      <c r="F7634"/>
      <c r="N7634" s="44"/>
    </row>
    <row r="7635" spans="1:14" x14ac:dyDescent="0.3">
      <c r="A7635" s="42"/>
      <c r="C7635" s="52"/>
      <c r="D7635"/>
      <c r="E7635"/>
      <c r="F7635"/>
      <c r="N7635" s="44"/>
    </row>
    <row r="7636" spans="1:14" x14ac:dyDescent="0.3">
      <c r="A7636" s="42"/>
      <c r="C7636" s="52"/>
      <c r="D7636"/>
      <c r="E7636"/>
      <c r="F7636"/>
      <c r="N7636" s="44"/>
    </row>
    <row r="7637" spans="1:14" x14ac:dyDescent="0.3">
      <c r="A7637" s="42"/>
      <c r="C7637" s="52"/>
      <c r="D7637"/>
      <c r="E7637"/>
      <c r="F7637"/>
      <c r="N7637" s="44"/>
    </row>
    <row r="7638" spans="1:14" x14ac:dyDescent="0.3">
      <c r="A7638" s="42"/>
      <c r="C7638" s="52"/>
      <c r="D7638"/>
      <c r="E7638"/>
      <c r="F7638"/>
      <c r="N7638" s="44"/>
    </row>
    <row r="7639" spans="1:14" x14ac:dyDescent="0.3">
      <c r="A7639" s="42"/>
      <c r="C7639" s="52"/>
      <c r="D7639"/>
      <c r="E7639"/>
      <c r="F7639"/>
      <c r="N7639" s="44"/>
    </row>
    <row r="7640" spans="1:14" x14ac:dyDescent="0.3">
      <c r="A7640" s="42"/>
      <c r="C7640" s="52"/>
      <c r="D7640"/>
      <c r="E7640"/>
      <c r="F7640"/>
      <c r="N7640" s="44"/>
    </row>
    <row r="7641" spans="1:14" x14ac:dyDescent="0.3">
      <c r="A7641" s="42"/>
      <c r="C7641" s="52"/>
      <c r="D7641"/>
      <c r="E7641"/>
      <c r="F7641"/>
      <c r="N7641" s="44"/>
    </row>
    <row r="7642" spans="1:14" x14ac:dyDescent="0.3">
      <c r="A7642" s="42"/>
      <c r="C7642" s="52"/>
      <c r="D7642"/>
      <c r="E7642"/>
      <c r="F7642"/>
      <c r="N7642" s="44"/>
    </row>
    <row r="7643" spans="1:14" x14ac:dyDescent="0.3">
      <c r="A7643" s="42"/>
      <c r="C7643" s="52"/>
      <c r="D7643"/>
      <c r="E7643"/>
      <c r="F7643"/>
      <c r="N7643" s="44"/>
    </row>
    <row r="7644" spans="1:14" x14ac:dyDescent="0.3">
      <c r="A7644" s="42"/>
      <c r="C7644" s="52"/>
      <c r="D7644"/>
      <c r="E7644"/>
      <c r="F7644"/>
      <c r="N7644" s="44"/>
    </row>
    <row r="7645" spans="1:14" x14ac:dyDescent="0.3">
      <c r="A7645" s="42"/>
      <c r="C7645" s="52"/>
      <c r="D7645"/>
      <c r="E7645"/>
      <c r="F7645"/>
      <c r="N7645" s="44"/>
    </row>
    <row r="7646" spans="1:14" x14ac:dyDescent="0.3">
      <c r="A7646" s="42"/>
      <c r="C7646" s="52"/>
      <c r="D7646"/>
      <c r="E7646"/>
      <c r="F7646"/>
      <c r="N7646" s="44"/>
    </row>
    <row r="7647" spans="1:14" x14ac:dyDescent="0.3">
      <c r="A7647" s="42"/>
      <c r="C7647" s="52"/>
      <c r="D7647"/>
      <c r="E7647"/>
      <c r="F7647"/>
      <c r="N7647" s="44"/>
    </row>
    <row r="7648" spans="1:14" x14ac:dyDescent="0.3">
      <c r="A7648" s="42"/>
      <c r="C7648" s="52"/>
      <c r="D7648"/>
      <c r="E7648"/>
      <c r="F7648"/>
      <c r="N7648" s="44"/>
    </row>
    <row r="7649" spans="1:14" x14ac:dyDescent="0.3">
      <c r="A7649" s="42"/>
      <c r="C7649" s="52"/>
      <c r="D7649"/>
      <c r="E7649"/>
      <c r="F7649"/>
      <c r="N7649" s="44"/>
    </row>
    <row r="7650" spans="1:14" x14ac:dyDescent="0.3">
      <c r="A7650" s="42"/>
      <c r="C7650" s="52"/>
      <c r="D7650"/>
      <c r="E7650"/>
      <c r="F7650"/>
      <c r="N7650" s="44"/>
    </row>
    <row r="7651" spans="1:14" x14ac:dyDescent="0.3">
      <c r="A7651" s="42"/>
      <c r="C7651" s="52"/>
      <c r="D7651"/>
      <c r="E7651"/>
      <c r="F7651"/>
      <c r="N7651" s="44"/>
    </row>
    <row r="7652" spans="1:14" x14ac:dyDescent="0.3">
      <c r="A7652" s="42"/>
      <c r="C7652" s="52"/>
      <c r="D7652"/>
      <c r="E7652"/>
      <c r="F7652"/>
      <c r="N7652" s="44"/>
    </row>
    <row r="7653" spans="1:14" x14ac:dyDescent="0.3">
      <c r="A7653" s="42"/>
      <c r="C7653" s="52"/>
      <c r="D7653"/>
      <c r="E7653"/>
      <c r="F7653"/>
      <c r="N7653" s="44"/>
    </row>
    <row r="7654" spans="1:14" x14ac:dyDescent="0.3">
      <c r="A7654" s="42"/>
      <c r="C7654" s="52"/>
      <c r="D7654"/>
      <c r="E7654"/>
      <c r="F7654"/>
      <c r="N7654" s="44"/>
    </row>
    <row r="7655" spans="1:14" x14ac:dyDescent="0.3">
      <c r="A7655" s="42"/>
      <c r="C7655" s="52"/>
      <c r="D7655"/>
      <c r="E7655"/>
      <c r="F7655"/>
      <c r="N7655" s="44"/>
    </row>
    <row r="7656" spans="1:14" x14ac:dyDescent="0.3">
      <c r="A7656" s="42"/>
      <c r="C7656" s="52"/>
      <c r="D7656"/>
      <c r="E7656"/>
      <c r="F7656"/>
      <c r="M7656" s="45"/>
      <c r="N7656" s="44"/>
    </row>
    <row r="7657" spans="1:14" x14ac:dyDescent="0.3">
      <c r="A7657" s="42"/>
      <c r="C7657" s="52"/>
      <c r="D7657"/>
      <c r="E7657"/>
      <c r="F7657"/>
      <c r="N7657" s="44"/>
    </row>
    <row r="7658" spans="1:14" x14ac:dyDescent="0.3">
      <c r="A7658" s="42"/>
      <c r="C7658" s="52"/>
      <c r="D7658"/>
      <c r="E7658"/>
      <c r="F7658"/>
      <c r="N7658" s="44"/>
    </row>
    <row r="7659" spans="1:14" x14ac:dyDescent="0.3">
      <c r="A7659" s="42"/>
      <c r="C7659" s="52"/>
      <c r="D7659"/>
      <c r="E7659"/>
      <c r="F7659"/>
      <c r="N7659" s="44"/>
    </row>
    <row r="7660" spans="1:14" x14ac:dyDescent="0.3">
      <c r="A7660" s="42"/>
      <c r="C7660" s="52"/>
      <c r="D7660"/>
      <c r="E7660"/>
      <c r="F7660"/>
      <c r="N7660" s="44"/>
    </row>
    <row r="7661" spans="1:14" x14ac:dyDescent="0.3">
      <c r="A7661" s="42"/>
      <c r="C7661" s="52"/>
      <c r="D7661"/>
      <c r="E7661"/>
      <c r="F7661"/>
      <c r="N7661" s="44"/>
    </row>
    <row r="7662" spans="1:14" x14ac:dyDescent="0.3">
      <c r="A7662" s="42"/>
      <c r="C7662" s="52"/>
      <c r="D7662"/>
      <c r="E7662"/>
      <c r="F7662"/>
      <c r="N7662" s="44"/>
    </row>
    <row r="7663" spans="1:14" x14ac:dyDescent="0.3">
      <c r="A7663" s="42"/>
      <c r="C7663" s="52"/>
      <c r="D7663"/>
      <c r="E7663"/>
      <c r="F7663"/>
      <c r="N7663" s="44"/>
    </row>
    <row r="7664" spans="1:14" x14ac:dyDescent="0.3">
      <c r="A7664" s="42"/>
      <c r="C7664" s="52"/>
      <c r="D7664"/>
      <c r="E7664"/>
      <c r="F7664"/>
      <c r="N7664" s="44"/>
    </row>
    <row r="7665" spans="1:14" x14ac:dyDescent="0.3">
      <c r="A7665" s="42"/>
      <c r="C7665" s="52"/>
      <c r="D7665"/>
      <c r="E7665"/>
      <c r="F7665"/>
      <c r="N7665" s="44"/>
    </row>
    <row r="7666" spans="1:14" x14ac:dyDescent="0.3">
      <c r="A7666" s="42"/>
      <c r="C7666" s="52"/>
      <c r="D7666"/>
      <c r="E7666"/>
      <c r="F7666"/>
      <c r="N7666" s="44"/>
    </row>
    <row r="7667" spans="1:14" x14ac:dyDescent="0.3">
      <c r="A7667" s="42"/>
      <c r="C7667" s="52"/>
      <c r="D7667"/>
      <c r="E7667"/>
      <c r="F7667"/>
      <c r="N7667" s="44"/>
    </row>
    <row r="7668" spans="1:14" x14ac:dyDescent="0.3">
      <c r="A7668" s="42"/>
      <c r="C7668" s="52"/>
      <c r="D7668"/>
      <c r="E7668"/>
      <c r="F7668"/>
      <c r="N7668" s="44"/>
    </row>
    <row r="7669" spans="1:14" x14ac:dyDescent="0.3">
      <c r="A7669" s="42"/>
      <c r="C7669" s="52"/>
      <c r="D7669"/>
      <c r="E7669"/>
      <c r="F7669"/>
      <c r="N7669" s="44"/>
    </row>
    <row r="7670" spans="1:14" x14ac:dyDescent="0.3">
      <c r="A7670" s="42"/>
      <c r="C7670" s="52"/>
      <c r="D7670"/>
      <c r="E7670"/>
      <c r="F7670"/>
      <c r="N7670" s="44"/>
    </row>
    <row r="7671" spans="1:14" x14ac:dyDescent="0.3">
      <c r="A7671" s="42"/>
      <c r="C7671" s="52"/>
      <c r="D7671"/>
      <c r="E7671"/>
      <c r="F7671"/>
      <c r="N7671" s="44"/>
    </row>
    <row r="7672" spans="1:14" x14ac:dyDescent="0.3">
      <c r="A7672" s="42"/>
      <c r="C7672" s="52"/>
      <c r="D7672"/>
      <c r="E7672"/>
      <c r="F7672"/>
      <c r="N7672" s="44"/>
    </row>
    <row r="7673" spans="1:14" x14ac:dyDescent="0.3">
      <c r="A7673" s="42"/>
      <c r="C7673" s="52"/>
      <c r="D7673"/>
      <c r="E7673"/>
      <c r="F7673"/>
      <c r="L7673" s="45"/>
      <c r="N7673" s="44"/>
    </row>
    <row r="7674" spans="1:14" x14ac:dyDescent="0.3">
      <c r="A7674" s="42"/>
      <c r="C7674" s="52"/>
      <c r="D7674"/>
      <c r="E7674"/>
      <c r="F7674"/>
      <c r="L7674" s="45"/>
      <c r="N7674" s="44"/>
    </row>
    <row r="7675" spans="1:14" x14ac:dyDescent="0.3">
      <c r="A7675" s="42"/>
      <c r="C7675" s="52"/>
      <c r="D7675"/>
      <c r="E7675"/>
      <c r="F7675"/>
      <c r="N7675" s="44"/>
    </row>
    <row r="7676" spans="1:14" x14ac:dyDescent="0.3">
      <c r="A7676" s="42"/>
      <c r="C7676" s="52"/>
      <c r="D7676"/>
      <c r="E7676"/>
      <c r="F7676"/>
      <c r="N7676" s="44"/>
    </row>
    <row r="7677" spans="1:14" x14ac:dyDescent="0.3">
      <c r="A7677" s="42"/>
      <c r="C7677" s="52"/>
      <c r="D7677"/>
      <c r="E7677"/>
      <c r="F7677"/>
      <c r="N7677" s="44"/>
    </row>
    <row r="7678" spans="1:14" x14ac:dyDescent="0.3">
      <c r="A7678" s="42"/>
      <c r="C7678" s="52"/>
      <c r="D7678"/>
      <c r="E7678"/>
      <c r="F7678"/>
      <c r="N7678" s="44"/>
    </row>
    <row r="7679" spans="1:14" x14ac:dyDescent="0.3">
      <c r="A7679" s="42"/>
      <c r="C7679" s="52"/>
      <c r="D7679"/>
      <c r="E7679"/>
      <c r="F7679"/>
      <c r="N7679" s="44"/>
    </row>
    <row r="7680" spans="1:14" x14ac:dyDescent="0.3">
      <c r="A7680" s="42"/>
      <c r="C7680" s="52"/>
      <c r="D7680"/>
      <c r="E7680"/>
      <c r="F7680"/>
      <c r="N7680" s="44"/>
    </row>
    <row r="7681" spans="1:14" x14ac:dyDescent="0.3">
      <c r="A7681" s="42"/>
      <c r="C7681" s="52"/>
      <c r="D7681"/>
      <c r="E7681"/>
      <c r="F7681"/>
      <c r="N7681" s="44"/>
    </row>
    <row r="7682" spans="1:14" x14ac:dyDescent="0.3">
      <c r="A7682" s="42"/>
      <c r="C7682" s="52"/>
      <c r="D7682"/>
      <c r="E7682"/>
      <c r="F7682"/>
      <c r="N7682" s="44"/>
    </row>
    <row r="7683" spans="1:14" x14ac:dyDescent="0.3">
      <c r="A7683" s="42"/>
      <c r="C7683" s="52"/>
      <c r="D7683"/>
      <c r="E7683"/>
      <c r="F7683"/>
      <c r="N7683" s="44"/>
    </row>
    <row r="7684" spans="1:14" x14ac:dyDescent="0.3">
      <c r="A7684" s="42"/>
      <c r="C7684" s="52"/>
      <c r="D7684"/>
      <c r="E7684"/>
      <c r="F7684"/>
      <c r="N7684" s="44"/>
    </row>
    <row r="7685" spans="1:14" x14ac:dyDescent="0.3">
      <c r="A7685" s="42"/>
      <c r="C7685" s="52"/>
      <c r="D7685"/>
      <c r="E7685"/>
      <c r="F7685"/>
      <c r="N7685" s="44"/>
    </row>
    <row r="7686" spans="1:14" x14ac:dyDescent="0.3">
      <c r="A7686" s="42"/>
      <c r="C7686" s="52"/>
      <c r="D7686"/>
      <c r="E7686"/>
      <c r="F7686"/>
      <c r="N7686" s="44"/>
    </row>
    <row r="7687" spans="1:14" x14ac:dyDescent="0.3">
      <c r="A7687" s="42"/>
      <c r="C7687" s="52"/>
      <c r="D7687"/>
      <c r="E7687"/>
      <c r="F7687"/>
      <c r="L7687" s="45"/>
      <c r="N7687" s="44"/>
    </row>
    <row r="7688" spans="1:14" x14ac:dyDescent="0.3">
      <c r="A7688" s="42"/>
      <c r="C7688" s="52"/>
      <c r="D7688"/>
      <c r="E7688"/>
      <c r="F7688"/>
      <c r="N7688" s="44"/>
    </row>
    <row r="7689" spans="1:14" x14ac:dyDescent="0.3">
      <c r="A7689" s="42"/>
      <c r="C7689" s="52"/>
      <c r="D7689"/>
      <c r="E7689"/>
      <c r="F7689"/>
      <c r="N7689" s="44"/>
    </row>
    <row r="7690" spans="1:14" x14ac:dyDescent="0.3">
      <c r="A7690" s="42"/>
      <c r="C7690" s="52"/>
      <c r="D7690"/>
      <c r="E7690"/>
      <c r="F7690"/>
      <c r="N7690" s="44"/>
    </row>
    <row r="7691" spans="1:14" x14ac:dyDescent="0.3">
      <c r="A7691" s="42"/>
      <c r="C7691" s="52"/>
      <c r="D7691"/>
      <c r="E7691"/>
      <c r="F7691"/>
      <c r="N7691" s="44"/>
    </row>
    <row r="7692" spans="1:14" x14ac:dyDescent="0.3">
      <c r="A7692" s="42"/>
      <c r="C7692" s="52"/>
      <c r="D7692"/>
      <c r="E7692"/>
      <c r="F7692"/>
      <c r="N7692" s="44"/>
    </row>
    <row r="7693" spans="1:14" x14ac:dyDescent="0.3">
      <c r="A7693" s="42"/>
      <c r="C7693" s="52"/>
      <c r="D7693"/>
      <c r="E7693"/>
      <c r="F7693"/>
      <c r="N7693" s="44"/>
    </row>
    <row r="7694" spans="1:14" x14ac:dyDescent="0.3">
      <c r="A7694" s="42"/>
      <c r="C7694" s="52"/>
      <c r="D7694"/>
      <c r="E7694"/>
      <c r="F7694"/>
      <c r="N7694" s="44"/>
    </row>
    <row r="7695" spans="1:14" x14ac:dyDescent="0.3">
      <c r="A7695" s="42"/>
      <c r="C7695" s="52"/>
      <c r="D7695"/>
      <c r="E7695"/>
      <c r="F7695"/>
      <c r="N7695" s="44"/>
    </row>
    <row r="7696" spans="1:14" x14ac:dyDescent="0.3">
      <c r="A7696" s="42"/>
      <c r="C7696" s="52"/>
      <c r="D7696"/>
      <c r="E7696"/>
      <c r="F7696"/>
      <c r="N7696" s="44"/>
    </row>
    <row r="7697" spans="1:14" x14ac:dyDescent="0.3">
      <c r="A7697" s="42"/>
      <c r="C7697" s="52"/>
      <c r="D7697"/>
      <c r="E7697"/>
      <c r="F7697"/>
      <c r="N7697" s="44"/>
    </row>
    <row r="7698" spans="1:14" x14ac:dyDescent="0.3">
      <c r="A7698" s="42"/>
      <c r="C7698" s="52"/>
      <c r="D7698"/>
      <c r="E7698"/>
      <c r="F7698"/>
      <c r="L7698" s="45"/>
      <c r="N7698" s="44"/>
    </row>
    <row r="7699" spans="1:14" x14ac:dyDescent="0.3">
      <c r="A7699" s="42"/>
      <c r="C7699" s="52"/>
      <c r="D7699"/>
      <c r="E7699"/>
      <c r="F7699"/>
      <c r="N7699" s="44"/>
    </row>
    <row r="7700" spans="1:14" x14ac:dyDescent="0.3">
      <c r="A7700" s="42"/>
      <c r="C7700" s="52"/>
      <c r="D7700"/>
      <c r="E7700"/>
      <c r="F7700"/>
      <c r="L7700" s="45"/>
      <c r="N7700" s="44"/>
    </row>
    <row r="7701" spans="1:14" x14ac:dyDescent="0.3">
      <c r="A7701" s="42"/>
      <c r="C7701" s="52"/>
      <c r="D7701"/>
      <c r="E7701"/>
      <c r="F7701"/>
      <c r="N7701" s="44"/>
    </row>
    <row r="7702" spans="1:14" x14ac:dyDescent="0.3">
      <c r="A7702" s="42"/>
      <c r="C7702" s="52"/>
      <c r="D7702"/>
      <c r="E7702"/>
      <c r="F7702"/>
      <c r="L7702" s="45"/>
      <c r="N7702" s="44"/>
    </row>
    <row r="7703" spans="1:14" x14ac:dyDescent="0.3">
      <c r="A7703" s="42"/>
      <c r="C7703" s="52"/>
      <c r="D7703"/>
      <c r="E7703"/>
      <c r="F7703"/>
      <c r="L7703" s="45"/>
      <c r="N7703" s="44"/>
    </row>
    <row r="7704" spans="1:14" x14ac:dyDescent="0.3">
      <c r="A7704" s="42"/>
      <c r="C7704" s="52"/>
      <c r="D7704"/>
      <c r="E7704"/>
      <c r="F7704"/>
      <c r="N7704" s="44"/>
    </row>
    <row r="7705" spans="1:14" x14ac:dyDescent="0.3">
      <c r="A7705" s="42"/>
      <c r="C7705" s="52"/>
      <c r="D7705"/>
      <c r="E7705"/>
      <c r="F7705"/>
      <c r="N7705" s="44"/>
    </row>
    <row r="7706" spans="1:14" x14ac:dyDescent="0.3">
      <c r="A7706" s="42"/>
      <c r="C7706" s="52"/>
      <c r="D7706"/>
      <c r="E7706"/>
      <c r="F7706"/>
      <c r="L7706" s="45"/>
      <c r="N7706" s="44"/>
    </row>
    <row r="7707" spans="1:14" x14ac:dyDescent="0.3">
      <c r="A7707" s="42"/>
      <c r="C7707" s="52"/>
      <c r="D7707"/>
      <c r="E7707"/>
      <c r="F7707"/>
      <c r="L7707" s="45"/>
      <c r="N7707" s="44"/>
    </row>
    <row r="7708" spans="1:14" x14ac:dyDescent="0.3">
      <c r="A7708" s="42"/>
      <c r="C7708" s="52"/>
      <c r="D7708"/>
      <c r="E7708"/>
      <c r="F7708"/>
      <c r="N7708" s="44"/>
    </row>
    <row r="7709" spans="1:14" x14ac:dyDescent="0.3">
      <c r="A7709" s="42"/>
      <c r="C7709" s="52"/>
      <c r="D7709"/>
      <c r="E7709"/>
      <c r="F7709"/>
      <c r="L7709" s="45"/>
      <c r="N7709" s="44"/>
    </row>
    <row r="7710" spans="1:14" x14ac:dyDescent="0.3">
      <c r="A7710" s="42"/>
      <c r="C7710" s="52"/>
      <c r="D7710"/>
      <c r="E7710"/>
      <c r="F7710"/>
      <c r="L7710" s="45"/>
      <c r="N7710" s="44"/>
    </row>
    <row r="7711" spans="1:14" x14ac:dyDescent="0.3">
      <c r="A7711" s="42"/>
      <c r="C7711" s="52"/>
      <c r="D7711"/>
      <c r="E7711"/>
      <c r="F7711"/>
      <c r="L7711" s="45"/>
      <c r="N7711" s="44"/>
    </row>
    <row r="7712" spans="1:14" x14ac:dyDescent="0.3">
      <c r="A7712" s="42"/>
      <c r="C7712" s="52"/>
      <c r="D7712"/>
      <c r="E7712"/>
      <c r="F7712"/>
      <c r="N7712" s="44"/>
    </row>
    <row r="7713" spans="1:14" x14ac:dyDescent="0.3">
      <c r="A7713" s="42"/>
      <c r="C7713" s="52"/>
      <c r="D7713"/>
      <c r="E7713"/>
      <c r="F7713"/>
      <c r="L7713" s="45"/>
      <c r="N7713" s="44"/>
    </row>
    <row r="7714" spans="1:14" x14ac:dyDescent="0.3">
      <c r="A7714" s="42"/>
      <c r="C7714" s="52"/>
      <c r="D7714"/>
      <c r="E7714"/>
      <c r="F7714"/>
      <c r="L7714" s="45"/>
      <c r="N7714" s="44"/>
    </row>
    <row r="7715" spans="1:14" x14ac:dyDescent="0.3">
      <c r="A7715" s="42"/>
      <c r="C7715" s="52"/>
      <c r="D7715"/>
      <c r="E7715"/>
      <c r="F7715"/>
      <c r="N7715" s="44"/>
    </row>
    <row r="7716" spans="1:14" x14ac:dyDescent="0.3">
      <c r="A7716" s="42"/>
      <c r="C7716" s="52"/>
      <c r="D7716"/>
      <c r="E7716"/>
      <c r="F7716"/>
      <c r="N7716" s="44"/>
    </row>
    <row r="7717" spans="1:14" x14ac:dyDescent="0.3">
      <c r="A7717" s="42"/>
      <c r="C7717" s="52"/>
      <c r="D7717"/>
      <c r="E7717"/>
      <c r="F7717"/>
      <c r="N7717" s="44"/>
    </row>
    <row r="7718" spans="1:14" x14ac:dyDescent="0.3">
      <c r="A7718" s="42"/>
      <c r="C7718" s="52"/>
      <c r="D7718"/>
      <c r="E7718"/>
      <c r="F7718"/>
      <c r="N7718" s="44"/>
    </row>
    <row r="7719" spans="1:14" x14ac:dyDescent="0.3">
      <c r="A7719" s="42"/>
      <c r="C7719" s="52"/>
      <c r="D7719"/>
      <c r="E7719"/>
      <c r="F7719"/>
      <c r="N7719" s="44"/>
    </row>
    <row r="7720" spans="1:14" x14ac:dyDescent="0.3">
      <c r="A7720" s="42"/>
      <c r="C7720" s="52"/>
      <c r="D7720"/>
      <c r="E7720"/>
      <c r="F7720"/>
      <c r="N7720" s="44"/>
    </row>
    <row r="7721" spans="1:14" x14ac:dyDescent="0.3">
      <c r="A7721" s="42"/>
      <c r="C7721" s="52"/>
      <c r="D7721"/>
      <c r="E7721"/>
      <c r="F7721"/>
      <c r="N7721" s="44"/>
    </row>
    <row r="7722" spans="1:14" x14ac:dyDescent="0.3">
      <c r="A7722" s="42"/>
      <c r="C7722" s="52"/>
      <c r="D7722"/>
      <c r="E7722"/>
      <c r="F7722"/>
      <c r="L7722" s="45"/>
      <c r="N7722" s="44"/>
    </row>
    <row r="7723" spans="1:14" x14ac:dyDescent="0.3">
      <c r="A7723" s="42"/>
      <c r="C7723" s="52"/>
      <c r="D7723"/>
      <c r="E7723"/>
      <c r="F7723"/>
      <c r="N7723" s="44"/>
    </row>
    <row r="7724" spans="1:14" x14ac:dyDescent="0.3">
      <c r="A7724" s="42"/>
      <c r="C7724" s="52"/>
      <c r="D7724"/>
      <c r="E7724"/>
      <c r="F7724"/>
      <c r="N7724" s="44"/>
    </row>
    <row r="7725" spans="1:14" x14ac:dyDescent="0.3">
      <c r="A7725" s="42"/>
      <c r="C7725" s="52"/>
      <c r="D7725"/>
      <c r="E7725"/>
      <c r="F7725"/>
      <c r="N7725" s="44"/>
    </row>
    <row r="7726" spans="1:14" x14ac:dyDescent="0.3">
      <c r="A7726" s="42"/>
      <c r="C7726" s="52"/>
      <c r="D7726"/>
      <c r="E7726"/>
      <c r="F7726"/>
      <c r="L7726" s="45"/>
      <c r="N7726" s="44"/>
    </row>
    <row r="7727" spans="1:14" x14ac:dyDescent="0.3">
      <c r="A7727" s="42"/>
      <c r="C7727" s="52"/>
      <c r="D7727"/>
      <c r="E7727"/>
      <c r="F7727"/>
      <c r="N7727" s="44"/>
    </row>
    <row r="7728" spans="1:14" x14ac:dyDescent="0.3">
      <c r="A7728" s="42"/>
      <c r="C7728" s="52"/>
      <c r="D7728"/>
      <c r="E7728"/>
      <c r="F7728"/>
      <c r="N7728" s="44"/>
    </row>
    <row r="7729" spans="1:14" x14ac:dyDescent="0.3">
      <c r="A7729" s="42"/>
      <c r="C7729" s="52"/>
      <c r="D7729"/>
      <c r="E7729"/>
      <c r="F7729"/>
      <c r="N7729" s="44"/>
    </row>
    <row r="7730" spans="1:14" x14ac:dyDescent="0.3">
      <c r="A7730" s="42"/>
      <c r="C7730" s="52"/>
      <c r="D7730"/>
      <c r="E7730"/>
      <c r="F7730"/>
      <c r="N7730" s="44"/>
    </row>
    <row r="7731" spans="1:14" x14ac:dyDescent="0.3">
      <c r="A7731" s="42"/>
      <c r="C7731" s="52"/>
      <c r="D7731"/>
      <c r="E7731"/>
      <c r="F7731"/>
      <c r="N7731" s="44"/>
    </row>
    <row r="7732" spans="1:14" x14ac:dyDescent="0.3">
      <c r="A7732" s="42"/>
      <c r="C7732" s="52"/>
      <c r="D7732"/>
      <c r="E7732"/>
      <c r="F7732"/>
      <c r="N7732" s="44"/>
    </row>
    <row r="7733" spans="1:14" x14ac:dyDescent="0.3">
      <c r="A7733" s="42"/>
      <c r="C7733" s="52"/>
      <c r="D7733"/>
      <c r="E7733"/>
      <c r="F7733"/>
      <c r="N7733" s="44"/>
    </row>
    <row r="7734" spans="1:14" x14ac:dyDescent="0.3">
      <c r="A7734" s="42"/>
      <c r="C7734" s="52"/>
      <c r="D7734"/>
      <c r="E7734"/>
      <c r="F7734"/>
      <c r="N7734" s="44"/>
    </row>
    <row r="7735" spans="1:14" x14ac:dyDescent="0.3">
      <c r="A7735" s="42"/>
      <c r="C7735" s="52"/>
      <c r="D7735"/>
      <c r="E7735"/>
      <c r="F7735"/>
      <c r="N7735" s="44"/>
    </row>
    <row r="7736" spans="1:14" x14ac:dyDescent="0.3">
      <c r="A7736" s="42"/>
      <c r="C7736" s="52"/>
      <c r="D7736"/>
      <c r="E7736"/>
      <c r="F7736"/>
      <c r="N7736" s="44"/>
    </row>
    <row r="7737" spans="1:14" x14ac:dyDescent="0.3">
      <c r="A7737" s="42"/>
      <c r="C7737" s="52"/>
      <c r="D7737"/>
      <c r="E7737"/>
      <c r="F7737"/>
      <c r="N7737" s="44"/>
    </row>
    <row r="7738" spans="1:14" x14ac:dyDescent="0.3">
      <c r="A7738" s="42"/>
      <c r="C7738" s="52"/>
      <c r="D7738"/>
      <c r="E7738"/>
      <c r="F7738"/>
      <c r="N7738" s="44"/>
    </row>
    <row r="7739" spans="1:14" x14ac:dyDescent="0.3">
      <c r="A7739" s="42"/>
      <c r="C7739" s="52"/>
      <c r="D7739"/>
      <c r="E7739"/>
      <c r="F7739"/>
      <c r="L7739" s="45"/>
      <c r="N7739" s="44"/>
    </row>
    <row r="7740" spans="1:14" x14ac:dyDescent="0.3">
      <c r="A7740" s="42"/>
      <c r="C7740" s="52"/>
      <c r="D7740"/>
      <c r="E7740"/>
      <c r="F7740"/>
      <c r="L7740" s="45"/>
      <c r="N7740" s="44"/>
    </row>
    <row r="7741" spans="1:14" x14ac:dyDescent="0.3">
      <c r="A7741" s="42"/>
      <c r="C7741" s="52"/>
      <c r="D7741"/>
      <c r="E7741"/>
      <c r="F7741"/>
      <c r="N7741" s="44"/>
    </row>
    <row r="7742" spans="1:14" x14ac:dyDescent="0.3">
      <c r="A7742" s="42"/>
      <c r="C7742" s="52"/>
      <c r="D7742"/>
      <c r="E7742"/>
      <c r="F7742"/>
      <c r="N7742" s="44"/>
    </row>
    <row r="7743" spans="1:14" x14ac:dyDescent="0.3">
      <c r="A7743" s="42"/>
      <c r="C7743" s="52"/>
      <c r="D7743"/>
      <c r="E7743"/>
      <c r="F7743"/>
      <c r="L7743" s="45"/>
      <c r="N7743" s="44"/>
    </row>
    <row r="7744" spans="1:14" x14ac:dyDescent="0.3">
      <c r="A7744" s="42"/>
      <c r="C7744" s="52"/>
      <c r="D7744"/>
      <c r="E7744"/>
      <c r="F7744"/>
      <c r="L7744" s="45"/>
      <c r="N7744" s="44"/>
    </row>
    <row r="7745" spans="1:14" x14ac:dyDescent="0.3">
      <c r="A7745" s="42"/>
      <c r="C7745" s="52"/>
      <c r="D7745"/>
      <c r="E7745"/>
      <c r="F7745"/>
      <c r="N7745" s="44"/>
    </row>
    <row r="7746" spans="1:14" x14ac:dyDescent="0.3">
      <c r="A7746" s="42"/>
      <c r="C7746" s="52"/>
      <c r="D7746"/>
      <c r="E7746"/>
      <c r="F7746"/>
      <c r="N7746" s="44"/>
    </row>
    <row r="7747" spans="1:14" x14ac:dyDescent="0.3">
      <c r="A7747" s="42"/>
      <c r="C7747" s="52"/>
      <c r="D7747"/>
      <c r="E7747"/>
      <c r="F7747"/>
      <c r="L7747" s="45"/>
      <c r="N7747" s="44"/>
    </row>
    <row r="7748" spans="1:14" x14ac:dyDescent="0.3">
      <c r="A7748" s="42"/>
      <c r="C7748" s="52"/>
      <c r="D7748"/>
      <c r="E7748"/>
      <c r="F7748"/>
      <c r="N7748" s="44"/>
    </row>
    <row r="7749" spans="1:14" x14ac:dyDescent="0.3">
      <c r="A7749" s="42"/>
      <c r="C7749" s="52"/>
      <c r="D7749"/>
      <c r="E7749"/>
      <c r="F7749"/>
      <c r="N7749" s="44"/>
    </row>
    <row r="7750" spans="1:14" x14ac:dyDescent="0.3">
      <c r="A7750" s="42"/>
      <c r="C7750" s="52"/>
      <c r="D7750"/>
      <c r="E7750"/>
      <c r="F7750"/>
      <c r="N7750" s="44"/>
    </row>
    <row r="7751" spans="1:14" x14ac:dyDescent="0.3">
      <c r="A7751" s="42"/>
      <c r="C7751" s="52"/>
      <c r="D7751"/>
      <c r="E7751"/>
      <c r="F7751"/>
      <c r="N7751" s="44"/>
    </row>
    <row r="7752" spans="1:14" x14ac:dyDescent="0.3">
      <c r="A7752" s="42"/>
      <c r="C7752" s="52"/>
      <c r="D7752"/>
      <c r="E7752"/>
      <c r="F7752"/>
      <c r="L7752" s="45"/>
      <c r="N7752" s="44"/>
    </row>
    <row r="7753" spans="1:14" x14ac:dyDescent="0.3">
      <c r="A7753" s="42"/>
      <c r="C7753" s="52"/>
      <c r="D7753"/>
      <c r="E7753"/>
      <c r="F7753"/>
      <c r="N7753" s="44"/>
    </row>
    <row r="7754" spans="1:14" x14ac:dyDescent="0.3">
      <c r="A7754" s="42"/>
      <c r="C7754" s="52"/>
      <c r="D7754"/>
      <c r="E7754"/>
      <c r="F7754"/>
      <c r="M7754" s="45"/>
      <c r="N7754" s="44"/>
    </row>
    <row r="7755" spans="1:14" x14ac:dyDescent="0.3">
      <c r="A7755" s="42"/>
      <c r="C7755" s="52"/>
      <c r="D7755"/>
      <c r="E7755"/>
      <c r="F7755"/>
      <c r="N7755" s="44"/>
    </row>
    <row r="7756" spans="1:14" x14ac:dyDescent="0.3">
      <c r="A7756" s="42"/>
      <c r="C7756" s="52"/>
      <c r="D7756"/>
      <c r="E7756"/>
      <c r="F7756"/>
      <c r="N7756" s="44"/>
    </row>
    <row r="7757" spans="1:14" x14ac:dyDescent="0.3">
      <c r="A7757" s="42"/>
      <c r="C7757" s="52"/>
      <c r="D7757"/>
      <c r="E7757"/>
      <c r="F7757"/>
      <c r="N7757" s="44"/>
    </row>
    <row r="7758" spans="1:14" x14ac:dyDescent="0.3">
      <c r="A7758" s="42"/>
      <c r="C7758" s="52"/>
      <c r="D7758"/>
      <c r="E7758"/>
      <c r="F7758"/>
      <c r="N7758" s="44"/>
    </row>
    <row r="7759" spans="1:14" x14ac:dyDescent="0.3">
      <c r="A7759" s="42"/>
      <c r="C7759" s="52"/>
      <c r="D7759"/>
      <c r="E7759"/>
      <c r="F7759"/>
      <c r="L7759" s="45"/>
      <c r="N7759" s="44"/>
    </row>
    <row r="7760" spans="1:14" x14ac:dyDescent="0.3">
      <c r="A7760" s="42"/>
      <c r="C7760" s="52"/>
      <c r="D7760"/>
      <c r="E7760"/>
      <c r="F7760"/>
      <c r="N7760" s="44"/>
    </row>
    <row r="7761" spans="1:14" x14ac:dyDescent="0.3">
      <c r="A7761" s="42"/>
      <c r="C7761" s="52"/>
      <c r="D7761"/>
      <c r="E7761"/>
      <c r="F7761"/>
      <c r="N7761" s="44"/>
    </row>
    <row r="7762" spans="1:14" x14ac:dyDescent="0.3">
      <c r="A7762" s="42"/>
      <c r="C7762" s="52"/>
      <c r="D7762"/>
      <c r="E7762"/>
      <c r="F7762"/>
      <c r="N7762" s="44"/>
    </row>
    <row r="7763" spans="1:14" x14ac:dyDescent="0.3">
      <c r="A7763" s="42"/>
      <c r="C7763" s="52"/>
      <c r="D7763"/>
      <c r="E7763"/>
      <c r="F7763"/>
      <c r="N7763" s="44"/>
    </row>
    <row r="7764" spans="1:14" x14ac:dyDescent="0.3">
      <c r="A7764" s="42"/>
      <c r="C7764" s="52"/>
      <c r="D7764"/>
      <c r="E7764"/>
      <c r="F7764"/>
      <c r="N7764" s="44"/>
    </row>
    <row r="7765" spans="1:14" x14ac:dyDescent="0.3">
      <c r="A7765" s="42"/>
      <c r="C7765" s="52"/>
      <c r="D7765"/>
      <c r="E7765"/>
      <c r="F7765"/>
      <c r="N7765" s="44"/>
    </row>
    <row r="7766" spans="1:14" x14ac:dyDescent="0.3">
      <c r="A7766" s="42"/>
      <c r="C7766" s="52"/>
      <c r="D7766"/>
      <c r="E7766"/>
      <c r="F7766"/>
      <c r="N7766" s="44"/>
    </row>
    <row r="7767" spans="1:14" x14ac:dyDescent="0.3">
      <c r="A7767" s="42"/>
      <c r="C7767" s="52"/>
      <c r="D7767"/>
      <c r="E7767"/>
      <c r="F7767"/>
      <c r="N7767" s="44"/>
    </row>
    <row r="7768" spans="1:14" x14ac:dyDescent="0.3">
      <c r="A7768" s="42"/>
      <c r="C7768" s="52"/>
      <c r="D7768"/>
      <c r="E7768"/>
      <c r="F7768"/>
      <c r="N7768" s="44"/>
    </row>
    <row r="7769" spans="1:14" x14ac:dyDescent="0.3">
      <c r="A7769" s="42"/>
      <c r="C7769" s="52"/>
      <c r="D7769"/>
      <c r="E7769"/>
      <c r="F7769"/>
      <c r="L7769" s="45"/>
      <c r="M7769" s="45"/>
      <c r="N7769" s="44"/>
    </row>
    <row r="7770" spans="1:14" x14ac:dyDescent="0.3">
      <c r="A7770" s="42"/>
      <c r="C7770" s="52"/>
      <c r="D7770"/>
      <c r="E7770"/>
      <c r="F7770"/>
      <c r="N7770" s="44"/>
    </row>
    <row r="7771" spans="1:14" x14ac:dyDescent="0.3">
      <c r="A7771" s="42"/>
      <c r="C7771" s="52"/>
      <c r="D7771"/>
      <c r="E7771"/>
      <c r="F7771"/>
      <c r="N7771" s="44"/>
    </row>
    <row r="7772" spans="1:14" x14ac:dyDescent="0.3">
      <c r="A7772" s="42"/>
      <c r="C7772" s="52"/>
      <c r="D7772"/>
      <c r="E7772"/>
      <c r="F7772"/>
      <c r="N7772" s="44"/>
    </row>
    <row r="7773" spans="1:14" x14ac:dyDescent="0.3">
      <c r="A7773" s="42"/>
      <c r="C7773" s="52"/>
      <c r="D7773"/>
      <c r="E7773"/>
      <c r="F7773"/>
      <c r="L7773" s="45"/>
      <c r="N7773" s="44"/>
    </row>
    <row r="7774" spans="1:14" x14ac:dyDescent="0.3">
      <c r="A7774" s="42"/>
      <c r="C7774" s="52"/>
      <c r="D7774"/>
      <c r="E7774"/>
      <c r="F7774"/>
      <c r="N7774" s="44"/>
    </row>
    <row r="7775" spans="1:14" x14ac:dyDescent="0.3">
      <c r="A7775" s="42"/>
      <c r="C7775" s="52"/>
      <c r="D7775"/>
      <c r="E7775"/>
      <c r="F7775"/>
      <c r="N7775" s="44"/>
    </row>
    <row r="7776" spans="1:14" x14ac:dyDescent="0.3">
      <c r="A7776" s="42"/>
      <c r="C7776" s="52"/>
      <c r="D7776"/>
      <c r="E7776"/>
      <c r="F7776"/>
      <c r="N7776" s="44"/>
    </row>
    <row r="7777" spans="1:14" x14ac:dyDescent="0.3">
      <c r="A7777" s="42"/>
      <c r="C7777" s="52"/>
      <c r="D7777"/>
      <c r="E7777"/>
      <c r="F7777"/>
      <c r="L7777" s="45"/>
      <c r="N7777" s="44"/>
    </row>
    <row r="7778" spans="1:14" x14ac:dyDescent="0.3">
      <c r="A7778" s="42"/>
      <c r="C7778" s="52"/>
      <c r="D7778"/>
      <c r="E7778"/>
      <c r="F7778"/>
      <c r="N7778" s="44"/>
    </row>
    <row r="7779" spans="1:14" x14ac:dyDescent="0.3">
      <c r="A7779" s="42"/>
      <c r="C7779" s="52"/>
      <c r="D7779"/>
      <c r="E7779"/>
      <c r="F7779"/>
      <c r="N7779" s="44"/>
    </row>
    <row r="7780" spans="1:14" x14ac:dyDescent="0.3">
      <c r="A7780" s="42"/>
      <c r="C7780" s="52"/>
      <c r="D7780"/>
      <c r="E7780"/>
      <c r="F7780"/>
      <c r="N7780" s="44"/>
    </row>
    <row r="7781" spans="1:14" x14ac:dyDescent="0.3">
      <c r="A7781" s="42"/>
      <c r="C7781" s="52"/>
      <c r="D7781"/>
      <c r="E7781"/>
      <c r="F7781"/>
      <c r="N7781" s="44"/>
    </row>
    <row r="7782" spans="1:14" x14ac:dyDescent="0.3">
      <c r="A7782" s="42"/>
      <c r="C7782" s="52"/>
      <c r="D7782"/>
      <c r="E7782"/>
      <c r="F7782"/>
      <c r="L7782" s="45"/>
      <c r="N7782" s="44"/>
    </row>
    <row r="7783" spans="1:14" x14ac:dyDescent="0.3">
      <c r="A7783" s="42"/>
      <c r="C7783" s="52"/>
      <c r="D7783"/>
      <c r="E7783"/>
      <c r="F7783"/>
      <c r="N7783" s="44"/>
    </row>
    <row r="7784" spans="1:14" x14ac:dyDescent="0.3">
      <c r="A7784" s="42"/>
      <c r="C7784" s="52"/>
      <c r="D7784"/>
      <c r="E7784"/>
      <c r="F7784"/>
      <c r="N7784" s="44"/>
    </row>
    <row r="7785" spans="1:14" x14ac:dyDescent="0.3">
      <c r="A7785" s="42"/>
      <c r="C7785" s="52"/>
      <c r="D7785"/>
      <c r="E7785"/>
      <c r="F7785"/>
      <c r="N7785" s="44"/>
    </row>
    <row r="7786" spans="1:14" x14ac:dyDescent="0.3">
      <c r="A7786" s="42"/>
      <c r="C7786" s="52"/>
      <c r="D7786"/>
      <c r="E7786"/>
      <c r="F7786"/>
      <c r="N7786" s="44"/>
    </row>
    <row r="7787" spans="1:14" x14ac:dyDescent="0.3">
      <c r="A7787" s="42"/>
      <c r="C7787" s="52"/>
      <c r="D7787"/>
      <c r="E7787"/>
      <c r="F7787"/>
      <c r="N7787" s="44"/>
    </row>
    <row r="7788" spans="1:14" x14ac:dyDescent="0.3">
      <c r="A7788" s="42"/>
      <c r="C7788" s="52"/>
      <c r="D7788"/>
      <c r="E7788"/>
      <c r="F7788"/>
      <c r="L7788" s="45"/>
      <c r="N7788" s="44"/>
    </row>
    <row r="7789" spans="1:14" x14ac:dyDescent="0.3">
      <c r="A7789" s="42"/>
      <c r="C7789" s="52"/>
      <c r="D7789"/>
      <c r="E7789"/>
      <c r="F7789"/>
      <c r="L7789" s="45"/>
      <c r="N7789" s="44"/>
    </row>
    <row r="7790" spans="1:14" x14ac:dyDescent="0.3">
      <c r="A7790" s="42"/>
      <c r="C7790" s="52"/>
      <c r="D7790"/>
      <c r="E7790"/>
      <c r="F7790"/>
      <c r="N7790" s="44"/>
    </row>
    <row r="7791" spans="1:14" x14ac:dyDescent="0.3">
      <c r="A7791" s="42"/>
      <c r="C7791" s="52"/>
      <c r="D7791"/>
      <c r="E7791"/>
      <c r="F7791"/>
      <c r="N7791" s="44"/>
    </row>
    <row r="7792" spans="1:14" x14ac:dyDescent="0.3">
      <c r="A7792" s="42"/>
      <c r="C7792" s="52"/>
      <c r="D7792"/>
      <c r="E7792"/>
      <c r="F7792"/>
      <c r="N7792" s="44"/>
    </row>
    <row r="7793" spans="1:14" x14ac:dyDescent="0.3">
      <c r="A7793" s="42"/>
      <c r="C7793" s="52"/>
      <c r="D7793"/>
      <c r="E7793"/>
      <c r="F7793"/>
      <c r="N7793" s="44"/>
    </row>
    <row r="7794" spans="1:14" x14ac:dyDescent="0.3">
      <c r="A7794" s="42"/>
      <c r="C7794" s="52"/>
      <c r="D7794"/>
      <c r="E7794"/>
      <c r="F7794"/>
      <c r="N7794" s="44"/>
    </row>
    <row r="7795" spans="1:14" x14ac:dyDescent="0.3">
      <c r="A7795" s="42"/>
      <c r="C7795" s="52"/>
      <c r="D7795"/>
      <c r="E7795"/>
      <c r="F7795"/>
      <c r="N7795" s="44"/>
    </row>
    <row r="7796" spans="1:14" x14ac:dyDescent="0.3">
      <c r="A7796" s="42"/>
      <c r="C7796" s="52"/>
      <c r="D7796"/>
      <c r="E7796"/>
      <c r="F7796"/>
      <c r="L7796" s="45"/>
      <c r="N7796" s="44"/>
    </row>
    <row r="7797" spans="1:14" x14ac:dyDescent="0.3">
      <c r="A7797" s="42"/>
      <c r="C7797" s="52"/>
      <c r="D7797"/>
      <c r="E7797"/>
      <c r="F7797"/>
      <c r="N7797" s="44"/>
    </row>
    <row r="7798" spans="1:14" x14ac:dyDescent="0.3">
      <c r="A7798" s="42"/>
      <c r="C7798" s="52"/>
      <c r="D7798"/>
      <c r="E7798"/>
      <c r="F7798"/>
      <c r="N7798" s="44"/>
    </row>
    <row r="7799" spans="1:14" x14ac:dyDescent="0.3">
      <c r="A7799" s="42"/>
      <c r="C7799" s="52"/>
      <c r="D7799"/>
      <c r="E7799"/>
      <c r="F7799"/>
      <c r="N7799" s="44"/>
    </row>
    <row r="7800" spans="1:14" x14ac:dyDescent="0.3">
      <c r="A7800" s="42"/>
      <c r="C7800" s="52"/>
      <c r="D7800"/>
      <c r="E7800"/>
      <c r="F7800"/>
      <c r="N7800" s="44"/>
    </row>
    <row r="7801" spans="1:14" x14ac:dyDescent="0.3">
      <c r="A7801" s="42"/>
      <c r="C7801" s="52"/>
      <c r="D7801"/>
      <c r="E7801"/>
      <c r="F7801"/>
      <c r="N7801" s="44"/>
    </row>
    <row r="7802" spans="1:14" x14ac:dyDescent="0.3">
      <c r="A7802" s="42"/>
      <c r="C7802" s="52"/>
      <c r="D7802"/>
      <c r="E7802"/>
      <c r="F7802"/>
      <c r="N7802" s="44"/>
    </row>
    <row r="7803" spans="1:14" x14ac:dyDescent="0.3">
      <c r="A7803" s="42"/>
      <c r="C7803" s="52"/>
      <c r="D7803"/>
      <c r="E7803"/>
      <c r="F7803"/>
      <c r="N7803" s="44"/>
    </row>
    <row r="7804" spans="1:14" x14ac:dyDescent="0.3">
      <c r="A7804" s="42"/>
      <c r="C7804" s="52"/>
      <c r="D7804"/>
      <c r="E7804"/>
      <c r="F7804"/>
      <c r="N7804" s="44"/>
    </row>
    <row r="7805" spans="1:14" x14ac:dyDescent="0.3">
      <c r="A7805" s="42"/>
      <c r="C7805" s="52"/>
      <c r="D7805"/>
      <c r="E7805"/>
      <c r="F7805"/>
      <c r="N7805" s="44"/>
    </row>
    <row r="7806" spans="1:14" x14ac:dyDescent="0.3">
      <c r="A7806" s="42"/>
      <c r="C7806" s="52"/>
      <c r="D7806"/>
      <c r="E7806"/>
      <c r="F7806"/>
      <c r="N7806" s="44"/>
    </row>
    <row r="7807" spans="1:14" x14ac:dyDescent="0.3">
      <c r="A7807" s="42"/>
      <c r="C7807" s="52"/>
      <c r="D7807"/>
      <c r="E7807"/>
      <c r="F7807"/>
      <c r="N7807" s="44"/>
    </row>
    <row r="7808" spans="1:14" x14ac:dyDescent="0.3">
      <c r="A7808" s="42"/>
      <c r="C7808" s="52"/>
      <c r="D7808"/>
      <c r="E7808"/>
      <c r="F7808"/>
      <c r="N7808" s="44"/>
    </row>
    <row r="7809" spans="1:14" x14ac:dyDescent="0.3">
      <c r="A7809" s="42"/>
      <c r="C7809" s="52"/>
      <c r="D7809"/>
      <c r="E7809"/>
      <c r="F7809"/>
      <c r="N7809" s="44"/>
    </row>
    <row r="7810" spans="1:14" x14ac:dyDescent="0.3">
      <c r="A7810" s="42"/>
      <c r="C7810" s="52"/>
      <c r="D7810"/>
      <c r="E7810"/>
      <c r="F7810"/>
      <c r="N7810" s="44"/>
    </row>
    <row r="7811" spans="1:14" x14ac:dyDescent="0.3">
      <c r="A7811" s="42"/>
      <c r="C7811" s="52"/>
      <c r="D7811"/>
      <c r="E7811"/>
      <c r="F7811"/>
      <c r="N7811" s="44"/>
    </row>
    <row r="7812" spans="1:14" x14ac:dyDescent="0.3">
      <c r="A7812" s="42"/>
      <c r="C7812" s="52"/>
      <c r="D7812"/>
      <c r="E7812"/>
      <c r="F7812"/>
      <c r="L7812" s="45"/>
      <c r="N7812" s="44"/>
    </row>
    <row r="7813" spans="1:14" x14ac:dyDescent="0.3">
      <c r="A7813" s="42"/>
      <c r="C7813" s="52"/>
      <c r="D7813"/>
      <c r="E7813"/>
      <c r="F7813"/>
      <c r="N7813" s="44"/>
    </row>
    <row r="7814" spans="1:14" x14ac:dyDescent="0.3">
      <c r="A7814" s="42"/>
      <c r="C7814" s="52"/>
      <c r="D7814"/>
      <c r="E7814"/>
      <c r="F7814"/>
      <c r="N7814" s="44"/>
    </row>
    <row r="7815" spans="1:14" x14ac:dyDescent="0.3">
      <c r="A7815" s="42"/>
      <c r="C7815" s="52"/>
      <c r="D7815"/>
      <c r="E7815"/>
      <c r="F7815"/>
      <c r="N7815" s="44"/>
    </row>
    <row r="7816" spans="1:14" x14ac:dyDescent="0.3">
      <c r="A7816" s="42"/>
      <c r="C7816" s="52"/>
      <c r="D7816"/>
      <c r="E7816"/>
      <c r="F7816"/>
      <c r="N7816" s="44"/>
    </row>
    <row r="7817" spans="1:14" x14ac:dyDescent="0.3">
      <c r="A7817" s="42"/>
      <c r="C7817" s="52"/>
      <c r="D7817"/>
      <c r="E7817"/>
      <c r="F7817"/>
      <c r="N7817" s="44"/>
    </row>
    <row r="7818" spans="1:14" x14ac:dyDescent="0.3">
      <c r="A7818" s="42"/>
      <c r="C7818" s="52"/>
      <c r="D7818"/>
      <c r="E7818"/>
      <c r="F7818"/>
      <c r="N7818" s="44"/>
    </row>
    <row r="7819" spans="1:14" x14ac:dyDescent="0.3">
      <c r="A7819" s="42"/>
      <c r="C7819" s="52"/>
      <c r="D7819"/>
      <c r="E7819"/>
      <c r="F7819"/>
      <c r="N7819" s="44"/>
    </row>
    <row r="7820" spans="1:14" x14ac:dyDescent="0.3">
      <c r="A7820" s="42"/>
      <c r="C7820" s="52"/>
      <c r="D7820"/>
      <c r="E7820"/>
      <c r="F7820"/>
      <c r="N7820" s="44"/>
    </row>
    <row r="7821" spans="1:14" x14ac:dyDescent="0.3">
      <c r="A7821" s="42"/>
      <c r="C7821" s="52"/>
      <c r="D7821"/>
      <c r="E7821"/>
      <c r="F7821"/>
      <c r="N7821" s="44"/>
    </row>
    <row r="7822" spans="1:14" x14ac:dyDescent="0.3">
      <c r="A7822" s="42"/>
      <c r="C7822" s="52"/>
      <c r="D7822"/>
      <c r="E7822"/>
      <c r="F7822"/>
      <c r="N7822" s="44"/>
    </row>
    <row r="7823" spans="1:14" x14ac:dyDescent="0.3">
      <c r="A7823" s="42"/>
      <c r="C7823" s="52"/>
      <c r="D7823"/>
      <c r="E7823"/>
      <c r="F7823"/>
      <c r="N7823" s="44"/>
    </row>
    <row r="7824" spans="1:14" x14ac:dyDescent="0.3">
      <c r="A7824" s="42"/>
      <c r="C7824" s="52"/>
      <c r="D7824"/>
      <c r="E7824"/>
      <c r="F7824"/>
      <c r="N7824" s="44"/>
    </row>
    <row r="7825" spans="1:14" x14ac:dyDescent="0.3">
      <c r="A7825" s="42"/>
      <c r="C7825" s="52"/>
      <c r="D7825"/>
      <c r="E7825"/>
      <c r="F7825"/>
      <c r="N7825" s="44"/>
    </row>
    <row r="7826" spans="1:14" x14ac:dyDescent="0.3">
      <c r="A7826" s="42"/>
      <c r="C7826" s="52"/>
      <c r="D7826"/>
      <c r="E7826"/>
      <c r="F7826"/>
      <c r="L7826" s="45"/>
      <c r="N7826" s="44"/>
    </row>
    <row r="7827" spans="1:14" x14ac:dyDescent="0.3">
      <c r="A7827" s="42"/>
      <c r="C7827" s="52"/>
      <c r="D7827"/>
      <c r="E7827"/>
      <c r="F7827"/>
      <c r="N7827" s="44"/>
    </row>
    <row r="7828" spans="1:14" x14ac:dyDescent="0.3">
      <c r="A7828" s="42"/>
      <c r="C7828" s="52"/>
      <c r="D7828"/>
      <c r="E7828"/>
      <c r="F7828"/>
      <c r="N7828" s="44"/>
    </row>
    <row r="7829" spans="1:14" x14ac:dyDescent="0.3">
      <c r="A7829" s="42"/>
      <c r="C7829" s="52"/>
      <c r="D7829"/>
      <c r="E7829"/>
      <c r="F7829"/>
      <c r="N7829" s="44"/>
    </row>
    <row r="7830" spans="1:14" x14ac:dyDescent="0.3">
      <c r="A7830" s="42"/>
      <c r="C7830" s="52"/>
      <c r="D7830"/>
      <c r="E7830"/>
      <c r="F7830"/>
      <c r="N7830" s="44"/>
    </row>
    <row r="7831" spans="1:14" x14ac:dyDescent="0.3">
      <c r="A7831" s="42"/>
      <c r="C7831" s="52"/>
      <c r="D7831"/>
      <c r="E7831"/>
      <c r="F7831"/>
      <c r="N7831" s="44"/>
    </row>
    <row r="7832" spans="1:14" x14ac:dyDescent="0.3">
      <c r="A7832" s="42"/>
      <c r="C7832" s="52"/>
      <c r="D7832"/>
      <c r="E7832"/>
      <c r="F7832"/>
      <c r="M7832" s="45"/>
      <c r="N7832" s="44"/>
    </row>
    <row r="7833" spans="1:14" x14ac:dyDescent="0.3">
      <c r="A7833" s="42"/>
      <c r="C7833" s="52"/>
      <c r="D7833"/>
      <c r="E7833"/>
      <c r="F7833"/>
      <c r="L7833" s="45"/>
      <c r="N7833" s="44"/>
    </row>
    <row r="7834" spans="1:14" x14ac:dyDescent="0.3">
      <c r="A7834" s="42"/>
      <c r="C7834" s="52"/>
      <c r="D7834"/>
      <c r="E7834"/>
      <c r="F7834"/>
      <c r="N7834" s="44"/>
    </row>
    <row r="7835" spans="1:14" x14ac:dyDescent="0.3">
      <c r="A7835" s="42"/>
      <c r="C7835" s="52"/>
      <c r="D7835"/>
      <c r="E7835"/>
      <c r="F7835"/>
      <c r="L7835" s="45"/>
      <c r="N7835" s="44"/>
    </row>
    <row r="7836" spans="1:14" x14ac:dyDescent="0.3">
      <c r="A7836" s="42"/>
      <c r="C7836" s="52"/>
      <c r="D7836"/>
      <c r="E7836"/>
      <c r="F7836"/>
      <c r="N7836" s="44"/>
    </row>
    <row r="7837" spans="1:14" x14ac:dyDescent="0.3">
      <c r="A7837" s="42"/>
      <c r="C7837" s="52"/>
      <c r="D7837"/>
      <c r="E7837"/>
      <c r="F7837"/>
      <c r="L7837" s="45"/>
      <c r="N7837" s="44"/>
    </row>
    <row r="7838" spans="1:14" x14ac:dyDescent="0.3">
      <c r="A7838" s="42"/>
      <c r="C7838" s="52"/>
      <c r="D7838"/>
      <c r="E7838"/>
      <c r="F7838"/>
      <c r="L7838" s="45"/>
      <c r="N7838" s="44"/>
    </row>
    <row r="7839" spans="1:14" x14ac:dyDescent="0.3">
      <c r="A7839" s="42"/>
      <c r="C7839" s="52"/>
      <c r="D7839"/>
      <c r="E7839"/>
      <c r="F7839"/>
      <c r="L7839" s="45"/>
      <c r="N7839" s="44"/>
    </row>
    <row r="7840" spans="1:14" x14ac:dyDescent="0.3">
      <c r="A7840" s="42"/>
      <c r="C7840" s="52"/>
      <c r="D7840"/>
      <c r="E7840"/>
      <c r="F7840"/>
      <c r="L7840" s="45"/>
      <c r="N7840" s="44"/>
    </row>
    <row r="7841" spans="1:14" x14ac:dyDescent="0.3">
      <c r="A7841" s="42"/>
      <c r="C7841" s="52"/>
      <c r="D7841"/>
      <c r="E7841"/>
      <c r="F7841"/>
      <c r="L7841" s="45"/>
      <c r="N7841" s="44"/>
    </row>
    <row r="7842" spans="1:14" x14ac:dyDescent="0.3">
      <c r="A7842" s="42"/>
      <c r="C7842" s="52"/>
      <c r="D7842"/>
      <c r="E7842"/>
      <c r="F7842"/>
      <c r="L7842" s="45"/>
      <c r="N7842" s="44"/>
    </row>
    <row r="7843" spans="1:14" x14ac:dyDescent="0.3">
      <c r="A7843" s="42"/>
      <c r="C7843" s="52"/>
      <c r="D7843"/>
      <c r="E7843"/>
      <c r="F7843"/>
      <c r="L7843" s="45"/>
      <c r="N7843" s="44"/>
    </row>
    <row r="7844" spans="1:14" x14ac:dyDescent="0.3">
      <c r="A7844" s="42"/>
      <c r="C7844" s="52"/>
      <c r="D7844"/>
      <c r="E7844"/>
      <c r="F7844"/>
      <c r="N7844" s="44"/>
    </row>
    <row r="7845" spans="1:14" x14ac:dyDescent="0.3">
      <c r="A7845" s="42"/>
      <c r="C7845" s="52"/>
      <c r="D7845"/>
      <c r="E7845"/>
      <c r="F7845"/>
      <c r="L7845" s="45"/>
      <c r="N7845" s="44"/>
    </row>
    <row r="7846" spans="1:14" x14ac:dyDescent="0.3">
      <c r="A7846" s="42"/>
      <c r="C7846" s="52"/>
      <c r="D7846"/>
      <c r="E7846"/>
      <c r="F7846"/>
      <c r="N7846" s="44"/>
    </row>
    <row r="7847" spans="1:14" x14ac:dyDescent="0.3">
      <c r="A7847" s="42"/>
      <c r="C7847" s="52"/>
      <c r="D7847"/>
      <c r="E7847"/>
      <c r="F7847"/>
      <c r="N7847" s="44"/>
    </row>
    <row r="7848" spans="1:14" x14ac:dyDescent="0.3">
      <c r="A7848" s="42"/>
      <c r="C7848" s="52"/>
      <c r="D7848"/>
      <c r="E7848"/>
      <c r="F7848"/>
      <c r="N7848" s="44"/>
    </row>
    <row r="7849" spans="1:14" x14ac:dyDescent="0.3">
      <c r="A7849" s="42"/>
      <c r="C7849" s="52"/>
      <c r="D7849"/>
      <c r="E7849"/>
      <c r="F7849"/>
      <c r="L7849" s="45"/>
      <c r="N7849" s="44"/>
    </row>
    <row r="7850" spans="1:14" x14ac:dyDescent="0.3">
      <c r="A7850" s="42"/>
      <c r="C7850" s="52"/>
      <c r="D7850"/>
      <c r="E7850"/>
      <c r="F7850"/>
      <c r="N7850" s="44"/>
    </row>
    <row r="7851" spans="1:14" x14ac:dyDescent="0.3">
      <c r="A7851" s="42"/>
      <c r="C7851" s="52"/>
      <c r="D7851"/>
      <c r="E7851"/>
      <c r="F7851"/>
      <c r="N7851" s="44"/>
    </row>
    <row r="7852" spans="1:14" x14ac:dyDescent="0.3">
      <c r="A7852" s="42"/>
      <c r="C7852" s="52"/>
      <c r="D7852"/>
      <c r="E7852"/>
      <c r="F7852"/>
      <c r="L7852" s="45"/>
      <c r="N7852" s="44"/>
    </row>
    <row r="7853" spans="1:14" x14ac:dyDescent="0.3">
      <c r="A7853" s="42"/>
      <c r="C7853" s="52"/>
      <c r="D7853"/>
      <c r="E7853"/>
      <c r="F7853"/>
      <c r="N7853" s="44"/>
    </row>
    <row r="7854" spans="1:14" x14ac:dyDescent="0.3">
      <c r="A7854" s="42"/>
      <c r="C7854" s="52"/>
      <c r="D7854"/>
      <c r="E7854"/>
      <c r="F7854"/>
      <c r="N7854" s="44"/>
    </row>
    <row r="7855" spans="1:14" x14ac:dyDescent="0.3">
      <c r="A7855" s="42"/>
      <c r="C7855" s="52"/>
      <c r="D7855"/>
      <c r="E7855"/>
      <c r="F7855"/>
      <c r="N7855" s="44"/>
    </row>
    <row r="7856" spans="1:14" x14ac:dyDescent="0.3">
      <c r="A7856" s="42"/>
      <c r="C7856" s="52"/>
      <c r="D7856"/>
      <c r="E7856"/>
      <c r="F7856"/>
      <c r="L7856" s="45"/>
      <c r="N7856" s="44"/>
    </row>
    <row r="7857" spans="1:14" x14ac:dyDescent="0.3">
      <c r="A7857" s="42"/>
      <c r="C7857" s="52"/>
      <c r="D7857"/>
      <c r="E7857"/>
      <c r="F7857"/>
      <c r="L7857" s="45"/>
      <c r="N7857" s="44"/>
    </row>
    <row r="7858" spans="1:14" x14ac:dyDescent="0.3">
      <c r="A7858" s="42"/>
      <c r="C7858" s="52"/>
      <c r="D7858"/>
      <c r="E7858"/>
      <c r="F7858"/>
      <c r="L7858" s="45"/>
      <c r="N7858" s="44"/>
    </row>
    <row r="7859" spans="1:14" x14ac:dyDescent="0.3">
      <c r="A7859" s="42"/>
      <c r="C7859" s="52"/>
      <c r="D7859"/>
      <c r="E7859"/>
      <c r="F7859"/>
      <c r="N7859" s="44"/>
    </row>
    <row r="7860" spans="1:14" x14ac:dyDescent="0.3">
      <c r="A7860" s="42"/>
      <c r="C7860" s="52"/>
      <c r="D7860"/>
      <c r="E7860"/>
      <c r="F7860"/>
      <c r="N7860" s="44"/>
    </row>
    <row r="7861" spans="1:14" x14ac:dyDescent="0.3">
      <c r="A7861" s="42"/>
      <c r="C7861" s="52"/>
      <c r="D7861"/>
      <c r="E7861"/>
      <c r="F7861"/>
      <c r="L7861" s="45"/>
      <c r="N7861" s="44"/>
    </row>
    <row r="7862" spans="1:14" x14ac:dyDescent="0.3">
      <c r="A7862" s="42"/>
      <c r="C7862" s="52"/>
      <c r="D7862"/>
      <c r="E7862"/>
      <c r="F7862"/>
      <c r="N7862" s="44"/>
    </row>
    <row r="7863" spans="1:14" x14ac:dyDescent="0.3">
      <c r="A7863" s="42"/>
      <c r="C7863" s="52"/>
      <c r="D7863"/>
      <c r="E7863"/>
      <c r="F7863"/>
      <c r="N7863" s="44"/>
    </row>
    <row r="7864" spans="1:14" x14ac:dyDescent="0.3">
      <c r="A7864" s="42"/>
      <c r="C7864" s="52"/>
      <c r="D7864"/>
      <c r="E7864"/>
      <c r="F7864"/>
      <c r="L7864" s="45"/>
      <c r="N7864" s="44"/>
    </row>
    <row r="7865" spans="1:14" x14ac:dyDescent="0.3">
      <c r="A7865" s="42"/>
      <c r="C7865" s="52"/>
      <c r="D7865"/>
      <c r="E7865"/>
      <c r="F7865"/>
      <c r="L7865" s="45"/>
      <c r="N7865" s="44"/>
    </row>
    <row r="7866" spans="1:14" x14ac:dyDescent="0.3">
      <c r="A7866" s="42"/>
      <c r="C7866" s="52"/>
      <c r="D7866"/>
      <c r="E7866"/>
      <c r="F7866"/>
      <c r="L7866" s="45"/>
      <c r="N7866" s="44"/>
    </row>
    <row r="7867" spans="1:14" x14ac:dyDescent="0.3">
      <c r="A7867" s="42"/>
      <c r="C7867" s="52"/>
      <c r="D7867"/>
      <c r="E7867"/>
      <c r="F7867"/>
      <c r="L7867" s="45"/>
      <c r="N7867" s="44"/>
    </row>
    <row r="7868" spans="1:14" x14ac:dyDescent="0.3">
      <c r="A7868" s="42"/>
      <c r="C7868" s="52"/>
      <c r="D7868"/>
      <c r="E7868"/>
      <c r="F7868"/>
      <c r="N7868" s="44"/>
    </row>
    <row r="7869" spans="1:14" x14ac:dyDescent="0.3">
      <c r="A7869" s="42"/>
      <c r="C7869" s="52"/>
      <c r="D7869"/>
      <c r="E7869"/>
      <c r="F7869"/>
      <c r="N7869" s="44"/>
    </row>
    <row r="7870" spans="1:14" x14ac:dyDescent="0.3">
      <c r="A7870" s="42"/>
      <c r="C7870" s="52"/>
      <c r="D7870"/>
      <c r="E7870"/>
      <c r="F7870"/>
      <c r="N7870" s="44"/>
    </row>
    <row r="7871" spans="1:14" x14ac:dyDescent="0.3">
      <c r="A7871" s="42"/>
      <c r="C7871" s="52"/>
      <c r="D7871"/>
      <c r="E7871"/>
      <c r="F7871"/>
      <c r="N7871" s="44"/>
    </row>
    <row r="7872" spans="1:14" x14ac:dyDescent="0.3">
      <c r="A7872" s="42"/>
      <c r="C7872" s="52"/>
      <c r="D7872"/>
      <c r="E7872"/>
      <c r="F7872"/>
      <c r="N7872" s="44"/>
    </row>
    <row r="7873" spans="1:14" x14ac:dyDescent="0.3">
      <c r="A7873" s="42"/>
      <c r="C7873" s="52"/>
      <c r="D7873"/>
      <c r="E7873"/>
      <c r="F7873"/>
      <c r="N7873" s="44"/>
    </row>
    <row r="7874" spans="1:14" x14ac:dyDescent="0.3">
      <c r="A7874" s="42"/>
      <c r="C7874" s="52"/>
      <c r="D7874"/>
      <c r="E7874"/>
      <c r="F7874"/>
      <c r="N7874" s="44"/>
    </row>
    <row r="7875" spans="1:14" x14ac:dyDescent="0.3">
      <c r="A7875" s="42"/>
      <c r="C7875" s="52"/>
      <c r="D7875"/>
      <c r="E7875"/>
      <c r="F7875"/>
      <c r="N7875" s="44"/>
    </row>
    <row r="7876" spans="1:14" x14ac:dyDescent="0.3">
      <c r="A7876" s="42"/>
      <c r="C7876" s="52"/>
      <c r="D7876"/>
      <c r="E7876"/>
      <c r="F7876"/>
      <c r="N7876" s="44"/>
    </row>
    <row r="7877" spans="1:14" x14ac:dyDescent="0.3">
      <c r="A7877" s="42"/>
      <c r="C7877" s="52"/>
      <c r="D7877"/>
      <c r="E7877"/>
      <c r="F7877"/>
      <c r="N7877" s="44"/>
    </row>
    <row r="7878" spans="1:14" x14ac:dyDescent="0.3">
      <c r="A7878" s="42"/>
      <c r="C7878" s="52"/>
      <c r="D7878"/>
      <c r="E7878"/>
      <c r="F7878"/>
      <c r="N7878" s="44"/>
    </row>
    <row r="7879" spans="1:14" x14ac:dyDescent="0.3">
      <c r="A7879" s="42"/>
      <c r="C7879" s="52"/>
      <c r="D7879"/>
      <c r="E7879"/>
      <c r="F7879"/>
      <c r="N7879" s="44"/>
    </row>
    <row r="7880" spans="1:14" x14ac:dyDescent="0.3">
      <c r="A7880" s="42"/>
      <c r="C7880" s="52"/>
      <c r="D7880"/>
      <c r="E7880"/>
      <c r="F7880"/>
      <c r="N7880" s="44"/>
    </row>
    <row r="7881" spans="1:14" x14ac:dyDescent="0.3">
      <c r="A7881" s="42"/>
      <c r="C7881" s="52"/>
      <c r="D7881"/>
      <c r="E7881"/>
      <c r="F7881"/>
      <c r="N7881" s="44"/>
    </row>
    <row r="7882" spans="1:14" x14ac:dyDescent="0.3">
      <c r="A7882" s="42"/>
      <c r="C7882" s="52"/>
      <c r="D7882"/>
      <c r="E7882"/>
      <c r="F7882"/>
      <c r="N7882" s="44"/>
    </row>
    <row r="7883" spans="1:14" x14ac:dyDescent="0.3">
      <c r="A7883" s="42"/>
      <c r="C7883" s="52"/>
      <c r="D7883"/>
      <c r="E7883"/>
      <c r="F7883"/>
      <c r="N7883" s="44"/>
    </row>
    <row r="7884" spans="1:14" x14ac:dyDescent="0.3">
      <c r="A7884" s="42"/>
      <c r="C7884" s="52"/>
      <c r="D7884"/>
      <c r="E7884"/>
      <c r="F7884"/>
      <c r="N7884" s="44"/>
    </row>
    <row r="7885" spans="1:14" x14ac:dyDescent="0.3">
      <c r="A7885" s="42"/>
      <c r="C7885" s="52"/>
      <c r="D7885"/>
      <c r="E7885"/>
      <c r="F7885"/>
      <c r="N7885" s="44"/>
    </row>
    <row r="7886" spans="1:14" x14ac:dyDescent="0.3">
      <c r="A7886" s="42"/>
      <c r="C7886" s="52"/>
      <c r="D7886"/>
      <c r="E7886"/>
      <c r="F7886"/>
      <c r="N7886" s="44"/>
    </row>
    <row r="7887" spans="1:14" x14ac:dyDescent="0.3">
      <c r="A7887" s="42"/>
      <c r="C7887" s="52"/>
      <c r="D7887"/>
      <c r="E7887"/>
      <c r="F7887"/>
      <c r="N7887" s="44"/>
    </row>
    <row r="7888" spans="1:14" x14ac:dyDescent="0.3">
      <c r="A7888" s="42"/>
      <c r="C7888" s="52"/>
      <c r="D7888"/>
      <c r="E7888"/>
      <c r="F7888"/>
      <c r="N7888" s="44"/>
    </row>
    <row r="7889" spans="1:14" x14ac:dyDescent="0.3">
      <c r="A7889" s="42"/>
      <c r="C7889" s="52"/>
      <c r="D7889"/>
      <c r="E7889"/>
      <c r="F7889"/>
      <c r="N7889" s="44"/>
    </row>
    <row r="7890" spans="1:14" x14ac:dyDescent="0.3">
      <c r="A7890" s="42"/>
      <c r="C7890" s="52"/>
      <c r="D7890"/>
      <c r="E7890"/>
      <c r="F7890"/>
      <c r="N7890" s="44"/>
    </row>
    <row r="7891" spans="1:14" x14ac:dyDescent="0.3">
      <c r="A7891" s="42"/>
      <c r="C7891" s="52"/>
      <c r="D7891"/>
      <c r="E7891"/>
      <c r="F7891"/>
      <c r="N7891" s="44"/>
    </row>
    <row r="7892" spans="1:14" x14ac:dyDescent="0.3">
      <c r="A7892" s="42"/>
      <c r="C7892" s="52"/>
      <c r="D7892"/>
      <c r="E7892"/>
      <c r="F7892"/>
      <c r="N7892" s="44"/>
    </row>
    <row r="7893" spans="1:14" x14ac:dyDescent="0.3">
      <c r="A7893" s="42"/>
      <c r="C7893" s="52"/>
      <c r="D7893"/>
      <c r="E7893"/>
      <c r="F7893"/>
      <c r="N7893" s="44"/>
    </row>
    <row r="7894" spans="1:14" x14ac:dyDescent="0.3">
      <c r="A7894" s="42"/>
      <c r="C7894" s="52"/>
      <c r="D7894"/>
      <c r="E7894"/>
      <c r="F7894"/>
      <c r="N7894" s="44"/>
    </row>
    <row r="7895" spans="1:14" x14ac:dyDescent="0.3">
      <c r="A7895" s="42"/>
      <c r="C7895" s="52"/>
      <c r="D7895"/>
      <c r="E7895"/>
      <c r="F7895"/>
      <c r="N7895" s="44"/>
    </row>
    <row r="7896" spans="1:14" x14ac:dyDescent="0.3">
      <c r="A7896" s="42"/>
      <c r="C7896" s="52"/>
      <c r="D7896"/>
      <c r="E7896"/>
      <c r="F7896"/>
      <c r="N7896" s="44"/>
    </row>
    <row r="7897" spans="1:14" x14ac:dyDescent="0.3">
      <c r="A7897" s="42"/>
      <c r="C7897" s="52"/>
      <c r="D7897"/>
      <c r="E7897"/>
      <c r="F7897"/>
      <c r="N7897" s="44"/>
    </row>
    <row r="7898" spans="1:14" x14ac:dyDescent="0.3">
      <c r="A7898" s="42"/>
      <c r="C7898" s="52"/>
      <c r="D7898"/>
      <c r="E7898"/>
      <c r="F7898"/>
      <c r="N7898" s="44"/>
    </row>
    <row r="7899" spans="1:14" x14ac:dyDescent="0.3">
      <c r="A7899" s="42"/>
      <c r="C7899" s="52"/>
      <c r="D7899"/>
      <c r="E7899"/>
      <c r="F7899"/>
      <c r="N7899" s="44"/>
    </row>
    <row r="7900" spans="1:14" x14ac:dyDescent="0.3">
      <c r="A7900" s="42"/>
      <c r="C7900" s="52"/>
      <c r="D7900"/>
      <c r="E7900"/>
      <c r="F7900"/>
      <c r="N7900" s="44"/>
    </row>
    <row r="7901" spans="1:14" x14ac:dyDescent="0.3">
      <c r="A7901" s="42"/>
      <c r="C7901" s="52"/>
      <c r="D7901"/>
      <c r="E7901"/>
      <c r="F7901"/>
      <c r="N7901" s="44"/>
    </row>
    <row r="7902" spans="1:14" x14ac:dyDescent="0.3">
      <c r="A7902" s="42"/>
      <c r="C7902" s="52"/>
      <c r="D7902"/>
      <c r="E7902"/>
      <c r="F7902"/>
      <c r="N7902" s="44"/>
    </row>
    <row r="7903" spans="1:14" x14ac:dyDescent="0.3">
      <c r="A7903" s="42"/>
      <c r="C7903" s="52"/>
      <c r="D7903"/>
      <c r="E7903"/>
      <c r="F7903"/>
      <c r="N7903" s="44"/>
    </row>
    <row r="7904" spans="1:14" x14ac:dyDescent="0.3">
      <c r="A7904" s="42"/>
      <c r="C7904" s="52"/>
      <c r="D7904"/>
      <c r="E7904"/>
      <c r="F7904"/>
      <c r="N7904" s="44"/>
    </row>
    <row r="7905" spans="1:14" x14ac:dyDescent="0.3">
      <c r="A7905" s="42"/>
      <c r="C7905" s="52"/>
      <c r="D7905"/>
      <c r="E7905"/>
      <c r="F7905"/>
      <c r="N7905" s="44"/>
    </row>
    <row r="7906" spans="1:14" x14ac:dyDescent="0.3">
      <c r="A7906" s="42"/>
      <c r="C7906" s="52"/>
      <c r="D7906"/>
      <c r="E7906"/>
      <c r="F7906"/>
      <c r="N7906" s="44"/>
    </row>
    <row r="7907" spans="1:14" x14ac:dyDescent="0.3">
      <c r="A7907" s="42"/>
      <c r="C7907" s="52"/>
      <c r="D7907"/>
      <c r="E7907"/>
      <c r="F7907"/>
      <c r="N7907" s="44"/>
    </row>
    <row r="7908" spans="1:14" x14ac:dyDescent="0.3">
      <c r="A7908" s="42"/>
      <c r="C7908" s="52"/>
      <c r="D7908"/>
      <c r="E7908"/>
      <c r="F7908"/>
      <c r="N7908" s="44"/>
    </row>
    <row r="7909" spans="1:14" x14ac:dyDescent="0.3">
      <c r="A7909" s="42"/>
      <c r="C7909" s="52"/>
      <c r="D7909"/>
      <c r="E7909"/>
      <c r="F7909"/>
      <c r="N7909" s="44"/>
    </row>
    <row r="7910" spans="1:14" x14ac:dyDescent="0.3">
      <c r="A7910" s="42"/>
      <c r="C7910" s="52"/>
      <c r="D7910"/>
      <c r="E7910"/>
      <c r="F7910"/>
      <c r="N7910" s="44"/>
    </row>
    <row r="7911" spans="1:14" x14ac:dyDescent="0.3">
      <c r="A7911" s="42"/>
      <c r="C7911" s="52"/>
      <c r="D7911"/>
      <c r="E7911"/>
      <c r="F7911"/>
      <c r="N7911" s="44"/>
    </row>
    <row r="7912" spans="1:14" x14ac:dyDescent="0.3">
      <c r="A7912" s="42"/>
      <c r="C7912" s="52"/>
      <c r="D7912"/>
      <c r="E7912"/>
      <c r="F7912"/>
      <c r="N7912" s="44"/>
    </row>
    <row r="7913" spans="1:14" x14ac:dyDescent="0.3">
      <c r="A7913" s="42"/>
      <c r="C7913" s="52"/>
      <c r="D7913"/>
      <c r="E7913"/>
      <c r="F7913"/>
      <c r="N7913" s="44"/>
    </row>
    <row r="7914" spans="1:14" x14ac:dyDescent="0.3">
      <c r="A7914" s="42"/>
      <c r="C7914" s="52"/>
      <c r="D7914"/>
      <c r="E7914"/>
      <c r="F7914"/>
      <c r="N7914" s="44"/>
    </row>
    <row r="7915" spans="1:14" x14ac:dyDescent="0.3">
      <c r="A7915" s="42"/>
      <c r="C7915" s="52"/>
      <c r="D7915"/>
      <c r="E7915"/>
      <c r="F7915"/>
      <c r="N7915" s="44"/>
    </row>
    <row r="7916" spans="1:14" x14ac:dyDescent="0.3">
      <c r="A7916" s="42"/>
      <c r="C7916" s="52"/>
      <c r="D7916"/>
      <c r="E7916"/>
      <c r="F7916"/>
      <c r="N7916" s="44"/>
    </row>
    <row r="7917" spans="1:14" x14ac:dyDescent="0.3">
      <c r="A7917" s="42"/>
      <c r="C7917" s="52"/>
      <c r="D7917"/>
      <c r="E7917"/>
      <c r="F7917"/>
      <c r="N7917" s="44"/>
    </row>
    <row r="7918" spans="1:14" x14ac:dyDescent="0.3">
      <c r="A7918" s="42"/>
      <c r="C7918" s="52"/>
      <c r="D7918"/>
      <c r="E7918"/>
      <c r="F7918"/>
      <c r="N7918" s="44"/>
    </row>
    <row r="7919" spans="1:14" x14ac:dyDescent="0.3">
      <c r="A7919" s="42"/>
      <c r="C7919" s="52"/>
      <c r="D7919"/>
      <c r="E7919"/>
      <c r="F7919"/>
      <c r="N7919" s="44"/>
    </row>
    <row r="7920" spans="1:14" x14ac:dyDescent="0.3">
      <c r="A7920" s="42"/>
      <c r="C7920" s="52"/>
      <c r="D7920"/>
      <c r="E7920"/>
      <c r="F7920"/>
      <c r="N7920" s="44"/>
    </row>
    <row r="7921" spans="1:14" x14ac:dyDescent="0.3">
      <c r="A7921" s="42"/>
      <c r="C7921" s="52"/>
      <c r="D7921"/>
      <c r="E7921"/>
      <c r="F7921"/>
      <c r="N7921" s="44"/>
    </row>
    <row r="7922" spans="1:14" x14ac:dyDescent="0.3">
      <c r="A7922" s="42"/>
      <c r="C7922" s="52"/>
      <c r="D7922"/>
      <c r="E7922"/>
      <c r="F7922"/>
      <c r="N7922" s="44"/>
    </row>
    <row r="7923" spans="1:14" x14ac:dyDescent="0.3">
      <c r="A7923" s="42"/>
      <c r="C7923" s="52"/>
      <c r="D7923"/>
      <c r="E7923"/>
      <c r="F7923"/>
      <c r="N7923" s="44"/>
    </row>
    <row r="7924" spans="1:14" x14ac:dyDescent="0.3">
      <c r="A7924" s="42"/>
      <c r="C7924" s="52"/>
      <c r="D7924"/>
      <c r="E7924"/>
      <c r="F7924"/>
      <c r="N7924" s="44"/>
    </row>
    <row r="7925" spans="1:14" x14ac:dyDescent="0.3">
      <c r="A7925" s="42"/>
      <c r="C7925" s="52"/>
      <c r="D7925"/>
      <c r="E7925"/>
      <c r="F7925"/>
      <c r="N7925" s="44"/>
    </row>
    <row r="7926" spans="1:14" x14ac:dyDescent="0.3">
      <c r="A7926" s="42"/>
      <c r="C7926" s="52"/>
      <c r="D7926"/>
      <c r="E7926"/>
      <c r="F7926"/>
      <c r="N7926" s="44"/>
    </row>
    <row r="7927" spans="1:14" x14ac:dyDescent="0.3">
      <c r="A7927" s="42"/>
      <c r="C7927" s="52"/>
      <c r="D7927"/>
      <c r="E7927"/>
      <c r="F7927"/>
      <c r="N7927" s="44"/>
    </row>
    <row r="7928" spans="1:14" x14ac:dyDescent="0.3">
      <c r="A7928" s="42"/>
      <c r="C7928" s="52"/>
      <c r="D7928"/>
      <c r="E7928"/>
      <c r="F7928"/>
      <c r="N7928" s="44"/>
    </row>
    <row r="7929" spans="1:14" x14ac:dyDescent="0.3">
      <c r="A7929" s="42"/>
      <c r="C7929" s="52"/>
      <c r="D7929"/>
      <c r="E7929"/>
      <c r="F7929"/>
      <c r="N7929" s="44"/>
    </row>
    <row r="7930" spans="1:14" x14ac:dyDescent="0.3">
      <c r="A7930" s="42"/>
      <c r="C7930" s="52"/>
      <c r="D7930"/>
      <c r="E7930"/>
      <c r="F7930"/>
      <c r="N7930" s="44"/>
    </row>
    <row r="7931" spans="1:14" x14ac:dyDescent="0.3">
      <c r="A7931" s="42"/>
      <c r="C7931" s="52"/>
      <c r="D7931"/>
      <c r="E7931"/>
      <c r="F7931"/>
      <c r="N7931" s="44"/>
    </row>
    <row r="7932" spans="1:14" x14ac:dyDescent="0.3">
      <c r="A7932" s="42"/>
      <c r="C7932" s="52"/>
      <c r="D7932"/>
      <c r="E7932"/>
      <c r="F7932"/>
      <c r="N7932" s="44"/>
    </row>
    <row r="7933" spans="1:14" x14ac:dyDescent="0.3">
      <c r="A7933" s="42"/>
      <c r="C7933" s="52"/>
      <c r="D7933"/>
      <c r="E7933"/>
      <c r="F7933"/>
      <c r="N7933" s="44"/>
    </row>
    <row r="7934" spans="1:14" x14ac:dyDescent="0.3">
      <c r="A7934" s="42"/>
      <c r="C7934" s="52"/>
      <c r="D7934"/>
      <c r="E7934"/>
      <c r="F7934"/>
      <c r="N7934" s="44"/>
    </row>
    <row r="7935" spans="1:14" x14ac:dyDescent="0.3">
      <c r="A7935" s="42"/>
      <c r="C7935" s="52"/>
      <c r="D7935"/>
      <c r="E7935"/>
      <c r="F7935"/>
      <c r="M7935" s="45"/>
      <c r="N7935" s="44"/>
    </row>
    <row r="7936" spans="1:14" x14ac:dyDescent="0.3">
      <c r="A7936" s="42"/>
      <c r="C7936" s="52"/>
      <c r="D7936"/>
      <c r="E7936"/>
      <c r="F7936"/>
      <c r="N7936" s="44"/>
    </row>
    <row r="7937" spans="1:14" x14ac:dyDescent="0.3">
      <c r="A7937" s="42"/>
      <c r="C7937" s="52"/>
      <c r="D7937"/>
      <c r="E7937"/>
      <c r="F7937"/>
      <c r="N7937" s="44"/>
    </row>
    <row r="7938" spans="1:14" x14ac:dyDescent="0.3">
      <c r="A7938" s="42"/>
      <c r="C7938" s="52"/>
      <c r="D7938"/>
      <c r="E7938"/>
      <c r="F7938"/>
      <c r="N7938" s="44"/>
    </row>
    <row r="7939" spans="1:14" x14ac:dyDescent="0.3">
      <c r="A7939" s="42"/>
      <c r="C7939" s="52"/>
      <c r="D7939"/>
      <c r="E7939"/>
      <c r="F7939"/>
      <c r="N7939" s="44"/>
    </row>
    <row r="7940" spans="1:14" x14ac:dyDescent="0.3">
      <c r="A7940" s="42"/>
      <c r="C7940" s="52"/>
      <c r="D7940"/>
      <c r="E7940"/>
      <c r="F7940"/>
      <c r="N7940" s="44"/>
    </row>
    <row r="7941" spans="1:14" x14ac:dyDescent="0.3">
      <c r="A7941" s="42"/>
      <c r="C7941" s="52"/>
      <c r="D7941"/>
      <c r="E7941"/>
      <c r="F7941"/>
      <c r="N7941" s="44"/>
    </row>
    <row r="7942" spans="1:14" x14ac:dyDescent="0.3">
      <c r="A7942" s="42"/>
      <c r="C7942" s="52"/>
      <c r="D7942"/>
      <c r="E7942"/>
      <c r="F7942"/>
      <c r="N7942" s="44"/>
    </row>
    <row r="7943" spans="1:14" x14ac:dyDescent="0.3">
      <c r="A7943" s="42"/>
      <c r="C7943" s="52"/>
      <c r="D7943"/>
      <c r="E7943"/>
      <c r="F7943"/>
      <c r="N7943" s="44"/>
    </row>
    <row r="7944" spans="1:14" x14ac:dyDescent="0.3">
      <c r="A7944" s="42"/>
      <c r="C7944" s="52"/>
      <c r="D7944"/>
      <c r="E7944"/>
      <c r="F7944"/>
      <c r="N7944" s="44"/>
    </row>
    <row r="7945" spans="1:14" x14ac:dyDescent="0.3">
      <c r="A7945" s="42"/>
      <c r="C7945" s="52"/>
      <c r="D7945"/>
      <c r="E7945"/>
      <c r="F7945"/>
      <c r="N7945" s="44"/>
    </row>
    <row r="7946" spans="1:14" x14ac:dyDescent="0.3">
      <c r="A7946" s="42"/>
      <c r="C7946" s="52"/>
      <c r="D7946"/>
      <c r="E7946"/>
      <c r="F7946"/>
      <c r="N7946" s="44"/>
    </row>
    <row r="7947" spans="1:14" x14ac:dyDescent="0.3">
      <c r="A7947" s="42"/>
      <c r="C7947" s="52"/>
      <c r="D7947"/>
      <c r="E7947"/>
      <c r="F7947"/>
      <c r="N7947" s="44"/>
    </row>
    <row r="7948" spans="1:14" x14ac:dyDescent="0.3">
      <c r="A7948" s="42"/>
      <c r="C7948" s="52"/>
      <c r="D7948"/>
      <c r="E7948"/>
      <c r="F7948"/>
      <c r="N7948" s="44"/>
    </row>
    <row r="7949" spans="1:14" x14ac:dyDescent="0.3">
      <c r="A7949" s="42"/>
      <c r="C7949" s="52"/>
      <c r="D7949"/>
      <c r="E7949"/>
      <c r="F7949"/>
      <c r="N7949" s="44"/>
    </row>
    <row r="7950" spans="1:14" x14ac:dyDescent="0.3">
      <c r="A7950" s="42"/>
      <c r="C7950" s="52"/>
      <c r="D7950"/>
      <c r="E7950"/>
      <c r="F7950"/>
      <c r="N7950" s="44"/>
    </row>
    <row r="7951" spans="1:14" x14ac:dyDescent="0.3">
      <c r="A7951" s="42"/>
      <c r="C7951" s="52"/>
      <c r="D7951"/>
      <c r="E7951"/>
      <c r="F7951"/>
      <c r="N7951" s="44"/>
    </row>
    <row r="7952" spans="1:14" x14ac:dyDescent="0.3">
      <c r="A7952" s="42"/>
      <c r="C7952" s="52"/>
      <c r="D7952"/>
      <c r="E7952"/>
      <c r="F7952"/>
      <c r="N7952" s="44"/>
    </row>
    <row r="7953" spans="1:14" x14ac:dyDescent="0.3">
      <c r="A7953" s="42"/>
      <c r="C7953" s="52"/>
      <c r="D7953"/>
      <c r="E7953"/>
      <c r="F7953"/>
      <c r="N7953" s="44"/>
    </row>
    <row r="7954" spans="1:14" x14ac:dyDescent="0.3">
      <c r="A7954" s="42"/>
      <c r="C7954" s="52"/>
      <c r="D7954"/>
      <c r="E7954"/>
      <c r="F7954"/>
      <c r="N7954" s="44"/>
    </row>
    <row r="7955" spans="1:14" x14ac:dyDescent="0.3">
      <c r="A7955" s="42"/>
      <c r="C7955" s="52"/>
      <c r="D7955"/>
      <c r="E7955"/>
      <c r="F7955"/>
      <c r="N7955" s="44"/>
    </row>
    <row r="7956" spans="1:14" x14ac:dyDescent="0.3">
      <c r="A7956" s="42"/>
      <c r="C7956" s="52"/>
      <c r="D7956"/>
      <c r="E7956"/>
      <c r="F7956"/>
      <c r="N7956" s="44"/>
    </row>
    <row r="7957" spans="1:14" x14ac:dyDescent="0.3">
      <c r="A7957" s="42"/>
      <c r="C7957" s="52"/>
      <c r="D7957"/>
      <c r="E7957"/>
      <c r="F7957"/>
      <c r="N7957" s="44"/>
    </row>
    <row r="7958" spans="1:14" x14ac:dyDescent="0.3">
      <c r="A7958" s="42"/>
      <c r="C7958" s="52"/>
      <c r="D7958"/>
      <c r="E7958"/>
      <c r="F7958"/>
      <c r="M7958" s="45"/>
      <c r="N7958" s="44"/>
    </row>
    <row r="7959" spans="1:14" x14ac:dyDescent="0.3">
      <c r="A7959" s="42"/>
      <c r="C7959" s="52"/>
      <c r="D7959"/>
      <c r="E7959"/>
      <c r="F7959"/>
      <c r="N7959" s="44"/>
    </row>
    <row r="7960" spans="1:14" x14ac:dyDescent="0.3">
      <c r="A7960" s="42"/>
      <c r="C7960" s="52"/>
      <c r="D7960"/>
      <c r="E7960"/>
      <c r="F7960"/>
      <c r="N7960" s="44"/>
    </row>
    <row r="7961" spans="1:14" x14ac:dyDescent="0.3">
      <c r="A7961" s="42"/>
      <c r="C7961" s="52"/>
      <c r="D7961"/>
      <c r="E7961"/>
      <c r="F7961"/>
      <c r="N7961" s="44"/>
    </row>
    <row r="7962" spans="1:14" x14ac:dyDescent="0.3">
      <c r="A7962" s="42"/>
      <c r="C7962" s="52"/>
      <c r="D7962"/>
      <c r="E7962"/>
      <c r="F7962"/>
      <c r="N7962" s="44"/>
    </row>
    <row r="7963" spans="1:14" x14ac:dyDescent="0.3">
      <c r="A7963" s="42"/>
      <c r="C7963" s="52"/>
      <c r="D7963"/>
      <c r="E7963"/>
      <c r="F7963"/>
      <c r="M7963" s="45"/>
      <c r="N7963" s="44"/>
    </row>
    <row r="7964" spans="1:14" x14ac:dyDescent="0.3">
      <c r="A7964" s="42"/>
      <c r="C7964" s="52"/>
      <c r="D7964"/>
      <c r="E7964"/>
      <c r="F7964"/>
      <c r="M7964" s="45"/>
      <c r="N7964" s="44"/>
    </row>
    <row r="7965" spans="1:14" x14ac:dyDescent="0.3">
      <c r="A7965" s="42"/>
      <c r="C7965" s="52"/>
      <c r="D7965"/>
      <c r="E7965"/>
      <c r="F7965"/>
      <c r="N7965" s="44"/>
    </row>
    <row r="7966" spans="1:14" x14ac:dyDescent="0.3">
      <c r="A7966" s="42"/>
      <c r="C7966" s="52"/>
      <c r="D7966"/>
      <c r="E7966"/>
      <c r="F7966"/>
      <c r="N7966" s="44"/>
    </row>
    <row r="7967" spans="1:14" x14ac:dyDescent="0.3">
      <c r="A7967" s="42"/>
      <c r="C7967" s="52"/>
      <c r="D7967"/>
      <c r="E7967"/>
      <c r="F7967"/>
      <c r="N7967" s="44"/>
    </row>
    <row r="7968" spans="1:14" x14ac:dyDescent="0.3">
      <c r="A7968" s="42"/>
      <c r="C7968" s="52"/>
      <c r="D7968"/>
      <c r="E7968"/>
      <c r="F7968"/>
      <c r="N7968" s="44"/>
    </row>
    <row r="7969" spans="1:14" x14ac:dyDescent="0.3">
      <c r="A7969" s="42"/>
      <c r="C7969" s="52"/>
      <c r="D7969"/>
      <c r="E7969"/>
      <c r="F7969"/>
      <c r="N7969" s="44"/>
    </row>
    <row r="7970" spans="1:14" x14ac:dyDescent="0.3">
      <c r="A7970" s="42"/>
      <c r="C7970" s="52"/>
      <c r="D7970"/>
      <c r="E7970"/>
      <c r="F7970"/>
      <c r="M7970" s="45"/>
      <c r="N7970" s="44"/>
    </row>
    <row r="7971" spans="1:14" x14ac:dyDescent="0.3">
      <c r="A7971" s="42"/>
      <c r="C7971" s="52"/>
      <c r="D7971"/>
      <c r="E7971"/>
      <c r="F7971"/>
      <c r="N7971" s="44"/>
    </row>
    <row r="7972" spans="1:14" x14ac:dyDescent="0.3">
      <c r="A7972" s="42"/>
      <c r="C7972" s="52"/>
      <c r="D7972"/>
      <c r="E7972"/>
      <c r="F7972"/>
      <c r="N7972" s="44"/>
    </row>
    <row r="7973" spans="1:14" x14ac:dyDescent="0.3">
      <c r="A7973" s="42"/>
      <c r="C7973" s="52"/>
      <c r="D7973"/>
      <c r="E7973"/>
      <c r="F7973"/>
      <c r="N7973" s="44"/>
    </row>
    <row r="7974" spans="1:14" x14ac:dyDescent="0.3">
      <c r="A7974" s="42"/>
      <c r="C7974" s="52"/>
      <c r="D7974"/>
      <c r="E7974"/>
      <c r="F7974"/>
      <c r="N7974" s="44"/>
    </row>
    <row r="7975" spans="1:14" x14ac:dyDescent="0.3">
      <c r="A7975" s="42"/>
      <c r="C7975" s="52"/>
      <c r="D7975"/>
      <c r="E7975"/>
      <c r="F7975"/>
      <c r="N7975" s="44"/>
    </row>
    <row r="7976" spans="1:14" x14ac:dyDescent="0.3">
      <c r="A7976" s="42"/>
      <c r="C7976" s="52"/>
      <c r="D7976"/>
      <c r="E7976"/>
      <c r="F7976"/>
      <c r="N7976" s="44"/>
    </row>
    <row r="7977" spans="1:14" x14ac:dyDescent="0.3">
      <c r="A7977" s="42"/>
      <c r="C7977" s="52"/>
      <c r="D7977"/>
      <c r="E7977"/>
      <c r="F7977"/>
      <c r="N7977" s="44"/>
    </row>
    <row r="7978" spans="1:14" x14ac:dyDescent="0.3">
      <c r="A7978" s="42"/>
      <c r="C7978" s="52"/>
      <c r="D7978"/>
      <c r="E7978"/>
      <c r="F7978"/>
      <c r="N7978" s="44"/>
    </row>
    <row r="7979" spans="1:14" x14ac:dyDescent="0.3">
      <c r="A7979" s="42"/>
      <c r="C7979" s="52"/>
      <c r="D7979"/>
      <c r="E7979"/>
      <c r="F7979"/>
      <c r="N7979" s="44"/>
    </row>
    <row r="7980" spans="1:14" x14ac:dyDescent="0.3">
      <c r="A7980" s="42"/>
      <c r="C7980" s="52"/>
      <c r="D7980"/>
      <c r="E7980"/>
      <c r="F7980"/>
      <c r="N7980" s="44"/>
    </row>
    <row r="7981" spans="1:14" x14ac:dyDescent="0.3">
      <c r="A7981" s="42"/>
      <c r="C7981" s="52"/>
      <c r="D7981"/>
      <c r="E7981"/>
      <c r="F7981"/>
      <c r="N7981" s="44"/>
    </row>
    <row r="7982" spans="1:14" x14ac:dyDescent="0.3">
      <c r="A7982" s="42"/>
      <c r="C7982" s="52"/>
      <c r="D7982"/>
      <c r="E7982"/>
      <c r="F7982"/>
      <c r="N7982" s="44"/>
    </row>
    <row r="7983" spans="1:14" x14ac:dyDescent="0.3">
      <c r="A7983" s="42"/>
      <c r="C7983" s="52"/>
      <c r="D7983"/>
      <c r="E7983"/>
      <c r="F7983"/>
      <c r="N7983" s="44"/>
    </row>
    <row r="7984" spans="1:14" x14ac:dyDescent="0.3">
      <c r="A7984" s="42"/>
      <c r="C7984" s="52"/>
      <c r="D7984"/>
      <c r="E7984"/>
      <c r="F7984"/>
      <c r="N7984" s="44"/>
    </row>
    <row r="7985" spans="1:14" x14ac:dyDescent="0.3">
      <c r="A7985" s="42"/>
      <c r="C7985" s="52"/>
      <c r="D7985"/>
      <c r="E7985"/>
      <c r="F7985"/>
      <c r="N7985" s="44"/>
    </row>
    <row r="7986" spans="1:14" x14ac:dyDescent="0.3">
      <c r="A7986" s="42"/>
      <c r="C7986" s="52"/>
      <c r="D7986"/>
      <c r="E7986"/>
      <c r="F7986"/>
      <c r="N7986" s="44"/>
    </row>
    <row r="7987" spans="1:14" x14ac:dyDescent="0.3">
      <c r="A7987" s="42"/>
      <c r="C7987" s="52"/>
      <c r="D7987"/>
      <c r="E7987"/>
      <c r="F7987"/>
      <c r="N7987" s="44"/>
    </row>
    <row r="7988" spans="1:14" x14ac:dyDescent="0.3">
      <c r="A7988" s="42"/>
      <c r="C7988" s="52"/>
      <c r="D7988"/>
      <c r="E7988"/>
      <c r="F7988"/>
      <c r="N7988" s="44"/>
    </row>
    <row r="7989" spans="1:14" x14ac:dyDescent="0.3">
      <c r="A7989" s="42"/>
      <c r="C7989" s="52"/>
      <c r="D7989"/>
      <c r="E7989"/>
      <c r="F7989"/>
      <c r="N7989" s="44"/>
    </row>
    <row r="7990" spans="1:14" x14ac:dyDescent="0.3">
      <c r="A7990" s="42"/>
      <c r="C7990" s="52"/>
      <c r="D7990"/>
      <c r="E7990"/>
      <c r="F7990"/>
      <c r="N7990" s="44"/>
    </row>
    <row r="7991" spans="1:14" x14ac:dyDescent="0.3">
      <c r="A7991" s="42"/>
      <c r="C7991" s="52"/>
      <c r="D7991"/>
      <c r="E7991"/>
      <c r="F7991"/>
      <c r="N7991" s="44"/>
    </row>
    <row r="7992" spans="1:14" x14ac:dyDescent="0.3">
      <c r="A7992" s="42"/>
      <c r="C7992" s="52"/>
      <c r="D7992"/>
      <c r="E7992"/>
      <c r="F7992"/>
      <c r="N7992" s="44"/>
    </row>
    <row r="7993" spans="1:14" x14ac:dyDescent="0.3">
      <c r="A7993" s="42"/>
      <c r="C7993" s="52"/>
      <c r="D7993"/>
      <c r="E7993"/>
      <c r="F7993"/>
      <c r="N7993" s="44"/>
    </row>
    <row r="7994" spans="1:14" x14ac:dyDescent="0.3">
      <c r="A7994" s="42"/>
      <c r="C7994" s="52"/>
      <c r="D7994"/>
      <c r="E7994"/>
      <c r="F7994"/>
      <c r="N7994" s="44"/>
    </row>
    <row r="7995" spans="1:14" x14ac:dyDescent="0.3">
      <c r="A7995" s="42"/>
      <c r="C7995" s="52"/>
      <c r="D7995"/>
      <c r="E7995"/>
      <c r="F7995"/>
      <c r="N7995" s="44"/>
    </row>
    <row r="7996" spans="1:14" x14ac:dyDescent="0.3">
      <c r="A7996" s="42"/>
      <c r="C7996" s="52"/>
      <c r="D7996"/>
      <c r="E7996"/>
      <c r="F7996"/>
      <c r="N7996" s="44"/>
    </row>
    <row r="7997" spans="1:14" x14ac:dyDescent="0.3">
      <c r="A7997" s="42"/>
      <c r="C7997" s="52"/>
      <c r="D7997"/>
      <c r="E7997"/>
      <c r="F7997"/>
      <c r="N7997" s="44"/>
    </row>
    <row r="7998" spans="1:14" x14ac:dyDescent="0.3">
      <c r="A7998" s="42"/>
      <c r="C7998" s="52"/>
      <c r="D7998"/>
      <c r="E7998"/>
      <c r="F7998"/>
      <c r="N7998" s="44"/>
    </row>
    <row r="7999" spans="1:14" x14ac:dyDescent="0.3">
      <c r="A7999" s="42"/>
      <c r="C7999" s="52"/>
      <c r="D7999"/>
      <c r="E7999"/>
      <c r="F7999"/>
      <c r="N7999" s="44"/>
    </row>
    <row r="8000" spans="1:14" x14ac:dyDescent="0.3">
      <c r="A8000" s="42"/>
      <c r="C8000" s="52"/>
      <c r="D8000"/>
      <c r="E8000"/>
      <c r="F8000"/>
      <c r="N8000" s="44"/>
    </row>
    <row r="8001" spans="1:14" x14ac:dyDescent="0.3">
      <c r="A8001" s="42"/>
      <c r="C8001" s="52"/>
      <c r="D8001"/>
      <c r="E8001"/>
      <c r="F8001"/>
      <c r="N8001" s="44"/>
    </row>
    <row r="8002" spans="1:14" x14ac:dyDescent="0.3">
      <c r="A8002" s="42"/>
      <c r="C8002" s="52"/>
      <c r="D8002"/>
      <c r="E8002"/>
      <c r="F8002"/>
      <c r="N8002" s="44"/>
    </row>
    <row r="8003" spans="1:14" x14ac:dyDescent="0.3">
      <c r="A8003" s="42"/>
      <c r="C8003" s="52"/>
      <c r="D8003"/>
      <c r="E8003"/>
      <c r="F8003"/>
      <c r="N8003" s="44"/>
    </row>
    <row r="8004" spans="1:14" x14ac:dyDescent="0.3">
      <c r="A8004" s="42"/>
      <c r="C8004" s="52"/>
      <c r="D8004"/>
      <c r="E8004"/>
      <c r="F8004"/>
      <c r="N8004" s="44"/>
    </row>
    <row r="8005" spans="1:14" x14ac:dyDescent="0.3">
      <c r="A8005" s="42"/>
      <c r="C8005" s="52"/>
      <c r="D8005"/>
      <c r="E8005"/>
      <c r="F8005"/>
      <c r="M8005" s="45"/>
      <c r="N8005" s="44"/>
    </row>
    <row r="8006" spans="1:14" x14ac:dyDescent="0.3">
      <c r="A8006" s="42"/>
      <c r="C8006" s="52"/>
      <c r="D8006"/>
      <c r="E8006"/>
      <c r="F8006"/>
      <c r="N8006" s="44"/>
    </row>
    <row r="8007" spans="1:14" x14ac:dyDescent="0.3">
      <c r="A8007" s="42"/>
      <c r="C8007" s="52"/>
      <c r="D8007"/>
      <c r="E8007"/>
      <c r="F8007"/>
      <c r="N8007" s="44"/>
    </row>
    <row r="8008" spans="1:14" x14ac:dyDescent="0.3">
      <c r="A8008" s="42"/>
      <c r="C8008" s="52"/>
      <c r="D8008"/>
      <c r="E8008"/>
      <c r="F8008"/>
      <c r="N8008" s="44"/>
    </row>
    <row r="8009" spans="1:14" x14ac:dyDescent="0.3">
      <c r="A8009" s="42"/>
      <c r="C8009" s="52"/>
      <c r="D8009"/>
      <c r="E8009"/>
      <c r="F8009"/>
      <c r="N8009" s="44"/>
    </row>
    <row r="8010" spans="1:14" x14ac:dyDescent="0.3">
      <c r="A8010" s="42"/>
      <c r="C8010" s="52"/>
      <c r="D8010"/>
      <c r="E8010"/>
      <c r="F8010"/>
      <c r="N8010" s="44"/>
    </row>
    <row r="8011" spans="1:14" x14ac:dyDescent="0.3">
      <c r="A8011" s="42"/>
      <c r="C8011" s="52"/>
      <c r="D8011"/>
      <c r="E8011"/>
      <c r="F8011"/>
      <c r="N8011" s="44"/>
    </row>
    <row r="8012" spans="1:14" x14ac:dyDescent="0.3">
      <c r="A8012" s="42"/>
      <c r="C8012" s="52"/>
      <c r="D8012"/>
      <c r="E8012"/>
      <c r="F8012"/>
      <c r="N8012" s="44"/>
    </row>
    <row r="8013" spans="1:14" x14ac:dyDescent="0.3">
      <c r="A8013" s="42"/>
      <c r="C8013" s="52"/>
      <c r="D8013"/>
      <c r="E8013"/>
      <c r="F8013"/>
      <c r="N8013" s="44"/>
    </row>
    <row r="8014" spans="1:14" x14ac:dyDescent="0.3">
      <c r="A8014" s="42"/>
      <c r="C8014" s="52"/>
      <c r="D8014"/>
      <c r="E8014"/>
      <c r="F8014"/>
      <c r="N8014" s="44"/>
    </row>
    <row r="8015" spans="1:14" x14ac:dyDescent="0.3">
      <c r="A8015" s="42"/>
      <c r="C8015" s="52"/>
      <c r="D8015"/>
      <c r="E8015"/>
      <c r="F8015"/>
      <c r="N8015" s="44"/>
    </row>
    <row r="8016" spans="1:14" x14ac:dyDescent="0.3">
      <c r="A8016" s="42"/>
      <c r="C8016" s="52"/>
      <c r="D8016"/>
      <c r="E8016"/>
      <c r="F8016"/>
      <c r="N8016" s="44"/>
    </row>
    <row r="8017" spans="1:14" x14ac:dyDescent="0.3">
      <c r="A8017" s="42"/>
      <c r="C8017" s="52"/>
      <c r="D8017"/>
      <c r="E8017"/>
      <c r="F8017"/>
      <c r="N8017" s="44"/>
    </row>
    <row r="8018" spans="1:14" x14ac:dyDescent="0.3">
      <c r="A8018" s="42"/>
      <c r="C8018" s="52"/>
      <c r="D8018"/>
      <c r="E8018"/>
      <c r="F8018"/>
      <c r="N8018" s="44"/>
    </row>
    <row r="8019" spans="1:14" x14ac:dyDescent="0.3">
      <c r="A8019" s="42"/>
      <c r="C8019" s="52"/>
      <c r="D8019"/>
      <c r="E8019"/>
      <c r="F8019"/>
      <c r="N8019" s="44"/>
    </row>
    <row r="8020" spans="1:14" x14ac:dyDescent="0.3">
      <c r="A8020" s="42"/>
      <c r="C8020" s="52"/>
      <c r="D8020"/>
      <c r="E8020"/>
      <c r="F8020"/>
      <c r="N8020" s="44"/>
    </row>
    <row r="8021" spans="1:14" x14ac:dyDescent="0.3">
      <c r="A8021" s="42"/>
      <c r="C8021" s="52"/>
      <c r="D8021"/>
      <c r="E8021"/>
      <c r="F8021"/>
      <c r="N8021" s="44"/>
    </row>
    <row r="8022" spans="1:14" x14ac:dyDescent="0.3">
      <c r="A8022" s="42"/>
      <c r="C8022" s="52"/>
      <c r="D8022"/>
      <c r="E8022"/>
      <c r="F8022"/>
      <c r="N8022" s="44"/>
    </row>
    <row r="8023" spans="1:14" x14ac:dyDescent="0.3">
      <c r="A8023" s="42"/>
      <c r="C8023" s="52"/>
      <c r="D8023"/>
      <c r="E8023"/>
      <c r="F8023"/>
      <c r="N8023" s="44"/>
    </row>
    <row r="8024" spans="1:14" x14ac:dyDescent="0.3">
      <c r="A8024" s="42"/>
      <c r="C8024" s="52"/>
      <c r="D8024"/>
      <c r="E8024"/>
      <c r="F8024"/>
      <c r="N8024" s="44"/>
    </row>
    <row r="8025" spans="1:14" x14ac:dyDescent="0.3">
      <c r="A8025" s="42"/>
      <c r="C8025" s="52"/>
      <c r="D8025"/>
      <c r="E8025"/>
      <c r="F8025"/>
      <c r="N8025" s="44"/>
    </row>
    <row r="8026" spans="1:14" x14ac:dyDescent="0.3">
      <c r="A8026" s="42"/>
      <c r="C8026" s="52"/>
      <c r="D8026"/>
      <c r="E8026"/>
      <c r="F8026"/>
      <c r="N8026" s="44"/>
    </row>
    <row r="8027" spans="1:14" x14ac:dyDescent="0.3">
      <c r="A8027" s="42"/>
      <c r="C8027" s="52"/>
      <c r="D8027"/>
      <c r="E8027"/>
      <c r="F8027"/>
      <c r="N8027" s="44"/>
    </row>
    <row r="8028" spans="1:14" x14ac:dyDescent="0.3">
      <c r="A8028" s="42"/>
      <c r="C8028" s="52"/>
      <c r="D8028"/>
      <c r="E8028"/>
      <c r="F8028"/>
      <c r="N8028" s="44"/>
    </row>
    <row r="8029" spans="1:14" x14ac:dyDescent="0.3">
      <c r="A8029" s="42"/>
      <c r="C8029" s="52"/>
      <c r="D8029"/>
      <c r="E8029"/>
      <c r="F8029"/>
      <c r="N8029" s="44"/>
    </row>
    <row r="8030" spans="1:14" x14ac:dyDescent="0.3">
      <c r="A8030" s="42"/>
      <c r="C8030" s="52"/>
      <c r="D8030"/>
      <c r="E8030"/>
      <c r="F8030"/>
      <c r="N8030" s="44"/>
    </row>
    <row r="8031" spans="1:14" x14ac:dyDescent="0.3">
      <c r="A8031" s="42"/>
      <c r="C8031" s="52"/>
      <c r="D8031"/>
      <c r="E8031"/>
      <c r="F8031"/>
      <c r="N8031" s="44"/>
    </row>
    <row r="8032" spans="1:14" x14ac:dyDescent="0.3">
      <c r="A8032" s="42"/>
      <c r="C8032" s="52"/>
      <c r="D8032"/>
      <c r="E8032"/>
      <c r="F8032"/>
      <c r="N8032" s="44"/>
    </row>
    <row r="8033" spans="1:14" x14ac:dyDescent="0.3">
      <c r="A8033" s="42"/>
      <c r="C8033" s="52"/>
      <c r="D8033"/>
      <c r="E8033"/>
      <c r="F8033"/>
      <c r="N8033" s="44"/>
    </row>
    <row r="8034" spans="1:14" x14ac:dyDescent="0.3">
      <c r="A8034" s="42"/>
      <c r="C8034" s="52"/>
      <c r="D8034"/>
      <c r="E8034"/>
      <c r="F8034"/>
      <c r="N8034" s="44"/>
    </row>
    <row r="8035" spans="1:14" x14ac:dyDescent="0.3">
      <c r="A8035" s="42"/>
      <c r="C8035" s="52"/>
      <c r="D8035"/>
      <c r="E8035"/>
      <c r="F8035"/>
      <c r="N8035" s="44"/>
    </row>
    <row r="8036" spans="1:14" x14ac:dyDescent="0.3">
      <c r="A8036" s="42"/>
      <c r="C8036" s="52"/>
      <c r="D8036"/>
      <c r="E8036"/>
      <c r="F8036"/>
      <c r="N8036" s="44"/>
    </row>
    <row r="8037" spans="1:14" x14ac:dyDescent="0.3">
      <c r="A8037" s="42"/>
      <c r="C8037" s="52"/>
      <c r="D8037"/>
      <c r="E8037"/>
      <c r="F8037"/>
      <c r="N8037" s="44"/>
    </row>
    <row r="8038" spans="1:14" x14ac:dyDescent="0.3">
      <c r="A8038" s="42"/>
      <c r="C8038" s="52"/>
      <c r="D8038"/>
      <c r="E8038"/>
      <c r="F8038"/>
      <c r="N8038" s="44"/>
    </row>
    <row r="8039" spans="1:14" x14ac:dyDescent="0.3">
      <c r="A8039" s="42"/>
      <c r="C8039" s="52"/>
      <c r="D8039"/>
      <c r="E8039"/>
      <c r="F8039"/>
      <c r="N8039" s="44"/>
    </row>
    <row r="8040" spans="1:14" x14ac:dyDescent="0.3">
      <c r="A8040" s="42"/>
      <c r="C8040" s="52"/>
      <c r="D8040"/>
      <c r="E8040"/>
      <c r="F8040"/>
      <c r="N8040" s="44"/>
    </row>
    <row r="8041" spans="1:14" x14ac:dyDescent="0.3">
      <c r="A8041" s="42"/>
      <c r="C8041" s="52"/>
      <c r="D8041"/>
      <c r="E8041"/>
      <c r="F8041"/>
      <c r="N8041" s="44"/>
    </row>
    <row r="8042" spans="1:14" x14ac:dyDescent="0.3">
      <c r="A8042" s="42"/>
      <c r="C8042" s="52"/>
      <c r="D8042"/>
      <c r="E8042"/>
      <c r="F8042"/>
      <c r="N8042" s="44"/>
    </row>
    <row r="8043" spans="1:14" x14ac:dyDescent="0.3">
      <c r="A8043" s="42"/>
      <c r="C8043" s="52"/>
      <c r="D8043"/>
      <c r="E8043"/>
      <c r="F8043"/>
      <c r="N8043" s="44"/>
    </row>
    <row r="8044" spans="1:14" x14ac:dyDescent="0.3">
      <c r="A8044" s="42"/>
      <c r="C8044" s="52"/>
      <c r="D8044"/>
      <c r="E8044"/>
      <c r="F8044"/>
      <c r="N8044" s="44"/>
    </row>
    <row r="8045" spans="1:14" x14ac:dyDescent="0.3">
      <c r="A8045" s="42"/>
      <c r="C8045" s="52"/>
      <c r="D8045"/>
      <c r="E8045"/>
      <c r="F8045"/>
      <c r="N8045" s="44"/>
    </row>
    <row r="8046" spans="1:14" x14ac:dyDescent="0.3">
      <c r="A8046" s="42"/>
      <c r="C8046" s="52"/>
      <c r="D8046"/>
      <c r="E8046"/>
      <c r="F8046"/>
      <c r="N8046" s="44"/>
    </row>
    <row r="8047" spans="1:14" x14ac:dyDescent="0.3">
      <c r="A8047" s="42"/>
      <c r="C8047" s="52"/>
      <c r="D8047"/>
      <c r="E8047"/>
      <c r="F8047"/>
      <c r="N8047" s="44"/>
    </row>
    <row r="8048" spans="1:14" x14ac:dyDescent="0.3">
      <c r="A8048" s="42"/>
      <c r="C8048" s="52"/>
      <c r="D8048"/>
      <c r="E8048"/>
      <c r="F8048"/>
      <c r="N8048" s="44"/>
    </row>
    <row r="8049" spans="1:14" x14ac:dyDescent="0.3">
      <c r="A8049" s="42"/>
      <c r="C8049" s="52"/>
      <c r="D8049"/>
      <c r="E8049"/>
      <c r="F8049"/>
      <c r="N8049" s="44"/>
    </row>
    <row r="8050" spans="1:14" x14ac:dyDescent="0.3">
      <c r="A8050" s="42"/>
      <c r="C8050" s="52"/>
      <c r="D8050"/>
      <c r="E8050"/>
      <c r="F8050"/>
      <c r="N8050" s="44"/>
    </row>
    <row r="8051" spans="1:14" x14ac:dyDescent="0.3">
      <c r="A8051" s="42"/>
      <c r="C8051" s="52"/>
      <c r="D8051"/>
      <c r="E8051"/>
      <c r="F8051"/>
      <c r="N8051" s="44"/>
    </row>
    <row r="8052" spans="1:14" x14ac:dyDescent="0.3">
      <c r="A8052" s="42"/>
      <c r="C8052" s="52"/>
      <c r="D8052"/>
      <c r="E8052"/>
      <c r="F8052"/>
      <c r="N8052" s="44"/>
    </row>
    <row r="8053" spans="1:14" x14ac:dyDescent="0.3">
      <c r="A8053" s="42"/>
      <c r="C8053" s="52"/>
      <c r="D8053"/>
      <c r="E8053"/>
      <c r="F8053"/>
      <c r="N8053" s="44"/>
    </row>
    <row r="8054" spans="1:14" x14ac:dyDescent="0.3">
      <c r="A8054" s="42"/>
      <c r="C8054" s="52"/>
      <c r="D8054"/>
      <c r="E8054"/>
      <c r="F8054"/>
      <c r="N8054" s="44"/>
    </row>
    <row r="8055" spans="1:14" x14ac:dyDescent="0.3">
      <c r="A8055" s="42"/>
      <c r="C8055" s="52"/>
      <c r="D8055"/>
      <c r="E8055"/>
      <c r="F8055"/>
      <c r="N8055" s="44"/>
    </row>
    <row r="8056" spans="1:14" x14ac:dyDescent="0.3">
      <c r="A8056" s="42"/>
      <c r="C8056" s="52"/>
      <c r="D8056"/>
      <c r="E8056"/>
      <c r="F8056"/>
      <c r="N8056" s="44"/>
    </row>
    <row r="8057" spans="1:14" x14ac:dyDescent="0.3">
      <c r="A8057" s="42"/>
      <c r="C8057" s="52"/>
      <c r="D8057"/>
      <c r="E8057"/>
      <c r="F8057"/>
      <c r="N8057" s="44"/>
    </row>
    <row r="8058" spans="1:14" x14ac:dyDescent="0.3">
      <c r="A8058" s="42"/>
      <c r="C8058" s="52"/>
      <c r="D8058"/>
      <c r="E8058"/>
      <c r="F8058"/>
      <c r="N8058" s="44"/>
    </row>
    <row r="8059" spans="1:14" x14ac:dyDescent="0.3">
      <c r="A8059" s="42"/>
      <c r="C8059" s="52"/>
      <c r="D8059"/>
      <c r="E8059"/>
      <c r="F8059"/>
      <c r="N8059" s="44"/>
    </row>
    <row r="8060" spans="1:14" x14ac:dyDescent="0.3">
      <c r="A8060" s="42"/>
      <c r="C8060" s="52"/>
      <c r="D8060"/>
      <c r="E8060"/>
      <c r="F8060"/>
      <c r="N8060" s="44"/>
    </row>
    <row r="8061" spans="1:14" x14ac:dyDescent="0.3">
      <c r="A8061" s="42"/>
      <c r="C8061" s="52"/>
      <c r="D8061"/>
      <c r="E8061"/>
      <c r="F8061"/>
      <c r="N8061" s="44"/>
    </row>
    <row r="8062" spans="1:14" x14ac:dyDescent="0.3">
      <c r="A8062" s="42"/>
      <c r="C8062" s="52"/>
      <c r="D8062"/>
      <c r="E8062"/>
      <c r="F8062"/>
      <c r="N8062" s="44"/>
    </row>
    <row r="8063" spans="1:14" x14ac:dyDescent="0.3">
      <c r="A8063" s="42"/>
      <c r="C8063" s="52"/>
      <c r="D8063"/>
      <c r="E8063"/>
      <c r="F8063"/>
      <c r="N8063" s="44"/>
    </row>
    <row r="8064" spans="1:14" x14ac:dyDescent="0.3">
      <c r="A8064" s="42"/>
      <c r="C8064" s="52"/>
      <c r="D8064"/>
      <c r="E8064"/>
      <c r="F8064"/>
      <c r="N8064" s="44"/>
    </row>
    <row r="8065" spans="1:14" x14ac:dyDescent="0.3">
      <c r="A8065" s="42"/>
      <c r="C8065" s="52"/>
      <c r="D8065"/>
      <c r="E8065"/>
      <c r="F8065"/>
      <c r="N8065" s="44"/>
    </row>
    <row r="8066" spans="1:14" x14ac:dyDescent="0.3">
      <c r="A8066" s="42"/>
      <c r="C8066" s="52"/>
      <c r="D8066"/>
      <c r="E8066"/>
      <c r="F8066"/>
      <c r="N8066" s="44"/>
    </row>
    <row r="8067" spans="1:14" x14ac:dyDescent="0.3">
      <c r="A8067" s="42"/>
      <c r="C8067" s="52"/>
      <c r="D8067"/>
      <c r="E8067"/>
      <c r="F8067"/>
      <c r="N8067" s="44"/>
    </row>
    <row r="8068" spans="1:14" x14ac:dyDescent="0.3">
      <c r="A8068" s="42"/>
      <c r="C8068" s="52"/>
      <c r="D8068"/>
      <c r="E8068"/>
      <c r="F8068"/>
      <c r="N8068" s="44"/>
    </row>
    <row r="8069" spans="1:14" x14ac:dyDescent="0.3">
      <c r="A8069" s="42"/>
      <c r="C8069" s="52"/>
      <c r="D8069"/>
      <c r="E8069"/>
      <c r="F8069"/>
      <c r="N8069" s="44"/>
    </row>
    <row r="8070" spans="1:14" x14ac:dyDescent="0.3">
      <c r="A8070" s="42"/>
      <c r="C8070" s="52"/>
      <c r="D8070"/>
      <c r="E8070"/>
      <c r="F8070"/>
      <c r="N8070" s="44"/>
    </row>
    <row r="8071" spans="1:14" x14ac:dyDescent="0.3">
      <c r="A8071" s="42"/>
      <c r="C8071" s="52"/>
      <c r="D8071"/>
      <c r="E8071"/>
      <c r="F8071"/>
      <c r="N8071" s="44"/>
    </row>
    <row r="8072" spans="1:14" x14ac:dyDescent="0.3">
      <c r="A8072" s="42"/>
      <c r="C8072" s="52"/>
      <c r="D8072"/>
      <c r="E8072"/>
      <c r="F8072"/>
      <c r="N8072" s="44"/>
    </row>
    <row r="8073" spans="1:14" x14ac:dyDescent="0.3">
      <c r="A8073" s="42"/>
      <c r="C8073" s="52"/>
      <c r="D8073"/>
      <c r="E8073"/>
      <c r="F8073"/>
      <c r="N8073" s="44"/>
    </row>
    <row r="8074" spans="1:14" x14ac:dyDescent="0.3">
      <c r="A8074" s="42"/>
      <c r="C8074" s="52"/>
      <c r="D8074"/>
      <c r="E8074"/>
      <c r="F8074"/>
      <c r="N8074" s="44"/>
    </row>
    <row r="8075" spans="1:14" x14ac:dyDescent="0.3">
      <c r="A8075" s="42"/>
      <c r="C8075" s="52"/>
      <c r="D8075"/>
      <c r="E8075"/>
      <c r="F8075"/>
      <c r="N8075" s="44"/>
    </row>
    <row r="8076" spans="1:14" x14ac:dyDescent="0.3">
      <c r="A8076" s="42"/>
      <c r="C8076" s="52"/>
      <c r="D8076"/>
      <c r="E8076"/>
      <c r="F8076"/>
      <c r="N8076" s="44"/>
    </row>
    <row r="8077" spans="1:14" x14ac:dyDescent="0.3">
      <c r="A8077" s="42"/>
      <c r="C8077" s="52"/>
      <c r="D8077"/>
      <c r="E8077"/>
      <c r="F8077"/>
      <c r="N8077" s="44"/>
    </row>
    <row r="8078" spans="1:14" x14ac:dyDescent="0.3">
      <c r="A8078" s="42"/>
      <c r="C8078" s="52"/>
      <c r="D8078"/>
      <c r="E8078"/>
      <c r="F8078"/>
      <c r="N8078" s="44"/>
    </row>
    <row r="8079" spans="1:14" x14ac:dyDescent="0.3">
      <c r="A8079" s="42"/>
      <c r="C8079" s="52"/>
      <c r="D8079"/>
      <c r="E8079"/>
      <c r="F8079"/>
      <c r="N8079" s="44"/>
    </row>
    <row r="8080" spans="1:14" x14ac:dyDescent="0.3">
      <c r="A8080" s="42"/>
      <c r="C8080" s="52"/>
      <c r="D8080"/>
      <c r="E8080"/>
      <c r="F8080"/>
      <c r="N8080" s="44"/>
    </row>
    <row r="8081" spans="1:14" x14ac:dyDescent="0.3">
      <c r="A8081" s="42"/>
      <c r="C8081" s="52"/>
      <c r="D8081"/>
      <c r="E8081"/>
      <c r="F8081"/>
      <c r="N8081" s="44"/>
    </row>
    <row r="8082" spans="1:14" x14ac:dyDescent="0.3">
      <c r="A8082" s="42"/>
      <c r="C8082" s="52"/>
      <c r="D8082"/>
      <c r="E8082"/>
      <c r="F8082"/>
      <c r="M8082" s="45"/>
      <c r="N8082" s="44"/>
    </row>
    <row r="8083" spans="1:14" x14ac:dyDescent="0.3">
      <c r="A8083" s="42"/>
      <c r="C8083" s="52"/>
      <c r="D8083"/>
      <c r="E8083"/>
      <c r="F8083"/>
      <c r="N8083" s="44"/>
    </row>
    <row r="8084" spans="1:14" x14ac:dyDescent="0.3">
      <c r="A8084" s="42"/>
      <c r="C8084" s="52"/>
      <c r="D8084"/>
      <c r="E8084"/>
      <c r="F8084"/>
      <c r="N8084" s="44"/>
    </row>
    <row r="8085" spans="1:14" x14ac:dyDescent="0.3">
      <c r="A8085" s="42"/>
      <c r="C8085" s="52"/>
      <c r="D8085"/>
      <c r="E8085"/>
      <c r="F8085"/>
      <c r="N8085" s="44"/>
    </row>
    <row r="8086" spans="1:14" x14ac:dyDescent="0.3">
      <c r="A8086" s="42"/>
      <c r="C8086" s="52"/>
      <c r="D8086"/>
      <c r="E8086"/>
      <c r="F8086"/>
      <c r="N8086" s="44"/>
    </row>
    <row r="8087" spans="1:14" x14ac:dyDescent="0.3">
      <c r="A8087" s="42"/>
      <c r="C8087" s="52"/>
      <c r="D8087"/>
      <c r="E8087"/>
      <c r="F8087"/>
      <c r="N8087" s="44"/>
    </row>
    <row r="8088" spans="1:14" x14ac:dyDescent="0.3">
      <c r="A8088" s="42"/>
      <c r="C8088" s="52"/>
      <c r="D8088"/>
      <c r="E8088"/>
      <c r="F8088"/>
      <c r="N8088" s="44"/>
    </row>
    <row r="8089" spans="1:14" x14ac:dyDescent="0.3">
      <c r="A8089" s="42"/>
      <c r="C8089" s="52"/>
      <c r="D8089"/>
      <c r="E8089"/>
      <c r="F8089"/>
      <c r="N8089" s="44"/>
    </row>
    <row r="8090" spans="1:14" x14ac:dyDescent="0.3">
      <c r="A8090" s="42"/>
      <c r="C8090" s="52"/>
      <c r="D8090"/>
      <c r="E8090"/>
      <c r="F8090"/>
      <c r="N8090" s="44"/>
    </row>
    <row r="8091" spans="1:14" x14ac:dyDescent="0.3">
      <c r="A8091" s="42"/>
      <c r="C8091" s="52"/>
      <c r="D8091"/>
      <c r="E8091"/>
      <c r="F8091"/>
      <c r="N8091" s="44"/>
    </row>
    <row r="8092" spans="1:14" x14ac:dyDescent="0.3">
      <c r="A8092" s="42"/>
      <c r="C8092" s="52"/>
      <c r="D8092"/>
      <c r="E8092"/>
      <c r="F8092"/>
      <c r="N8092" s="44"/>
    </row>
    <row r="8093" spans="1:14" x14ac:dyDescent="0.3">
      <c r="A8093" s="42"/>
      <c r="C8093" s="52"/>
      <c r="D8093"/>
      <c r="E8093"/>
      <c r="F8093"/>
      <c r="N8093" s="44"/>
    </row>
    <row r="8094" spans="1:14" x14ac:dyDescent="0.3">
      <c r="A8094" s="42"/>
      <c r="C8094" s="52"/>
      <c r="D8094"/>
      <c r="E8094"/>
      <c r="F8094"/>
      <c r="N8094" s="44"/>
    </row>
    <row r="8095" spans="1:14" x14ac:dyDescent="0.3">
      <c r="A8095" s="42"/>
      <c r="C8095" s="52"/>
      <c r="D8095"/>
      <c r="E8095"/>
      <c r="F8095"/>
      <c r="N8095" s="44"/>
    </row>
    <row r="8096" spans="1:14" x14ac:dyDescent="0.3">
      <c r="A8096" s="42"/>
      <c r="C8096" s="52"/>
      <c r="D8096"/>
      <c r="E8096"/>
      <c r="F8096"/>
      <c r="M8096" s="45"/>
      <c r="N8096" s="44"/>
    </row>
    <row r="8097" spans="1:14" x14ac:dyDescent="0.3">
      <c r="A8097" s="42"/>
      <c r="C8097" s="52"/>
      <c r="D8097"/>
      <c r="E8097"/>
      <c r="F8097"/>
      <c r="N8097" s="44"/>
    </row>
    <row r="8098" spans="1:14" x14ac:dyDescent="0.3">
      <c r="A8098" s="42"/>
      <c r="C8098" s="52"/>
      <c r="D8098"/>
      <c r="E8098"/>
      <c r="F8098"/>
      <c r="N8098" s="44"/>
    </row>
    <row r="8099" spans="1:14" x14ac:dyDescent="0.3">
      <c r="A8099" s="42"/>
      <c r="C8099" s="52"/>
      <c r="D8099"/>
      <c r="E8099"/>
      <c r="F8099"/>
      <c r="N8099" s="44"/>
    </row>
    <row r="8100" spans="1:14" x14ac:dyDescent="0.3">
      <c r="A8100" s="42"/>
      <c r="C8100" s="52"/>
      <c r="D8100"/>
      <c r="E8100"/>
      <c r="F8100"/>
      <c r="N8100" s="44"/>
    </row>
    <row r="8101" spans="1:14" x14ac:dyDescent="0.3">
      <c r="A8101" s="42"/>
      <c r="C8101" s="52"/>
      <c r="D8101"/>
      <c r="E8101"/>
      <c r="F8101"/>
      <c r="N8101" s="44"/>
    </row>
    <row r="8102" spans="1:14" x14ac:dyDescent="0.3">
      <c r="A8102" s="42"/>
      <c r="C8102" s="52"/>
      <c r="D8102"/>
      <c r="E8102"/>
      <c r="F8102"/>
      <c r="N8102" s="44"/>
    </row>
    <row r="8103" spans="1:14" x14ac:dyDescent="0.3">
      <c r="A8103" s="42"/>
      <c r="C8103" s="52"/>
      <c r="D8103"/>
      <c r="E8103"/>
      <c r="F8103"/>
      <c r="N8103" s="44"/>
    </row>
    <row r="8104" spans="1:14" x14ac:dyDescent="0.3">
      <c r="A8104" s="42"/>
      <c r="C8104" s="52"/>
      <c r="D8104"/>
      <c r="E8104"/>
      <c r="F8104"/>
      <c r="N8104" s="44"/>
    </row>
    <row r="8105" spans="1:14" x14ac:dyDescent="0.3">
      <c r="A8105" s="42"/>
      <c r="C8105" s="52"/>
      <c r="D8105"/>
      <c r="E8105"/>
      <c r="F8105"/>
      <c r="N8105" s="44"/>
    </row>
    <row r="8106" spans="1:14" x14ac:dyDescent="0.3">
      <c r="A8106" s="42"/>
      <c r="C8106" s="52"/>
      <c r="D8106"/>
      <c r="E8106"/>
      <c r="F8106"/>
      <c r="N8106" s="44"/>
    </row>
    <row r="8107" spans="1:14" x14ac:dyDescent="0.3">
      <c r="A8107" s="42"/>
      <c r="C8107" s="52"/>
      <c r="D8107"/>
      <c r="E8107"/>
      <c r="F8107"/>
      <c r="N8107" s="44"/>
    </row>
    <row r="8108" spans="1:14" x14ac:dyDescent="0.3">
      <c r="A8108" s="42"/>
      <c r="C8108" s="52"/>
      <c r="D8108"/>
      <c r="E8108"/>
      <c r="F8108"/>
      <c r="N8108" s="44"/>
    </row>
    <row r="8109" spans="1:14" x14ac:dyDescent="0.3">
      <c r="A8109" s="42"/>
      <c r="C8109" s="52"/>
      <c r="D8109"/>
      <c r="E8109"/>
      <c r="F8109"/>
      <c r="N8109" s="44"/>
    </row>
    <row r="8110" spans="1:14" x14ac:dyDescent="0.3">
      <c r="A8110" s="42"/>
      <c r="C8110" s="52"/>
      <c r="D8110"/>
      <c r="E8110"/>
      <c r="F8110"/>
      <c r="N8110" s="44"/>
    </row>
    <row r="8111" spans="1:14" x14ac:dyDescent="0.3">
      <c r="A8111" s="42"/>
      <c r="C8111" s="52"/>
      <c r="D8111"/>
      <c r="E8111"/>
      <c r="F8111"/>
      <c r="N8111" s="44"/>
    </row>
    <row r="8112" spans="1:14" x14ac:dyDescent="0.3">
      <c r="A8112" s="42"/>
      <c r="C8112" s="52"/>
      <c r="D8112"/>
      <c r="E8112"/>
      <c r="F8112"/>
      <c r="N8112" s="44"/>
    </row>
    <row r="8113" spans="1:14" x14ac:dyDescent="0.3">
      <c r="A8113" s="42"/>
      <c r="C8113" s="52"/>
      <c r="D8113"/>
      <c r="E8113"/>
      <c r="F8113"/>
      <c r="N8113" s="44"/>
    </row>
    <row r="8114" spans="1:14" x14ac:dyDescent="0.3">
      <c r="A8114" s="42"/>
      <c r="C8114" s="52"/>
      <c r="D8114"/>
      <c r="E8114"/>
      <c r="F8114"/>
      <c r="N8114" s="44"/>
    </row>
    <row r="8115" spans="1:14" x14ac:dyDescent="0.3">
      <c r="A8115" s="42"/>
      <c r="C8115" s="52"/>
      <c r="D8115"/>
      <c r="E8115"/>
      <c r="F8115"/>
      <c r="N8115" s="44"/>
    </row>
    <row r="8116" spans="1:14" x14ac:dyDescent="0.3">
      <c r="A8116" s="42"/>
      <c r="C8116" s="52"/>
      <c r="D8116"/>
      <c r="E8116"/>
      <c r="F8116"/>
      <c r="N8116" s="44"/>
    </row>
    <row r="8117" spans="1:14" x14ac:dyDescent="0.3">
      <c r="A8117" s="42"/>
      <c r="C8117" s="52"/>
      <c r="D8117"/>
      <c r="E8117"/>
      <c r="F8117"/>
      <c r="N8117" s="44"/>
    </row>
    <row r="8118" spans="1:14" x14ac:dyDescent="0.3">
      <c r="A8118" s="42"/>
      <c r="C8118" s="52"/>
      <c r="D8118"/>
      <c r="E8118"/>
      <c r="F8118"/>
      <c r="N8118" s="44"/>
    </row>
    <row r="8119" spans="1:14" x14ac:dyDescent="0.3">
      <c r="A8119" s="42"/>
      <c r="C8119" s="52"/>
      <c r="D8119"/>
      <c r="E8119"/>
      <c r="F8119"/>
      <c r="N8119" s="44"/>
    </row>
    <row r="8120" spans="1:14" x14ac:dyDescent="0.3">
      <c r="A8120" s="42"/>
      <c r="C8120" s="52"/>
      <c r="D8120"/>
      <c r="E8120"/>
      <c r="F8120"/>
      <c r="N8120" s="44"/>
    </row>
    <row r="8121" spans="1:14" x14ac:dyDescent="0.3">
      <c r="A8121" s="42"/>
      <c r="C8121" s="52"/>
      <c r="D8121"/>
      <c r="E8121"/>
      <c r="F8121"/>
      <c r="N8121" s="44"/>
    </row>
    <row r="8122" spans="1:14" x14ac:dyDescent="0.3">
      <c r="A8122" s="42"/>
      <c r="C8122" s="52"/>
      <c r="D8122"/>
      <c r="E8122"/>
      <c r="F8122"/>
      <c r="N8122" s="44"/>
    </row>
    <row r="8123" spans="1:14" x14ac:dyDescent="0.3">
      <c r="A8123" s="42"/>
      <c r="C8123" s="52"/>
      <c r="D8123"/>
      <c r="E8123"/>
      <c r="F8123"/>
      <c r="N8123" s="44"/>
    </row>
    <row r="8124" spans="1:14" x14ac:dyDescent="0.3">
      <c r="A8124" s="42"/>
      <c r="C8124" s="52"/>
      <c r="D8124"/>
      <c r="E8124"/>
      <c r="F8124"/>
      <c r="M8124" s="45"/>
      <c r="N8124" s="44"/>
    </row>
    <row r="8125" spans="1:14" x14ac:dyDescent="0.3">
      <c r="A8125" s="42"/>
      <c r="C8125" s="52"/>
      <c r="D8125"/>
      <c r="E8125"/>
      <c r="F8125"/>
      <c r="N8125" s="44"/>
    </row>
    <row r="8126" spans="1:14" x14ac:dyDescent="0.3">
      <c r="A8126" s="42"/>
      <c r="C8126" s="52"/>
      <c r="D8126"/>
      <c r="E8126"/>
      <c r="F8126"/>
      <c r="N8126" s="44"/>
    </row>
    <row r="8127" spans="1:14" x14ac:dyDescent="0.3">
      <c r="A8127" s="42"/>
      <c r="C8127" s="52"/>
      <c r="D8127"/>
      <c r="E8127"/>
      <c r="F8127"/>
      <c r="N8127" s="44"/>
    </row>
    <row r="8128" spans="1:14" x14ac:dyDescent="0.3">
      <c r="A8128" s="42"/>
      <c r="C8128" s="52"/>
      <c r="D8128"/>
      <c r="E8128"/>
      <c r="F8128"/>
      <c r="M8128" s="45"/>
      <c r="N8128" s="44"/>
    </row>
    <row r="8129" spans="1:14" x14ac:dyDescent="0.3">
      <c r="A8129" s="42"/>
      <c r="C8129" s="52"/>
      <c r="D8129"/>
      <c r="E8129"/>
      <c r="F8129"/>
      <c r="N8129" s="44"/>
    </row>
    <row r="8130" spans="1:14" x14ac:dyDescent="0.3">
      <c r="A8130" s="42"/>
      <c r="C8130" s="52"/>
      <c r="D8130"/>
      <c r="E8130"/>
      <c r="F8130"/>
      <c r="N8130" s="44"/>
    </row>
    <row r="8131" spans="1:14" x14ac:dyDescent="0.3">
      <c r="A8131" s="42"/>
      <c r="C8131" s="52"/>
      <c r="D8131"/>
      <c r="E8131"/>
      <c r="F8131"/>
      <c r="N8131" s="44"/>
    </row>
    <row r="8132" spans="1:14" x14ac:dyDescent="0.3">
      <c r="A8132" s="42"/>
      <c r="C8132" s="52"/>
      <c r="D8132"/>
      <c r="E8132"/>
      <c r="F8132"/>
      <c r="N8132" s="44"/>
    </row>
    <row r="8133" spans="1:14" x14ac:dyDescent="0.3">
      <c r="A8133" s="42"/>
      <c r="C8133" s="52"/>
      <c r="D8133"/>
      <c r="E8133"/>
      <c r="F8133"/>
      <c r="N8133" s="44"/>
    </row>
    <row r="8134" spans="1:14" x14ac:dyDescent="0.3">
      <c r="A8134" s="42"/>
      <c r="C8134" s="52"/>
      <c r="D8134"/>
      <c r="E8134"/>
      <c r="F8134"/>
      <c r="N8134" s="44"/>
    </row>
    <row r="8135" spans="1:14" x14ac:dyDescent="0.3">
      <c r="A8135" s="42"/>
      <c r="C8135" s="52"/>
      <c r="D8135"/>
      <c r="E8135"/>
      <c r="F8135"/>
      <c r="N8135" s="44"/>
    </row>
    <row r="8136" spans="1:14" x14ac:dyDescent="0.3">
      <c r="A8136" s="42"/>
      <c r="C8136" s="52"/>
      <c r="D8136"/>
      <c r="E8136"/>
      <c r="F8136"/>
      <c r="N8136" s="44"/>
    </row>
    <row r="8137" spans="1:14" x14ac:dyDescent="0.3">
      <c r="A8137" s="42"/>
      <c r="C8137" s="52"/>
      <c r="D8137"/>
      <c r="E8137"/>
      <c r="F8137"/>
      <c r="N8137" s="44"/>
    </row>
    <row r="8138" spans="1:14" x14ac:dyDescent="0.3">
      <c r="A8138" s="42"/>
      <c r="C8138" s="52"/>
      <c r="D8138"/>
      <c r="E8138"/>
      <c r="F8138"/>
      <c r="N8138" s="44"/>
    </row>
    <row r="8139" spans="1:14" x14ac:dyDescent="0.3">
      <c r="A8139" s="42"/>
      <c r="C8139" s="52"/>
      <c r="D8139"/>
      <c r="E8139"/>
      <c r="F8139"/>
      <c r="N8139" s="44"/>
    </row>
    <row r="8140" spans="1:14" x14ac:dyDescent="0.3">
      <c r="A8140" s="42"/>
      <c r="C8140" s="52"/>
      <c r="D8140"/>
      <c r="E8140"/>
      <c r="F8140"/>
      <c r="N8140" s="44"/>
    </row>
    <row r="8141" spans="1:14" x14ac:dyDescent="0.3">
      <c r="A8141" s="42"/>
      <c r="C8141" s="52"/>
      <c r="D8141"/>
      <c r="E8141"/>
      <c r="F8141"/>
      <c r="N8141" s="44"/>
    </row>
    <row r="8142" spans="1:14" x14ac:dyDescent="0.3">
      <c r="A8142" s="42"/>
      <c r="C8142" s="52"/>
      <c r="D8142"/>
      <c r="E8142"/>
      <c r="F8142"/>
      <c r="N8142" s="44"/>
    </row>
    <row r="8143" spans="1:14" x14ac:dyDescent="0.3">
      <c r="A8143" s="42"/>
      <c r="C8143" s="52"/>
      <c r="D8143"/>
      <c r="E8143"/>
      <c r="F8143"/>
      <c r="N8143" s="44"/>
    </row>
    <row r="8144" spans="1:14" x14ac:dyDescent="0.3">
      <c r="A8144" s="42"/>
      <c r="C8144" s="52"/>
      <c r="D8144"/>
      <c r="E8144"/>
      <c r="F8144"/>
      <c r="N8144" s="44"/>
    </row>
    <row r="8145" spans="1:14" x14ac:dyDescent="0.3">
      <c r="A8145" s="42"/>
      <c r="C8145" s="52"/>
      <c r="D8145"/>
      <c r="E8145"/>
      <c r="F8145"/>
      <c r="N8145" s="44"/>
    </row>
    <row r="8146" spans="1:14" x14ac:dyDescent="0.3">
      <c r="A8146" s="42"/>
      <c r="C8146" s="52"/>
      <c r="D8146"/>
      <c r="E8146"/>
      <c r="F8146"/>
      <c r="N8146" s="44"/>
    </row>
    <row r="8147" spans="1:14" x14ac:dyDescent="0.3">
      <c r="A8147" s="42"/>
      <c r="C8147" s="52"/>
      <c r="D8147"/>
      <c r="E8147"/>
      <c r="F8147"/>
      <c r="N8147" s="44"/>
    </row>
    <row r="8148" spans="1:14" x14ac:dyDescent="0.3">
      <c r="A8148" s="42"/>
      <c r="C8148" s="52"/>
      <c r="D8148"/>
      <c r="E8148"/>
      <c r="F8148"/>
      <c r="N8148" s="44"/>
    </row>
    <row r="8149" spans="1:14" x14ac:dyDescent="0.3">
      <c r="A8149" s="42"/>
      <c r="C8149" s="52"/>
      <c r="D8149"/>
      <c r="E8149"/>
      <c r="F8149"/>
      <c r="N8149" s="44"/>
    </row>
    <row r="8150" spans="1:14" x14ac:dyDescent="0.3">
      <c r="A8150" s="42"/>
      <c r="C8150" s="52"/>
      <c r="D8150"/>
      <c r="E8150"/>
      <c r="F8150"/>
      <c r="N8150" s="44"/>
    </row>
    <row r="8151" spans="1:14" x14ac:dyDescent="0.3">
      <c r="A8151" s="42"/>
      <c r="C8151" s="52"/>
      <c r="D8151"/>
      <c r="E8151"/>
      <c r="F8151"/>
      <c r="N8151" s="44"/>
    </row>
    <row r="8152" spans="1:14" x14ac:dyDescent="0.3">
      <c r="A8152" s="42"/>
      <c r="C8152" s="52"/>
      <c r="D8152"/>
      <c r="E8152"/>
      <c r="F8152"/>
      <c r="N8152" s="44"/>
    </row>
    <row r="8153" spans="1:14" x14ac:dyDescent="0.3">
      <c r="A8153" s="42"/>
      <c r="C8153" s="52"/>
      <c r="D8153"/>
      <c r="E8153"/>
      <c r="F8153"/>
      <c r="N8153" s="44"/>
    </row>
    <row r="8154" spans="1:14" x14ac:dyDescent="0.3">
      <c r="A8154" s="42"/>
      <c r="C8154" s="52"/>
      <c r="D8154"/>
      <c r="E8154"/>
      <c r="F8154"/>
      <c r="N8154" s="44"/>
    </row>
    <row r="8155" spans="1:14" x14ac:dyDescent="0.3">
      <c r="A8155" s="42"/>
      <c r="C8155" s="52"/>
      <c r="D8155"/>
      <c r="E8155"/>
      <c r="F8155"/>
      <c r="N8155" s="44"/>
    </row>
    <row r="8156" spans="1:14" x14ac:dyDescent="0.3">
      <c r="A8156" s="42"/>
      <c r="C8156" s="52"/>
      <c r="D8156"/>
      <c r="E8156"/>
      <c r="F8156"/>
      <c r="N8156" s="44"/>
    </row>
    <row r="8157" spans="1:14" x14ac:dyDescent="0.3">
      <c r="A8157" s="42"/>
      <c r="C8157" s="52"/>
      <c r="D8157"/>
      <c r="E8157"/>
      <c r="F8157"/>
      <c r="N8157" s="44"/>
    </row>
    <row r="8158" spans="1:14" x14ac:dyDescent="0.3">
      <c r="A8158" s="42"/>
      <c r="C8158" s="52"/>
      <c r="D8158"/>
      <c r="E8158"/>
      <c r="F8158"/>
      <c r="N8158" s="44"/>
    </row>
    <row r="8159" spans="1:14" x14ac:dyDescent="0.3">
      <c r="A8159" s="42"/>
      <c r="C8159" s="52"/>
      <c r="D8159"/>
      <c r="E8159"/>
      <c r="F8159"/>
      <c r="N8159" s="44"/>
    </row>
    <row r="8160" spans="1:14" x14ac:dyDescent="0.3">
      <c r="A8160" s="42"/>
      <c r="C8160" s="52"/>
      <c r="D8160"/>
      <c r="E8160"/>
      <c r="F8160"/>
      <c r="N8160" s="44"/>
    </row>
    <row r="8161" spans="1:14" x14ac:dyDescent="0.3">
      <c r="A8161" s="42"/>
      <c r="C8161" s="52"/>
      <c r="D8161"/>
      <c r="E8161"/>
      <c r="F8161"/>
      <c r="N8161" s="44"/>
    </row>
    <row r="8162" spans="1:14" x14ac:dyDescent="0.3">
      <c r="A8162" s="42"/>
      <c r="C8162" s="52"/>
      <c r="D8162"/>
      <c r="E8162"/>
      <c r="F8162"/>
      <c r="N8162" s="44"/>
    </row>
    <row r="8163" spans="1:14" x14ac:dyDescent="0.3">
      <c r="A8163" s="42"/>
      <c r="C8163" s="52"/>
      <c r="D8163"/>
      <c r="E8163"/>
      <c r="F8163"/>
      <c r="N8163" s="44"/>
    </row>
    <row r="8164" spans="1:14" x14ac:dyDescent="0.3">
      <c r="A8164" s="42"/>
      <c r="C8164" s="52"/>
      <c r="D8164"/>
      <c r="E8164"/>
      <c r="F8164"/>
      <c r="N8164" s="44"/>
    </row>
    <row r="8165" spans="1:14" x14ac:dyDescent="0.3">
      <c r="A8165" s="42"/>
      <c r="C8165" s="52"/>
      <c r="D8165"/>
      <c r="E8165"/>
      <c r="F8165"/>
      <c r="N8165" s="44"/>
    </row>
    <row r="8166" spans="1:14" x14ac:dyDescent="0.3">
      <c r="A8166" s="42"/>
      <c r="C8166" s="52"/>
      <c r="D8166"/>
      <c r="E8166"/>
      <c r="F8166"/>
      <c r="N8166" s="44"/>
    </row>
    <row r="8167" spans="1:14" x14ac:dyDescent="0.3">
      <c r="A8167" s="42"/>
      <c r="C8167" s="52"/>
      <c r="D8167"/>
      <c r="E8167"/>
      <c r="F8167"/>
      <c r="N8167" s="44"/>
    </row>
    <row r="8168" spans="1:14" x14ac:dyDescent="0.3">
      <c r="A8168" s="42"/>
      <c r="C8168" s="52"/>
      <c r="D8168"/>
      <c r="E8168"/>
      <c r="F8168"/>
      <c r="N8168" s="44"/>
    </row>
    <row r="8169" spans="1:14" x14ac:dyDescent="0.3">
      <c r="A8169" s="42"/>
      <c r="C8169" s="52"/>
      <c r="D8169"/>
      <c r="E8169"/>
      <c r="F8169"/>
      <c r="N8169" s="44"/>
    </row>
    <row r="8170" spans="1:14" x14ac:dyDescent="0.3">
      <c r="A8170" s="42"/>
      <c r="C8170" s="52"/>
      <c r="D8170"/>
      <c r="E8170"/>
      <c r="F8170"/>
      <c r="N8170" s="44"/>
    </row>
    <row r="8171" spans="1:14" x14ac:dyDescent="0.3">
      <c r="A8171" s="42"/>
      <c r="C8171" s="52"/>
      <c r="D8171"/>
      <c r="E8171"/>
      <c r="F8171"/>
      <c r="N8171" s="44"/>
    </row>
    <row r="8172" spans="1:14" x14ac:dyDescent="0.3">
      <c r="A8172" s="42"/>
      <c r="C8172" s="52"/>
      <c r="D8172"/>
      <c r="E8172"/>
      <c r="F8172"/>
      <c r="N8172" s="44"/>
    </row>
    <row r="8173" spans="1:14" x14ac:dyDescent="0.3">
      <c r="A8173" s="42"/>
      <c r="C8173" s="52"/>
      <c r="D8173"/>
      <c r="E8173"/>
      <c r="F8173"/>
      <c r="N8173" s="44"/>
    </row>
    <row r="8174" spans="1:14" x14ac:dyDescent="0.3">
      <c r="A8174" s="42"/>
      <c r="C8174" s="52"/>
      <c r="D8174"/>
      <c r="E8174"/>
      <c r="F8174"/>
      <c r="N8174" s="44"/>
    </row>
    <row r="8175" spans="1:14" x14ac:dyDescent="0.3">
      <c r="A8175" s="42"/>
      <c r="C8175" s="52"/>
      <c r="D8175"/>
      <c r="E8175"/>
      <c r="F8175"/>
      <c r="N8175" s="44"/>
    </row>
    <row r="8176" spans="1:14" x14ac:dyDescent="0.3">
      <c r="A8176" s="42"/>
      <c r="C8176" s="52"/>
      <c r="D8176"/>
      <c r="E8176"/>
      <c r="F8176"/>
      <c r="N8176" s="44"/>
    </row>
    <row r="8177" spans="1:14" x14ac:dyDescent="0.3">
      <c r="A8177" s="42"/>
      <c r="C8177" s="52"/>
      <c r="D8177"/>
      <c r="E8177"/>
      <c r="F8177"/>
      <c r="N8177" s="44"/>
    </row>
    <row r="8178" spans="1:14" x14ac:dyDescent="0.3">
      <c r="A8178" s="42"/>
      <c r="C8178" s="52"/>
      <c r="D8178"/>
      <c r="E8178"/>
      <c r="F8178"/>
      <c r="N8178" s="44"/>
    </row>
    <row r="8179" spans="1:14" x14ac:dyDescent="0.3">
      <c r="A8179" s="42"/>
      <c r="C8179" s="52"/>
      <c r="D8179"/>
      <c r="E8179"/>
      <c r="F8179"/>
      <c r="N8179" s="44"/>
    </row>
    <row r="8180" spans="1:14" x14ac:dyDescent="0.3">
      <c r="A8180" s="42"/>
      <c r="C8180" s="52"/>
      <c r="D8180"/>
      <c r="E8180"/>
      <c r="F8180"/>
      <c r="N8180" s="44"/>
    </row>
    <row r="8181" spans="1:14" x14ac:dyDescent="0.3">
      <c r="A8181" s="42"/>
      <c r="C8181" s="52"/>
      <c r="D8181"/>
      <c r="E8181"/>
      <c r="F8181"/>
      <c r="N8181" s="44"/>
    </row>
    <row r="8182" spans="1:14" x14ac:dyDescent="0.3">
      <c r="A8182" s="42"/>
      <c r="C8182" s="52"/>
      <c r="D8182"/>
      <c r="E8182"/>
      <c r="F8182"/>
      <c r="N8182" s="44"/>
    </row>
    <row r="8183" spans="1:14" x14ac:dyDescent="0.3">
      <c r="A8183" s="42"/>
      <c r="C8183" s="52"/>
      <c r="D8183"/>
      <c r="E8183"/>
      <c r="F8183"/>
      <c r="N8183" s="44"/>
    </row>
    <row r="8184" spans="1:14" x14ac:dyDescent="0.3">
      <c r="A8184" s="42"/>
      <c r="C8184" s="52"/>
      <c r="D8184"/>
      <c r="E8184"/>
      <c r="F8184"/>
      <c r="N8184" s="44"/>
    </row>
    <row r="8185" spans="1:14" x14ac:dyDescent="0.3">
      <c r="A8185" s="42"/>
      <c r="C8185" s="52"/>
      <c r="D8185"/>
      <c r="E8185"/>
      <c r="F8185"/>
      <c r="N8185" s="44"/>
    </row>
    <row r="8186" spans="1:14" x14ac:dyDescent="0.3">
      <c r="A8186" s="42"/>
      <c r="C8186" s="52"/>
      <c r="D8186"/>
      <c r="E8186"/>
      <c r="F8186"/>
      <c r="N8186" s="44"/>
    </row>
    <row r="8187" spans="1:14" x14ac:dyDescent="0.3">
      <c r="A8187" s="42"/>
      <c r="C8187" s="52"/>
      <c r="D8187"/>
      <c r="E8187"/>
      <c r="F8187"/>
      <c r="N8187" s="44"/>
    </row>
    <row r="8188" spans="1:14" x14ac:dyDescent="0.3">
      <c r="A8188" s="42"/>
      <c r="C8188" s="52"/>
      <c r="D8188"/>
      <c r="E8188"/>
      <c r="F8188"/>
      <c r="N8188" s="44"/>
    </row>
    <row r="8189" spans="1:14" x14ac:dyDescent="0.3">
      <c r="A8189" s="42"/>
      <c r="C8189" s="52"/>
      <c r="D8189"/>
      <c r="E8189"/>
      <c r="F8189"/>
      <c r="N8189" s="44"/>
    </row>
    <row r="8190" spans="1:14" x14ac:dyDescent="0.3">
      <c r="A8190" s="42"/>
      <c r="C8190" s="52"/>
      <c r="D8190"/>
      <c r="E8190"/>
      <c r="F8190"/>
      <c r="N8190" s="44"/>
    </row>
    <row r="8191" spans="1:14" x14ac:dyDescent="0.3">
      <c r="A8191" s="42"/>
      <c r="C8191" s="52"/>
      <c r="D8191"/>
      <c r="E8191"/>
      <c r="F8191"/>
      <c r="L8191" s="45"/>
      <c r="N8191" s="44"/>
    </row>
    <row r="8192" spans="1:14" x14ac:dyDescent="0.3">
      <c r="A8192" s="42"/>
      <c r="C8192" s="52"/>
      <c r="D8192"/>
      <c r="E8192"/>
      <c r="F8192"/>
      <c r="N8192" s="44"/>
    </row>
    <row r="8193" spans="1:14" x14ac:dyDescent="0.3">
      <c r="A8193" s="42"/>
      <c r="C8193" s="52"/>
      <c r="D8193"/>
      <c r="E8193"/>
      <c r="F8193"/>
      <c r="N8193" s="44"/>
    </row>
    <row r="8194" spans="1:14" x14ac:dyDescent="0.3">
      <c r="A8194" s="42"/>
      <c r="C8194" s="52"/>
      <c r="D8194"/>
      <c r="E8194"/>
      <c r="F8194"/>
      <c r="N8194" s="44"/>
    </row>
    <row r="8195" spans="1:14" x14ac:dyDescent="0.3">
      <c r="A8195" s="42"/>
      <c r="C8195" s="52"/>
      <c r="D8195"/>
      <c r="E8195"/>
      <c r="F8195"/>
      <c r="N8195" s="44"/>
    </row>
    <row r="8196" spans="1:14" x14ac:dyDescent="0.3">
      <c r="A8196" s="42"/>
      <c r="C8196" s="52"/>
      <c r="D8196"/>
      <c r="E8196"/>
      <c r="F8196"/>
      <c r="N8196" s="44"/>
    </row>
    <row r="8197" spans="1:14" x14ac:dyDescent="0.3">
      <c r="A8197" s="42"/>
      <c r="C8197" s="52"/>
      <c r="D8197"/>
      <c r="E8197"/>
      <c r="F8197"/>
      <c r="N8197" s="44"/>
    </row>
    <row r="8198" spans="1:14" x14ac:dyDescent="0.3">
      <c r="A8198" s="42"/>
      <c r="C8198" s="52"/>
      <c r="D8198"/>
      <c r="E8198"/>
      <c r="F8198"/>
      <c r="N8198" s="44"/>
    </row>
    <row r="8199" spans="1:14" x14ac:dyDescent="0.3">
      <c r="A8199" s="42"/>
      <c r="C8199" s="52"/>
      <c r="D8199"/>
      <c r="E8199"/>
      <c r="F8199"/>
      <c r="N8199" s="44"/>
    </row>
    <row r="8200" spans="1:14" x14ac:dyDescent="0.3">
      <c r="A8200" s="42"/>
      <c r="C8200" s="52"/>
      <c r="D8200"/>
      <c r="E8200"/>
      <c r="F8200"/>
      <c r="N8200" s="44"/>
    </row>
    <row r="8201" spans="1:14" x14ac:dyDescent="0.3">
      <c r="A8201" s="42"/>
      <c r="C8201" s="52"/>
      <c r="D8201"/>
      <c r="E8201"/>
      <c r="F8201"/>
      <c r="N8201" s="44"/>
    </row>
    <row r="8202" spans="1:14" x14ac:dyDescent="0.3">
      <c r="A8202" s="42"/>
      <c r="C8202" s="52"/>
      <c r="D8202"/>
      <c r="E8202"/>
      <c r="F8202"/>
      <c r="N8202" s="44"/>
    </row>
    <row r="8203" spans="1:14" x14ac:dyDescent="0.3">
      <c r="A8203" s="42"/>
      <c r="C8203" s="52"/>
      <c r="D8203"/>
      <c r="E8203"/>
      <c r="F8203"/>
      <c r="L8203" s="45"/>
      <c r="N8203" s="44"/>
    </row>
    <row r="8204" spans="1:14" x14ac:dyDescent="0.3">
      <c r="A8204" s="42"/>
      <c r="C8204" s="52"/>
      <c r="D8204"/>
      <c r="E8204"/>
      <c r="F8204"/>
      <c r="L8204" s="45"/>
      <c r="N8204" s="44"/>
    </row>
    <row r="8205" spans="1:14" x14ac:dyDescent="0.3">
      <c r="A8205" s="42"/>
      <c r="C8205" s="52"/>
      <c r="D8205"/>
      <c r="E8205"/>
      <c r="F8205"/>
      <c r="N8205" s="44"/>
    </row>
    <row r="8206" spans="1:14" x14ac:dyDescent="0.3">
      <c r="A8206" s="42"/>
      <c r="C8206" s="52"/>
      <c r="D8206"/>
      <c r="E8206"/>
      <c r="F8206"/>
      <c r="N8206" s="44"/>
    </row>
    <row r="8207" spans="1:14" x14ac:dyDescent="0.3">
      <c r="A8207" s="42"/>
      <c r="C8207" s="52"/>
      <c r="D8207"/>
      <c r="E8207"/>
      <c r="F8207"/>
      <c r="N8207" s="44"/>
    </row>
    <row r="8208" spans="1:14" x14ac:dyDescent="0.3">
      <c r="A8208" s="42"/>
      <c r="C8208" s="52"/>
      <c r="D8208"/>
      <c r="E8208"/>
      <c r="F8208"/>
      <c r="N8208" s="44"/>
    </row>
    <row r="8209" spans="1:14" x14ac:dyDescent="0.3">
      <c r="A8209" s="42"/>
      <c r="C8209" s="52"/>
      <c r="D8209"/>
      <c r="E8209"/>
      <c r="F8209"/>
      <c r="N8209" s="44"/>
    </row>
    <row r="8210" spans="1:14" x14ac:dyDescent="0.3">
      <c r="A8210" s="42"/>
      <c r="C8210" s="52"/>
      <c r="D8210"/>
      <c r="E8210"/>
      <c r="F8210"/>
      <c r="N8210" s="44"/>
    </row>
    <row r="8211" spans="1:14" x14ac:dyDescent="0.3">
      <c r="A8211" s="42"/>
      <c r="C8211" s="52"/>
      <c r="D8211"/>
      <c r="E8211"/>
      <c r="F8211"/>
      <c r="L8211" s="45"/>
      <c r="N8211" s="44"/>
    </row>
    <row r="8212" spans="1:14" x14ac:dyDescent="0.3">
      <c r="A8212" s="42"/>
      <c r="C8212" s="52"/>
      <c r="D8212"/>
      <c r="E8212"/>
      <c r="F8212"/>
      <c r="N8212" s="44"/>
    </row>
    <row r="8213" spans="1:14" x14ac:dyDescent="0.3">
      <c r="A8213" s="42"/>
      <c r="C8213" s="52"/>
      <c r="D8213"/>
      <c r="E8213"/>
      <c r="F8213"/>
      <c r="N8213" s="44"/>
    </row>
    <row r="8214" spans="1:14" x14ac:dyDescent="0.3">
      <c r="A8214" s="42"/>
      <c r="C8214" s="52"/>
      <c r="D8214"/>
      <c r="E8214"/>
      <c r="F8214"/>
      <c r="L8214" s="45"/>
      <c r="N8214" s="44"/>
    </row>
    <row r="8215" spans="1:14" x14ac:dyDescent="0.3">
      <c r="A8215" s="42"/>
      <c r="C8215" s="52"/>
      <c r="D8215"/>
      <c r="E8215"/>
      <c r="F8215"/>
      <c r="N8215" s="44"/>
    </row>
    <row r="8216" spans="1:14" x14ac:dyDescent="0.3">
      <c r="A8216" s="42"/>
      <c r="C8216" s="52"/>
      <c r="D8216"/>
      <c r="E8216"/>
      <c r="F8216"/>
      <c r="N8216" s="44"/>
    </row>
    <row r="8217" spans="1:14" x14ac:dyDescent="0.3">
      <c r="A8217" s="42"/>
      <c r="C8217" s="52"/>
      <c r="D8217"/>
      <c r="E8217"/>
      <c r="F8217"/>
      <c r="N8217" s="44"/>
    </row>
    <row r="8218" spans="1:14" x14ac:dyDescent="0.3">
      <c r="A8218" s="42"/>
      <c r="C8218" s="52"/>
      <c r="D8218"/>
      <c r="E8218"/>
      <c r="F8218"/>
      <c r="M8218" s="45"/>
      <c r="N8218" s="44"/>
    </row>
    <row r="8219" spans="1:14" x14ac:dyDescent="0.3">
      <c r="A8219" s="42"/>
      <c r="C8219" s="52"/>
      <c r="D8219"/>
      <c r="E8219"/>
      <c r="F8219"/>
      <c r="L8219" s="45"/>
      <c r="N8219" s="44"/>
    </row>
    <row r="8220" spans="1:14" x14ac:dyDescent="0.3">
      <c r="A8220" s="42"/>
      <c r="C8220" s="52"/>
      <c r="D8220"/>
      <c r="E8220"/>
      <c r="F8220"/>
      <c r="L8220" s="45"/>
      <c r="N8220" s="44"/>
    </row>
    <row r="8221" spans="1:14" x14ac:dyDescent="0.3">
      <c r="A8221" s="42"/>
      <c r="C8221" s="52"/>
      <c r="D8221"/>
      <c r="E8221"/>
      <c r="F8221"/>
      <c r="L8221" s="45"/>
      <c r="M8221" s="45"/>
      <c r="N8221" s="44"/>
    </row>
    <row r="8222" spans="1:14" x14ac:dyDescent="0.3">
      <c r="A8222" s="42"/>
      <c r="C8222" s="52"/>
      <c r="D8222"/>
      <c r="E8222"/>
      <c r="F8222"/>
      <c r="L8222" s="45"/>
      <c r="N8222" s="44"/>
    </row>
    <row r="8223" spans="1:14" x14ac:dyDescent="0.3">
      <c r="A8223" s="42"/>
      <c r="C8223" s="52"/>
      <c r="D8223"/>
      <c r="E8223"/>
      <c r="F8223"/>
      <c r="N8223" s="44"/>
    </row>
    <row r="8224" spans="1:14" x14ac:dyDescent="0.3">
      <c r="A8224" s="42"/>
      <c r="C8224" s="52"/>
      <c r="D8224"/>
      <c r="E8224"/>
      <c r="F8224"/>
      <c r="L8224" s="45"/>
      <c r="N8224" s="44"/>
    </row>
    <row r="8225" spans="1:14" x14ac:dyDescent="0.3">
      <c r="A8225" s="42"/>
      <c r="C8225" s="52"/>
      <c r="D8225"/>
      <c r="E8225"/>
      <c r="F8225"/>
      <c r="L8225" s="45"/>
      <c r="N8225" s="44"/>
    </row>
    <row r="8226" spans="1:14" x14ac:dyDescent="0.3">
      <c r="A8226" s="42"/>
      <c r="C8226" s="52"/>
      <c r="D8226"/>
      <c r="E8226"/>
      <c r="F8226"/>
      <c r="L8226" s="45"/>
      <c r="N8226" s="44"/>
    </row>
    <row r="8227" spans="1:14" x14ac:dyDescent="0.3">
      <c r="A8227" s="42"/>
      <c r="C8227" s="52"/>
      <c r="D8227"/>
      <c r="E8227"/>
      <c r="F8227"/>
      <c r="L8227" s="45"/>
      <c r="N8227" s="44"/>
    </row>
    <row r="8228" spans="1:14" x14ac:dyDescent="0.3">
      <c r="A8228" s="42"/>
      <c r="C8228" s="52"/>
      <c r="D8228"/>
      <c r="E8228"/>
      <c r="F8228"/>
      <c r="N8228" s="44"/>
    </row>
    <row r="8229" spans="1:14" x14ac:dyDescent="0.3">
      <c r="A8229" s="42"/>
      <c r="C8229" s="52"/>
      <c r="D8229"/>
      <c r="E8229"/>
      <c r="F8229"/>
      <c r="L8229" s="45"/>
      <c r="M8229" s="45"/>
      <c r="N8229" s="44"/>
    </row>
    <row r="8230" spans="1:14" x14ac:dyDescent="0.3">
      <c r="A8230" s="42"/>
      <c r="C8230" s="52"/>
      <c r="D8230"/>
      <c r="E8230"/>
      <c r="F8230"/>
      <c r="L8230" s="45"/>
      <c r="M8230" s="45"/>
      <c r="N8230" s="44"/>
    </row>
    <row r="8231" spans="1:14" x14ac:dyDescent="0.3">
      <c r="A8231" s="42"/>
      <c r="C8231" s="52"/>
      <c r="D8231"/>
      <c r="E8231"/>
      <c r="F8231"/>
      <c r="L8231" s="45"/>
      <c r="N8231" s="44"/>
    </row>
    <row r="8232" spans="1:14" x14ac:dyDescent="0.3">
      <c r="A8232" s="42"/>
      <c r="C8232" s="52"/>
      <c r="D8232"/>
      <c r="E8232"/>
      <c r="F8232"/>
      <c r="M8232" s="45"/>
      <c r="N8232" s="44"/>
    </row>
    <row r="8233" spans="1:14" x14ac:dyDescent="0.3">
      <c r="A8233" s="42"/>
      <c r="C8233" s="52"/>
      <c r="D8233"/>
      <c r="E8233"/>
      <c r="F8233"/>
      <c r="N8233" s="44"/>
    </row>
    <row r="8234" spans="1:14" x14ac:dyDescent="0.3">
      <c r="A8234" s="42"/>
      <c r="C8234" s="52"/>
      <c r="D8234"/>
      <c r="E8234"/>
      <c r="F8234"/>
      <c r="L8234" s="45"/>
      <c r="N8234" s="44"/>
    </row>
    <row r="8235" spans="1:14" x14ac:dyDescent="0.3">
      <c r="A8235" s="42"/>
      <c r="C8235" s="52"/>
      <c r="D8235"/>
      <c r="E8235"/>
      <c r="F8235"/>
      <c r="L8235" s="45"/>
      <c r="M8235" s="45"/>
      <c r="N8235" s="44"/>
    </row>
    <row r="8236" spans="1:14" x14ac:dyDescent="0.3">
      <c r="A8236" s="42"/>
      <c r="C8236" s="52"/>
      <c r="D8236"/>
      <c r="E8236"/>
      <c r="F8236"/>
      <c r="L8236" s="45"/>
      <c r="N8236" s="44"/>
    </row>
    <row r="8237" spans="1:14" x14ac:dyDescent="0.3">
      <c r="A8237" s="42"/>
      <c r="C8237" s="52"/>
      <c r="D8237"/>
      <c r="E8237"/>
      <c r="F8237"/>
      <c r="L8237" s="45"/>
      <c r="N8237" s="44"/>
    </row>
    <row r="8238" spans="1:14" x14ac:dyDescent="0.3">
      <c r="A8238" s="42"/>
      <c r="C8238" s="52"/>
      <c r="D8238"/>
      <c r="E8238"/>
      <c r="F8238"/>
      <c r="N8238" s="44"/>
    </row>
    <row r="8239" spans="1:14" x14ac:dyDescent="0.3">
      <c r="A8239" s="42"/>
      <c r="C8239" s="52"/>
      <c r="D8239"/>
      <c r="E8239"/>
      <c r="F8239"/>
      <c r="N8239" s="44"/>
    </row>
    <row r="8240" spans="1:14" x14ac:dyDescent="0.3">
      <c r="A8240" s="42"/>
      <c r="C8240" s="52"/>
      <c r="D8240"/>
      <c r="E8240"/>
      <c r="F8240"/>
      <c r="L8240" s="45"/>
      <c r="N8240" s="44"/>
    </row>
    <row r="8241" spans="1:14" x14ac:dyDescent="0.3">
      <c r="A8241" s="42"/>
      <c r="C8241" s="52"/>
      <c r="D8241"/>
      <c r="E8241"/>
      <c r="F8241"/>
      <c r="L8241" s="45"/>
      <c r="N8241" s="44"/>
    </row>
    <row r="8242" spans="1:14" x14ac:dyDescent="0.3">
      <c r="A8242" s="42"/>
      <c r="C8242" s="52"/>
      <c r="D8242"/>
      <c r="E8242"/>
      <c r="F8242"/>
      <c r="N8242" s="44"/>
    </row>
    <row r="8243" spans="1:14" x14ac:dyDescent="0.3">
      <c r="A8243" s="42"/>
      <c r="C8243" s="52"/>
      <c r="D8243"/>
      <c r="E8243"/>
      <c r="F8243"/>
      <c r="N8243" s="44"/>
    </row>
    <row r="8244" spans="1:14" x14ac:dyDescent="0.3">
      <c r="A8244" s="42"/>
      <c r="C8244" s="52"/>
      <c r="D8244"/>
      <c r="E8244"/>
      <c r="F8244"/>
      <c r="N8244" s="44"/>
    </row>
    <row r="8245" spans="1:14" x14ac:dyDescent="0.3">
      <c r="A8245" s="42"/>
      <c r="C8245" s="52"/>
      <c r="D8245"/>
      <c r="E8245"/>
      <c r="F8245"/>
      <c r="N8245" s="44"/>
    </row>
    <row r="8246" spans="1:14" x14ac:dyDescent="0.3">
      <c r="A8246" s="42"/>
      <c r="C8246" s="52"/>
      <c r="D8246"/>
      <c r="E8246"/>
      <c r="F8246"/>
      <c r="N8246" s="44"/>
    </row>
    <row r="8247" spans="1:14" x14ac:dyDescent="0.3">
      <c r="A8247" s="42"/>
      <c r="C8247" s="52"/>
      <c r="D8247"/>
      <c r="E8247"/>
      <c r="F8247"/>
      <c r="N8247" s="44"/>
    </row>
    <row r="8248" spans="1:14" x14ac:dyDescent="0.3">
      <c r="A8248" s="42"/>
      <c r="C8248" s="52"/>
      <c r="D8248"/>
      <c r="E8248"/>
      <c r="F8248"/>
      <c r="N8248" s="44"/>
    </row>
    <row r="8249" spans="1:14" x14ac:dyDescent="0.3">
      <c r="A8249" s="42"/>
      <c r="C8249" s="52"/>
      <c r="D8249"/>
      <c r="E8249"/>
      <c r="F8249"/>
      <c r="N8249" s="44"/>
    </row>
    <row r="8250" spans="1:14" x14ac:dyDescent="0.3">
      <c r="A8250" s="42"/>
      <c r="C8250" s="52"/>
      <c r="D8250"/>
      <c r="E8250"/>
      <c r="F8250"/>
      <c r="N8250" s="44"/>
    </row>
    <row r="8251" spans="1:14" x14ac:dyDescent="0.3">
      <c r="A8251" s="42"/>
      <c r="C8251" s="52"/>
      <c r="D8251"/>
      <c r="E8251"/>
      <c r="F8251"/>
      <c r="N8251" s="44"/>
    </row>
    <row r="8252" spans="1:14" x14ac:dyDescent="0.3">
      <c r="A8252" s="42"/>
      <c r="C8252" s="52"/>
      <c r="D8252"/>
      <c r="E8252"/>
      <c r="F8252"/>
      <c r="N8252" s="44"/>
    </row>
    <row r="8253" spans="1:14" x14ac:dyDescent="0.3">
      <c r="A8253" s="42"/>
      <c r="C8253" s="52"/>
      <c r="D8253"/>
      <c r="E8253"/>
      <c r="F8253"/>
      <c r="N8253" s="44"/>
    </row>
    <row r="8254" spans="1:14" x14ac:dyDescent="0.3">
      <c r="A8254" s="42"/>
      <c r="C8254" s="52"/>
      <c r="D8254"/>
      <c r="E8254"/>
      <c r="F8254"/>
      <c r="L8254" s="45"/>
      <c r="N8254" s="44"/>
    </row>
    <row r="8255" spans="1:14" x14ac:dyDescent="0.3">
      <c r="A8255" s="42"/>
      <c r="C8255" s="52"/>
      <c r="D8255"/>
      <c r="E8255"/>
      <c r="F8255"/>
      <c r="L8255" s="45"/>
      <c r="N8255" s="44"/>
    </row>
    <row r="8256" spans="1:14" x14ac:dyDescent="0.3">
      <c r="A8256" s="42"/>
      <c r="C8256" s="52"/>
      <c r="D8256"/>
      <c r="E8256"/>
      <c r="F8256"/>
      <c r="L8256" s="45"/>
      <c r="N8256" s="44"/>
    </row>
    <row r="8257" spans="1:14" x14ac:dyDescent="0.3">
      <c r="A8257" s="42"/>
      <c r="C8257" s="52"/>
      <c r="D8257"/>
      <c r="E8257"/>
      <c r="F8257"/>
      <c r="N8257" s="44"/>
    </row>
    <row r="8258" spans="1:14" x14ac:dyDescent="0.3">
      <c r="A8258" s="42"/>
      <c r="C8258" s="52"/>
      <c r="D8258"/>
      <c r="E8258"/>
      <c r="F8258"/>
      <c r="N8258" s="44"/>
    </row>
    <row r="8259" spans="1:14" x14ac:dyDescent="0.3">
      <c r="A8259" s="42"/>
      <c r="C8259" s="52"/>
      <c r="D8259"/>
      <c r="E8259"/>
      <c r="F8259"/>
      <c r="L8259" s="45"/>
      <c r="N8259" s="44"/>
    </row>
    <row r="8260" spans="1:14" x14ac:dyDescent="0.3">
      <c r="A8260" s="42"/>
      <c r="C8260" s="52"/>
      <c r="D8260"/>
      <c r="E8260"/>
      <c r="F8260"/>
      <c r="L8260" s="45"/>
      <c r="N8260" s="44"/>
    </row>
    <row r="8261" spans="1:14" x14ac:dyDescent="0.3">
      <c r="A8261" s="42"/>
      <c r="C8261" s="52"/>
      <c r="D8261"/>
      <c r="E8261"/>
      <c r="F8261"/>
      <c r="L8261" s="45"/>
      <c r="N8261" s="44"/>
    </row>
    <row r="8262" spans="1:14" x14ac:dyDescent="0.3">
      <c r="A8262" s="42"/>
      <c r="C8262" s="52"/>
      <c r="D8262"/>
      <c r="E8262"/>
      <c r="F8262"/>
      <c r="M8262" s="45"/>
      <c r="N8262" s="44"/>
    </row>
    <row r="8263" spans="1:14" x14ac:dyDescent="0.3">
      <c r="A8263" s="42"/>
      <c r="C8263" s="52"/>
      <c r="D8263"/>
      <c r="E8263"/>
      <c r="F8263"/>
      <c r="N8263" s="44"/>
    </row>
    <row r="8264" spans="1:14" x14ac:dyDescent="0.3">
      <c r="A8264" s="42"/>
      <c r="C8264" s="52"/>
      <c r="D8264"/>
      <c r="E8264"/>
      <c r="F8264"/>
      <c r="N8264" s="44"/>
    </row>
    <row r="8265" spans="1:14" x14ac:dyDescent="0.3">
      <c r="A8265" s="42"/>
      <c r="C8265" s="52"/>
      <c r="D8265"/>
      <c r="E8265"/>
      <c r="F8265"/>
      <c r="N8265" s="44"/>
    </row>
    <row r="8266" spans="1:14" x14ac:dyDescent="0.3">
      <c r="A8266" s="42"/>
      <c r="C8266" s="52"/>
      <c r="D8266"/>
      <c r="E8266"/>
      <c r="F8266"/>
      <c r="N8266" s="44"/>
    </row>
    <row r="8267" spans="1:14" x14ac:dyDescent="0.3">
      <c r="A8267" s="42"/>
      <c r="C8267" s="52"/>
      <c r="D8267"/>
      <c r="E8267"/>
      <c r="F8267"/>
      <c r="N8267" s="44"/>
    </row>
    <row r="8268" spans="1:14" x14ac:dyDescent="0.3">
      <c r="A8268" s="42"/>
      <c r="C8268" s="52"/>
      <c r="D8268"/>
      <c r="E8268"/>
      <c r="F8268"/>
      <c r="M8268" s="45"/>
      <c r="N8268" s="44"/>
    </row>
    <row r="8269" spans="1:14" x14ac:dyDescent="0.3">
      <c r="A8269" s="42"/>
      <c r="C8269" s="52"/>
      <c r="D8269"/>
      <c r="E8269"/>
      <c r="F8269"/>
      <c r="N8269" s="44"/>
    </row>
    <row r="8270" spans="1:14" x14ac:dyDescent="0.3">
      <c r="A8270" s="42"/>
      <c r="C8270" s="52"/>
      <c r="D8270"/>
      <c r="E8270"/>
      <c r="F8270"/>
      <c r="L8270" s="45"/>
      <c r="M8270" s="45"/>
      <c r="N8270" s="44"/>
    </row>
    <row r="8271" spans="1:14" x14ac:dyDescent="0.3">
      <c r="A8271" s="42"/>
      <c r="C8271" s="52"/>
      <c r="D8271"/>
      <c r="E8271"/>
      <c r="F8271"/>
      <c r="N8271" s="44"/>
    </row>
    <row r="8272" spans="1:14" x14ac:dyDescent="0.3">
      <c r="A8272" s="42"/>
      <c r="C8272" s="52"/>
      <c r="D8272"/>
      <c r="E8272"/>
      <c r="F8272"/>
      <c r="N8272" s="44"/>
    </row>
    <row r="8273" spans="1:14" x14ac:dyDescent="0.3">
      <c r="A8273" s="42"/>
      <c r="C8273" s="52"/>
      <c r="D8273"/>
      <c r="E8273"/>
      <c r="F8273"/>
      <c r="N8273" s="44"/>
    </row>
    <row r="8274" spans="1:14" x14ac:dyDescent="0.3">
      <c r="A8274" s="42"/>
      <c r="C8274" s="52"/>
      <c r="D8274"/>
      <c r="E8274"/>
      <c r="F8274"/>
      <c r="N8274" s="44"/>
    </row>
    <row r="8275" spans="1:14" x14ac:dyDescent="0.3">
      <c r="A8275" s="42"/>
      <c r="C8275" s="52"/>
      <c r="D8275"/>
      <c r="E8275"/>
      <c r="F8275"/>
      <c r="L8275" s="45"/>
      <c r="N8275" s="44"/>
    </row>
    <row r="8276" spans="1:14" x14ac:dyDescent="0.3">
      <c r="A8276" s="42"/>
      <c r="C8276" s="52"/>
      <c r="D8276"/>
      <c r="E8276"/>
      <c r="F8276"/>
      <c r="N8276" s="44"/>
    </row>
    <row r="8277" spans="1:14" x14ac:dyDescent="0.3">
      <c r="A8277" s="42"/>
      <c r="C8277" s="52"/>
      <c r="D8277"/>
      <c r="E8277"/>
      <c r="F8277"/>
      <c r="N8277" s="44"/>
    </row>
    <row r="8278" spans="1:14" x14ac:dyDescent="0.3">
      <c r="A8278" s="42"/>
      <c r="C8278" s="52"/>
      <c r="D8278"/>
      <c r="E8278"/>
      <c r="F8278"/>
      <c r="N8278" s="44"/>
    </row>
    <row r="8279" spans="1:14" x14ac:dyDescent="0.3">
      <c r="A8279" s="42"/>
      <c r="C8279" s="52"/>
      <c r="D8279"/>
      <c r="E8279"/>
      <c r="F8279"/>
      <c r="N8279" s="44"/>
    </row>
    <row r="8280" spans="1:14" x14ac:dyDescent="0.3">
      <c r="A8280" s="42"/>
      <c r="C8280" s="52"/>
      <c r="D8280"/>
      <c r="E8280"/>
      <c r="F8280"/>
      <c r="N8280" s="44"/>
    </row>
    <row r="8281" spans="1:14" x14ac:dyDescent="0.3">
      <c r="A8281" s="42"/>
      <c r="C8281" s="52"/>
      <c r="D8281"/>
      <c r="E8281"/>
      <c r="F8281"/>
      <c r="N8281" s="44"/>
    </row>
    <row r="8282" spans="1:14" x14ac:dyDescent="0.3">
      <c r="A8282" s="42"/>
      <c r="C8282" s="52"/>
      <c r="D8282"/>
      <c r="E8282"/>
      <c r="F8282"/>
      <c r="N8282" s="44"/>
    </row>
    <row r="8283" spans="1:14" x14ac:dyDescent="0.3">
      <c r="A8283" s="42"/>
      <c r="C8283" s="52"/>
      <c r="D8283"/>
      <c r="E8283"/>
      <c r="F8283"/>
      <c r="N8283" s="44"/>
    </row>
    <row r="8284" spans="1:14" x14ac:dyDescent="0.3">
      <c r="A8284" s="42"/>
      <c r="C8284" s="52"/>
      <c r="D8284"/>
      <c r="E8284"/>
      <c r="F8284"/>
      <c r="N8284" s="44"/>
    </row>
    <row r="8285" spans="1:14" x14ac:dyDescent="0.3">
      <c r="A8285" s="42"/>
      <c r="C8285" s="52"/>
      <c r="D8285"/>
      <c r="E8285"/>
      <c r="F8285"/>
      <c r="N8285" s="44"/>
    </row>
    <row r="8286" spans="1:14" x14ac:dyDescent="0.3">
      <c r="A8286" s="42"/>
      <c r="C8286" s="52"/>
      <c r="D8286"/>
      <c r="E8286"/>
      <c r="F8286"/>
      <c r="N8286" s="44"/>
    </row>
    <row r="8287" spans="1:14" x14ac:dyDescent="0.3">
      <c r="A8287" s="42"/>
      <c r="C8287" s="52"/>
      <c r="D8287"/>
      <c r="E8287"/>
      <c r="F8287"/>
      <c r="L8287" s="45"/>
      <c r="N8287" s="44"/>
    </row>
    <row r="8288" spans="1:14" x14ac:dyDescent="0.3">
      <c r="A8288" s="42"/>
      <c r="C8288" s="52"/>
      <c r="D8288"/>
      <c r="E8288"/>
      <c r="F8288"/>
      <c r="N8288" s="44"/>
    </row>
    <row r="8289" spans="1:14" x14ac:dyDescent="0.3">
      <c r="A8289" s="42"/>
      <c r="C8289" s="52"/>
      <c r="D8289"/>
      <c r="E8289"/>
      <c r="F8289"/>
      <c r="N8289" s="44"/>
    </row>
    <row r="8290" spans="1:14" x14ac:dyDescent="0.3">
      <c r="A8290" s="42"/>
      <c r="C8290" s="52"/>
      <c r="D8290"/>
      <c r="E8290"/>
      <c r="F8290"/>
      <c r="N8290" s="44"/>
    </row>
    <row r="8291" spans="1:14" x14ac:dyDescent="0.3">
      <c r="A8291" s="42"/>
      <c r="C8291" s="52"/>
      <c r="D8291"/>
      <c r="E8291"/>
      <c r="F8291"/>
      <c r="L8291" s="55"/>
      <c r="N8291" s="44"/>
    </row>
    <row r="8292" spans="1:14" x14ac:dyDescent="0.3">
      <c r="A8292" s="42"/>
      <c r="C8292" s="52"/>
      <c r="D8292"/>
      <c r="E8292"/>
      <c r="F8292"/>
      <c r="N8292" s="44"/>
    </row>
    <row r="8293" spans="1:14" x14ac:dyDescent="0.3">
      <c r="A8293" s="42"/>
      <c r="C8293" s="52"/>
      <c r="D8293"/>
      <c r="E8293"/>
      <c r="F8293"/>
      <c r="N8293" s="44"/>
    </row>
    <row r="8294" spans="1:14" x14ac:dyDescent="0.3">
      <c r="A8294" s="42"/>
      <c r="C8294" s="52"/>
      <c r="D8294"/>
      <c r="E8294"/>
      <c r="F8294"/>
      <c r="N8294" s="44"/>
    </row>
    <row r="8295" spans="1:14" x14ac:dyDescent="0.3">
      <c r="A8295" s="42"/>
      <c r="C8295" s="52"/>
      <c r="D8295"/>
      <c r="E8295"/>
      <c r="F8295"/>
      <c r="N8295" s="44"/>
    </row>
    <row r="8296" spans="1:14" x14ac:dyDescent="0.3">
      <c r="A8296" s="42"/>
      <c r="C8296" s="52"/>
      <c r="D8296"/>
      <c r="E8296"/>
      <c r="F8296"/>
      <c r="N8296" s="44"/>
    </row>
    <row r="8297" spans="1:14" x14ac:dyDescent="0.3">
      <c r="A8297" s="42"/>
      <c r="C8297" s="52"/>
      <c r="D8297"/>
      <c r="E8297"/>
      <c r="F8297"/>
      <c r="N8297" s="44"/>
    </row>
    <row r="8298" spans="1:14" x14ac:dyDescent="0.3">
      <c r="A8298" s="42"/>
      <c r="C8298" s="52"/>
      <c r="D8298"/>
      <c r="E8298"/>
      <c r="F8298"/>
      <c r="N8298" s="44"/>
    </row>
    <row r="8299" spans="1:14" x14ac:dyDescent="0.3">
      <c r="A8299" s="42"/>
      <c r="C8299" s="52"/>
      <c r="D8299"/>
      <c r="E8299"/>
      <c r="F8299"/>
      <c r="N8299" s="44"/>
    </row>
    <row r="8300" spans="1:14" x14ac:dyDescent="0.3">
      <c r="A8300" s="42"/>
      <c r="C8300" s="52"/>
      <c r="D8300"/>
      <c r="E8300"/>
      <c r="F8300"/>
      <c r="L8300" s="45"/>
      <c r="N8300" s="44"/>
    </row>
    <row r="8301" spans="1:14" x14ac:dyDescent="0.3">
      <c r="A8301" s="42"/>
      <c r="C8301" s="52"/>
      <c r="D8301"/>
      <c r="E8301"/>
      <c r="F8301"/>
      <c r="N8301" s="44"/>
    </row>
    <row r="8302" spans="1:14" x14ac:dyDescent="0.3">
      <c r="A8302" s="42"/>
      <c r="C8302" s="52"/>
      <c r="D8302"/>
      <c r="E8302"/>
      <c r="F8302"/>
      <c r="L8302" s="45"/>
      <c r="N8302" s="44"/>
    </row>
    <row r="8303" spans="1:14" x14ac:dyDescent="0.3">
      <c r="A8303" s="42"/>
      <c r="C8303" s="52"/>
      <c r="D8303"/>
      <c r="E8303"/>
      <c r="F8303"/>
      <c r="N8303" s="44"/>
    </row>
    <row r="8304" spans="1:14" x14ac:dyDescent="0.3">
      <c r="A8304" s="42"/>
      <c r="C8304" s="52"/>
      <c r="D8304"/>
      <c r="E8304"/>
      <c r="F8304"/>
      <c r="N8304" s="44"/>
    </row>
    <row r="8305" spans="1:14" x14ac:dyDescent="0.3">
      <c r="A8305" s="42"/>
      <c r="C8305" s="52"/>
      <c r="D8305"/>
      <c r="E8305"/>
      <c r="F8305"/>
      <c r="N8305" s="44"/>
    </row>
    <row r="8306" spans="1:14" x14ac:dyDescent="0.3">
      <c r="A8306" s="42"/>
      <c r="C8306" s="52"/>
      <c r="D8306"/>
      <c r="E8306"/>
      <c r="F8306"/>
      <c r="N8306" s="44"/>
    </row>
    <row r="8307" spans="1:14" x14ac:dyDescent="0.3">
      <c r="A8307" s="42"/>
      <c r="C8307" s="52"/>
      <c r="D8307"/>
      <c r="E8307"/>
      <c r="F8307"/>
      <c r="L8307" s="45"/>
      <c r="N8307" s="44"/>
    </row>
    <row r="8308" spans="1:14" x14ac:dyDescent="0.3">
      <c r="A8308" s="42"/>
      <c r="C8308" s="52"/>
      <c r="D8308"/>
      <c r="E8308"/>
      <c r="F8308"/>
      <c r="N8308" s="44"/>
    </row>
    <row r="8309" spans="1:14" x14ac:dyDescent="0.3">
      <c r="A8309" s="42"/>
      <c r="C8309" s="52"/>
      <c r="D8309"/>
      <c r="E8309"/>
      <c r="F8309"/>
      <c r="N8309" s="44"/>
    </row>
    <row r="8310" spans="1:14" x14ac:dyDescent="0.3">
      <c r="A8310" s="42"/>
      <c r="C8310" s="52"/>
      <c r="D8310"/>
      <c r="E8310"/>
      <c r="F8310"/>
      <c r="N8310" s="44"/>
    </row>
    <row r="8311" spans="1:14" x14ac:dyDescent="0.3">
      <c r="A8311" s="42"/>
      <c r="C8311" s="52"/>
      <c r="D8311"/>
      <c r="E8311"/>
      <c r="F8311"/>
      <c r="L8311" s="55"/>
      <c r="N8311" s="44"/>
    </row>
    <row r="8312" spans="1:14" x14ac:dyDescent="0.3">
      <c r="A8312" s="42"/>
      <c r="C8312" s="52"/>
      <c r="D8312"/>
      <c r="E8312"/>
      <c r="F8312"/>
      <c r="N8312" s="44"/>
    </row>
    <row r="8313" spans="1:14" x14ac:dyDescent="0.3">
      <c r="A8313" s="42"/>
      <c r="C8313" s="52"/>
      <c r="D8313"/>
      <c r="E8313"/>
      <c r="F8313"/>
      <c r="L8313" s="45"/>
      <c r="N8313" s="44"/>
    </row>
    <row r="8314" spans="1:14" x14ac:dyDescent="0.3">
      <c r="A8314" s="42"/>
      <c r="C8314" s="52"/>
      <c r="D8314"/>
      <c r="E8314"/>
      <c r="F8314"/>
      <c r="N8314" s="44"/>
    </row>
    <row r="8315" spans="1:14" x14ac:dyDescent="0.3">
      <c r="A8315" s="42"/>
      <c r="C8315" s="52"/>
      <c r="D8315"/>
      <c r="E8315"/>
      <c r="F8315"/>
      <c r="N8315" s="44"/>
    </row>
    <row r="8316" spans="1:14" x14ac:dyDescent="0.3">
      <c r="A8316" s="42"/>
      <c r="C8316" s="52"/>
      <c r="D8316"/>
      <c r="E8316"/>
      <c r="F8316"/>
      <c r="N8316" s="44"/>
    </row>
    <row r="8317" spans="1:14" x14ac:dyDescent="0.3">
      <c r="A8317" s="42"/>
      <c r="C8317" s="52"/>
      <c r="D8317"/>
      <c r="E8317"/>
      <c r="F8317"/>
      <c r="N8317" s="44"/>
    </row>
    <row r="8318" spans="1:14" x14ac:dyDescent="0.3">
      <c r="A8318" s="42"/>
      <c r="C8318" s="52"/>
      <c r="D8318"/>
      <c r="E8318"/>
      <c r="F8318"/>
      <c r="N8318" s="44"/>
    </row>
    <row r="8319" spans="1:14" x14ac:dyDescent="0.3">
      <c r="A8319" s="42"/>
      <c r="C8319" s="52"/>
      <c r="D8319"/>
      <c r="E8319"/>
      <c r="F8319"/>
      <c r="N8319" s="44"/>
    </row>
    <row r="8320" spans="1:14" x14ac:dyDescent="0.3">
      <c r="A8320" s="42"/>
      <c r="C8320" s="52"/>
      <c r="D8320"/>
      <c r="E8320"/>
      <c r="F8320"/>
      <c r="L8320" s="45"/>
      <c r="N8320" s="44"/>
    </row>
    <row r="8321" spans="1:14" x14ac:dyDescent="0.3">
      <c r="A8321" s="42"/>
      <c r="C8321" s="52"/>
      <c r="D8321"/>
      <c r="E8321"/>
      <c r="F8321"/>
      <c r="N8321" s="44"/>
    </row>
    <row r="8322" spans="1:14" x14ac:dyDescent="0.3">
      <c r="A8322" s="42"/>
      <c r="C8322" s="52"/>
      <c r="D8322"/>
      <c r="E8322"/>
      <c r="F8322"/>
      <c r="N8322" s="44"/>
    </row>
    <row r="8323" spans="1:14" x14ac:dyDescent="0.3">
      <c r="A8323" s="42"/>
      <c r="C8323" s="52"/>
      <c r="D8323"/>
      <c r="E8323"/>
      <c r="F8323"/>
      <c r="N8323" s="44"/>
    </row>
    <row r="8324" spans="1:14" x14ac:dyDescent="0.3">
      <c r="A8324" s="42"/>
      <c r="C8324" s="52"/>
      <c r="D8324"/>
      <c r="E8324"/>
      <c r="F8324"/>
      <c r="N8324" s="44"/>
    </row>
    <row r="8325" spans="1:14" x14ac:dyDescent="0.3">
      <c r="A8325" s="42"/>
      <c r="C8325" s="52"/>
      <c r="D8325"/>
      <c r="E8325"/>
      <c r="F8325"/>
      <c r="L8325" s="45"/>
      <c r="N8325" s="44"/>
    </row>
    <row r="8326" spans="1:14" x14ac:dyDescent="0.3">
      <c r="A8326" s="42"/>
      <c r="C8326" s="52"/>
      <c r="D8326"/>
      <c r="E8326"/>
      <c r="F8326"/>
      <c r="L8326" s="45"/>
      <c r="N8326" s="44"/>
    </row>
    <row r="8327" spans="1:14" x14ac:dyDescent="0.3">
      <c r="A8327" s="42"/>
      <c r="C8327" s="52"/>
      <c r="D8327"/>
      <c r="E8327"/>
      <c r="F8327"/>
      <c r="N8327" s="44"/>
    </row>
    <row r="8328" spans="1:14" x14ac:dyDescent="0.3">
      <c r="A8328" s="42"/>
      <c r="C8328" s="52"/>
      <c r="D8328"/>
      <c r="E8328"/>
      <c r="F8328"/>
      <c r="N8328" s="44"/>
    </row>
    <row r="8329" spans="1:14" x14ac:dyDescent="0.3">
      <c r="A8329" s="42"/>
      <c r="C8329" s="52"/>
      <c r="D8329"/>
      <c r="E8329"/>
      <c r="F8329"/>
      <c r="N8329" s="44"/>
    </row>
    <row r="8330" spans="1:14" x14ac:dyDescent="0.3">
      <c r="A8330" s="42"/>
      <c r="C8330" s="52"/>
      <c r="D8330"/>
      <c r="E8330"/>
      <c r="F8330"/>
      <c r="N8330" s="44"/>
    </row>
    <row r="8331" spans="1:14" x14ac:dyDescent="0.3">
      <c r="A8331" s="42"/>
      <c r="C8331" s="52"/>
      <c r="D8331"/>
      <c r="E8331"/>
      <c r="F8331"/>
      <c r="N8331" s="44"/>
    </row>
    <row r="8332" spans="1:14" x14ac:dyDescent="0.3">
      <c r="A8332" s="42"/>
      <c r="C8332" s="52"/>
      <c r="D8332"/>
      <c r="E8332"/>
      <c r="F8332"/>
      <c r="N8332" s="44"/>
    </row>
    <row r="8333" spans="1:14" x14ac:dyDescent="0.3">
      <c r="A8333" s="42"/>
      <c r="C8333" s="52"/>
      <c r="D8333"/>
      <c r="E8333"/>
      <c r="F8333"/>
      <c r="N8333" s="44"/>
    </row>
    <row r="8334" spans="1:14" x14ac:dyDescent="0.3">
      <c r="A8334" s="42"/>
      <c r="C8334" s="52"/>
      <c r="D8334"/>
      <c r="E8334"/>
      <c r="F8334"/>
      <c r="N8334" s="44"/>
    </row>
    <row r="8335" spans="1:14" x14ac:dyDescent="0.3">
      <c r="A8335" s="42"/>
      <c r="C8335" s="52"/>
      <c r="D8335"/>
      <c r="E8335"/>
      <c r="F8335"/>
      <c r="L8335" s="45"/>
      <c r="N8335" s="44"/>
    </row>
    <row r="8336" spans="1:14" x14ac:dyDescent="0.3">
      <c r="A8336" s="42"/>
      <c r="C8336" s="52"/>
      <c r="D8336"/>
      <c r="E8336"/>
      <c r="F8336"/>
      <c r="N8336" s="44"/>
    </row>
    <row r="8337" spans="1:14" x14ac:dyDescent="0.3">
      <c r="A8337" s="42"/>
      <c r="C8337" s="52"/>
      <c r="D8337"/>
      <c r="E8337"/>
      <c r="F8337"/>
      <c r="L8337" s="45"/>
      <c r="N8337" s="44"/>
    </row>
    <row r="8338" spans="1:14" x14ac:dyDescent="0.3">
      <c r="A8338" s="42"/>
      <c r="C8338" s="52"/>
      <c r="D8338"/>
      <c r="E8338"/>
      <c r="F8338"/>
      <c r="L8338" s="45"/>
      <c r="N8338" s="44"/>
    </row>
    <row r="8339" spans="1:14" x14ac:dyDescent="0.3">
      <c r="A8339" s="42"/>
      <c r="C8339" s="52"/>
      <c r="D8339"/>
      <c r="E8339"/>
      <c r="F8339"/>
      <c r="N8339" s="44"/>
    </row>
    <row r="8340" spans="1:14" x14ac:dyDescent="0.3">
      <c r="A8340" s="42"/>
      <c r="C8340" s="52"/>
      <c r="D8340"/>
      <c r="E8340"/>
      <c r="F8340"/>
      <c r="N8340" s="44"/>
    </row>
    <row r="8341" spans="1:14" x14ac:dyDescent="0.3">
      <c r="A8341" s="42"/>
      <c r="C8341" s="52"/>
      <c r="D8341"/>
      <c r="E8341"/>
      <c r="F8341"/>
      <c r="N8341" s="44"/>
    </row>
    <row r="8342" spans="1:14" x14ac:dyDescent="0.3">
      <c r="A8342" s="42"/>
      <c r="C8342" s="52"/>
      <c r="D8342"/>
      <c r="E8342"/>
      <c r="F8342"/>
      <c r="N8342" s="44"/>
    </row>
    <row r="8343" spans="1:14" x14ac:dyDescent="0.3">
      <c r="A8343" s="42"/>
      <c r="C8343" s="52"/>
      <c r="D8343"/>
      <c r="E8343"/>
      <c r="F8343"/>
      <c r="L8343" s="45"/>
      <c r="N8343" s="44"/>
    </row>
    <row r="8344" spans="1:14" x14ac:dyDescent="0.3">
      <c r="A8344" s="42"/>
      <c r="C8344" s="52"/>
      <c r="D8344"/>
      <c r="E8344"/>
      <c r="F8344"/>
      <c r="N8344" s="44"/>
    </row>
    <row r="8345" spans="1:14" x14ac:dyDescent="0.3">
      <c r="A8345" s="42"/>
      <c r="C8345" s="52"/>
      <c r="D8345"/>
      <c r="E8345"/>
      <c r="F8345"/>
      <c r="N8345" s="44"/>
    </row>
    <row r="8346" spans="1:14" x14ac:dyDescent="0.3">
      <c r="A8346" s="42"/>
      <c r="C8346" s="52"/>
      <c r="D8346"/>
      <c r="E8346"/>
      <c r="F8346"/>
      <c r="N8346" s="44"/>
    </row>
    <row r="8347" spans="1:14" x14ac:dyDescent="0.3">
      <c r="A8347" s="42"/>
      <c r="C8347" s="52"/>
      <c r="D8347"/>
      <c r="E8347"/>
      <c r="F8347"/>
      <c r="N8347" s="44"/>
    </row>
    <row r="8348" spans="1:14" x14ac:dyDescent="0.3">
      <c r="A8348" s="42"/>
      <c r="C8348" s="52"/>
      <c r="D8348"/>
      <c r="E8348"/>
      <c r="F8348"/>
      <c r="N8348" s="44"/>
    </row>
    <row r="8349" spans="1:14" x14ac:dyDescent="0.3">
      <c r="A8349" s="42"/>
      <c r="C8349" s="52"/>
      <c r="D8349"/>
      <c r="E8349"/>
      <c r="F8349"/>
      <c r="N8349" s="44"/>
    </row>
    <row r="8350" spans="1:14" x14ac:dyDescent="0.3">
      <c r="A8350" s="42"/>
      <c r="C8350" s="52"/>
      <c r="D8350"/>
      <c r="E8350"/>
      <c r="F8350"/>
      <c r="N8350" s="44"/>
    </row>
    <row r="8351" spans="1:14" x14ac:dyDescent="0.3">
      <c r="A8351" s="42"/>
      <c r="C8351" s="52"/>
      <c r="D8351"/>
      <c r="E8351"/>
      <c r="F8351"/>
      <c r="N8351" s="44"/>
    </row>
    <row r="8352" spans="1:14" x14ac:dyDescent="0.3">
      <c r="A8352" s="42"/>
      <c r="C8352" s="52"/>
      <c r="D8352"/>
      <c r="E8352"/>
      <c r="F8352"/>
      <c r="N8352" s="44"/>
    </row>
    <row r="8353" spans="1:14" x14ac:dyDescent="0.3">
      <c r="A8353" s="42"/>
      <c r="C8353" s="52"/>
      <c r="D8353"/>
      <c r="E8353"/>
      <c r="F8353"/>
      <c r="N8353" s="44"/>
    </row>
    <row r="8354" spans="1:14" x14ac:dyDescent="0.3">
      <c r="A8354" s="42"/>
      <c r="C8354" s="52"/>
      <c r="D8354"/>
      <c r="E8354"/>
      <c r="F8354"/>
      <c r="N8354" s="44"/>
    </row>
    <row r="8355" spans="1:14" x14ac:dyDescent="0.3">
      <c r="A8355" s="42"/>
      <c r="C8355" s="52"/>
      <c r="D8355"/>
      <c r="E8355"/>
      <c r="F8355"/>
      <c r="N8355" s="44"/>
    </row>
    <row r="8356" spans="1:14" x14ac:dyDescent="0.3">
      <c r="A8356" s="42"/>
      <c r="C8356" s="52"/>
      <c r="D8356"/>
      <c r="E8356"/>
      <c r="F8356"/>
      <c r="N8356" s="44"/>
    </row>
    <row r="8357" spans="1:14" x14ac:dyDescent="0.3">
      <c r="A8357" s="42"/>
      <c r="C8357" s="52"/>
      <c r="D8357"/>
      <c r="E8357"/>
      <c r="F8357"/>
      <c r="N8357" s="44"/>
    </row>
    <row r="8358" spans="1:14" x14ac:dyDescent="0.3">
      <c r="A8358" s="42"/>
      <c r="C8358" s="52"/>
      <c r="D8358"/>
      <c r="E8358"/>
      <c r="F8358"/>
      <c r="N8358" s="44"/>
    </row>
    <row r="8359" spans="1:14" x14ac:dyDescent="0.3">
      <c r="A8359" s="42"/>
      <c r="C8359" s="52"/>
      <c r="D8359"/>
      <c r="E8359"/>
      <c r="F8359"/>
      <c r="N8359" s="44"/>
    </row>
    <row r="8360" spans="1:14" x14ac:dyDescent="0.3">
      <c r="A8360" s="42"/>
      <c r="C8360" s="52"/>
      <c r="D8360"/>
      <c r="E8360"/>
      <c r="F8360"/>
      <c r="N8360" s="44"/>
    </row>
    <row r="8361" spans="1:14" x14ac:dyDescent="0.3">
      <c r="A8361" s="42"/>
      <c r="C8361" s="52"/>
      <c r="D8361"/>
      <c r="E8361"/>
      <c r="F8361"/>
      <c r="N8361" s="44"/>
    </row>
    <row r="8362" spans="1:14" x14ac:dyDescent="0.3">
      <c r="A8362" s="42"/>
      <c r="C8362" s="52"/>
      <c r="D8362"/>
      <c r="E8362"/>
      <c r="F8362"/>
      <c r="N8362" s="44"/>
    </row>
    <row r="8363" spans="1:14" x14ac:dyDescent="0.3">
      <c r="A8363" s="42"/>
      <c r="C8363" s="52"/>
      <c r="D8363"/>
      <c r="E8363"/>
      <c r="F8363"/>
      <c r="N8363" s="44"/>
    </row>
    <row r="8364" spans="1:14" x14ac:dyDescent="0.3">
      <c r="A8364" s="42"/>
      <c r="C8364" s="52"/>
      <c r="D8364"/>
      <c r="E8364"/>
      <c r="F8364"/>
      <c r="N8364" s="44"/>
    </row>
    <row r="8365" spans="1:14" x14ac:dyDescent="0.3">
      <c r="A8365" s="42"/>
      <c r="C8365" s="52"/>
      <c r="D8365"/>
      <c r="E8365"/>
      <c r="F8365"/>
      <c r="L8365" s="45"/>
      <c r="N8365" s="44"/>
    </row>
    <row r="8366" spans="1:14" x14ac:dyDescent="0.3">
      <c r="A8366" s="42"/>
      <c r="C8366" s="52"/>
      <c r="D8366"/>
      <c r="E8366"/>
      <c r="F8366"/>
      <c r="N8366" s="44"/>
    </row>
    <row r="8367" spans="1:14" x14ac:dyDescent="0.3">
      <c r="A8367" s="42"/>
      <c r="C8367" s="52"/>
      <c r="D8367"/>
      <c r="E8367"/>
      <c r="F8367"/>
      <c r="N8367" s="44"/>
    </row>
    <row r="8368" spans="1:14" x14ac:dyDescent="0.3">
      <c r="A8368" s="42"/>
      <c r="C8368" s="52"/>
      <c r="D8368"/>
      <c r="E8368"/>
      <c r="F8368"/>
      <c r="N8368" s="44"/>
    </row>
    <row r="8369" spans="1:14" x14ac:dyDescent="0.3">
      <c r="A8369" s="42"/>
      <c r="C8369" s="52"/>
      <c r="D8369"/>
      <c r="E8369"/>
      <c r="F8369"/>
      <c r="N8369" s="44"/>
    </row>
    <row r="8370" spans="1:14" x14ac:dyDescent="0.3">
      <c r="A8370" s="42"/>
      <c r="C8370" s="52"/>
      <c r="D8370"/>
      <c r="E8370"/>
      <c r="F8370"/>
      <c r="L8370" s="45"/>
      <c r="M8370" s="45"/>
      <c r="N8370" s="44"/>
    </row>
    <row r="8371" spans="1:14" x14ac:dyDescent="0.3">
      <c r="A8371" s="42"/>
      <c r="C8371" s="52"/>
      <c r="D8371"/>
      <c r="E8371"/>
      <c r="F8371"/>
      <c r="N8371" s="44"/>
    </row>
    <row r="8372" spans="1:14" x14ac:dyDescent="0.3">
      <c r="A8372" s="42"/>
      <c r="C8372" s="52"/>
      <c r="D8372"/>
      <c r="E8372"/>
      <c r="F8372"/>
      <c r="N8372" s="44"/>
    </row>
    <row r="8373" spans="1:14" x14ac:dyDescent="0.3">
      <c r="A8373" s="42"/>
      <c r="C8373" s="52"/>
      <c r="D8373"/>
      <c r="E8373"/>
      <c r="F8373"/>
      <c r="N8373" s="44"/>
    </row>
    <row r="8374" spans="1:14" x14ac:dyDescent="0.3">
      <c r="A8374" s="42"/>
      <c r="C8374" s="52"/>
      <c r="D8374"/>
      <c r="E8374"/>
      <c r="F8374"/>
      <c r="N8374" s="44"/>
    </row>
    <row r="8375" spans="1:14" x14ac:dyDescent="0.3">
      <c r="A8375" s="42"/>
      <c r="C8375" s="52"/>
      <c r="D8375"/>
      <c r="E8375"/>
      <c r="F8375"/>
      <c r="N8375" s="44"/>
    </row>
    <row r="8376" spans="1:14" x14ac:dyDescent="0.3">
      <c r="A8376" s="42"/>
      <c r="C8376" s="52"/>
      <c r="D8376"/>
      <c r="E8376"/>
      <c r="F8376"/>
      <c r="N8376" s="44"/>
    </row>
    <row r="8377" spans="1:14" x14ac:dyDescent="0.3">
      <c r="A8377" s="42"/>
      <c r="C8377" s="52"/>
      <c r="D8377"/>
      <c r="E8377"/>
      <c r="F8377"/>
      <c r="N8377" s="44"/>
    </row>
    <row r="8378" spans="1:14" x14ac:dyDescent="0.3">
      <c r="A8378" s="42"/>
      <c r="C8378" s="52"/>
      <c r="D8378"/>
      <c r="E8378"/>
      <c r="F8378"/>
      <c r="N8378" s="44"/>
    </row>
    <row r="8379" spans="1:14" x14ac:dyDescent="0.3">
      <c r="A8379" s="42"/>
      <c r="C8379" s="52"/>
      <c r="D8379"/>
      <c r="E8379"/>
      <c r="F8379"/>
      <c r="N8379" s="44"/>
    </row>
    <row r="8380" spans="1:14" x14ac:dyDescent="0.3">
      <c r="A8380" s="42"/>
      <c r="C8380" s="52"/>
      <c r="D8380"/>
      <c r="E8380"/>
      <c r="F8380"/>
      <c r="N8380" s="44"/>
    </row>
    <row r="8381" spans="1:14" x14ac:dyDescent="0.3">
      <c r="A8381" s="42"/>
      <c r="C8381" s="52"/>
      <c r="D8381"/>
      <c r="E8381"/>
      <c r="F8381"/>
      <c r="N8381" s="44"/>
    </row>
    <row r="8382" spans="1:14" x14ac:dyDescent="0.3">
      <c r="A8382" s="42"/>
      <c r="C8382" s="52"/>
      <c r="D8382"/>
      <c r="E8382"/>
      <c r="F8382"/>
      <c r="N8382" s="44"/>
    </row>
    <row r="8383" spans="1:14" x14ac:dyDescent="0.3">
      <c r="A8383" s="42"/>
      <c r="C8383" s="52"/>
      <c r="D8383"/>
      <c r="E8383"/>
      <c r="F8383"/>
      <c r="N8383" s="44"/>
    </row>
    <row r="8384" spans="1:14" x14ac:dyDescent="0.3">
      <c r="A8384" s="42"/>
      <c r="C8384" s="52"/>
      <c r="D8384"/>
      <c r="E8384"/>
      <c r="F8384"/>
      <c r="N8384" s="44"/>
    </row>
    <row r="8385" spans="1:14" x14ac:dyDescent="0.3">
      <c r="A8385" s="42"/>
      <c r="C8385" s="52"/>
      <c r="D8385"/>
      <c r="E8385"/>
      <c r="F8385"/>
      <c r="N8385" s="44"/>
    </row>
    <row r="8386" spans="1:14" x14ac:dyDescent="0.3">
      <c r="A8386" s="42"/>
      <c r="C8386" s="52"/>
      <c r="D8386"/>
      <c r="E8386"/>
      <c r="F8386"/>
      <c r="N8386" s="44"/>
    </row>
    <row r="8387" spans="1:14" x14ac:dyDescent="0.3">
      <c r="A8387" s="42"/>
      <c r="C8387" s="52"/>
      <c r="D8387"/>
      <c r="E8387"/>
      <c r="F8387"/>
      <c r="N8387" s="44"/>
    </row>
    <row r="8388" spans="1:14" x14ac:dyDescent="0.3">
      <c r="A8388" s="42"/>
      <c r="C8388" s="52"/>
      <c r="D8388"/>
      <c r="E8388"/>
      <c r="F8388"/>
      <c r="N8388" s="44"/>
    </row>
    <row r="8389" spans="1:14" x14ac:dyDescent="0.3">
      <c r="A8389" s="42"/>
      <c r="C8389" s="52"/>
      <c r="D8389"/>
      <c r="E8389"/>
      <c r="F8389"/>
      <c r="N8389" s="44"/>
    </row>
    <row r="8390" spans="1:14" x14ac:dyDescent="0.3">
      <c r="A8390" s="42"/>
      <c r="C8390" s="52"/>
      <c r="D8390"/>
      <c r="E8390"/>
      <c r="F8390"/>
      <c r="L8390" s="45"/>
      <c r="N8390" s="44"/>
    </row>
    <row r="8391" spans="1:14" x14ac:dyDescent="0.3">
      <c r="A8391" s="42"/>
      <c r="C8391" s="52"/>
      <c r="D8391"/>
      <c r="E8391"/>
      <c r="F8391"/>
      <c r="N8391" s="44"/>
    </row>
    <row r="8392" spans="1:14" x14ac:dyDescent="0.3">
      <c r="A8392" s="42"/>
      <c r="C8392" s="52"/>
      <c r="D8392"/>
      <c r="E8392"/>
      <c r="F8392"/>
      <c r="N8392" s="44"/>
    </row>
    <row r="8393" spans="1:14" x14ac:dyDescent="0.3">
      <c r="A8393" s="42"/>
      <c r="C8393" s="52"/>
      <c r="D8393"/>
      <c r="E8393"/>
      <c r="F8393"/>
      <c r="N8393" s="44"/>
    </row>
    <row r="8394" spans="1:14" x14ac:dyDescent="0.3">
      <c r="A8394" s="42"/>
      <c r="C8394" s="52"/>
      <c r="D8394"/>
      <c r="E8394"/>
      <c r="F8394"/>
      <c r="N8394" s="44"/>
    </row>
    <row r="8395" spans="1:14" x14ac:dyDescent="0.3">
      <c r="A8395" s="42"/>
      <c r="C8395" s="52"/>
      <c r="D8395"/>
      <c r="E8395"/>
      <c r="F8395"/>
      <c r="N8395" s="44"/>
    </row>
    <row r="8396" spans="1:14" x14ac:dyDescent="0.3">
      <c r="A8396" s="42"/>
      <c r="C8396" s="52"/>
      <c r="D8396"/>
      <c r="E8396"/>
      <c r="F8396"/>
      <c r="N8396" s="44"/>
    </row>
    <row r="8397" spans="1:14" x14ac:dyDescent="0.3">
      <c r="A8397" s="42"/>
      <c r="C8397" s="52"/>
      <c r="D8397"/>
      <c r="E8397"/>
      <c r="F8397"/>
      <c r="N8397" s="44"/>
    </row>
    <row r="8398" spans="1:14" x14ac:dyDescent="0.3">
      <c r="A8398" s="42"/>
      <c r="C8398" s="52"/>
      <c r="D8398"/>
      <c r="E8398"/>
      <c r="F8398"/>
      <c r="N8398" s="44"/>
    </row>
    <row r="8399" spans="1:14" x14ac:dyDescent="0.3">
      <c r="A8399" s="42"/>
      <c r="C8399" s="52"/>
      <c r="D8399"/>
      <c r="E8399"/>
      <c r="F8399"/>
      <c r="N8399" s="44"/>
    </row>
    <row r="8400" spans="1:14" x14ac:dyDescent="0.3">
      <c r="A8400" s="42"/>
      <c r="C8400" s="52"/>
      <c r="D8400"/>
      <c r="E8400"/>
      <c r="F8400"/>
      <c r="N8400" s="44"/>
    </row>
    <row r="8401" spans="1:14" x14ac:dyDescent="0.3">
      <c r="A8401" s="42"/>
      <c r="C8401" s="52"/>
      <c r="D8401"/>
      <c r="E8401"/>
      <c r="F8401"/>
      <c r="N8401" s="44"/>
    </row>
    <row r="8402" spans="1:14" x14ac:dyDescent="0.3">
      <c r="A8402" s="42"/>
      <c r="C8402" s="52"/>
      <c r="D8402"/>
      <c r="E8402"/>
      <c r="F8402"/>
      <c r="N8402" s="44"/>
    </row>
    <row r="8403" spans="1:14" x14ac:dyDescent="0.3">
      <c r="A8403" s="42"/>
      <c r="C8403" s="52"/>
      <c r="D8403"/>
      <c r="E8403"/>
      <c r="F8403"/>
      <c r="N8403" s="44"/>
    </row>
    <row r="8404" spans="1:14" x14ac:dyDescent="0.3">
      <c r="A8404" s="42"/>
      <c r="C8404" s="52"/>
      <c r="D8404"/>
      <c r="E8404"/>
      <c r="F8404"/>
      <c r="N8404" s="44"/>
    </row>
    <row r="8405" spans="1:14" x14ac:dyDescent="0.3">
      <c r="A8405" s="42"/>
      <c r="C8405" s="52"/>
      <c r="D8405"/>
      <c r="E8405"/>
      <c r="F8405"/>
      <c r="N8405" s="44"/>
    </row>
    <row r="8406" spans="1:14" x14ac:dyDescent="0.3">
      <c r="A8406" s="42"/>
      <c r="C8406" s="52"/>
      <c r="D8406"/>
      <c r="E8406"/>
      <c r="F8406"/>
      <c r="N8406" s="44"/>
    </row>
    <row r="8407" spans="1:14" x14ac:dyDescent="0.3">
      <c r="A8407" s="42"/>
      <c r="C8407" s="52"/>
      <c r="D8407"/>
      <c r="E8407"/>
      <c r="F8407"/>
      <c r="N8407" s="44"/>
    </row>
    <row r="8408" spans="1:14" x14ac:dyDescent="0.3">
      <c r="A8408" s="42"/>
      <c r="C8408" s="52"/>
      <c r="D8408"/>
      <c r="E8408"/>
      <c r="F8408"/>
      <c r="N8408" s="44"/>
    </row>
    <row r="8409" spans="1:14" x14ac:dyDescent="0.3">
      <c r="A8409" s="42"/>
      <c r="C8409" s="52"/>
      <c r="D8409"/>
      <c r="E8409"/>
      <c r="F8409"/>
      <c r="N8409" s="44"/>
    </row>
    <row r="8410" spans="1:14" x14ac:dyDescent="0.3">
      <c r="A8410" s="42"/>
      <c r="C8410" s="52"/>
      <c r="D8410"/>
      <c r="E8410"/>
      <c r="F8410"/>
      <c r="N8410" s="44"/>
    </row>
    <row r="8411" spans="1:14" x14ac:dyDescent="0.3">
      <c r="A8411" s="42"/>
      <c r="C8411" s="52"/>
      <c r="D8411"/>
      <c r="E8411"/>
      <c r="F8411"/>
      <c r="N8411" s="44"/>
    </row>
    <row r="8412" spans="1:14" x14ac:dyDescent="0.3">
      <c r="A8412" s="42"/>
      <c r="C8412" s="52"/>
      <c r="D8412"/>
      <c r="E8412"/>
      <c r="F8412"/>
      <c r="N8412" s="44"/>
    </row>
    <row r="8413" spans="1:14" x14ac:dyDescent="0.3">
      <c r="A8413" s="42"/>
      <c r="C8413" s="52"/>
      <c r="D8413"/>
      <c r="E8413"/>
      <c r="F8413"/>
      <c r="N8413" s="44"/>
    </row>
    <row r="8414" spans="1:14" x14ac:dyDescent="0.3">
      <c r="A8414" s="42"/>
      <c r="C8414" s="52"/>
      <c r="D8414"/>
      <c r="E8414"/>
      <c r="F8414"/>
      <c r="N8414" s="44"/>
    </row>
    <row r="8415" spans="1:14" x14ac:dyDescent="0.3">
      <c r="A8415" s="42"/>
      <c r="C8415" s="52"/>
      <c r="D8415"/>
      <c r="E8415"/>
      <c r="F8415"/>
      <c r="N8415" s="44"/>
    </row>
    <row r="8416" spans="1:14" x14ac:dyDescent="0.3">
      <c r="A8416" s="42"/>
      <c r="C8416" s="52"/>
      <c r="D8416"/>
      <c r="E8416"/>
      <c r="F8416"/>
      <c r="N8416" s="44"/>
    </row>
    <row r="8417" spans="1:14" x14ac:dyDescent="0.3">
      <c r="A8417" s="42"/>
      <c r="C8417" s="52"/>
      <c r="D8417"/>
      <c r="E8417"/>
      <c r="F8417"/>
      <c r="N8417" s="44"/>
    </row>
    <row r="8418" spans="1:14" x14ac:dyDescent="0.3">
      <c r="A8418" s="42"/>
      <c r="C8418" s="52"/>
      <c r="D8418"/>
      <c r="E8418"/>
      <c r="F8418"/>
      <c r="N8418" s="44"/>
    </row>
    <row r="8419" spans="1:14" x14ac:dyDescent="0.3">
      <c r="A8419" s="42"/>
      <c r="C8419" s="52"/>
      <c r="D8419"/>
      <c r="E8419"/>
      <c r="F8419"/>
      <c r="N8419" s="44"/>
    </row>
    <row r="8420" spans="1:14" x14ac:dyDescent="0.3">
      <c r="A8420" s="42"/>
      <c r="C8420" s="52"/>
      <c r="D8420"/>
      <c r="E8420"/>
      <c r="F8420"/>
      <c r="N8420" s="44"/>
    </row>
    <row r="8421" spans="1:14" x14ac:dyDescent="0.3">
      <c r="A8421" s="42"/>
      <c r="C8421" s="52"/>
      <c r="D8421"/>
      <c r="E8421"/>
      <c r="F8421"/>
      <c r="N8421" s="44"/>
    </row>
    <row r="8422" spans="1:14" x14ac:dyDescent="0.3">
      <c r="A8422" s="42"/>
      <c r="C8422" s="52"/>
      <c r="D8422"/>
      <c r="E8422"/>
      <c r="F8422"/>
      <c r="N8422" s="44"/>
    </row>
    <row r="8423" spans="1:14" x14ac:dyDescent="0.3">
      <c r="A8423" s="42"/>
      <c r="C8423" s="52"/>
      <c r="D8423"/>
      <c r="E8423"/>
      <c r="F8423"/>
      <c r="N8423" s="44"/>
    </row>
    <row r="8424" spans="1:14" x14ac:dyDescent="0.3">
      <c r="A8424" s="42"/>
      <c r="C8424" s="52"/>
      <c r="D8424"/>
      <c r="E8424"/>
      <c r="F8424"/>
      <c r="N8424" s="44"/>
    </row>
    <row r="8425" spans="1:14" x14ac:dyDescent="0.3">
      <c r="A8425" s="42"/>
      <c r="C8425" s="52"/>
      <c r="D8425"/>
      <c r="E8425"/>
      <c r="F8425"/>
      <c r="N8425" s="44"/>
    </row>
    <row r="8426" spans="1:14" x14ac:dyDescent="0.3">
      <c r="A8426" s="42"/>
      <c r="C8426" s="52"/>
      <c r="D8426"/>
      <c r="E8426"/>
      <c r="F8426"/>
      <c r="N8426" s="44"/>
    </row>
    <row r="8427" spans="1:14" x14ac:dyDescent="0.3">
      <c r="A8427" s="42"/>
      <c r="C8427" s="52"/>
      <c r="D8427"/>
      <c r="E8427"/>
      <c r="F8427"/>
      <c r="N8427" s="44"/>
    </row>
    <row r="8428" spans="1:14" x14ac:dyDescent="0.3">
      <c r="A8428" s="42"/>
      <c r="C8428" s="52"/>
      <c r="D8428"/>
      <c r="E8428"/>
      <c r="F8428"/>
      <c r="N8428" s="44"/>
    </row>
    <row r="8429" spans="1:14" x14ac:dyDescent="0.3">
      <c r="A8429" s="42"/>
      <c r="C8429" s="52"/>
      <c r="D8429"/>
      <c r="E8429"/>
      <c r="F8429"/>
      <c r="N8429" s="44"/>
    </row>
    <row r="8430" spans="1:14" x14ac:dyDescent="0.3">
      <c r="A8430" s="42"/>
      <c r="C8430" s="52"/>
      <c r="D8430"/>
      <c r="E8430"/>
      <c r="F8430"/>
      <c r="N8430" s="44"/>
    </row>
    <row r="8431" spans="1:14" x14ac:dyDescent="0.3">
      <c r="A8431" s="42"/>
      <c r="C8431" s="52"/>
      <c r="D8431"/>
      <c r="E8431"/>
      <c r="F8431"/>
      <c r="N8431" s="44"/>
    </row>
    <row r="8432" spans="1:14" x14ac:dyDescent="0.3">
      <c r="A8432" s="42"/>
      <c r="C8432" s="52"/>
      <c r="D8432"/>
      <c r="E8432"/>
      <c r="F8432"/>
      <c r="N8432" s="44"/>
    </row>
    <row r="8433" spans="1:14" x14ac:dyDescent="0.3">
      <c r="A8433" s="42"/>
      <c r="C8433" s="52"/>
      <c r="D8433"/>
      <c r="E8433"/>
      <c r="F8433"/>
      <c r="N8433" s="44"/>
    </row>
    <row r="8434" spans="1:14" x14ac:dyDescent="0.3">
      <c r="A8434" s="42"/>
      <c r="C8434" s="52"/>
      <c r="D8434"/>
      <c r="E8434"/>
      <c r="F8434"/>
      <c r="N8434" s="44"/>
    </row>
    <row r="8435" spans="1:14" x14ac:dyDescent="0.3">
      <c r="A8435" s="42"/>
      <c r="C8435" s="52"/>
      <c r="D8435"/>
      <c r="E8435"/>
      <c r="F8435"/>
      <c r="N8435" s="44"/>
    </row>
    <row r="8436" spans="1:14" x14ac:dyDescent="0.3">
      <c r="A8436" s="42"/>
      <c r="C8436" s="52"/>
      <c r="D8436"/>
      <c r="E8436"/>
      <c r="F8436"/>
      <c r="N8436" s="44"/>
    </row>
    <row r="8437" spans="1:14" x14ac:dyDescent="0.3">
      <c r="A8437" s="42"/>
      <c r="C8437" s="52"/>
      <c r="D8437"/>
      <c r="E8437"/>
      <c r="F8437"/>
      <c r="N8437" s="44"/>
    </row>
    <row r="8438" spans="1:14" x14ac:dyDescent="0.3">
      <c r="A8438" s="42"/>
      <c r="C8438" s="52"/>
      <c r="D8438"/>
      <c r="E8438"/>
      <c r="F8438"/>
      <c r="M8438" s="45"/>
      <c r="N8438" s="44"/>
    </row>
    <row r="8439" spans="1:14" x14ac:dyDescent="0.3">
      <c r="A8439" s="42"/>
      <c r="C8439" s="52"/>
      <c r="D8439"/>
      <c r="E8439"/>
      <c r="F8439"/>
      <c r="N8439" s="44"/>
    </row>
    <row r="8440" spans="1:14" x14ac:dyDescent="0.3">
      <c r="A8440" s="42"/>
      <c r="C8440" s="52"/>
      <c r="D8440"/>
      <c r="E8440"/>
      <c r="F8440"/>
      <c r="N8440" s="44"/>
    </row>
    <row r="8441" spans="1:14" x14ac:dyDescent="0.3">
      <c r="A8441" s="42"/>
      <c r="C8441" s="52"/>
      <c r="D8441"/>
      <c r="E8441"/>
      <c r="F8441"/>
      <c r="N8441" s="44"/>
    </row>
    <row r="8442" spans="1:14" x14ac:dyDescent="0.3">
      <c r="A8442" s="42"/>
      <c r="C8442" s="52"/>
      <c r="D8442"/>
      <c r="E8442"/>
      <c r="F8442"/>
      <c r="N8442" s="44"/>
    </row>
    <row r="8443" spans="1:14" x14ac:dyDescent="0.3">
      <c r="A8443" s="42"/>
      <c r="C8443" s="52"/>
      <c r="D8443"/>
      <c r="E8443"/>
      <c r="F8443"/>
      <c r="N8443" s="44"/>
    </row>
    <row r="8444" spans="1:14" x14ac:dyDescent="0.3">
      <c r="A8444" s="42"/>
      <c r="C8444" s="52"/>
      <c r="D8444"/>
      <c r="E8444"/>
      <c r="F8444"/>
      <c r="N8444" s="44"/>
    </row>
    <row r="8445" spans="1:14" x14ac:dyDescent="0.3">
      <c r="A8445" s="42"/>
      <c r="C8445" s="52"/>
      <c r="D8445"/>
      <c r="E8445"/>
      <c r="F8445"/>
      <c r="N8445" s="44"/>
    </row>
    <row r="8446" spans="1:14" x14ac:dyDescent="0.3">
      <c r="A8446" s="42"/>
      <c r="C8446" s="52"/>
      <c r="D8446"/>
      <c r="E8446"/>
      <c r="F8446"/>
      <c r="N8446" s="44"/>
    </row>
    <row r="8447" spans="1:14" x14ac:dyDescent="0.3">
      <c r="A8447" s="42"/>
      <c r="C8447" s="52"/>
      <c r="D8447"/>
      <c r="E8447"/>
      <c r="F8447"/>
      <c r="N8447" s="44"/>
    </row>
    <row r="8448" spans="1:14" x14ac:dyDescent="0.3">
      <c r="A8448" s="42"/>
      <c r="C8448" s="52"/>
      <c r="D8448"/>
      <c r="E8448"/>
      <c r="F8448"/>
      <c r="N8448" s="44"/>
    </row>
    <row r="8449" spans="1:14" x14ac:dyDescent="0.3">
      <c r="A8449" s="42"/>
      <c r="C8449" s="52"/>
      <c r="D8449"/>
      <c r="E8449"/>
      <c r="F8449"/>
      <c r="N8449" s="44"/>
    </row>
    <row r="8450" spans="1:14" x14ac:dyDescent="0.3">
      <c r="A8450" s="42"/>
      <c r="C8450" s="52"/>
      <c r="D8450"/>
      <c r="E8450"/>
      <c r="F8450"/>
      <c r="N8450" s="44"/>
    </row>
    <row r="8451" spans="1:14" x14ac:dyDescent="0.3">
      <c r="A8451" s="42"/>
      <c r="C8451" s="52"/>
      <c r="D8451"/>
      <c r="E8451"/>
      <c r="F8451"/>
      <c r="N8451" s="44"/>
    </row>
    <row r="8452" spans="1:14" x14ac:dyDescent="0.3">
      <c r="A8452" s="42"/>
      <c r="C8452" s="52"/>
      <c r="D8452"/>
      <c r="E8452"/>
      <c r="F8452"/>
      <c r="N8452" s="44"/>
    </row>
    <row r="8453" spans="1:14" x14ac:dyDescent="0.3">
      <c r="A8453" s="42"/>
      <c r="C8453" s="52"/>
      <c r="D8453"/>
      <c r="E8453"/>
      <c r="F8453"/>
      <c r="N8453" s="44"/>
    </row>
    <row r="8454" spans="1:14" x14ac:dyDescent="0.3">
      <c r="A8454" s="42"/>
      <c r="C8454" s="52"/>
      <c r="D8454"/>
      <c r="E8454"/>
      <c r="F8454"/>
      <c r="N8454" s="44"/>
    </row>
    <row r="8455" spans="1:14" x14ac:dyDescent="0.3">
      <c r="A8455" s="42"/>
      <c r="C8455" s="52"/>
      <c r="D8455"/>
      <c r="E8455"/>
      <c r="F8455"/>
      <c r="N8455" s="44"/>
    </row>
    <row r="8456" spans="1:14" x14ac:dyDescent="0.3">
      <c r="A8456" s="42"/>
      <c r="C8456" s="52"/>
      <c r="D8456"/>
      <c r="E8456"/>
      <c r="F8456"/>
      <c r="N8456" s="44"/>
    </row>
    <row r="8457" spans="1:14" x14ac:dyDescent="0.3">
      <c r="A8457" s="42"/>
      <c r="C8457" s="52"/>
      <c r="D8457"/>
      <c r="E8457"/>
      <c r="F8457"/>
      <c r="N8457" s="44"/>
    </row>
    <row r="8458" spans="1:14" x14ac:dyDescent="0.3">
      <c r="A8458" s="42"/>
      <c r="C8458" s="52"/>
      <c r="D8458"/>
      <c r="E8458"/>
      <c r="F8458"/>
      <c r="N8458" s="44"/>
    </row>
    <row r="8459" spans="1:14" x14ac:dyDescent="0.3">
      <c r="A8459" s="42"/>
      <c r="C8459" s="52"/>
      <c r="D8459"/>
      <c r="E8459"/>
      <c r="F8459"/>
      <c r="N8459" s="44"/>
    </row>
    <row r="8460" spans="1:14" x14ac:dyDescent="0.3">
      <c r="A8460" s="42"/>
      <c r="C8460" s="52"/>
      <c r="D8460"/>
      <c r="E8460"/>
      <c r="F8460"/>
      <c r="N8460" s="44"/>
    </row>
    <row r="8461" spans="1:14" x14ac:dyDescent="0.3">
      <c r="A8461" s="42"/>
      <c r="C8461" s="52"/>
      <c r="D8461"/>
      <c r="E8461"/>
      <c r="F8461"/>
      <c r="N8461" s="44"/>
    </row>
    <row r="8462" spans="1:14" x14ac:dyDescent="0.3">
      <c r="A8462" s="42"/>
      <c r="C8462" s="52"/>
      <c r="D8462"/>
      <c r="E8462"/>
      <c r="F8462"/>
      <c r="N8462" s="44"/>
    </row>
    <row r="8463" spans="1:14" x14ac:dyDescent="0.3">
      <c r="A8463" s="42"/>
      <c r="C8463" s="52"/>
      <c r="D8463"/>
      <c r="E8463"/>
      <c r="F8463"/>
      <c r="N8463" s="44"/>
    </row>
    <row r="8464" spans="1:14" x14ac:dyDescent="0.3">
      <c r="A8464" s="42"/>
      <c r="C8464" s="52"/>
      <c r="D8464"/>
      <c r="E8464"/>
      <c r="F8464"/>
      <c r="N8464" s="44"/>
    </row>
    <row r="8465" spans="1:14" x14ac:dyDescent="0.3">
      <c r="A8465" s="42"/>
      <c r="C8465" s="52"/>
      <c r="D8465"/>
      <c r="E8465"/>
      <c r="F8465"/>
      <c r="N8465" s="44"/>
    </row>
    <row r="8466" spans="1:14" x14ac:dyDescent="0.3">
      <c r="A8466" s="42"/>
      <c r="C8466" s="52"/>
      <c r="D8466"/>
      <c r="E8466"/>
      <c r="F8466"/>
      <c r="N8466" s="44"/>
    </row>
    <row r="8467" spans="1:14" x14ac:dyDescent="0.3">
      <c r="A8467" s="42"/>
      <c r="C8467" s="52"/>
      <c r="D8467"/>
      <c r="E8467"/>
      <c r="F8467"/>
      <c r="N8467" s="44"/>
    </row>
    <row r="8468" spans="1:14" x14ac:dyDescent="0.3">
      <c r="A8468" s="42"/>
      <c r="C8468" s="52"/>
      <c r="D8468"/>
      <c r="E8468"/>
      <c r="F8468"/>
      <c r="N8468" s="44"/>
    </row>
    <row r="8469" spans="1:14" x14ac:dyDescent="0.3">
      <c r="A8469" s="42"/>
      <c r="C8469" s="52"/>
      <c r="D8469"/>
      <c r="E8469"/>
      <c r="F8469"/>
      <c r="N8469" s="44"/>
    </row>
    <row r="8470" spans="1:14" x14ac:dyDescent="0.3">
      <c r="A8470" s="42"/>
      <c r="C8470" s="52"/>
      <c r="D8470"/>
      <c r="E8470"/>
      <c r="F8470"/>
      <c r="N8470" s="44"/>
    </row>
    <row r="8471" spans="1:14" x14ac:dyDescent="0.3">
      <c r="A8471" s="42"/>
      <c r="C8471" s="52"/>
      <c r="D8471"/>
      <c r="E8471"/>
      <c r="F8471"/>
      <c r="N8471" s="44"/>
    </row>
    <row r="8472" spans="1:14" x14ac:dyDescent="0.3">
      <c r="A8472" s="42"/>
      <c r="C8472" s="52"/>
      <c r="D8472"/>
      <c r="E8472"/>
      <c r="F8472"/>
      <c r="N8472" s="44"/>
    </row>
    <row r="8473" spans="1:14" x14ac:dyDescent="0.3">
      <c r="A8473" s="42"/>
      <c r="C8473" s="52"/>
      <c r="D8473"/>
      <c r="E8473"/>
      <c r="F8473"/>
      <c r="N8473" s="44"/>
    </row>
    <row r="8474" spans="1:14" x14ac:dyDescent="0.3">
      <c r="A8474" s="42"/>
      <c r="C8474" s="52"/>
      <c r="D8474"/>
      <c r="E8474"/>
      <c r="F8474"/>
      <c r="N8474" s="44"/>
    </row>
    <row r="8475" spans="1:14" x14ac:dyDescent="0.3">
      <c r="A8475" s="42"/>
      <c r="C8475" s="52"/>
      <c r="D8475"/>
      <c r="E8475"/>
      <c r="F8475"/>
      <c r="N8475" s="44"/>
    </row>
    <row r="8476" spans="1:14" x14ac:dyDescent="0.3">
      <c r="A8476" s="42"/>
      <c r="C8476" s="52"/>
      <c r="D8476"/>
      <c r="E8476"/>
      <c r="F8476"/>
      <c r="N8476" s="44"/>
    </row>
    <row r="8477" spans="1:14" x14ac:dyDescent="0.3">
      <c r="A8477" s="42"/>
      <c r="C8477" s="52"/>
      <c r="D8477"/>
      <c r="E8477"/>
      <c r="F8477"/>
      <c r="N8477" s="44"/>
    </row>
    <row r="8478" spans="1:14" x14ac:dyDescent="0.3">
      <c r="A8478" s="42"/>
      <c r="C8478" s="52"/>
      <c r="D8478"/>
      <c r="E8478"/>
      <c r="F8478"/>
      <c r="N8478" s="44"/>
    </row>
    <row r="8479" spans="1:14" x14ac:dyDescent="0.3">
      <c r="A8479" s="42"/>
      <c r="C8479" s="52"/>
      <c r="D8479"/>
      <c r="E8479"/>
      <c r="F8479"/>
      <c r="N8479" s="44"/>
    </row>
    <row r="8480" spans="1:14" x14ac:dyDescent="0.3">
      <c r="A8480" s="42"/>
      <c r="C8480" s="52"/>
      <c r="D8480"/>
      <c r="E8480"/>
      <c r="F8480"/>
      <c r="N8480" s="44"/>
    </row>
    <row r="8481" spans="1:14" x14ac:dyDescent="0.3">
      <c r="A8481" s="42"/>
      <c r="C8481" s="52"/>
      <c r="D8481"/>
      <c r="E8481"/>
      <c r="F8481"/>
      <c r="N8481" s="44"/>
    </row>
    <row r="8482" spans="1:14" x14ac:dyDescent="0.3">
      <c r="A8482" s="42"/>
      <c r="C8482" s="52"/>
      <c r="D8482"/>
      <c r="E8482"/>
      <c r="F8482"/>
      <c r="N8482" s="44"/>
    </row>
    <row r="8483" spans="1:14" x14ac:dyDescent="0.3">
      <c r="A8483" s="42"/>
      <c r="C8483" s="52"/>
      <c r="D8483"/>
      <c r="E8483"/>
      <c r="F8483"/>
      <c r="N8483" s="44"/>
    </row>
    <row r="8484" spans="1:14" x14ac:dyDescent="0.3">
      <c r="A8484" s="42"/>
      <c r="C8484" s="52"/>
      <c r="D8484"/>
      <c r="E8484"/>
      <c r="F8484"/>
      <c r="N8484" s="44"/>
    </row>
    <row r="8485" spans="1:14" x14ac:dyDescent="0.3">
      <c r="A8485" s="42"/>
      <c r="C8485" s="52"/>
      <c r="D8485"/>
      <c r="E8485"/>
      <c r="F8485"/>
      <c r="N8485" s="44"/>
    </row>
    <row r="8486" spans="1:14" x14ac:dyDescent="0.3">
      <c r="A8486" s="42"/>
      <c r="C8486" s="52"/>
      <c r="D8486"/>
      <c r="E8486"/>
      <c r="F8486"/>
      <c r="N8486" s="44"/>
    </row>
    <row r="8487" spans="1:14" x14ac:dyDescent="0.3">
      <c r="A8487" s="42"/>
      <c r="C8487" s="52"/>
      <c r="D8487"/>
      <c r="E8487"/>
      <c r="F8487"/>
      <c r="N8487" s="44"/>
    </row>
    <row r="8488" spans="1:14" x14ac:dyDescent="0.3">
      <c r="A8488" s="42"/>
      <c r="C8488" s="52"/>
      <c r="D8488"/>
      <c r="E8488"/>
      <c r="F8488"/>
      <c r="N8488" s="44"/>
    </row>
    <row r="8489" spans="1:14" x14ac:dyDescent="0.3">
      <c r="A8489" s="42"/>
      <c r="C8489" s="52"/>
      <c r="D8489"/>
      <c r="E8489"/>
      <c r="F8489"/>
      <c r="N8489" s="44"/>
    </row>
    <row r="8490" spans="1:14" x14ac:dyDescent="0.3">
      <c r="A8490" s="42"/>
      <c r="C8490" s="52"/>
      <c r="D8490"/>
      <c r="E8490"/>
      <c r="F8490"/>
      <c r="N8490" s="44"/>
    </row>
    <row r="8491" spans="1:14" x14ac:dyDescent="0.3">
      <c r="A8491" s="42"/>
      <c r="C8491" s="52"/>
      <c r="D8491"/>
      <c r="E8491"/>
      <c r="F8491"/>
      <c r="N8491" s="44"/>
    </row>
    <row r="8492" spans="1:14" x14ac:dyDescent="0.3">
      <c r="A8492" s="42"/>
      <c r="C8492" s="52"/>
      <c r="D8492"/>
      <c r="E8492"/>
      <c r="F8492"/>
      <c r="N8492" s="44"/>
    </row>
    <row r="8493" spans="1:14" x14ac:dyDescent="0.3">
      <c r="A8493" s="42"/>
      <c r="C8493" s="52"/>
      <c r="D8493"/>
      <c r="E8493"/>
      <c r="F8493"/>
      <c r="N8493" s="44"/>
    </row>
    <row r="8494" spans="1:14" x14ac:dyDescent="0.3">
      <c r="A8494" s="42"/>
      <c r="C8494" s="52"/>
      <c r="D8494"/>
      <c r="E8494"/>
      <c r="F8494"/>
      <c r="N8494" s="44"/>
    </row>
    <row r="8495" spans="1:14" x14ac:dyDescent="0.3">
      <c r="A8495" s="42"/>
      <c r="C8495" s="52"/>
      <c r="D8495"/>
      <c r="E8495"/>
      <c r="F8495"/>
      <c r="M8495" s="45"/>
      <c r="N8495" s="44"/>
    </row>
    <row r="8496" spans="1:14" x14ac:dyDescent="0.3">
      <c r="A8496" s="42"/>
      <c r="C8496" s="52"/>
      <c r="D8496"/>
      <c r="E8496"/>
      <c r="F8496"/>
      <c r="N8496" s="44"/>
    </row>
    <row r="8497" spans="1:14" x14ac:dyDescent="0.3">
      <c r="A8497" s="42"/>
      <c r="C8497" s="52"/>
      <c r="D8497"/>
      <c r="E8497"/>
      <c r="F8497"/>
      <c r="N8497" s="44"/>
    </row>
    <row r="8498" spans="1:14" x14ac:dyDescent="0.3">
      <c r="A8498" s="42"/>
      <c r="C8498" s="52"/>
      <c r="D8498"/>
      <c r="E8498"/>
      <c r="F8498"/>
      <c r="N8498" s="44"/>
    </row>
    <row r="8499" spans="1:14" x14ac:dyDescent="0.3">
      <c r="A8499" s="42"/>
      <c r="C8499" s="52"/>
      <c r="D8499"/>
      <c r="E8499"/>
      <c r="F8499"/>
      <c r="N8499" s="44"/>
    </row>
    <row r="8500" spans="1:14" x14ac:dyDescent="0.3">
      <c r="A8500" s="42"/>
      <c r="C8500" s="52"/>
      <c r="D8500"/>
      <c r="E8500"/>
      <c r="F8500"/>
      <c r="M8500" s="45"/>
      <c r="N8500" s="44"/>
    </row>
    <row r="8501" spans="1:14" x14ac:dyDescent="0.3">
      <c r="A8501" s="42"/>
      <c r="C8501" s="52"/>
      <c r="D8501"/>
      <c r="E8501"/>
      <c r="F8501"/>
      <c r="N8501" s="44"/>
    </row>
    <row r="8502" spans="1:14" x14ac:dyDescent="0.3">
      <c r="A8502" s="42"/>
      <c r="C8502" s="52"/>
      <c r="D8502"/>
      <c r="E8502"/>
      <c r="F8502"/>
      <c r="N8502" s="44"/>
    </row>
    <row r="8503" spans="1:14" x14ac:dyDescent="0.3">
      <c r="A8503" s="42"/>
      <c r="C8503" s="52"/>
      <c r="D8503"/>
      <c r="E8503"/>
      <c r="F8503"/>
      <c r="N8503" s="44"/>
    </row>
    <row r="8504" spans="1:14" x14ac:dyDescent="0.3">
      <c r="A8504" s="42"/>
      <c r="C8504" s="52"/>
      <c r="D8504"/>
      <c r="E8504"/>
      <c r="F8504"/>
      <c r="N8504" s="44"/>
    </row>
    <row r="8505" spans="1:14" x14ac:dyDescent="0.3">
      <c r="A8505" s="42"/>
      <c r="C8505" s="52"/>
      <c r="D8505"/>
      <c r="E8505"/>
      <c r="F8505"/>
      <c r="N8505" s="44"/>
    </row>
    <row r="8506" spans="1:14" x14ac:dyDescent="0.3">
      <c r="A8506" s="42"/>
      <c r="C8506" s="52"/>
      <c r="D8506"/>
      <c r="E8506"/>
      <c r="F8506"/>
      <c r="N8506" s="44"/>
    </row>
    <row r="8507" spans="1:14" x14ac:dyDescent="0.3">
      <c r="A8507" s="42"/>
      <c r="C8507" s="52"/>
      <c r="D8507"/>
      <c r="E8507"/>
      <c r="F8507"/>
      <c r="N8507" s="44"/>
    </row>
    <row r="8508" spans="1:14" x14ac:dyDescent="0.3">
      <c r="A8508" s="42"/>
      <c r="C8508" s="52"/>
      <c r="D8508"/>
      <c r="E8508"/>
      <c r="F8508"/>
      <c r="M8508" s="45"/>
      <c r="N8508" s="44"/>
    </row>
    <row r="8509" spans="1:14" x14ac:dyDescent="0.3">
      <c r="A8509" s="42"/>
      <c r="C8509" s="52"/>
      <c r="D8509"/>
      <c r="E8509"/>
      <c r="F8509"/>
      <c r="N8509" s="44"/>
    </row>
    <row r="8510" spans="1:14" x14ac:dyDescent="0.3">
      <c r="A8510" s="42"/>
      <c r="C8510" s="52"/>
      <c r="D8510"/>
      <c r="E8510"/>
      <c r="F8510"/>
      <c r="N8510" s="44"/>
    </row>
    <row r="8511" spans="1:14" x14ac:dyDescent="0.3">
      <c r="A8511" s="42"/>
      <c r="C8511" s="52"/>
      <c r="D8511"/>
      <c r="E8511"/>
      <c r="F8511"/>
      <c r="N8511" s="44"/>
    </row>
    <row r="8512" spans="1:14" x14ac:dyDescent="0.3">
      <c r="A8512" s="42"/>
      <c r="C8512" s="52"/>
      <c r="D8512"/>
      <c r="E8512"/>
      <c r="F8512"/>
      <c r="N8512" s="44"/>
    </row>
    <row r="8513" spans="1:14" x14ac:dyDescent="0.3">
      <c r="A8513" s="42"/>
      <c r="C8513" s="52"/>
      <c r="D8513"/>
      <c r="E8513"/>
      <c r="F8513"/>
      <c r="N8513" s="44"/>
    </row>
    <row r="8514" spans="1:14" x14ac:dyDescent="0.3">
      <c r="A8514" s="42"/>
      <c r="C8514" s="52"/>
      <c r="D8514"/>
      <c r="E8514"/>
      <c r="F8514"/>
      <c r="N8514" s="44"/>
    </row>
    <row r="8515" spans="1:14" x14ac:dyDescent="0.3">
      <c r="A8515" s="42"/>
      <c r="C8515" s="52"/>
      <c r="D8515"/>
      <c r="E8515"/>
      <c r="F8515"/>
      <c r="N8515" s="44"/>
    </row>
    <row r="8516" spans="1:14" x14ac:dyDescent="0.3">
      <c r="A8516" s="42"/>
      <c r="C8516" s="52"/>
      <c r="D8516"/>
      <c r="E8516"/>
      <c r="F8516"/>
      <c r="N8516" s="44"/>
    </row>
    <row r="8517" spans="1:14" x14ac:dyDescent="0.3">
      <c r="A8517" s="42"/>
      <c r="C8517" s="52"/>
      <c r="D8517"/>
      <c r="E8517"/>
      <c r="F8517"/>
      <c r="N8517" s="44"/>
    </row>
    <row r="8518" spans="1:14" x14ac:dyDescent="0.3">
      <c r="A8518" s="42"/>
      <c r="C8518" s="52"/>
      <c r="D8518"/>
      <c r="E8518"/>
      <c r="F8518"/>
      <c r="N8518" s="44"/>
    </row>
    <row r="8519" spans="1:14" x14ac:dyDescent="0.3">
      <c r="A8519" s="42"/>
      <c r="C8519" s="52"/>
      <c r="D8519"/>
      <c r="E8519"/>
      <c r="F8519"/>
      <c r="N8519" s="44"/>
    </row>
    <row r="8520" spans="1:14" x14ac:dyDescent="0.3">
      <c r="A8520" s="42"/>
      <c r="C8520" s="52"/>
      <c r="D8520"/>
      <c r="E8520"/>
      <c r="F8520"/>
      <c r="N8520" s="44"/>
    </row>
    <row r="8521" spans="1:14" x14ac:dyDescent="0.3">
      <c r="A8521" s="42"/>
      <c r="C8521" s="52"/>
      <c r="D8521"/>
      <c r="E8521"/>
      <c r="F8521"/>
      <c r="N8521" s="44"/>
    </row>
    <row r="8522" spans="1:14" x14ac:dyDescent="0.3">
      <c r="A8522" s="42"/>
      <c r="C8522" s="52"/>
      <c r="D8522"/>
      <c r="E8522"/>
      <c r="F8522"/>
      <c r="N8522" s="44"/>
    </row>
    <row r="8523" spans="1:14" x14ac:dyDescent="0.3">
      <c r="A8523" s="42"/>
      <c r="C8523" s="52"/>
      <c r="D8523"/>
      <c r="E8523"/>
      <c r="F8523"/>
      <c r="N8523" s="44"/>
    </row>
    <row r="8524" spans="1:14" x14ac:dyDescent="0.3">
      <c r="A8524" s="42"/>
      <c r="C8524" s="52"/>
      <c r="D8524"/>
      <c r="E8524"/>
      <c r="F8524"/>
      <c r="N8524" s="44"/>
    </row>
    <row r="8525" spans="1:14" x14ac:dyDescent="0.3">
      <c r="A8525" s="42"/>
      <c r="C8525" s="52"/>
      <c r="D8525"/>
      <c r="E8525"/>
      <c r="F8525"/>
      <c r="N8525" s="44"/>
    </row>
    <row r="8526" spans="1:14" x14ac:dyDescent="0.3">
      <c r="A8526" s="42"/>
      <c r="C8526" s="52"/>
      <c r="D8526"/>
      <c r="E8526"/>
      <c r="F8526"/>
      <c r="N8526" s="44"/>
    </row>
    <row r="8527" spans="1:14" x14ac:dyDescent="0.3">
      <c r="A8527" s="42"/>
      <c r="C8527" s="52"/>
      <c r="D8527"/>
      <c r="E8527"/>
      <c r="F8527"/>
      <c r="N8527" s="44"/>
    </row>
    <row r="8528" spans="1:14" x14ac:dyDescent="0.3">
      <c r="A8528" s="42"/>
      <c r="C8528" s="52"/>
      <c r="D8528"/>
      <c r="E8528"/>
      <c r="F8528"/>
      <c r="N8528" s="44"/>
    </row>
    <row r="8529" spans="1:14" x14ac:dyDescent="0.3">
      <c r="A8529" s="42"/>
      <c r="C8529" s="52"/>
      <c r="D8529"/>
      <c r="E8529"/>
      <c r="F8529"/>
      <c r="N8529" s="44"/>
    </row>
    <row r="8530" spans="1:14" x14ac:dyDescent="0.3">
      <c r="A8530" s="42"/>
      <c r="C8530" s="52"/>
      <c r="D8530"/>
      <c r="E8530"/>
      <c r="F8530"/>
      <c r="N8530" s="44"/>
    </row>
    <row r="8531" spans="1:14" x14ac:dyDescent="0.3">
      <c r="A8531" s="42"/>
      <c r="C8531" s="52"/>
      <c r="D8531"/>
      <c r="E8531"/>
      <c r="F8531"/>
      <c r="N8531" s="44"/>
    </row>
    <row r="8532" spans="1:14" x14ac:dyDescent="0.3">
      <c r="A8532" s="42"/>
      <c r="C8532" s="52"/>
      <c r="D8532"/>
      <c r="E8532"/>
      <c r="F8532"/>
      <c r="N8532" s="44"/>
    </row>
    <row r="8533" spans="1:14" x14ac:dyDescent="0.3">
      <c r="A8533" s="42"/>
      <c r="C8533" s="52"/>
      <c r="D8533"/>
      <c r="E8533"/>
      <c r="F8533"/>
      <c r="N8533" s="44"/>
    </row>
    <row r="8534" spans="1:14" x14ac:dyDescent="0.3">
      <c r="A8534" s="42"/>
      <c r="C8534" s="52"/>
      <c r="D8534"/>
      <c r="E8534"/>
      <c r="F8534"/>
      <c r="N8534" s="44"/>
    </row>
    <row r="8535" spans="1:14" x14ac:dyDescent="0.3">
      <c r="A8535" s="42"/>
      <c r="C8535" s="52"/>
      <c r="D8535"/>
      <c r="E8535"/>
      <c r="F8535"/>
      <c r="N8535" s="44"/>
    </row>
    <row r="8536" spans="1:14" x14ac:dyDescent="0.3">
      <c r="A8536" s="42"/>
      <c r="C8536" s="52"/>
      <c r="D8536"/>
      <c r="E8536"/>
      <c r="F8536"/>
      <c r="N8536" s="44"/>
    </row>
    <row r="8537" spans="1:14" x14ac:dyDescent="0.3">
      <c r="A8537" s="42"/>
      <c r="C8537" s="52"/>
      <c r="D8537"/>
      <c r="E8537"/>
      <c r="F8537"/>
      <c r="N8537" s="44"/>
    </row>
    <row r="8538" spans="1:14" x14ac:dyDescent="0.3">
      <c r="A8538" s="42"/>
      <c r="C8538" s="52"/>
      <c r="D8538"/>
      <c r="E8538"/>
      <c r="F8538"/>
      <c r="N8538" s="44"/>
    </row>
    <row r="8539" spans="1:14" x14ac:dyDescent="0.3">
      <c r="A8539" s="42"/>
      <c r="C8539" s="52"/>
      <c r="D8539"/>
      <c r="E8539"/>
      <c r="F8539"/>
      <c r="N8539" s="44"/>
    </row>
    <row r="8540" spans="1:14" x14ac:dyDescent="0.3">
      <c r="A8540" s="42"/>
      <c r="C8540" s="52"/>
      <c r="D8540"/>
      <c r="E8540"/>
      <c r="F8540"/>
      <c r="N8540" s="44"/>
    </row>
    <row r="8541" spans="1:14" x14ac:dyDescent="0.3">
      <c r="A8541" s="42"/>
      <c r="C8541" s="52"/>
      <c r="D8541"/>
      <c r="E8541"/>
      <c r="F8541"/>
      <c r="N8541" s="44"/>
    </row>
    <row r="8542" spans="1:14" x14ac:dyDescent="0.3">
      <c r="A8542" s="42"/>
      <c r="C8542" s="52"/>
      <c r="D8542"/>
      <c r="E8542"/>
      <c r="F8542"/>
      <c r="N8542" s="44"/>
    </row>
    <row r="8543" spans="1:14" x14ac:dyDescent="0.3">
      <c r="A8543" s="42"/>
      <c r="C8543" s="52"/>
      <c r="D8543"/>
      <c r="E8543"/>
      <c r="F8543"/>
      <c r="N8543" s="44"/>
    </row>
    <row r="8544" spans="1:14" x14ac:dyDescent="0.3">
      <c r="A8544" s="42"/>
      <c r="C8544" s="52"/>
      <c r="D8544"/>
      <c r="E8544"/>
      <c r="F8544"/>
      <c r="N8544" s="44"/>
    </row>
    <row r="8545" spans="1:14" x14ac:dyDescent="0.3">
      <c r="A8545" s="42"/>
      <c r="C8545" s="52"/>
      <c r="D8545"/>
      <c r="E8545"/>
      <c r="F8545"/>
      <c r="N8545" s="44"/>
    </row>
    <row r="8546" spans="1:14" x14ac:dyDescent="0.3">
      <c r="A8546" s="42"/>
      <c r="C8546" s="52"/>
      <c r="D8546"/>
      <c r="E8546"/>
      <c r="F8546"/>
      <c r="N8546" s="44"/>
    </row>
    <row r="8547" spans="1:14" x14ac:dyDescent="0.3">
      <c r="A8547" s="42"/>
      <c r="C8547" s="52"/>
      <c r="D8547"/>
      <c r="E8547"/>
      <c r="F8547"/>
      <c r="N8547" s="44"/>
    </row>
    <row r="8548" spans="1:14" x14ac:dyDescent="0.3">
      <c r="A8548" s="42"/>
      <c r="C8548" s="52"/>
      <c r="D8548"/>
      <c r="E8548"/>
      <c r="F8548"/>
      <c r="N8548" s="44"/>
    </row>
    <row r="8549" spans="1:14" x14ac:dyDescent="0.3">
      <c r="A8549" s="42"/>
      <c r="C8549" s="52"/>
      <c r="D8549"/>
      <c r="E8549"/>
      <c r="F8549"/>
      <c r="N8549" s="44"/>
    </row>
    <row r="8550" spans="1:14" x14ac:dyDescent="0.3">
      <c r="A8550" s="42"/>
      <c r="C8550" s="52"/>
      <c r="D8550"/>
      <c r="E8550"/>
      <c r="F8550"/>
      <c r="N8550" s="44"/>
    </row>
    <row r="8551" spans="1:14" x14ac:dyDescent="0.3">
      <c r="A8551" s="42"/>
      <c r="C8551" s="52"/>
      <c r="D8551"/>
      <c r="E8551"/>
      <c r="F8551"/>
      <c r="N8551" s="44"/>
    </row>
    <row r="8552" spans="1:14" x14ac:dyDescent="0.3">
      <c r="A8552" s="42"/>
      <c r="C8552" s="52"/>
      <c r="D8552"/>
      <c r="E8552"/>
      <c r="F8552"/>
      <c r="N8552" s="44"/>
    </row>
    <row r="8553" spans="1:14" x14ac:dyDescent="0.3">
      <c r="A8553" s="42"/>
      <c r="C8553" s="52"/>
      <c r="D8553"/>
      <c r="E8553"/>
      <c r="F8553"/>
      <c r="N8553" s="44"/>
    </row>
    <row r="8554" spans="1:14" x14ac:dyDescent="0.3">
      <c r="A8554" s="42"/>
      <c r="C8554" s="52"/>
      <c r="D8554"/>
      <c r="E8554"/>
      <c r="F8554"/>
      <c r="N8554" s="44"/>
    </row>
    <row r="8555" spans="1:14" x14ac:dyDescent="0.3">
      <c r="A8555" s="42"/>
      <c r="C8555" s="52"/>
      <c r="D8555"/>
      <c r="E8555"/>
      <c r="F8555"/>
      <c r="N8555" s="44"/>
    </row>
    <row r="8556" spans="1:14" x14ac:dyDescent="0.3">
      <c r="A8556" s="42"/>
      <c r="C8556" s="52"/>
      <c r="D8556"/>
      <c r="E8556"/>
      <c r="F8556"/>
      <c r="N8556" s="44"/>
    </row>
    <row r="8557" spans="1:14" x14ac:dyDescent="0.3">
      <c r="A8557" s="42"/>
      <c r="C8557" s="52"/>
      <c r="D8557"/>
      <c r="E8557"/>
      <c r="F8557"/>
      <c r="N8557" s="44"/>
    </row>
    <row r="8558" spans="1:14" x14ac:dyDescent="0.3">
      <c r="A8558" s="42"/>
      <c r="C8558" s="52"/>
      <c r="D8558"/>
      <c r="E8558"/>
      <c r="F8558"/>
      <c r="N8558" s="44"/>
    </row>
    <row r="8559" spans="1:14" x14ac:dyDescent="0.3">
      <c r="A8559" s="42"/>
      <c r="C8559" s="52"/>
      <c r="D8559"/>
      <c r="E8559"/>
      <c r="F8559"/>
      <c r="N8559" s="44"/>
    </row>
    <row r="8560" spans="1:14" x14ac:dyDescent="0.3">
      <c r="A8560" s="42"/>
      <c r="C8560" s="52"/>
      <c r="D8560"/>
      <c r="E8560"/>
      <c r="F8560"/>
      <c r="N8560" s="44"/>
    </row>
    <row r="8561" spans="1:14" x14ac:dyDescent="0.3">
      <c r="A8561" s="42"/>
      <c r="C8561" s="52"/>
      <c r="D8561"/>
      <c r="E8561"/>
      <c r="F8561"/>
      <c r="N8561" s="44"/>
    </row>
    <row r="8562" spans="1:14" x14ac:dyDescent="0.3">
      <c r="A8562" s="42"/>
      <c r="C8562" s="52"/>
      <c r="D8562"/>
      <c r="E8562"/>
      <c r="F8562"/>
      <c r="N8562" s="44"/>
    </row>
    <row r="8563" spans="1:14" x14ac:dyDescent="0.3">
      <c r="A8563" s="42"/>
      <c r="C8563" s="52"/>
      <c r="D8563"/>
      <c r="E8563"/>
      <c r="F8563"/>
      <c r="N8563" s="44"/>
    </row>
    <row r="8564" spans="1:14" x14ac:dyDescent="0.3">
      <c r="A8564" s="42"/>
      <c r="C8564" s="52"/>
      <c r="D8564"/>
      <c r="E8564"/>
      <c r="F8564"/>
      <c r="N8564" s="44"/>
    </row>
    <row r="8565" spans="1:14" x14ac:dyDescent="0.3">
      <c r="A8565" s="42"/>
      <c r="C8565" s="52"/>
      <c r="D8565"/>
      <c r="E8565"/>
      <c r="F8565"/>
      <c r="N8565" s="44"/>
    </row>
    <row r="8566" spans="1:14" x14ac:dyDescent="0.3">
      <c r="A8566" s="42"/>
      <c r="C8566" s="52"/>
      <c r="D8566"/>
      <c r="E8566"/>
      <c r="F8566"/>
      <c r="N8566" s="44"/>
    </row>
    <row r="8567" spans="1:14" x14ac:dyDescent="0.3">
      <c r="A8567" s="42"/>
      <c r="C8567" s="52"/>
      <c r="D8567"/>
      <c r="E8567"/>
      <c r="F8567"/>
      <c r="N8567" s="44"/>
    </row>
    <row r="8568" spans="1:14" x14ac:dyDescent="0.3">
      <c r="A8568" s="42"/>
      <c r="C8568" s="52"/>
      <c r="D8568"/>
      <c r="E8568"/>
      <c r="F8568"/>
      <c r="N8568" s="44"/>
    </row>
    <row r="8569" spans="1:14" x14ac:dyDescent="0.3">
      <c r="A8569" s="42"/>
      <c r="C8569" s="52"/>
      <c r="D8569"/>
      <c r="E8569"/>
      <c r="F8569"/>
      <c r="N8569" s="44"/>
    </row>
    <row r="8570" spans="1:14" x14ac:dyDescent="0.3">
      <c r="A8570" s="42"/>
      <c r="C8570" s="52"/>
      <c r="D8570"/>
      <c r="E8570"/>
      <c r="F8570"/>
      <c r="N8570" s="44"/>
    </row>
    <row r="8571" spans="1:14" x14ac:dyDescent="0.3">
      <c r="A8571" s="42"/>
      <c r="C8571" s="52"/>
      <c r="D8571"/>
      <c r="E8571"/>
      <c r="F8571"/>
      <c r="N8571" s="44"/>
    </row>
    <row r="8572" spans="1:14" x14ac:dyDescent="0.3">
      <c r="A8572" s="42"/>
      <c r="C8572" s="52"/>
      <c r="D8572"/>
      <c r="E8572"/>
      <c r="F8572"/>
      <c r="N8572" s="44"/>
    </row>
    <row r="8573" spans="1:14" x14ac:dyDescent="0.3">
      <c r="A8573" s="42"/>
      <c r="C8573" s="52"/>
      <c r="D8573"/>
      <c r="E8573"/>
      <c r="F8573"/>
      <c r="M8573" s="45"/>
      <c r="N8573" s="44"/>
    </row>
    <row r="8574" spans="1:14" x14ac:dyDescent="0.3">
      <c r="A8574" s="42"/>
      <c r="C8574" s="52"/>
      <c r="D8574"/>
      <c r="E8574"/>
      <c r="F8574"/>
      <c r="N8574" s="44"/>
    </row>
    <row r="8575" spans="1:14" x14ac:dyDescent="0.3">
      <c r="A8575" s="42"/>
      <c r="C8575" s="52"/>
      <c r="D8575"/>
      <c r="E8575"/>
      <c r="F8575"/>
      <c r="N8575" s="44"/>
    </row>
    <row r="8576" spans="1:14" x14ac:dyDescent="0.3">
      <c r="A8576" s="42"/>
      <c r="C8576" s="52"/>
      <c r="D8576"/>
      <c r="E8576"/>
      <c r="F8576"/>
      <c r="N8576" s="44"/>
    </row>
    <row r="8577" spans="1:14" x14ac:dyDescent="0.3">
      <c r="A8577" s="42"/>
      <c r="C8577" s="52"/>
      <c r="D8577"/>
      <c r="E8577"/>
      <c r="F8577"/>
      <c r="N8577" s="44"/>
    </row>
    <row r="8578" spans="1:14" x14ac:dyDescent="0.3">
      <c r="A8578" s="42"/>
      <c r="C8578" s="52"/>
      <c r="D8578"/>
      <c r="E8578"/>
      <c r="F8578"/>
      <c r="N8578" s="44"/>
    </row>
    <row r="8579" spans="1:14" x14ac:dyDescent="0.3">
      <c r="A8579" s="42"/>
      <c r="C8579" s="52"/>
      <c r="D8579"/>
      <c r="E8579"/>
      <c r="F8579"/>
      <c r="N8579" s="44"/>
    </row>
    <row r="8580" spans="1:14" x14ac:dyDescent="0.3">
      <c r="A8580" s="42"/>
      <c r="C8580" s="52"/>
      <c r="D8580"/>
      <c r="E8580"/>
      <c r="F8580"/>
      <c r="N8580" s="44"/>
    </row>
    <row r="8581" spans="1:14" x14ac:dyDescent="0.3">
      <c r="A8581" s="42"/>
      <c r="C8581" s="52"/>
      <c r="D8581"/>
      <c r="E8581"/>
      <c r="F8581"/>
      <c r="N8581" s="44"/>
    </row>
    <row r="8582" spans="1:14" x14ac:dyDescent="0.3">
      <c r="A8582" s="42"/>
      <c r="C8582" s="52"/>
      <c r="D8582"/>
      <c r="E8582"/>
      <c r="F8582"/>
      <c r="N8582" s="44"/>
    </row>
    <row r="8583" spans="1:14" x14ac:dyDescent="0.3">
      <c r="A8583" s="42"/>
      <c r="C8583" s="52"/>
      <c r="D8583"/>
      <c r="E8583"/>
      <c r="F8583"/>
      <c r="N8583" s="44"/>
    </row>
    <row r="8584" spans="1:14" x14ac:dyDescent="0.3">
      <c r="A8584" s="42"/>
      <c r="C8584" s="52"/>
      <c r="D8584"/>
      <c r="E8584"/>
      <c r="F8584"/>
      <c r="N8584" s="44"/>
    </row>
    <row r="8585" spans="1:14" x14ac:dyDescent="0.3">
      <c r="A8585" s="42"/>
      <c r="C8585" s="52"/>
      <c r="D8585"/>
      <c r="E8585"/>
      <c r="F8585"/>
      <c r="N8585" s="44"/>
    </row>
    <row r="8586" spans="1:14" x14ac:dyDescent="0.3">
      <c r="A8586" s="42"/>
      <c r="C8586" s="52"/>
      <c r="D8586"/>
      <c r="E8586"/>
      <c r="F8586"/>
      <c r="N8586" s="44"/>
    </row>
    <row r="8587" spans="1:14" x14ac:dyDescent="0.3">
      <c r="A8587" s="42"/>
      <c r="C8587" s="52"/>
      <c r="D8587"/>
      <c r="E8587"/>
      <c r="F8587"/>
      <c r="N8587" s="44"/>
    </row>
    <row r="8588" spans="1:14" x14ac:dyDescent="0.3">
      <c r="A8588" s="42"/>
      <c r="C8588" s="52"/>
      <c r="D8588"/>
      <c r="E8588"/>
      <c r="F8588"/>
      <c r="N8588" s="44"/>
    </row>
    <row r="8589" spans="1:14" x14ac:dyDescent="0.3">
      <c r="A8589" s="42"/>
      <c r="C8589" s="52"/>
      <c r="D8589"/>
      <c r="E8589"/>
      <c r="F8589"/>
      <c r="N8589" s="44"/>
    </row>
    <row r="8590" spans="1:14" x14ac:dyDescent="0.3">
      <c r="A8590" s="42"/>
      <c r="C8590" s="52"/>
      <c r="D8590"/>
      <c r="E8590"/>
      <c r="F8590"/>
      <c r="N8590" s="44"/>
    </row>
    <row r="8591" spans="1:14" x14ac:dyDescent="0.3">
      <c r="A8591" s="42"/>
      <c r="C8591" s="52"/>
      <c r="D8591"/>
      <c r="E8591"/>
      <c r="F8591"/>
      <c r="N8591" s="44"/>
    </row>
    <row r="8592" spans="1:14" x14ac:dyDescent="0.3">
      <c r="A8592" s="42"/>
      <c r="C8592" s="52"/>
      <c r="D8592"/>
      <c r="E8592"/>
      <c r="F8592"/>
      <c r="N8592" s="44"/>
    </row>
    <row r="8593" spans="1:14" x14ac:dyDescent="0.3">
      <c r="A8593" s="42"/>
      <c r="C8593" s="52"/>
      <c r="D8593"/>
      <c r="E8593"/>
      <c r="F8593"/>
      <c r="N8593" s="44"/>
    </row>
    <row r="8594" spans="1:14" x14ac:dyDescent="0.3">
      <c r="A8594" s="42"/>
      <c r="C8594" s="52"/>
      <c r="D8594"/>
      <c r="E8594"/>
      <c r="F8594"/>
      <c r="N8594" s="44"/>
    </row>
    <row r="8595" spans="1:14" x14ac:dyDescent="0.3">
      <c r="A8595" s="42"/>
      <c r="C8595" s="52"/>
      <c r="D8595"/>
      <c r="E8595"/>
      <c r="F8595"/>
      <c r="N8595" s="44"/>
    </row>
    <row r="8596" spans="1:14" x14ac:dyDescent="0.3">
      <c r="A8596" s="42"/>
      <c r="C8596" s="52"/>
      <c r="D8596"/>
      <c r="E8596"/>
      <c r="F8596"/>
      <c r="N8596" s="44"/>
    </row>
    <row r="8597" spans="1:14" x14ac:dyDescent="0.3">
      <c r="A8597" s="42"/>
      <c r="C8597" s="52"/>
      <c r="D8597"/>
      <c r="E8597"/>
      <c r="F8597"/>
      <c r="N8597" s="44"/>
    </row>
    <row r="8598" spans="1:14" x14ac:dyDescent="0.3">
      <c r="A8598" s="42"/>
      <c r="C8598" s="52"/>
      <c r="D8598"/>
      <c r="E8598"/>
      <c r="F8598"/>
      <c r="N8598" s="44"/>
    </row>
    <row r="8599" spans="1:14" x14ac:dyDescent="0.3">
      <c r="A8599" s="42"/>
      <c r="C8599" s="52"/>
      <c r="D8599"/>
      <c r="E8599"/>
      <c r="F8599"/>
      <c r="N8599" s="44"/>
    </row>
    <row r="8600" spans="1:14" x14ac:dyDescent="0.3">
      <c r="A8600" s="42"/>
      <c r="C8600" s="52"/>
      <c r="D8600"/>
      <c r="E8600"/>
      <c r="F8600"/>
      <c r="N8600" s="44"/>
    </row>
    <row r="8601" spans="1:14" x14ac:dyDescent="0.3">
      <c r="A8601" s="42"/>
      <c r="C8601" s="52"/>
      <c r="D8601"/>
      <c r="E8601"/>
      <c r="F8601"/>
      <c r="N8601" s="44"/>
    </row>
    <row r="8602" spans="1:14" x14ac:dyDescent="0.3">
      <c r="A8602" s="42"/>
      <c r="C8602" s="52"/>
      <c r="D8602"/>
      <c r="E8602"/>
      <c r="F8602"/>
      <c r="N8602" s="44"/>
    </row>
    <row r="8603" spans="1:14" x14ac:dyDescent="0.3">
      <c r="A8603" s="42"/>
      <c r="C8603" s="52"/>
      <c r="D8603"/>
      <c r="E8603"/>
      <c r="F8603"/>
      <c r="N8603" s="44"/>
    </row>
    <row r="8604" spans="1:14" x14ac:dyDescent="0.3">
      <c r="A8604" s="42"/>
      <c r="C8604" s="52"/>
      <c r="D8604"/>
      <c r="E8604"/>
      <c r="F8604"/>
      <c r="N8604" s="44"/>
    </row>
    <row r="8605" spans="1:14" x14ac:dyDescent="0.3">
      <c r="A8605" s="42"/>
      <c r="C8605" s="52"/>
      <c r="D8605"/>
      <c r="E8605"/>
      <c r="F8605"/>
      <c r="N8605" s="44"/>
    </row>
    <row r="8606" spans="1:14" x14ac:dyDescent="0.3">
      <c r="A8606" s="42"/>
      <c r="C8606" s="52"/>
      <c r="D8606"/>
      <c r="E8606"/>
      <c r="F8606"/>
      <c r="N8606" s="44"/>
    </row>
    <row r="8607" spans="1:14" x14ac:dyDescent="0.3">
      <c r="A8607" s="42"/>
      <c r="C8607" s="52"/>
      <c r="D8607"/>
      <c r="E8607"/>
      <c r="F8607"/>
      <c r="N8607" s="44"/>
    </row>
    <row r="8608" spans="1:14" x14ac:dyDescent="0.3">
      <c r="A8608" s="42"/>
      <c r="C8608" s="52"/>
      <c r="D8608"/>
      <c r="E8608"/>
      <c r="F8608"/>
      <c r="N8608" s="44"/>
    </row>
    <row r="8609" spans="1:14" x14ac:dyDescent="0.3">
      <c r="A8609" s="42"/>
      <c r="C8609" s="52"/>
      <c r="D8609"/>
      <c r="E8609"/>
      <c r="F8609"/>
      <c r="N8609" s="44"/>
    </row>
    <row r="8610" spans="1:14" x14ac:dyDescent="0.3">
      <c r="A8610" s="42"/>
      <c r="C8610" s="52"/>
      <c r="D8610"/>
      <c r="E8610"/>
      <c r="F8610"/>
      <c r="N8610" s="44"/>
    </row>
    <row r="8611" spans="1:14" x14ac:dyDescent="0.3">
      <c r="A8611" s="42"/>
      <c r="C8611" s="52"/>
      <c r="D8611"/>
      <c r="E8611"/>
      <c r="F8611"/>
      <c r="N8611" s="44"/>
    </row>
    <row r="8612" spans="1:14" x14ac:dyDescent="0.3">
      <c r="A8612" s="42"/>
      <c r="C8612" s="52"/>
      <c r="D8612"/>
      <c r="E8612"/>
      <c r="F8612"/>
      <c r="N8612" s="44"/>
    </row>
    <row r="8613" spans="1:14" x14ac:dyDescent="0.3">
      <c r="A8613" s="42"/>
      <c r="C8613" s="52"/>
      <c r="D8613"/>
      <c r="E8613"/>
      <c r="F8613"/>
      <c r="N8613" s="44"/>
    </row>
    <row r="8614" spans="1:14" x14ac:dyDescent="0.3">
      <c r="A8614" s="42"/>
      <c r="C8614" s="52"/>
      <c r="D8614"/>
      <c r="E8614"/>
      <c r="F8614"/>
      <c r="N8614" s="44"/>
    </row>
    <row r="8615" spans="1:14" x14ac:dyDescent="0.3">
      <c r="A8615" s="42"/>
      <c r="C8615" s="52"/>
      <c r="D8615"/>
      <c r="E8615"/>
      <c r="F8615"/>
      <c r="N8615" s="44"/>
    </row>
    <row r="8616" spans="1:14" x14ac:dyDescent="0.3">
      <c r="A8616" s="42"/>
      <c r="C8616" s="52"/>
      <c r="D8616"/>
      <c r="E8616"/>
      <c r="F8616"/>
      <c r="N8616" s="44"/>
    </row>
    <row r="8617" spans="1:14" x14ac:dyDescent="0.3">
      <c r="A8617" s="42"/>
      <c r="C8617" s="52"/>
      <c r="D8617"/>
      <c r="E8617"/>
      <c r="F8617"/>
      <c r="N8617" s="44"/>
    </row>
    <row r="8618" spans="1:14" x14ac:dyDescent="0.3">
      <c r="A8618" s="42"/>
      <c r="C8618" s="52"/>
      <c r="D8618"/>
      <c r="E8618"/>
      <c r="F8618"/>
      <c r="N8618" s="44"/>
    </row>
    <row r="8619" spans="1:14" x14ac:dyDescent="0.3">
      <c r="A8619" s="42"/>
      <c r="C8619" s="52"/>
      <c r="D8619"/>
      <c r="E8619"/>
      <c r="F8619"/>
      <c r="N8619" s="44"/>
    </row>
    <row r="8620" spans="1:14" x14ac:dyDescent="0.3">
      <c r="A8620" s="42"/>
      <c r="C8620" s="52"/>
      <c r="D8620"/>
      <c r="E8620"/>
      <c r="F8620"/>
      <c r="N8620" s="44"/>
    </row>
    <row r="8621" spans="1:14" x14ac:dyDescent="0.3">
      <c r="A8621" s="42"/>
      <c r="C8621" s="52"/>
      <c r="D8621"/>
      <c r="E8621"/>
      <c r="F8621"/>
      <c r="N8621" s="44"/>
    </row>
    <row r="8622" spans="1:14" x14ac:dyDescent="0.3">
      <c r="A8622" s="42"/>
      <c r="C8622" s="52"/>
      <c r="D8622"/>
      <c r="E8622"/>
      <c r="F8622"/>
      <c r="N8622" s="44"/>
    </row>
    <row r="8623" spans="1:14" x14ac:dyDescent="0.3">
      <c r="A8623" s="42"/>
      <c r="C8623" s="52"/>
      <c r="D8623"/>
      <c r="E8623"/>
      <c r="F8623"/>
      <c r="N8623" s="44"/>
    </row>
    <row r="8624" spans="1:14" x14ac:dyDescent="0.3">
      <c r="A8624" s="42"/>
      <c r="C8624" s="52"/>
      <c r="D8624"/>
      <c r="E8624"/>
      <c r="F8624"/>
      <c r="N8624" s="44"/>
    </row>
    <row r="8625" spans="1:14" x14ac:dyDescent="0.3">
      <c r="A8625" s="42"/>
      <c r="C8625" s="52"/>
      <c r="D8625"/>
      <c r="E8625"/>
      <c r="F8625"/>
      <c r="N8625" s="44"/>
    </row>
    <row r="8626" spans="1:14" x14ac:dyDescent="0.3">
      <c r="A8626" s="42"/>
      <c r="C8626" s="52"/>
      <c r="D8626"/>
      <c r="E8626"/>
      <c r="F8626"/>
      <c r="N8626" s="44"/>
    </row>
    <row r="8627" spans="1:14" x14ac:dyDescent="0.3">
      <c r="A8627" s="42"/>
      <c r="C8627" s="52"/>
      <c r="D8627"/>
      <c r="E8627"/>
      <c r="F8627"/>
      <c r="N8627" s="44"/>
    </row>
    <row r="8628" spans="1:14" x14ac:dyDescent="0.3">
      <c r="A8628" s="42"/>
      <c r="C8628" s="52"/>
      <c r="D8628"/>
      <c r="E8628"/>
      <c r="F8628"/>
      <c r="N8628" s="44"/>
    </row>
    <row r="8629" spans="1:14" x14ac:dyDescent="0.3">
      <c r="A8629" s="42"/>
      <c r="C8629" s="52"/>
      <c r="D8629"/>
      <c r="E8629"/>
      <c r="F8629"/>
      <c r="N8629" s="44"/>
    </row>
    <row r="8630" spans="1:14" x14ac:dyDescent="0.3">
      <c r="A8630" s="42"/>
      <c r="C8630" s="52"/>
      <c r="D8630"/>
      <c r="E8630"/>
      <c r="F8630"/>
      <c r="N8630" s="44"/>
    </row>
    <row r="8631" spans="1:14" x14ac:dyDescent="0.3">
      <c r="A8631" s="42"/>
      <c r="C8631" s="52"/>
      <c r="D8631"/>
      <c r="E8631"/>
      <c r="F8631"/>
      <c r="N8631" s="44"/>
    </row>
    <row r="8632" spans="1:14" x14ac:dyDescent="0.3">
      <c r="A8632" s="42"/>
      <c r="C8632" s="52"/>
      <c r="D8632"/>
      <c r="E8632"/>
      <c r="F8632"/>
      <c r="N8632" s="44"/>
    </row>
    <row r="8633" spans="1:14" x14ac:dyDescent="0.3">
      <c r="A8633" s="42"/>
      <c r="C8633" s="52"/>
      <c r="D8633"/>
      <c r="E8633"/>
      <c r="F8633"/>
      <c r="N8633" s="44"/>
    </row>
    <row r="8634" spans="1:14" x14ac:dyDescent="0.3">
      <c r="A8634" s="42"/>
      <c r="C8634" s="52"/>
      <c r="D8634"/>
      <c r="E8634"/>
      <c r="F8634"/>
      <c r="N8634" s="44"/>
    </row>
    <row r="8635" spans="1:14" x14ac:dyDescent="0.3">
      <c r="A8635" s="42"/>
      <c r="C8635" s="52"/>
      <c r="D8635"/>
      <c r="E8635"/>
      <c r="F8635"/>
      <c r="N8635" s="44"/>
    </row>
    <row r="8636" spans="1:14" x14ac:dyDescent="0.3">
      <c r="A8636" s="42"/>
      <c r="C8636" s="52"/>
      <c r="D8636"/>
      <c r="E8636"/>
      <c r="F8636"/>
      <c r="N8636" s="44"/>
    </row>
    <row r="8637" spans="1:14" x14ac:dyDescent="0.3">
      <c r="A8637" s="42"/>
      <c r="C8637" s="52"/>
      <c r="D8637"/>
      <c r="E8637"/>
      <c r="F8637"/>
      <c r="N8637" s="44"/>
    </row>
    <row r="8638" spans="1:14" x14ac:dyDescent="0.3">
      <c r="A8638" s="42"/>
      <c r="C8638" s="52"/>
      <c r="D8638"/>
      <c r="E8638"/>
      <c r="F8638"/>
      <c r="N8638" s="44"/>
    </row>
    <row r="8639" spans="1:14" x14ac:dyDescent="0.3">
      <c r="A8639" s="42"/>
      <c r="C8639" s="52"/>
      <c r="D8639"/>
      <c r="E8639"/>
      <c r="F8639"/>
      <c r="N8639" s="44"/>
    </row>
    <row r="8640" spans="1:14" x14ac:dyDescent="0.3">
      <c r="A8640" s="42"/>
      <c r="C8640" s="52"/>
      <c r="D8640"/>
      <c r="E8640"/>
      <c r="F8640"/>
      <c r="N8640" s="44"/>
    </row>
    <row r="8641" spans="1:14" x14ac:dyDescent="0.3">
      <c r="A8641" s="42"/>
      <c r="C8641" s="52"/>
      <c r="D8641"/>
      <c r="E8641"/>
      <c r="F8641"/>
      <c r="N8641" s="44"/>
    </row>
    <row r="8642" spans="1:14" x14ac:dyDescent="0.3">
      <c r="A8642" s="42"/>
      <c r="C8642" s="52"/>
      <c r="D8642"/>
      <c r="E8642"/>
      <c r="F8642"/>
      <c r="N8642" s="44"/>
    </row>
    <row r="8643" spans="1:14" x14ac:dyDescent="0.3">
      <c r="A8643" s="42"/>
      <c r="C8643" s="52"/>
      <c r="D8643"/>
      <c r="E8643"/>
      <c r="F8643"/>
      <c r="N8643" s="44"/>
    </row>
    <row r="8644" spans="1:14" x14ac:dyDescent="0.3">
      <c r="A8644" s="42"/>
      <c r="C8644" s="52"/>
      <c r="D8644"/>
      <c r="E8644"/>
      <c r="F8644"/>
      <c r="N8644" s="44"/>
    </row>
    <row r="8645" spans="1:14" x14ac:dyDescent="0.3">
      <c r="A8645" s="42"/>
      <c r="C8645" s="52"/>
      <c r="D8645"/>
      <c r="E8645"/>
      <c r="F8645"/>
      <c r="N8645" s="44"/>
    </row>
    <row r="8646" spans="1:14" x14ac:dyDescent="0.3">
      <c r="A8646" s="42"/>
      <c r="C8646" s="52"/>
      <c r="D8646"/>
      <c r="E8646"/>
      <c r="F8646"/>
      <c r="N8646" s="44"/>
    </row>
    <row r="8647" spans="1:14" x14ac:dyDescent="0.3">
      <c r="A8647" s="42"/>
      <c r="C8647" s="52"/>
      <c r="D8647"/>
      <c r="E8647"/>
      <c r="F8647"/>
      <c r="N8647" s="44"/>
    </row>
    <row r="8648" spans="1:14" x14ac:dyDescent="0.3">
      <c r="A8648" s="42"/>
      <c r="C8648" s="52"/>
      <c r="D8648"/>
      <c r="E8648"/>
      <c r="F8648"/>
      <c r="N8648" s="44"/>
    </row>
    <row r="8649" spans="1:14" x14ac:dyDescent="0.3">
      <c r="A8649" s="42"/>
      <c r="C8649" s="52"/>
      <c r="D8649"/>
      <c r="E8649"/>
      <c r="F8649"/>
      <c r="N8649" s="44"/>
    </row>
    <row r="8650" spans="1:14" x14ac:dyDescent="0.3">
      <c r="A8650" s="42"/>
      <c r="C8650" s="52"/>
      <c r="D8650"/>
      <c r="E8650"/>
      <c r="F8650"/>
      <c r="N8650" s="44"/>
    </row>
    <row r="8651" spans="1:14" x14ac:dyDescent="0.3">
      <c r="A8651" s="42"/>
      <c r="C8651" s="52"/>
      <c r="D8651"/>
      <c r="E8651"/>
      <c r="F8651"/>
      <c r="N8651" s="44"/>
    </row>
    <row r="8652" spans="1:14" x14ac:dyDescent="0.3">
      <c r="A8652" s="42"/>
      <c r="C8652" s="52"/>
      <c r="D8652"/>
      <c r="E8652"/>
      <c r="F8652"/>
      <c r="N8652" s="44"/>
    </row>
    <row r="8653" spans="1:14" x14ac:dyDescent="0.3">
      <c r="A8653" s="42"/>
      <c r="C8653" s="52"/>
      <c r="D8653"/>
      <c r="E8653"/>
      <c r="F8653"/>
      <c r="N8653" s="44"/>
    </row>
    <row r="8654" spans="1:14" x14ac:dyDescent="0.3">
      <c r="A8654" s="42"/>
      <c r="C8654" s="52"/>
      <c r="D8654"/>
      <c r="E8654"/>
      <c r="F8654"/>
      <c r="N8654" s="44"/>
    </row>
    <row r="8655" spans="1:14" x14ac:dyDescent="0.3">
      <c r="A8655" s="42"/>
      <c r="C8655" s="52"/>
      <c r="D8655"/>
      <c r="E8655"/>
      <c r="F8655"/>
      <c r="N8655" s="44"/>
    </row>
    <row r="8656" spans="1:14" x14ac:dyDescent="0.3">
      <c r="A8656" s="42"/>
      <c r="C8656" s="52"/>
      <c r="D8656"/>
      <c r="E8656"/>
      <c r="F8656"/>
      <c r="N8656" s="44"/>
    </row>
    <row r="8657" spans="1:14" x14ac:dyDescent="0.3">
      <c r="A8657" s="42"/>
      <c r="C8657" s="52"/>
      <c r="D8657"/>
      <c r="E8657"/>
      <c r="F8657"/>
      <c r="N8657" s="44"/>
    </row>
    <row r="8658" spans="1:14" x14ac:dyDescent="0.3">
      <c r="A8658" s="42"/>
      <c r="C8658" s="52"/>
      <c r="D8658"/>
      <c r="E8658"/>
      <c r="F8658"/>
      <c r="N8658" s="44"/>
    </row>
    <row r="8659" spans="1:14" x14ac:dyDescent="0.3">
      <c r="A8659" s="42"/>
      <c r="C8659" s="52"/>
      <c r="D8659"/>
      <c r="E8659"/>
      <c r="F8659"/>
      <c r="N8659" s="44"/>
    </row>
    <row r="8660" spans="1:14" x14ac:dyDescent="0.3">
      <c r="A8660" s="42"/>
      <c r="C8660" s="52"/>
      <c r="D8660"/>
      <c r="E8660"/>
      <c r="F8660"/>
      <c r="N8660" s="44"/>
    </row>
    <row r="8661" spans="1:14" x14ac:dyDescent="0.3">
      <c r="A8661" s="42"/>
      <c r="C8661" s="52"/>
      <c r="D8661"/>
      <c r="E8661"/>
      <c r="F8661"/>
      <c r="N8661" s="44"/>
    </row>
    <row r="8662" spans="1:14" x14ac:dyDescent="0.3">
      <c r="A8662" s="42"/>
      <c r="C8662" s="52"/>
      <c r="D8662"/>
      <c r="E8662"/>
      <c r="F8662"/>
      <c r="N8662" s="44"/>
    </row>
    <row r="8663" spans="1:14" x14ac:dyDescent="0.3">
      <c r="A8663" s="42"/>
      <c r="C8663" s="52"/>
      <c r="D8663"/>
      <c r="E8663"/>
      <c r="F8663"/>
      <c r="N8663" s="44"/>
    </row>
    <row r="8664" spans="1:14" x14ac:dyDescent="0.3">
      <c r="A8664" s="42"/>
      <c r="C8664" s="52"/>
      <c r="D8664"/>
      <c r="E8664"/>
      <c r="F8664"/>
      <c r="N8664" s="44"/>
    </row>
    <row r="8665" spans="1:14" x14ac:dyDescent="0.3">
      <c r="A8665" s="42"/>
      <c r="C8665" s="52"/>
      <c r="D8665"/>
      <c r="E8665"/>
      <c r="F8665"/>
      <c r="N8665" s="44"/>
    </row>
    <row r="8666" spans="1:14" x14ac:dyDescent="0.3">
      <c r="A8666" s="42"/>
      <c r="C8666" s="52"/>
      <c r="D8666"/>
      <c r="E8666"/>
      <c r="F8666"/>
      <c r="N8666" s="44"/>
    </row>
    <row r="8667" spans="1:14" x14ac:dyDescent="0.3">
      <c r="A8667" s="42"/>
      <c r="C8667" s="52"/>
      <c r="D8667"/>
      <c r="E8667"/>
      <c r="F8667"/>
      <c r="N8667" s="44"/>
    </row>
    <row r="8668" spans="1:14" x14ac:dyDescent="0.3">
      <c r="A8668" s="42"/>
      <c r="C8668" s="52"/>
      <c r="D8668"/>
      <c r="E8668"/>
      <c r="F8668"/>
      <c r="N8668" s="44"/>
    </row>
    <row r="8669" spans="1:14" x14ac:dyDescent="0.3">
      <c r="A8669" s="42"/>
      <c r="C8669" s="52"/>
      <c r="D8669"/>
      <c r="E8669"/>
      <c r="F8669"/>
      <c r="N8669" s="44"/>
    </row>
    <row r="8670" spans="1:14" x14ac:dyDescent="0.3">
      <c r="A8670" s="42"/>
      <c r="C8670" s="52"/>
      <c r="D8670"/>
      <c r="E8670"/>
      <c r="F8670"/>
      <c r="N8670" s="44"/>
    </row>
    <row r="8671" spans="1:14" x14ac:dyDescent="0.3">
      <c r="A8671" s="42"/>
      <c r="C8671" s="52"/>
      <c r="D8671"/>
      <c r="E8671"/>
      <c r="F8671"/>
      <c r="N8671" s="44"/>
    </row>
    <row r="8672" spans="1:14" x14ac:dyDescent="0.3">
      <c r="A8672" s="42"/>
      <c r="C8672" s="52"/>
      <c r="D8672"/>
      <c r="E8672"/>
      <c r="F8672"/>
      <c r="N8672" s="44"/>
    </row>
    <row r="8673" spans="1:14" x14ac:dyDescent="0.3">
      <c r="A8673" s="42"/>
      <c r="C8673" s="52"/>
      <c r="D8673"/>
      <c r="E8673"/>
      <c r="F8673"/>
      <c r="N8673" s="44"/>
    </row>
    <row r="8674" spans="1:14" x14ac:dyDescent="0.3">
      <c r="A8674" s="42"/>
      <c r="C8674" s="52"/>
      <c r="D8674"/>
      <c r="E8674"/>
      <c r="F8674"/>
      <c r="N8674" s="44"/>
    </row>
    <row r="8675" spans="1:14" x14ac:dyDescent="0.3">
      <c r="A8675" s="42"/>
      <c r="C8675" s="52"/>
      <c r="D8675"/>
      <c r="E8675"/>
      <c r="F8675"/>
      <c r="N8675" s="44"/>
    </row>
    <row r="8676" spans="1:14" x14ac:dyDescent="0.3">
      <c r="A8676" s="42"/>
      <c r="C8676" s="52"/>
      <c r="D8676"/>
      <c r="E8676"/>
      <c r="F8676"/>
      <c r="N8676" s="44"/>
    </row>
    <row r="8677" spans="1:14" x14ac:dyDescent="0.3">
      <c r="A8677" s="42"/>
      <c r="C8677" s="52"/>
      <c r="D8677"/>
      <c r="E8677"/>
      <c r="F8677"/>
      <c r="N8677" s="44"/>
    </row>
    <row r="8678" spans="1:14" x14ac:dyDescent="0.3">
      <c r="A8678" s="42"/>
      <c r="C8678" s="52"/>
      <c r="D8678"/>
      <c r="E8678"/>
      <c r="F8678"/>
      <c r="N8678" s="44"/>
    </row>
    <row r="8679" spans="1:14" x14ac:dyDescent="0.3">
      <c r="A8679" s="42"/>
      <c r="C8679" s="52"/>
      <c r="D8679"/>
      <c r="E8679"/>
      <c r="F8679"/>
      <c r="N8679" s="44"/>
    </row>
    <row r="8680" spans="1:14" x14ac:dyDescent="0.3">
      <c r="A8680" s="42"/>
      <c r="C8680" s="52"/>
      <c r="D8680"/>
      <c r="E8680"/>
      <c r="F8680"/>
      <c r="N8680" s="44"/>
    </row>
    <row r="8681" spans="1:14" x14ac:dyDescent="0.3">
      <c r="A8681" s="42"/>
      <c r="C8681" s="52"/>
      <c r="D8681"/>
      <c r="E8681"/>
      <c r="F8681"/>
      <c r="N8681" s="44"/>
    </row>
    <row r="8682" spans="1:14" x14ac:dyDescent="0.3">
      <c r="A8682" s="42"/>
      <c r="C8682" s="52"/>
      <c r="D8682"/>
      <c r="E8682"/>
      <c r="F8682"/>
      <c r="N8682" s="44"/>
    </row>
    <row r="8683" spans="1:14" x14ac:dyDescent="0.3">
      <c r="A8683" s="42"/>
      <c r="C8683" s="52"/>
      <c r="D8683"/>
      <c r="E8683"/>
      <c r="F8683"/>
      <c r="N8683" s="44"/>
    </row>
    <row r="8684" spans="1:14" x14ac:dyDescent="0.3">
      <c r="A8684" s="42"/>
      <c r="C8684" s="52"/>
      <c r="D8684"/>
      <c r="E8684"/>
      <c r="F8684"/>
      <c r="N8684" s="44"/>
    </row>
    <row r="8685" spans="1:14" x14ac:dyDescent="0.3">
      <c r="A8685" s="42"/>
      <c r="C8685" s="52"/>
      <c r="D8685"/>
      <c r="E8685"/>
      <c r="F8685"/>
      <c r="N8685" s="44"/>
    </row>
    <row r="8686" spans="1:14" x14ac:dyDescent="0.3">
      <c r="A8686" s="42"/>
      <c r="C8686" s="52"/>
      <c r="D8686"/>
      <c r="E8686"/>
      <c r="F8686"/>
      <c r="N8686" s="44"/>
    </row>
    <row r="8687" spans="1:14" x14ac:dyDescent="0.3">
      <c r="A8687" s="42"/>
      <c r="C8687" s="52"/>
      <c r="D8687"/>
      <c r="E8687"/>
      <c r="F8687"/>
      <c r="N8687" s="44"/>
    </row>
    <row r="8688" spans="1:14" x14ac:dyDescent="0.3">
      <c r="A8688" s="42"/>
      <c r="C8688" s="52"/>
      <c r="D8688"/>
      <c r="E8688"/>
      <c r="F8688"/>
      <c r="N8688" s="44"/>
    </row>
    <row r="8689" spans="1:14" x14ac:dyDescent="0.3">
      <c r="A8689" s="42"/>
      <c r="C8689" s="52"/>
      <c r="D8689"/>
      <c r="E8689"/>
      <c r="F8689"/>
      <c r="N8689" s="44"/>
    </row>
    <row r="8690" spans="1:14" x14ac:dyDescent="0.3">
      <c r="A8690" s="42"/>
      <c r="C8690" s="52"/>
      <c r="D8690"/>
      <c r="E8690"/>
      <c r="F8690"/>
      <c r="N8690" s="44"/>
    </row>
    <row r="8691" spans="1:14" x14ac:dyDescent="0.3">
      <c r="A8691" s="42"/>
      <c r="C8691" s="52"/>
      <c r="D8691"/>
      <c r="E8691"/>
      <c r="F8691"/>
      <c r="N8691" s="44"/>
    </row>
    <row r="8692" spans="1:14" x14ac:dyDescent="0.3">
      <c r="A8692" s="42"/>
      <c r="C8692" s="52"/>
      <c r="D8692"/>
      <c r="E8692"/>
      <c r="F8692"/>
      <c r="N8692" s="44"/>
    </row>
    <row r="8693" spans="1:14" x14ac:dyDescent="0.3">
      <c r="A8693" s="42"/>
      <c r="C8693" s="52"/>
      <c r="D8693"/>
      <c r="E8693"/>
      <c r="F8693"/>
      <c r="N8693" s="44"/>
    </row>
    <row r="8694" spans="1:14" x14ac:dyDescent="0.3">
      <c r="A8694" s="42"/>
      <c r="C8694" s="52"/>
      <c r="D8694"/>
      <c r="E8694"/>
      <c r="F8694"/>
      <c r="N8694" s="44"/>
    </row>
    <row r="8695" spans="1:14" x14ac:dyDescent="0.3">
      <c r="A8695" s="42"/>
      <c r="C8695" s="52"/>
      <c r="D8695"/>
      <c r="E8695"/>
      <c r="F8695"/>
      <c r="N8695" s="44"/>
    </row>
    <row r="8696" spans="1:14" x14ac:dyDescent="0.3">
      <c r="A8696" s="42"/>
      <c r="C8696" s="52"/>
      <c r="D8696"/>
      <c r="E8696"/>
      <c r="F8696"/>
      <c r="N8696" s="44"/>
    </row>
    <row r="8697" spans="1:14" x14ac:dyDescent="0.3">
      <c r="A8697" s="42"/>
      <c r="C8697" s="52"/>
      <c r="D8697"/>
      <c r="E8697"/>
      <c r="F8697"/>
      <c r="N8697" s="44"/>
    </row>
    <row r="8698" spans="1:14" x14ac:dyDescent="0.3">
      <c r="A8698" s="42"/>
      <c r="C8698" s="52"/>
      <c r="D8698"/>
      <c r="E8698"/>
      <c r="F8698"/>
      <c r="N8698" s="44"/>
    </row>
    <row r="8699" spans="1:14" x14ac:dyDescent="0.3">
      <c r="A8699" s="42"/>
      <c r="C8699" s="52"/>
      <c r="D8699"/>
      <c r="E8699"/>
      <c r="F8699"/>
      <c r="N8699" s="44"/>
    </row>
    <row r="8700" spans="1:14" x14ac:dyDescent="0.3">
      <c r="A8700" s="42"/>
      <c r="C8700" s="52"/>
      <c r="D8700"/>
      <c r="E8700"/>
      <c r="F8700"/>
      <c r="N8700" s="44"/>
    </row>
    <row r="8701" spans="1:14" x14ac:dyDescent="0.3">
      <c r="A8701" s="42"/>
      <c r="C8701" s="52"/>
      <c r="D8701"/>
      <c r="E8701"/>
      <c r="F8701"/>
      <c r="N8701" s="44"/>
    </row>
    <row r="8702" spans="1:14" x14ac:dyDescent="0.3">
      <c r="A8702" s="42"/>
      <c r="C8702" s="52"/>
      <c r="D8702"/>
      <c r="E8702"/>
      <c r="F8702"/>
      <c r="N8702" s="44"/>
    </row>
    <row r="8703" spans="1:14" x14ac:dyDescent="0.3">
      <c r="A8703" s="42"/>
      <c r="C8703" s="52"/>
      <c r="D8703"/>
      <c r="E8703"/>
      <c r="F8703"/>
      <c r="N8703" s="44"/>
    </row>
    <row r="8704" spans="1:14" x14ac:dyDescent="0.3">
      <c r="A8704" s="42"/>
      <c r="C8704" s="52"/>
      <c r="D8704"/>
      <c r="E8704"/>
      <c r="F8704"/>
      <c r="N8704" s="44"/>
    </row>
    <row r="8705" spans="1:14" x14ac:dyDescent="0.3">
      <c r="A8705" s="42"/>
      <c r="C8705" s="52"/>
      <c r="D8705"/>
      <c r="E8705"/>
      <c r="F8705"/>
      <c r="N8705" s="44"/>
    </row>
    <row r="8706" spans="1:14" x14ac:dyDescent="0.3">
      <c r="A8706" s="42"/>
      <c r="C8706" s="52"/>
      <c r="D8706"/>
      <c r="E8706"/>
      <c r="F8706"/>
      <c r="N8706" s="44"/>
    </row>
    <row r="8707" spans="1:14" x14ac:dyDescent="0.3">
      <c r="A8707" s="42"/>
      <c r="C8707" s="52"/>
      <c r="D8707"/>
      <c r="E8707"/>
      <c r="F8707"/>
      <c r="N8707" s="44"/>
    </row>
    <row r="8708" spans="1:14" x14ac:dyDescent="0.3">
      <c r="A8708" s="42"/>
      <c r="C8708" s="52"/>
      <c r="D8708"/>
      <c r="E8708"/>
      <c r="F8708"/>
      <c r="N8708" s="44"/>
    </row>
    <row r="8709" spans="1:14" x14ac:dyDescent="0.3">
      <c r="A8709" s="42"/>
      <c r="C8709" s="52"/>
      <c r="D8709"/>
      <c r="E8709"/>
      <c r="F8709"/>
      <c r="N8709" s="44"/>
    </row>
    <row r="8710" spans="1:14" x14ac:dyDescent="0.3">
      <c r="A8710" s="42"/>
      <c r="C8710" s="52"/>
      <c r="D8710"/>
      <c r="E8710"/>
      <c r="F8710"/>
      <c r="N8710" s="44"/>
    </row>
    <row r="8711" spans="1:14" x14ac:dyDescent="0.3">
      <c r="A8711" s="42"/>
      <c r="C8711" s="52"/>
      <c r="D8711"/>
      <c r="E8711"/>
      <c r="F8711"/>
      <c r="N8711" s="44"/>
    </row>
    <row r="8712" spans="1:14" x14ac:dyDescent="0.3">
      <c r="A8712" s="42"/>
      <c r="C8712" s="52"/>
      <c r="D8712"/>
      <c r="E8712"/>
      <c r="F8712"/>
      <c r="N8712" s="44"/>
    </row>
    <row r="8713" spans="1:14" x14ac:dyDescent="0.3">
      <c r="A8713" s="42"/>
      <c r="C8713" s="52"/>
      <c r="D8713"/>
      <c r="E8713"/>
      <c r="F8713"/>
      <c r="N8713" s="44"/>
    </row>
    <row r="8714" spans="1:14" x14ac:dyDescent="0.3">
      <c r="A8714" s="42"/>
      <c r="C8714" s="52"/>
      <c r="D8714"/>
      <c r="E8714"/>
      <c r="F8714"/>
      <c r="N8714" s="44"/>
    </row>
    <row r="8715" spans="1:14" x14ac:dyDescent="0.3">
      <c r="A8715" s="42"/>
      <c r="C8715" s="52"/>
      <c r="D8715"/>
      <c r="E8715"/>
      <c r="F8715"/>
      <c r="N8715" s="44"/>
    </row>
    <row r="8716" spans="1:14" x14ac:dyDescent="0.3">
      <c r="A8716" s="42"/>
      <c r="C8716" s="52"/>
      <c r="D8716"/>
      <c r="E8716"/>
      <c r="F8716"/>
      <c r="N8716" s="44"/>
    </row>
    <row r="8717" spans="1:14" x14ac:dyDescent="0.3">
      <c r="A8717" s="42"/>
      <c r="C8717" s="52"/>
      <c r="D8717"/>
      <c r="E8717"/>
      <c r="F8717"/>
      <c r="N8717" s="44"/>
    </row>
    <row r="8718" spans="1:14" x14ac:dyDescent="0.3">
      <c r="A8718" s="42"/>
      <c r="C8718" s="52"/>
      <c r="D8718"/>
      <c r="E8718"/>
      <c r="F8718"/>
      <c r="N8718" s="44"/>
    </row>
    <row r="8719" spans="1:14" x14ac:dyDescent="0.3">
      <c r="A8719" s="42"/>
      <c r="C8719" s="52"/>
      <c r="D8719"/>
      <c r="E8719"/>
      <c r="F8719"/>
      <c r="N8719" s="44"/>
    </row>
    <row r="8720" spans="1:14" x14ac:dyDescent="0.3">
      <c r="A8720" s="42"/>
      <c r="C8720" s="52"/>
      <c r="D8720"/>
      <c r="E8720"/>
      <c r="F8720"/>
      <c r="N8720" s="44"/>
    </row>
    <row r="8721" spans="1:14" x14ac:dyDescent="0.3">
      <c r="A8721" s="42"/>
      <c r="C8721" s="52"/>
      <c r="D8721"/>
      <c r="E8721"/>
      <c r="F8721"/>
      <c r="N8721" s="44"/>
    </row>
    <row r="8722" spans="1:14" x14ac:dyDescent="0.3">
      <c r="A8722" s="42"/>
      <c r="C8722" s="52"/>
      <c r="D8722"/>
      <c r="E8722"/>
      <c r="F8722"/>
      <c r="N8722" s="44"/>
    </row>
    <row r="8723" spans="1:14" x14ac:dyDescent="0.3">
      <c r="A8723" s="42"/>
      <c r="C8723" s="52"/>
      <c r="D8723"/>
      <c r="E8723"/>
      <c r="F8723"/>
      <c r="N8723" s="44"/>
    </row>
    <row r="8724" spans="1:14" x14ac:dyDescent="0.3">
      <c r="A8724" s="42"/>
      <c r="C8724" s="52"/>
      <c r="D8724"/>
      <c r="E8724"/>
      <c r="F8724"/>
      <c r="N8724" s="44"/>
    </row>
    <row r="8725" spans="1:14" x14ac:dyDescent="0.3">
      <c r="A8725" s="42"/>
      <c r="C8725" s="52"/>
      <c r="D8725"/>
      <c r="E8725"/>
      <c r="F8725"/>
      <c r="N8725" s="44"/>
    </row>
    <row r="8726" spans="1:14" x14ac:dyDescent="0.3">
      <c r="A8726" s="42"/>
      <c r="C8726" s="52"/>
      <c r="D8726"/>
      <c r="E8726"/>
      <c r="F8726"/>
      <c r="N8726" s="44"/>
    </row>
    <row r="8727" spans="1:14" x14ac:dyDescent="0.3">
      <c r="A8727" s="42"/>
      <c r="C8727" s="52"/>
      <c r="D8727"/>
      <c r="E8727"/>
      <c r="F8727"/>
      <c r="N8727" s="44"/>
    </row>
    <row r="8728" spans="1:14" x14ac:dyDescent="0.3">
      <c r="A8728" s="42"/>
      <c r="C8728" s="52"/>
      <c r="D8728"/>
      <c r="E8728"/>
      <c r="F8728"/>
      <c r="N8728" s="44"/>
    </row>
    <row r="8729" spans="1:14" x14ac:dyDescent="0.3">
      <c r="A8729" s="42"/>
      <c r="C8729" s="52"/>
      <c r="D8729"/>
      <c r="E8729"/>
      <c r="F8729"/>
      <c r="N8729" s="44"/>
    </row>
    <row r="8730" spans="1:14" x14ac:dyDescent="0.3">
      <c r="A8730" s="42"/>
      <c r="C8730" s="52"/>
      <c r="D8730"/>
      <c r="E8730"/>
      <c r="F8730"/>
      <c r="N8730" s="44"/>
    </row>
    <row r="8731" spans="1:14" x14ac:dyDescent="0.3">
      <c r="A8731" s="42"/>
      <c r="C8731" s="52"/>
      <c r="D8731"/>
      <c r="E8731"/>
      <c r="F8731"/>
      <c r="N8731" s="44"/>
    </row>
    <row r="8732" spans="1:14" x14ac:dyDescent="0.3">
      <c r="A8732" s="42"/>
      <c r="C8732" s="52"/>
      <c r="D8732"/>
      <c r="E8732"/>
      <c r="F8732"/>
      <c r="N8732" s="44"/>
    </row>
    <row r="8733" spans="1:14" x14ac:dyDescent="0.3">
      <c r="A8733" s="42"/>
      <c r="C8733" s="52"/>
      <c r="D8733"/>
      <c r="E8733"/>
      <c r="F8733"/>
      <c r="N8733" s="44"/>
    </row>
    <row r="8734" spans="1:14" x14ac:dyDescent="0.3">
      <c r="A8734" s="42"/>
      <c r="C8734" s="52"/>
      <c r="D8734"/>
      <c r="E8734"/>
      <c r="F8734"/>
      <c r="N8734" s="44"/>
    </row>
    <row r="8735" spans="1:14" x14ac:dyDescent="0.3">
      <c r="A8735" s="42"/>
      <c r="C8735" s="52"/>
      <c r="D8735"/>
      <c r="E8735"/>
      <c r="F8735"/>
      <c r="N8735" s="44"/>
    </row>
    <row r="8736" spans="1:14" x14ac:dyDescent="0.3">
      <c r="A8736" s="42"/>
      <c r="C8736" s="52"/>
      <c r="D8736"/>
      <c r="E8736"/>
      <c r="F8736"/>
      <c r="N8736" s="44"/>
    </row>
    <row r="8737" spans="1:14" x14ac:dyDescent="0.3">
      <c r="A8737" s="42"/>
      <c r="C8737" s="52"/>
      <c r="D8737"/>
      <c r="E8737"/>
      <c r="F8737"/>
      <c r="N8737" s="44"/>
    </row>
    <row r="8738" spans="1:14" x14ac:dyDescent="0.3">
      <c r="A8738" s="42"/>
      <c r="C8738" s="52"/>
      <c r="D8738"/>
      <c r="E8738"/>
      <c r="F8738"/>
      <c r="N8738" s="44"/>
    </row>
    <row r="8739" spans="1:14" x14ac:dyDescent="0.3">
      <c r="A8739" s="42"/>
      <c r="C8739" s="52"/>
      <c r="D8739"/>
      <c r="E8739"/>
      <c r="F8739"/>
      <c r="M8739" s="45"/>
      <c r="N8739" s="44"/>
    </row>
    <row r="8740" spans="1:14" x14ac:dyDescent="0.3">
      <c r="A8740" s="42"/>
      <c r="C8740" s="52"/>
      <c r="D8740"/>
      <c r="E8740"/>
      <c r="F8740"/>
      <c r="N8740" s="44"/>
    </row>
    <row r="8741" spans="1:14" x14ac:dyDescent="0.3">
      <c r="A8741" s="42"/>
      <c r="C8741" s="52"/>
      <c r="D8741"/>
      <c r="E8741"/>
      <c r="F8741"/>
      <c r="N8741" s="44"/>
    </row>
    <row r="8742" spans="1:14" x14ac:dyDescent="0.3">
      <c r="A8742" s="42"/>
      <c r="C8742" s="52"/>
      <c r="D8742"/>
      <c r="E8742"/>
      <c r="F8742"/>
      <c r="M8742" s="45"/>
      <c r="N8742" s="44"/>
    </row>
    <row r="8743" spans="1:14" x14ac:dyDescent="0.3">
      <c r="A8743" s="42"/>
      <c r="C8743" s="52"/>
      <c r="D8743"/>
      <c r="E8743"/>
      <c r="F8743"/>
      <c r="N8743" s="44"/>
    </row>
    <row r="8744" spans="1:14" x14ac:dyDescent="0.3">
      <c r="A8744" s="42"/>
      <c r="C8744" s="52"/>
      <c r="D8744"/>
      <c r="E8744"/>
      <c r="F8744"/>
      <c r="N8744" s="44"/>
    </row>
    <row r="8745" spans="1:14" x14ac:dyDescent="0.3">
      <c r="A8745" s="42"/>
      <c r="C8745" s="52"/>
      <c r="D8745"/>
      <c r="E8745"/>
      <c r="F8745"/>
      <c r="N8745" s="44"/>
    </row>
    <row r="8746" spans="1:14" x14ac:dyDescent="0.3">
      <c r="A8746" s="42"/>
      <c r="C8746" s="52"/>
      <c r="D8746"/>
      <c r="E8746"/>
      <c r="F8746"/>
      <c r="N8746" s="44"/>
    </row>
    <row r="8747" spans="1:14" x14ac:dyDescent="0.3">
      <c r="A8747" s="42"/>
      <c r="C8747" s="52"/>
      <c r="D8747"/>
      <c r="E8747"/>
      <c r="F8747"/>
      <c r="N8747" s="44"/>
    </row>
    <row r="8748" spans="1:14" x14ac:dyDescent="0.3">
      <c r="A8748" s="42"/>
      <c r="C8748" s="52"/>
      <c r="D8748"/>
      <c r="E8748"/>
      <c r="F8748"/>
      <c r="N8748" s="44"/>
    </row>
    <row r="8749" spans="1:14" x14ac:dyDescent="0.3">
      <c r="A8749" s="42"/>
      <c r="C8749" s="52"/>
      <c r="D8749"/>
      <c r="E8749"/>
      <c r="F8749"/>
      <c r="N8749" s="44"/>
    </row>
    <row r="8750" spans="1:14" x14ac:dyDescent="0.3">
      <c r="A8750" s="42"/>
      <c r="C8750" s="52"/>
      <c r="D8750"/>
      <c r="E8750"/>
      <c r="F8750"/>
      <c r="N8750" s="44"/>
    </row>
    <row r="8751" spans="1:14" x14ac:dyDescent="0.3">
      <c r="A8751" s="42"/>
      <c r="C8751" s="52"/>
      <c r="D8751"/>
      <c r="E8751"/>
      <c r="F8751"/>
      <c r="N8751" s="44"/>
    </row>
    <row r="8752" spans="1:14" x14ac:dyDescent="0.3">
      <c r="A8752" s="42"/>
      <c r="C8752" s="52"/>
      <c r="D8752"/>
      <c r="E8752"/>
      <c r="F8752"/>
      <c r="N8752" s="44"/>
    </row>
    <row r="8753" spans="1:14" x14ac:dyDescent="0.3">
      <c r="A8753" s="42"/>
      <c r="C8753" s="52"/>
      <c r="D8753"/>
      <c r="E8753"/>
      <c r="F8753"/>
      <c r="N8753" s="44"/>
    </row>
    <row r="8754" spans="1:14" x14ac:dyDescent="0.3">
      <c r="A8754" s="42"/>
      <c r="C8754" s="52"/>
      <c r="D8754"/>
      <c r="E8754"/>
      <c r="F8754"/>
      <c r="N8754" s="44"/>
    </row>
    <row r="8755" spans="1:14" x14ac:dyDescent="0.3">
      <c r="A8755" s="42"/>
      <c r="C8755" s="52"/>
      <c r="D8755"/>
      <c r="E8755"/>
      <c r="F8755"/>
      <c r="N8755" s="44"/>
    </row>
    <row r="8756" spans="1:14" x14ac:dyDescent="0.3">
      <c r="A8756" s="42"/>
      <c r="C8756" s="52"/>
      <c r="D8756"/>
      <c r="E8756"/>
      <c r="F8756"/>
      <c r="N8756" s="44"/>
    </row>
    <row r="8757" spans="1:14" x14ac:dyDescent="0.3">
      <c r="A8757" s="42"/>
      <c r="C8757" s="52"/>
      <c r="D8757"/>
      <c r="E8757"/>
      <c r="F8757"/>
      <c r="N8757" s="44"/>
    </row>
    <row r="8758" spans="1:14" x14ac:dyDescent="0.3">
      <c r="A8758" s="42"/>
      <c r="C8758" s="52"/>
      <c r="D8758"/>
      <c r="E8758"/>
      <c r="F8758"/>
      <c r="N8758" s="44"/>
    </row>
    <row r="8759" spans="1:14" x14ac:dyDescent="0.3">
      <c r="A8759" s="42"/>
      <c r="C8759" s="52"/>
      <c r="D8759"/>
      <c r="E8759"/>
      <c r="F8759"/>
      <c r="N8759" s="44"/>
    </row>
    <row r="8760" spans="1:14" x14ac:dyDescent="0.3">
      <c r="A8760" s="42"/>
      <c r="C8760" s="52"/>
      <c r="D8760"/>
      <c r="E8760"/>
      <c r="F8760"/>
      <c r="N8760" s="44"/>
    </row>
    <row r="8761" spans="1:14" x14ac:dyDescent="0.3">
      <c r="A8761" s="42"/>
      <c r="C8761" s="52"/>
      <c r="D8761"/>
      <c r="E8761"/>
      <c r="F8761"/>
      <c r="N8761" s="44"/>
    </row>
    <row r="8762" spans="1:14" x14ac:dyDescent="0.3">
      <c r="A8762" s="42"/>
      <c r="C8762" s="52"/>
      <c r="D8762"/>
      <c r="E8762"/>
      <c r="F8762"/>
      <c r="N8762" s="44"/>
    </row>
    <row r="8763" spans="1:14" x14ac:dyDescent="0.3">
      <c r="A8763" s="42"/>
      <c r="C8763" s="52"/>
      <c r="D8763"/>
      <c r="E8763"/>
      <c r="F8763"/>
      <c r="N8763" s="44"/>
    </row>
    <row r="8764" spans="1:14" x14ac:dyDescent="0.3">
      <c r="A8764" s="42"/>
      <c r="C8764" s="52"/>
      <c r="D8764"/>
      <c r="E8764"/>
      <c r="F8764"/>
      <c r="N8764" s="44"/>
    </row>
    <row r="8765" spans="1:14" x14ac:dyDescent="0.3">
      <c r="A8765" s="42"/>
      <c r="C8765" s="52"/>
      <c r="D8765"/>
      <c r="E8765"/>
      <c r="F8765"/>
      <c r="N8765" s="44"/>
    </row>
    <row r="8766" spans="1:14" x14ac:dyDescent="0.3">
      <c r="A8766" s="42"/>
      <c r="C8766" s="52"/>
      <c r="D8766"/>
      <c r="E8766"/>
      <c r="F8766"/>
      <c r="N8766" s="44"/>
    </row>
    <row r="8767" spans="1:14" x14ac:dyDescent="0.3">
      <c r="A8767" s="42"/>
      <c r="C8767" s="52"/>
      <c r="D8767"/>
      <c r="E8767"/>
      <c r="F8767"/>
      <c r="N8767" s="44"/>
    </row>
    <row r="8768" spans="1:14" x14ac:dyDescent="0.3">
      <c r="A8768" s="42"/>
      <c r="C8768" s="52"/>
      <c r="D8768"/>
      <c r="E8768"/>
      <c r="F8768"/>
      <c r="N8768" s="44"/>
    </row>
    <row r="8769" spans="1:14" x14ac:dyDescent="0.3">
      <c r="A8769" s="42"/>
      <c r="C8769" s="52"/>
      <c r="D8769"/>
      <c r="E8769"/>
      <c r="F8769"/>
      <c r="N8769" s="44"/>
    </row>
    <row r="8770" spans="1:14" x14ac:dyDescent="0.3">
      <c r="A8770" s="42"/>
      <c r="C8770" s="52"/>
      <c r="D8770"/>
      <c r="E8770"/>
      <c r="F8770"/>
      <c r="N8770" s="44"/>
    </row>
    <row r="8771" spans="1:14" x14ac:dyDescent="0.3">
      <c r="A8771" s="42"/>
      <c r="C8771" s="52"/>
      <c r="D8771"/>
      <c r="E8771"/>
      <c r="F8771"/>
      <c r="N8771" s="44"/>
    </row>
    <row r="8772" spans="1:14" x14ac:dyDescent="0.3">
      <c r="A8772" s="42"/>
      <c r="C8772" s="52"/>
      <c r="D8772"/>
      <c r="E8772"/>
      <c r="F8772"/>
      <c r="N8772" s="44"/>
    </row>
    <row r="8773" spans="1:14" x14ac:dyDescent="0.3">
      <c r="A8773" s="42"/>
      <c r="C8773" s="52"/>
      <c r="D8773"/>
      <c r="E8773"/>
      <c r="F8773"/>
      <c r="M8773" s="45"/>
      <c r="N8773" s="44"/>
    </row>
    <row r="8774" spans="1:14" x14ac:dyDescent="0.3">
      <c r="A8774" s="42"/>
      <c r="C8774" s="52"/>
      <c r="D8774"/>
      <c r="E8774"/>
      <c r="F8774"/>
      <c r="N8774" s="44"/>
    </row>
    <row r="8775" spans="1:14" x14ac:dyDescent="0.3">
      <c r="A8775" s="42"/>
      <c r="C8775" s="52"/>
      <c r="D8775"/>
      <c r="E8775"/>
      <c r="F8775"/>
      <c r="N8775" s="44"/>
    </row>
    <row r="8776" spans="1:14" x14ac:dyDescent="0.3">
      <c r="A8776" s="42"/>
      <c r="C8776" s="52"/>
      <c r="D8776"/>
      <c r="E8776"/>
      <c r="F8776"/>
      <c r="N8776" s="44"/>
    </row>
    <row r="8777" spans="1:14" x14ac:dyDescent="0.3">
      <c r="A8777" s="42"/>
      <c r="C8777" s="52"/>
      <c r="D8777"/>
      <c r="E8777"/>
      <c r="F8777"/>
      <c r="N8777" s="44"/>
    </row>
    <row r="8778" spans="1:14" x14ac:dyDescent="0.3">
      <c r="A8778" s="42"/>
      <c r="C8778" s="52"/>
      <c r="D8778"/>
      <c r="E8778"/>
      <c r="F8778"/>
      <c r="N8778" s="44"/>
    </row>
    <row r="8779" spans="1:14" x14ac:dyDescent="0.3">
      <c r="A8779" s="42"/>
      <c r="C8779" s="52"/>
      <c r="D8779"/>
      <c r="E8779"/>
      <c r="F8779"/>
      <c r="N8779" s="44"/>
    </row>
    <row r="8780" spans="1:14" x14ac:dyDescent="0.3">
      <c r="A8780" s="42"/>
      <c r="C8780" s="52"/>
      <c r="D8780"/>
      <c r="E8780"/>
      <c r="F8780"/>
      <c r="N8780" s="44"/>
    </row>
    <row r="8781" spans="1:14" x14ac:dyDescent="0.3">
      <c r="A8781" s="42"/>
      <c r="C8781" s="52"/>
      <c r="D8781"/>
      <c r="E8781"/>
      <c r="F8781"/>
      <c r="N8781" s="44"/>
    </row>
    <row r="8782" spans="1:14" x14ac:dyDescent="0.3">
      <c r="A8782" s="42"/>
      <c r="C8782" s="52"/>
      <c r="D8782"/>
      <c r="E8782"/>
      <c r="F8782"/>
      <c r="N8782" s="44"/>
    </row>
    <row r="8783" spans="1:14" x14ac:dyDescent="0.3">
      <c r="A8783" s="42"/>
      <c r="C8783" s="52"/>
      <c r="D8783"/>
      <c r="E8783"/>
      <c r="F8783"/>
      <c r="N8783" s="44"/>
    </row>
    <row r="8784" spans="1:14" x14ac:dyDescent="0.3">
      <c r="A8784" s="42"/>
      <c r="C8784" s="52"/>
      <c r="D8784"/>
      <c r="E8784"/>
      <c r="F8784"/>
      <c r="N8784" s="44"/>
    </row>
    <row r="8785" spans="1:14" x14ac:dyDescent="0.3">
      <c r="A8785" s="42"/>
      <c r="C8785" s="52"/>
      <c r="D8785"/>
      <c r="E8785"/>
      <c r="F8785"/>
      <c r="N8785" s="44"/>
    </row>
    <row r="8786" spans="1:14" x14ac:dyDescent="0.3">
      <c r="A8786" s="42"/>
      <c r="C8786" s="52"/>
      <c r="D8786"/>
      <c r="E8786"/>
      <c r="F8786"/>
      <c r="N8786" s="44"/>
    </row>
    <row r="8787" spans="1:14" x14ac:dyDescent="0.3">
      <c r="A8787" s="42"/>
      <c r="C8787" s="52"/>
      <c r="D8787"/>
      <c r="E8787"/>
      <c r="F8787"/>
      <c r="N8787" s="44"/>
    </row>
    <row r="8788" spans="1:14" x14ac:dyDescent="0.3">
      <c r="A8788" s="42"/>
      <c r="C8788" s="52"/>
      <c r="D8788"/>
      <c r="E8788"/>
      <c r="F8788"/>
      <c r="N8788" s="44"/>
    </row>
    <row r="8789" spans="1:14" x14ac:dyDescent="0.3">
      <c r="A8789" s="42"/>
      <c r="C8789" s="52"/>
      <c r="D8789"/>
      <c r="E8789"/>
      <c r="F8789"/>
      <c r="N8789" s="44"/>
    </row>
    <row r="8790" spans="1:14" x14ac:dyDescent="0.3">
      <c r="A8790" s="42"/>
      <c r="C8790" s="52"/>
      <c r="D8790"/>
      <c r="E8790"/>
      <c r="F8790"/>
      <c r="N8790" s="44"/>
    </row>
    <row r="8791" spans="1:14" x14ac:dyDescent="0.3">
      <c r="A8791" s="42"/>
      <c r="C8791" s="52"/>
      <c r="D8791"/>
      <c r="E8791"/>
      <c r="F8791"/>
      <c r="N8791" s="44"/>
    </row>
    <row r="8792" spans="1:14" x14ac:dyDescent="0.3">
      <c r="A8792" s="42"/>
      <c r="C8792" s="52"/>
      <c r="D8792"/>
      <c r="E8792"/>
      <c r="F8792"/>
      <c r="N8792" s="44"/>
    </row>
    <row r="8793" spans="1:14" x14ac:dyDescent="0.3">
      <c r="A8793" s="42"/>
      <c r="C8793" s="52"/>
      <c r="D8793"/>
      <c r="E8793"/>
      <c r="F8793"/>
      <c r="N8793" s="44"/>
    </row>
    <row r="8794" spans="1:14" x14ac:dyDescent="0.3">
      <c r="A8794" s="42"/>
      <c r="C8794" s="52"/>
      <c r="D8794"/>
      <c r="E8794"/>
      <c r="F8794"/>
      <c r="N8794" s="44"/>
    </row>
    <row r="8795" spans="1:14" x14ac:dyDescent="0.3">
      <c r="A8795" s="42"/>
      <c r="C8795" s="52"/>
      <c r="D8795"/>
      <c r="E8795"/>
      <c r="F8795"/>
      <c r="N8795" s="44"/>
    </row>
    <row r="8796" spans="1:14" x14ac:dyDescent="0.3">
      <c r="A8796" s="42"/>
      <c r="C8796" s="52"/>
      <c r="D8796"/>
      <c r="E8796"/>
      <c r="F8796"/>
      <c r="N8796" s="44"/>
    </row>
    <row r="8797" spans="1:14" x14ac:dyDescent="0.3">
      <c r="A8797" s="42"/>
      <c r="C8797" s="52"/>
      <c r="D8797"/>
      <c r="E8797"/>
      <c r="F8797"/>
      <c r="N8797" s="44"/>
    </row>
    <row r="8798" spans="1:14" x14ac:dyDescent="0.3">
      <c r="A8798" s="42"/>
      <c r="C8798" s="52"/>
      <c r="D8798"/>
      <c r="E8798"/>
      <c r="F8798"/>
      <c r="N8798" s="44"/>
    </row>
    <row r="8799" spans="1:14" x14ac:dyDescent="0.3">
      <c r="A8799" s="42"/>
      <c r="C8799" s="52"/>
      <c r="D8799"/>
      <c r="E8799"/>
      <c r="F8799"/>
      <c r="N8799" s="44"/>
    </row>
    <row r="8800" spans="1:14" x14ac:dyDescent="0.3">
      <c r="A8800" s="42"/>
      <c r="C8800" s="52"/>
      <c r="D8800"/>
      <c r="E8800"/>
      <c r="F8800"/>
      <c r="N8800" s="44"/>
    </row>
    <row r="8801" spans="1:14" x14ac:dyDescent="0.3">
      <c r="A8801" s="42"/>
      <c r="C8801" s="52"/>
      <c r="D8801"/>
      <c r="E8801"/>
      <c r="F8801"/>
      <c r="N8801" s="44"/>
    </row>
    <row r="8802" spans="1:14" x14ac:dyDescent="0.3">
      <c r="A8802" s="42"/>
      <c r="C8802" s="52"/>
      <c r="D8802"/>
      <c r="E8802"/>
      <c r="F8802"/>
      <c r="N8802" s="44"/>
    </row>
    <row r="8803" spans="1:14" x14ac:dyDescent="0.3">
      <c r="A8803" s="42"/>
      <c r="C8803" s="52"/>
      <c r="D8803"/>
      <c r="E8803"/>
      <c r="F8803"/>
      <c r="N8803" s="44"/>
    </row>
    <row r="8804" spans="1:14" x14ac:dyDescent="0.3">
      <c r="A8804" s="42"/>
      <c r="C8804" s="52"/>
      <c r="D8804"/>
      <c r="E8804"/>
      <c r="F8804"/>
      <c r="N8804" s="44"/>
    </row>
    <row r="8805" spans="1:14" x14ac:dyDescent="0.3">
      <c r="A8805" s="42"/>
      <c r="C8805" s="52"/>
      <c r="D8805"/>
      <c r="E8805"/>
      <c r="F8805"/>
      <c r="N8805" s="44"/>
    </row>
    <row r="8806" spans="1:14" x14ac:dyDescent="0.3">
      <c r="A8806" s="42"/>
      <c r="C8806" s="52"/>
      <c r="D8806"/>
      <c r="E8806"/>
      <c r="F8806"/>
      <c r="N8806" s="44"/>
    </row>
    <row r="8807" spans="1:14" x14ac:dyDescent="0.3">
      <c r="A8807" s="42"/>
      <c r="C8807" s="52"/>
      <c r="D8807"/>
      <c r="E8807"/>
      <c r="F8807"/>
      <c r="N8807" s="44"/>
    </row>
    <row r="8808" spans="1:14" x14ac:dyDescent="0.3">
      <c r="A8808" s="42"/>
      <c r="C8808" s="52"/>
      <c r="D8808"/>
      <c r="E8808"/>
      <c r="F8808"/>
      <c r="N8808" s="44"/>
    </row>
    <row r="8809" spans="1:14" x14ac:dyDescent="0.3">
      <c r="A8809" s="42"/>
      <c r="C8809" s="52"/>
      <c r="D8809"/>
      <c r="E8809"/>
      <c r="F8809"/>
      <c r="N8809" s="44"/>
    </row>
    <row r="8810" spans="1:14" x14ac:dyDescent="0.3">
      <c r="A8810" s="42"/>
      <c r="C8810" s="52"/>
      <c r="D8810"/>
      <c r="E8810"/>
      <c r="F8810"/>
      <c r="N8810" s="44"/>
    </row>
    <row r="8811" spans="1:14" x14ac:dyDescent="0.3">
      <c r="A8811" s="42"/>
      <c r="C8811" s="52"/>
      <c r="D8811"/>
      <c r="E8811"/>
      <c r="F8811"/>
      <c r="N8811" s="44"/>
    </row>
    <row r="8812" spans="1:14" x14ac:dyDescent="0.3">
      <c r="A8812" s="42"/>
      <c r="C8812" s="52"/>
      <c r="D8812"/>
      <c r="E8812"/>
      <c r="F8812"/>
      <c r="N8812" s="44"/>
    </row>
    <row r="8813" spans="1:14" x14ac:dyDescent="0.3">
      <c r="A8813" s="42"/>
      <c r="C8813" s="52"/>
      <c r="D8813"/>
      <c r="E8813"/>
      <c r="F8813"/>
      <c r="N8813" s="44"/>
    </row>
    <row r="8814" spans="1:14" x14ac:dyDescent="0.3">
      <c r="A8814" s="42"/>
      <c r="C8814" s="52"/>
      <c r="D8814"/>
      <c r="E8814"/>
      <c r="F8814"/>
      <c r="N8814" s="44"/>
    </row>
    <row r="8815" spans="1:14" x14ac:dyDescent="0.3">
      <c r="A8815" s="42"/>
      <c r="C8815" s="52"/>
      <c r="D8815"/>
      <c r="E8815"/>
      <c r="F8815"/>
      <c r="N8815" s="44"/>
    </row>
    <row r="8816" spans="1:14" x14ac:dyDescent="0.3">
      <c r="A8816" s="42"/>
      <c r="C8816" s="52"/>
      <c r="D8816"/>
      <c r="E8816"/>
      <c r="F8816"/>
      <c r="N8816" s="44"/>
    </row>
    <row r="8817" spans="1:14" x14ac:dyDescent="0.3">
      <c r="A8817" s="42"/>
      <c r="C8817" s="52"/>
      <c r="D8817"/>
      <c r="E8817"/>
      <c r="F8817"/>
      <c r="N8817" s="44"/>
    </row>
    <row r="8818" spans="1:14" x14ac:dyDescent="0.3">
      <c r="A8818" s="42"/>
      <c r="C8818" s="52"/>
      <c r="D8818"/>
      <c r="E8818"/>
      <c r="F8818"/>
      <c r="N8818" s="44"/>
    </row>
    <row r="8819" spans="1:14" x14ac:dyDescent="0.3">
      <c r="A8819" s="42"/>
      <c r="C8819" s="52"/>
      <c r="D8819"/>
      <c r="E8819"/>
      <c r="F8819"/>
      <c r="N8819" s="44"/>
    </row>
    <row r="8820" spans="1:14" x14ac:dyDescent="0.3">
      <c r="A8820" s="42"/>
      <c r="C8820" s="52"/>
      <c r="D8820"/>
      <c r="E8820"/>
      <c r="F8820"/>
      <c r="N8820" s="44"/>
    </row>
    <row r="8821" spans="1:14" x14ac:dyDescent="0.3">
      <c r="A8821" s="42"/>
      <c r="C8821" s="52"/>
      <c r="D8821"/>
      <c r="E8821"/>
      <c r="F8821"/>
      <c r="N8821" s="44"/>
    </row>
    <row r="8822" spans="1:14" x14ac:dyDescent="0.3">
      <c r="A8822" s="42"/>
      <c r="C8822" s="52"/>
      <c r="D8822"/>
      <c r="E8822"/>
      <c r="F8822"/>
      <c r="N8822" s="44"/>
    </row>
    <row r="8823" spans="1:14" x14ac:dyDescent="0.3">
      <c r="A8823" s="42"/>
      <c r="C8823" s="52"/>
      <c r="D8823"/>
      <c r="E8823"/>
      <c r="F8823"/>
      <c r="N8823" s="44"/>
    </row>
    <row r="8824" spans="1:14" x14ac:dyDescent="0.3">
      <c r="A8824" s="42"/>
      <c r="C8824" s="52"/>
      <c r="D8824"/>
      <c r="E8824"/>
      <c r="F8824"/>
      <c r="N8824" s="44"/>
    </row>
    <row r="8825" spans="1:14" x14ac:dyDescent="0.3">
      <c r="A8825" s="42"/>
      <c r="C8825" s="52"/>
      <c r="D8825"/>
      <c r="E8825"/>
      <c r="F8825"/>
      <c r="N8825" s="44"/>
    </row>
    <row r="8826" spans="1:14" x14ac:dyDescent="0.3">
      <c r="A8826" s="42"/>
      <c r="C8826" s="52"/>
      <c r="D8826"/>
      <c r="E8826"/>
      <c r="F8826"/>
      <c r="N8826" s="44"/>
    </row>
    <row r="8827" spans="1:14" x14ac:dyDescent="0.3">
      <c r="A8827" s="42"/>
      <c r="C8827" s="52"/>
      <c r="D8827"/>
      <c r="E8827"/>
      <c r="F8827"/>
      <c r="N8827" s="44"/>
    </row>
    <row r="8828" spans="1:14" x14ac:dyDescent="0.3">
      <c r="A8828" s="42"/>
      <c r="C8828" s="52"/>
      <c r="D8828"/>
      <c r="E8828"/>
      <c r="F8828"/>
      <c r="N8828" s="44"/>
    </row>
    <row r="8829" spans="1:14" x14ac:dyDescent="0.3">
      <c r="A8829" s="42"/>
      <c r="C8829" s="52"/>
      <c r="D8829"/>
      <c r="E8829"/>
      <c r="F8829"/>
      <c r="N8829" s="44"/>
    </row>
    <row r="8830" spans="1:14" x14ac:dyDescent="0.3">
      <c r="A8830" s="42"/>
      <c r="C8830" s="52"/>
      <c r="D8830"/>
      <c r="E8830"/>
      <c r="F8830"/>
      <c r="N8830" s="44"/>
    </row>
    <row r="8831" spans="1:14" x14ac:dyDescent="0.3">
      <c r="A8831" s="42"/>
      <c r="C8831" s="52"/>
      <c r="D8831"/>
      <c r="E8831"/>
      <c r="F8831"/>
      <c r="N8831" s="44"/>
    </row>
    <row r="8832" spans="1:14" x14ac:dyDescent="0.3">
      <c r="A8832" s="42"/>
      <c r="C8832" s="52"/>
      <c r="D8832"/>
      <c r="E8832"/>
      <c r="F8832"/>
      <c r="N8832" s="44"/>
    </row>
    <row r="8833" spans="1:14" x14ac:dyDescent="0.3">
      <c r="A8833" s="42"/>
      <c r="C8833" s="52"/>
      <c r="D8833"/>
      <c r="E8833"/>
      <c r="F8833"/>
      <c r="N8833" s="44"/>
    </row>
    <row r="8834" spans="1:14" x14ac:dyDescent="0.3">
      <c r="A8834" s="42"/>
      <c r="C8834" s="52"/>
      <c r="D8834"/>
      <c r="E8834"/>
      <c r="F8834"/>
      <c r="N8834" s="44"/>
    </row>
    <row r="8835" spans="1:14" x14ac:dyDescent="0.3">
      <c r="A8835" s="42"/>
      <c r="C8835" s="52"/>
      <c r="D8835"/>
      <c r="E8835"/>
      <c r="F8835"/>
      <c r="N8835" s="44"/>
    </row>
    <row r="8836" spans="1:14" x14ac:dyDescent="0.3">
      <c r="A8836" s="42"/>
      <c r="C8836" s="52"/>
      <c r="D8836"/>
      <c r="E8836"/>
      <c r="F8836"/>
      <c r="N8836" s="44"/>
    </row>
    <row r="8837" spans="1:14" x14ac:dyDescent="0.3">
      <c r="A8837" s="42"/>
      <c r="C8837" s="52"/>
      <c r="D8837"/>
      <c r="E8837"/>
      <c r="F8837"/>
      <c r="N8837" s="44"/>
    </row>
    <row r="8838" spans="1:14" x14ac:dyDescent="0.3">
      <c r="A8838" s="42"/>
      <c r="C8838" s="52"/>
      <c r="D8838"/>
      <c r="E8838"/>
      <c r="F8838"/>
      <c r="N8838" s="44"/>
    </row>
    <row r="8839" spans="1:14" x14ac:dyDescent="0.3">
      <c r="A8839" s="42"/>
      <c r="C8839" s="52"/>
      <c r="D8839"/>
      <c r="E8839"/>
      <c r="F8839"/>
      <c r="N8839" s="44"/>
    </row>
    <row r="8840" spans="1:14" x14ac:dyDescent="0.3">
      <c r="A8840" s="42"/>
      <c r="C8840" s="52"/>
      <c r="D8840"/>
      <c r="E8840"/>
      <c r="F8840"/>
      <c r="N8840" s="44"/>
    </row>
    <row r="8841" spans="1:14" x14ac:dyDescent="0.3">
      <c r="A8841" s="42"/>
      <c r="C8841" s="52"/>
      <c r="D8841"/>
      <c r="E8841"/>
      <c r="F8841"/>
      <c r="N8841" s="44"/>
    </row>
    <row r="8842" spans="1:14" x14ac:dyDescent="0.3">
      <c r="A8842" s="42"/>
      <c r="C8842" s="52"/>
      <c r="D8842"/>
      <c r="E8842"/>
      <c r="F8842"/>
      <c r="N8842" s="44"/>
    </row>
    <row r="8843" spans="1:14" x14ac:dyDescent="0.3">
      <c r="A8843" s="42"/>
      <c r="C8843" s="52"/>
      <c r="D8843"/>
      <c r="E8843"/>
      <c r="F8843"/>
      <c r="N8843" s="44"/>
    </row>
    <row r="8844" spans="1:14" x14ac:dyDescent="0.3">
      <c r="A8844" s="42"/>
      <c r="C8844" s="52"/>
      <c r="D8844"/>
      <c r="E8844"/>
      <c r="F8844"/>
      <c r="N8844" s="44"/>
    </row>
    <row r="8845" spans="1:14" x14ac:dyDescent="0.3">
      <c r="A8845" s="42"/>
      <c r="C8845" s="52"/>
      <c r="D8845"/>
      <c r="E8845"/>
      <c r="F8845"/>
      <c r="N8845" s="44"/>
    </row>
    <row r="8846" spans="1:14" x14ac:dyDescent="0.3">
      <c r="A8846" s="42"/>
      <c r="C8846" s="52"/>
      <c r="D8846"/>
      <c r="E8846"/>
      <c r="F8846"/>
      <c r="N8846" s="44"/>
    </row>
    <row r="8847" spans="1:14" x14ac:dyDescent="0.3">
      <c r="A8847" s="42"/>
      <c r="C8847" s="52"/>
      <c r="D8847"/>
      <c r="E8847"/>
      <c r="F8847"/>
      <c r="N8847" s="44"/>
    </row>
    <row r="8848" spans="1:14" x14ac:dyDescent="0.3">
      <c r="A8848" s="42"/>
      <c r="C8848" s="52"/>
      <c r="D8848"/>
      <c r="E8848"/>
      <c r="F8848"/>
      <c r="N8848" s="44"/>
    </row>
    <row r="8849" spans="1:14" x14ac:dyDescent="0.3">
      <c r="A8849" s="42"/>
      <c r="C8849" s="52"/>
      <c r="D8849"/>
      <c r="E8849"/>
      <c r="F8849"/>
      <c r="N8849" s="44"/>
    </row>
    <row r="8850" spans="1:14" x14ac:dyDescent="0.3">
      <c r="A8850" s="42"/>
      <c r="C8850" s="52"/>
      <c r="D8850"/>
      <c r="E8850"/>
      <c r="F8850"/>
      <c r="M8850" s="45"/>
      <c r="N8850" s="44"/>
    </row>
    <row r="8851" spans="1:14" x14ac:dyDescent="0.3">
      <c r="A8851" s="42"/>
      <c r="C8851" s="52"/>
      <c r="D8851"/>
      <c r="E8851"/>
      <c r="F8851"/>
      <c r="N8851" s="44"/>
    </row>
    <row r="8852" spans="1:14" x14ac:dyDescent="0.3">
      <c r="A8852" s="42"/>
      <c r="C8852" s="52"/>
      <c r="D8852"/>
      <c r="E8852"/>
      <c r="F8852"/>
      <c r="N8852" s="44"/>
    </row>
    <row r="8853" spans="1:14" x14ac:dyDescent="0.3">
      <c r="A8853" s="42"/>
      <c r="C8853" s="52"/>
      <c r="D8853"/>
      <c r="E8853"/>
      <c r="F8853"/>
      <c r="N8853" s="44"/>
    </row>
    <row r="8854" spans="1:14" x14ac:dyDescent="0.3">
      <c r="A8854" s="42"/>
      <c r="C8854" s="52"/>
      <c r="D8854"/>
      <c r="E8854"/>
      <c r="F8854"/>
      <c r="N8854" s="44"/>
    </row>
    <row r="8855" spans="1:14" x14ac:dyDescent="0.3">
      <c r="A8855" s="42"/>
      <c r="C8855" s="52"/>
      <c r="D8855"/>
      <c r="E8855"/>
      <c r="F8855"/>
      <c r="N8855" s="44"/>
    </row>
    <row r="8856" spans="1:14" x14ac:dyDescent="0.3">
      <c r="A8856" s="42"/>
      <c r="C8856" s="52"/>
      <c r="D8856"/>
      <c r="E8856"/>
      <c r="F8856"/>
      <c r="N8856" s="44"/>
    </row>
    <row r="8857" spans="1:14" x14ac:dyDescent="0.3">
      <c r="A8857" s="42"/>
      <c r="C8857" s="52"/>
      <c r="D8857"/>
      <c r="E8857"/>
      <c r="F8857"/>
      <c r="N8857" s="44"/>
    </row>
    <row r="8858" spans="1:14" x14ac:dyDescent="0.3">
      <c r="A8858" s="42"/>
      <c r="C8858" s="52"/>
      <c r="D8858"/>
      <c r="E8858"/>
      <c r="F8858"/>
      <c r="N8858" s="44"/>
    </row>
    <row r="8859" spans="1:14" x14ac:dyDescent="0.3">
      <c r="A8859" s="42"/>
      <c r="C8859" s="52"/>
      <c r="D8859"/>
      <c r="E8859"/>
      <c r="F8859"/>
      <c r="N8859" s="44"/>
    </row>
    <row r="8860" spans="1:14" x14ac:dyDescent="0.3">
      <c r="A8860" s="42"/>
      <c r="C8860" s="52"/>
      <c r="D8860"/>
      <c r="E8860"/>
      <c r="F8860"/>
      <c r="N8860" s="44"/>
    </row>
    <row r="8861" spans="1:14" x14ac:dyDescent="0.3">
      <c r="A8861" s="42"/>
      <c r="C8861" s="52"/>
      <c r="D8861"/>
      <c r="E8861"/>
      <c r="F8861"/>
      <c r="N8861" s="44"/>
    </row>
    <row r="8862" spans="1:14" x14ac:dyDescent="0.3">
      <c r="A8862" s="42"/>
      <c r="C8862" s="52"/>
      <c r="D8862"/>
      <c r="E8862"/>
      <c r="F8862"/>
      <c r="N8862" s="44"/>
    </row>
    <row r="8863" spans="1:14" x14ac:dyDescent="0.3">
      <c r="A8863" s="42"/>
      <c r="C8863" s="52"/>
      <c r="D8863"/>
      <c r="E8863"/>
      <c r="F8863"/>
      <c r="N8863" s="44"/>
    </row>
    <row r="8864" spans="1:14" x14ac:dyDescent="0.3">
      <c r="A8864" s="42"/>
      <c r="C8864" s="52"/>
      <c r="D8864"/>
      <c r="E8864"/>
      <c r="F8864"/>
      <c r="N8864" s="44"/>
    </row>
    <row r="8865" spans="1:14" x14ac:dyDescent="0.3">
      <c r="A8865" s="42"/>
      <c r="C8865" s="52"/>
      <c r="D8865"/>
      <c r="E8865"/>
      <c r="F8865"/>
      <c r="N8865" s="44"/>
    </row>
    <row r="8866" spans="1:14" x14ac:dyDescent="0.3">
      <c r="A8866" s="42"/>
      <c r="C8866" s="52"/>
      <c r="D8866"/>
      <c r="E8866"/>
      <c r="F8866"/>
      <c r="N8866" s="44"/>
    </row>
    <row r="8867" spans="1:14" x14ac:dyDescent="0.3">
      <c r="A8867" s="42"/>
      <c r="C8867" s="52"/>
      <c r="D8867"/>
      <c r="E8867"/>
      <c r="F8867"/>
      <c r="N8867" s="44"/>
    </row>
    <row r="8868" spans="1:14" x14ac:dyDescent="0.3">
      <c r="A8868" s="42"/>
      <c r="C8868" s="52"/>
      <c r="D8868"/>
      <c r="E8868"/>
      <c r="F8868"/>
      <c r="N8868" s="44"/>
    </row>
    <row r="8869" spans="1:14" x14ac:dyDescent="0.3">
      <c r="A8869" s="42"/>
      <c r="C8869" s="52"/>
      <c r="D8869"/>
      <c r="E8869"/>
      <c r="F8869"/>
      <c r="N8869" s="44"/>
    </row>
    <row r="8870" spans="1:14" x14ac:dyDescent="0.3">
      <c r="A8870" s="42"/>
      <c r="C8870" s="52"/>
      <c r="D8870"/>
      <c r="E8870"/>
      <c r="F8870"/>
      <c r="N8870" s="44"/>
    </row>
    <row r="8871" spans="1:14" x14ac:dyDescent="0.3">
      <c r="A8871" s="42"/>
      <c r="C8871" s="52"/>
      <c r="D8871"/>
      <c r="E8871"/>
      <c r="F8871"/>
      <c r="N8871" s="44"/>
    </row>
    <row r="8872" spans="1:14" x14ac:dyDescent="0.3">
      <c r="A8872" s="42"/>
      <c r="C8872" s="52"/>
      <c r="D8872"/>
      <c r="E8872"/>
      <c r="F8872"/>
      <c r="N8872" s="44"/>
    </row>
    <row r="8873" spans="1:14" x14ac:dyDescent="0.3">
      <c r="A8873" s="42"/>
      <c r="C8873" s="52"/>
      <c r="D8873"/>
      <c r="E8873"/>
      <c r="F8873"/>
      <c r="N8873" s="44"/>
    </row>
    <row r="8874" spans="1:14" x14ac:dyDescent="0.3">
      <c r="A8874" s="42"/>
      <c r="C8874" s="52"/>
      <c r="D8874"/>
      <c r="E8874"/>
      <c r="F8874"/>
      <c r="N8874" s="44"/>
    </row>
    <row r="8875" spans="1:14" x14ac:dyDescent="0.3">
      <c r="A8875" s="42"/>
      <c r="C8875" s="52"/>
      <c r="D8875"/>
      <c r="E8875"/>
      <c r="F8875"/>
      <c r="N8875" s="44"/>
    </row>
    <row r="8876" spans="1:14" x14ac:dyDescent="0.3">
      <c r="A8876" s="42"/>
      <c r="C8876" s="52"/>
      <c r="D8876"/>
      <c r="E8876"/>
      <c r="F8876"/>
      <c r="N8876" s="44"/>
    </row>
    <row r="8877" spans="1:14" x14ac:dyDescent="0.3">
      <c r="A8877" s="42"/>
      <c r="C8877" s="52"/>
      <c r="D8877"/>
      <c r="E8877"/>
      <c r="F8877"/>
      <c r="N8877" s="44"/>
    </row>
    <row r="8878" spans="1:14" x14ac:dyDescent="0.3">
      <c r="A8878" s="42"/>
      <c r="C8878" s="52"/>
      <c r="D8878"/>
      <c r="E8878"/>
      <c r="F8878"/>
      <c r="N8878" s="44"/>
    </row>
    <row r="8879" spans="1:14" x14ac:dyDescent="0.3">
      <c r="A8879" s="42"/>
      <c r="C8879" s="52"/>
      <c r="D8879"/>
      <c r="E8879"/>
      <c r="F8879"/>
      <c r="N8879" s="44"/>
    </row>
    <row r="8880" spans="1:14" x14ac:dyDescent="0.3">
      <c r="A8880" s="42"/>
      <c r="C8880" s="52"/>
      <c r="D8880"/>
      <c r="E8880"/>
      <c r="F8880"/>
      <c r="N8880" s="44"/>
    </row>
    <row r="8881" spans="1:14" x14ac:dyDescent="0.3">
      <c r="A8881" s="42"/>
      <c r="C8881" s="52"/>
      <c r="D8881"/>
      <c r="E8881"/>
      <c r="F8881"/>
      <c r="N8881" s="44"/>
    </row>
    <row r="8882" spans="1:14" x14ac:dyDescent="0.3">
      <c r="A8882" s="42"/>
      <c r="C8882" s="52"/>
      <c r="D8882"/>
      <c r="E8882"/>
      <c r="F8882"/>
      <c r="N8882" s="44"/>
    </row>
    <row r="8883" spans="1:14" x14ac:dyDescent="0.3">
      <c r="A8883" s="42"/>
      <c r="C8883" s="52"/>
      <c r="D8883"/>
      <c r="E8883"/>
      <c r="F8883"/>
      <c r="N8883" s="44"/>
    </row>
    <row r="8884" spans="1:14" x14ac:dyDescent="0.3">
      <c r="A8884" s="42"/>
      <c r="C8884" s="52"/>
      <c r="D8884"/>
      <c r="E8884"/>
      <c r="F8884"/>
      <c r="N8884" s="44"/>
    </row>
    <row r="8885" spans="1:14" x14ac:dyDescent="0.3">
      <c r="A8885" s="42"/>
      <c r="C8885" s="52"/>
      <c r="D8885"/>
      <c r="E8885"/>
      <c r="F8885"/>
      <c r="N8885" s="44"/>
    </row>
    <row r="8886" spans="1:14" x14ac:dyDescent="0.3">
      <c r="A8886" s="42"/>
      <c r="C8886" s="52"/>
      <c r="D8886"/>
      <c r="E8886"/>
      <c r="F8886"/>
      <c r="N8886" s="44"/>
    </row>
    <row r="8887" spans="1:14" x14ac:dyDescent="0.3">
      <c r="A8887" s="42"/>
      <c r="C8887" s="52"/>
      <c r="D8887"/>
      <c r="E8887"/>
      <c r="F8887"/>
      <c r="N8887" s="44"/>
    </row>
    <row r="8888" spans="1:14" x14ac:dyDescent="0.3">
      <c r="A8888" s="42"/>
      <c r="C8888" s="52"/>
      <c r="D8888"/>
      <c r="E8888"/>
      <c r="F8888"/>
      <c r="N8888" s="44"/>
    </row>
    <row r="8889" spans="1:14" x14ac:dyDescent="0.3">
      <c r="A8889" s="42"/>
      <c r="C8889" s="52"/>
      <c r="D8889"/>
      <c r="E8889"/>
      <c r="F8889"/>
      <c r="N8889" s="44"/>
    </row>
    <row r="8890" spans="1:14" x14ac:dyDescent="0.3">
      <c r="A8890" s="42"/>
      <c r="C8890" s="52"/>
      <c r="D8890"/>
      <c r="E8890"/>
      <c r="F8890"/>
      <c r="N8890" s="44"/>
    </row>
    <row r="8891" spans="1:14" x14ac:dyDescent="0.3">
      <c r="A8891" s="42"/>
      <c r="C8891" s="52"/>
      <c r="D8891"/>
      <c r="E8891"/>
      <c r="F8891"/>
      <c r="N8891" s="44"/>
    </row>
    <row r="8892" spans="1:14" x14ac:dyDescent="0.3">
      <c r="A8892" s="42"/>
      <c r="C8892" s="52"/>
      <c r="D8892"/>
      <c r="E8892"/>
      <c r="F8892"/>
      <c r="N8892" s="44"/>
    </row>
    <row r="8893" spans="1:14" x14ac:dyDescent="0.3">
      <c r="A8893" s="42"/>
      <c r="C8893" s="52"/>
      <c r="D8893"/>
      <c r="E8893"/>
      <c r="F8893"/>
      <c r="N8893" s="44"/>
    </row>
    <row r="8894" spans="1:14" x14ac:dyDescent="0.3">
      <c r="A8894" s="42"/>
      <c r="C8894" s="52"/>
      <c r="D8894"/>
      <c r="E8894"/>
      <c r="F8894"/>
      <c r="N8894" s="44"/>
    </row>
    <row r="8895" spans="1:14" x14ac:dyDescent="0.3">
      <c r="A8895" s="42"/>
      <c r="C8895" s="52"/>
      <c r="D8895"/>
      <c r="E8895"/>
      <c r="F8895"/>
      <c r="N8895" s="44"/>
    </row>
    <row r="8896" spans="1:14" x14ac:dyDescent="0.3">
      <c r="A8896" s="42"/>
      <c r="C8896" s="52"/>
      <c r="D8896"/>
      <c r="E8896"/>
      <c r="F8896"/>
      <c r="N8896" s="44"/>
    </row>
    <row r="8897" spans="1:14" x14ac:dyDescent="0.3">
      <c r="A8897" s="42"/>
      <c r="C8897" s="52"/>
      <c r="D8897"/>
      <c r="E8897"/>
      <c r="F8897"/>
      <c r="N8897" s="44"/>
    </row>
    <row r="8898" spans="1:14" x14ac:dyDescent="0.3">
      <c r="A8898" s="42"/>
      <c r="C8898" s="52"/>
      <c r="D8898"/>
      <c r="E8898"/>
      <c r="F8898"/>
      <c r="N8898" s="44"/>
    </row>
    <row r="8899" spans="1:14" x14ac:dyDescent="0.3">
      <c r="A8899" s="42"/>
      <c r="C8899" s="52"/>
      <c r="D8899"/>
      <c r="E8899"/>
      <c r="F8899"/>
      <c r="N8899" s="44"/>
    </row>
    <row r="8900" spans="1:14" x14ac:dyDescent="0.3">
      <c r="A8900" s="42"/>
      <c r="C8900" s="52"/>
      <c r="D8900"/>
      <c r="E8900"/>
      <c r="F8900"/>
      <c r="N8900" s="44"/>
    </row>
    <row r="8901" spans="1:14" x14ac:dyDescent="0.3">
      <c r="A8901" s="42"/>
      <c r="C8901" s="52"/>
      <c r="D8901"/>
      <c r="E8901"/>
      <c r="F8901"/>
      <c r="N8901" s="44"/>
    </row>
    <row r="8902" spans="1:14" x14ac:dyDescent="0.3">
      <c r="A8902" s="42"/>
      <c r="C8902" s="52"/>
      <c r="D8902"/>
      <c r="E8902"/>
      <c r="F8902"/>
      <c r="N8902" s="44"/>
    </row>
    <row r="8903" spans="1:14" x14ac:dyDescent="0.3">
      <c r="A8903" s="42"/>
      <c r="C8903" s="52"/>
      <c r="D8903"/>
      <c r="E8903"/>
      <c r="F8903"/>
      <c r="N8903" s="44"/>
    </row>
    <row r="8904" spans="1:14" x14ac:dyDescent="0.3">
      <c r="A8904" s="42"/>
      <c r="C8904" s="52"/>
      <c r="D8904"/>
      <c r="E8904"/>
      <c r="F8904"/>
      <c r="N8904" s="44"/>
    </row>
    <row r="8905" spans="1:14" x14ac:dyDescent="0.3">
      <c r="A8905" s="42"/>
      <c r="C8905" s="52"/>
      <c r="D8905"/>
      <c r="E8905"/>
      <c r="F8905"/>
      <c r="N8905" s="44"/>
    </row>
    <row r="8906" spans="1:14" x14ac:dyDescent="0.3">
      <c r="A8906" s="42"/>
      <c r="C8906" s="52"/>
      <c r="D8906"/>
      <c r="E8906"/>
      <c r="F8906"/>
      <c r="N8906" s="44"/>
    </row>
    <row r="8907" spans="1:14" x14ac:dyDescent="0.3">
      <c r="A8907" s="42"/>
      <c r="C8907" s="52"/>
      <c r="D8907"/>
      <c r="E8907"/>
      <c r="F8907"/>
      <c r="N8907" s="44"/>
    </row>
    <row r="8908" spans="1:14" x14ac:dyDescent="0.3">
      <c r="A8908" s="42"/>
      <c r="C8908" s="52"/>
      <c r="D8908"/>
      <c r="E8908"/>
      <c r="F8908"/>
      <c r="N8908" s="44"/>
    </row>
    <row r="8909" spans="1:14" x14ac:dyDescent="0.3">
      <c r="A8909" s="42"/>
      <c r="C8909" s="52"/>
      <c r="D8909"/>
      <c r="E8909"/>
      <c r="F8909"/>
      <c r="N8909" s="44"/>
    </row>
    <row r="8910" spans="1:14" x14ac:dyDescent="0.3">
      <c r="A8910" s="42"/>
      <c r="C8910" s="52"/>
      <c r="D8910"/>
      <c r="E8910"/>
      <c r="F8910"/>
      <c r="N8910" s="44"/>
    </row>
    <row r="8911" spans="1:14" x14ac:dyDescent="0.3">
      <c r="A8911" s="42"/>
      <c r="C8911" s="52"/>
      <c r="D8911"/>
      <c r="E8911"/>
      <c r="F8911"/>
      <c r="N8911" s="44"/>
    </row>
    <row r="8912" spans="1:14" x14ac:dyDescent="0.3">
      <c r="A8912" s="42"/>
      <c r="C8912" s="52"/>
      <c r="D8912"/>
      <c r="E8912"/>
      <c r="F8912"/>
      <c r="N8912" s="44"/>
    </row>
    <row r="8913" spans="1:14" x14ac:dyDescent="0.3">
      <c r="A8913" s="42"/>
      <c r="C8913" s="52"/>
      <c r="D8913"/>
      <c r="E8913"/>
      <c r="F8913"/>
      <c r="N8913" s="44"/>
    </row>
    <row r="8914" spans="1:14" x14ac:dyDescent="0.3">
      <c r="A8914" s="42"/>
      <c r="C8914" s="52"/>
      <c r="D8914"/>
      <c r="E8914"/>
      <c r="F8914"/>
      <c r="N8914" s="44"/>
    </row>
    <row r="8915" spans="1:14" x14ac:dyDescent="0.3">
      <c r="A8915" s="42"/>
      <c r="C8915" s="52"/>
      <c r="D8915"/>
      <c r="E8915"/>
      <c r="F8915"/>
      <c r="N8915" s="44"/>
    </row>
    <row r="8916" spans="1:14" x14ac:dyDescent="0.3">
      <c r="A8916" s="42"/>
      <c r="C8916" s="52"/>
      <c r="D8916"/>
      <c r="E8916"/>
      <c r="F8916"/>
      <c r="N8916" s="44"/>
    </row>
    <row r="8917" spans="1:14" x14ac:dyDescent="0.3">
      <c r="A8917" s="42"/>
      <c r="C8917" s="52"/>
      <c r="D8917"/>
      <c r="E8917"/>
      <c r="F8917"/>
      <c r="N8917" s="44"/>
    </row>
    <row r="8918" spans="1:14" x14ac:dyDescent="0.3">
      <c r="A8918" s="42"/>
      <c r="C8918" s="52"/>
      <c r="D8918"/>
      <c r="E8918"/>
      <c r="F8918"/>
      <c r="N8918" s="44"/>
    </row>
    <row r="8919" spans="1:14" x14ac:dyDescent="0.3">
      <c r="A8919" s="42"/>
      <c r="C8919" s="52"/>
      <c r="D8919"/>
      <c r="E8919"/>
      <c r="F8919"/>
      <c r="N8919" s="44"/>
    </row>
    <row r="8920" spans="1:14" x14ac:dyDescent="0.3">
      <c r="A8920" s="42"/>
      <c r="C8920" s="52"/>
      <c r="D8920"/>
      <c r="E8920"/>
      <c r="F8920"/>
      <c r="N8920" s="44"/>
    </row>
    <row r="8921" spans="1:14" x14ac:dyDescent="0.3">
      <c r="A8921" s="42"/>
      <c r="C8921" s="52"/>
      <c r="D8921"/>
      <c r="E8921"/>
      <c r="F8921"/>
      <c r="M8921" s="45"/>
      <c r="N8921" s="44"/>
    </row>
    <row r="8922" spans="1:14" x14ac:dyDescent="0.3">
      <c r="A8922" s="42"/>
      <c r="C8922" s="52"/>
      <c r="D8922"/>
      <c r="E8922"/>
      <c r="F8922"/>
      <c r="N8922" s="44"/>
    </row>
    <row r="8923" spans="1:14" x14ac:dyDescent="0.3">
      <c r="A8923" s="42"/>
      <c r="C8923" s="52"/>
      <c r="D8923"/>
      <c r="E8923"/>
      <c r="F8923"/>
      <c r="N8923" s="44"/>
    </row>
    <row r="8924" spans="1:14" x14ac:dyDescent="0.3">
      <c r="A8924" s="42"/>
      <c r="C8924" s="52"/>
      <c r="D8924"/>
      <c r="E8924"/>
      <c r="F8924"/>
      <c r="N8924" s="44"/>
    </row>
    <row r="8925" spans="1:14" x14ac:dyDescent="0.3">
      <c r="A8925" s="42"/>
      <c r="C8925" s="52"/>
      <c r="D8925"/>
      <c r="E8925"/>
      <c r="F8925"/>
      <c r="N8925" s="44"/>
    </row>
    <row r="8926" spans="1:14" x14ac:dyDescent="0.3">
      <c r="A8926" s="42"/>
      <c r="C8926" s="52"/>
      <c r="D8926"/>
      <c r="E8926"/>
      <c r="F8926"/>
      <c r="N8926" s="44"/>
    </row>
    <row r="8927" spans="1:14" x14ac:dyDescent="0.3">
      <c r="A8927" s="42"/>
      <c r="C8927" s="52"/>
      <c r="D8927"/>
      <c r="E8927"/>
      <c r="F8927"/>
      <c r="N8927" s="44"/>
    </row>
    <row r="8928" spans="1:14" x14ac:dyDescent="0.3">
      <c r="A8928" s="42"/>
      <c r="C8928" s="52"/>
      <c r="D8928"/>
      <c r="E8928"/>
      <c r="F8928"/>
      <c r="N8928" s="44"/>
    </row>
    <row r="8929" spans="1:14" x14ac:dyDescent="0.3">
      <c r="A8929" s="42"/>
      <c r="C8929" s="52"/>
      <c r="D8929"/>
      <c r="E8929"/>
      <c r="F8929"/>
      <c r="N8929" s="44"/>
    </row>
    <row r="8930" spans="1:14" x14ac:dyDescent="0.3">
      <c r="A8930" s="42"/>
      <c r="C8930" s="52"/>
      <c r="D8930"/>
      <c r="E8930"/>
      <c r="F8930"/>
      <c r="N8930" s="44"/>
    </row>
    <row r="8931" spans="1:14" x14ac:dyDescent="0.3">
      <c r="A8931" s="42"/>
      <c r="C8931" s="52"/>
      <c r="D8931"/>
      <c r="E8931"/>
      <c r="F8931"/>
      <c r="N8931" s="44"/>
    </row>
    <row r="8932" spans="1:14" x14ac:dyDescent="0.3">
      <c r="A8932" s="42"/>
      <c r="C8932" s="52"/>
      <c r="D8932"/>
      <c r="E8932"/>
      <c r="F8932"/>
      <c r="N8932" s="44"/>
    </row>
    <row r="8933" spans="1:14" x14ac:dyDescent="0.3">
      <c r="A8933" s="42"/>
      <c r="C8933" s="52"/>
      <c r="D8933"/>
      <c r="E8933"/>
      <c r="F8933"/>
      <c r="M8933" s="45"/>
      <c r="N8933" s="44"/>
    </row>
    <row r="8934" spans="1:14" x14ac:dyDescent="0.3">
      <c r="A8934" s="42"/>
      <c r="C8934" s="52"/>
      <c r="D8934"/>
      <c r="E8934"/>
      <c r="F8934"/>
      <c r="N8934" s="44"/>
    </row>
    <row r="8935" spans="1:14" x14ac:dyDescent="0.3">
      <c r="A8935" s="42"/>
      <c r="C8935" s="52"/>
      <c r="D8935"/>
      <c r="E8935"/>
      <c r="F8935"/>
      <c r="N8935" s="44"/>
    </row>
    <row r="8936" spans="1:14" x14ac:dyDescent="0.3">
      <c r="A8936" s="42"/>
      <c r="C8936" s="52"/>
      <c r="D8936"/>
      <c r="E8936"/>
      <c r="F8936"/>
      <c r="N8936" s="44"/>
    </row>
    <row r="8937" spans="1:14" x14ac:dyDescent="0.3">
      <c r="A8937" s="42"/>
      <c r="C8937" s="52"/>
      <c r="D8937"/>
      <c r="E8937"/>
      <c r="F8937"/>
      <c r="N8937" s="44"/>
    </row>
    <row r="8938" spans="1:14" x14ac:dyDescent="0.3">
      <c r="A8938" s="42"/>
      <c r="C8938" s="52"/>
      <c r="D8938"/>
      <c r="E8938"/>
      <c r="F8938"/>
      <c r="N8938" s="44"/>
    </row>
    <row r="8939" spans="1:14" x14ac:dyDescent="0.3">
      <c r="A8939" s="42"/>
      <c r="C8939" s="52"/>
      <c r="D8939"/>
      <c r="E8939"/>
      <c r="F8939"/>
      <c r="N8939" s="44"/>
    </row>
    <row r="8940" spans="1:14" x14ac:dyDescent="0.3">
      <c r="A8940" s="42"/>
      <c r="C8940" s="52"/>
      <c r="D8940"/>
      <c r="E8940"/>
      <c r="F8940"/>
      <c r="N8940" s="44"/>
    </row>
    <row r="8941" spans="1:14" x14ac:dyDescent="0.3">
      <c r="A8941" s="42"/>
      <c r="C8941" s="52"/>
      <c r="D8941"/>
      <c r="E8941"/>
      <c r="F8941"/>
      <c r="N8941" s="44"/>
    </row>
    <row r="8942" spans="1:14" x14ac:dyDescent="0.3">
      <c r="A8942" s="42"/>
      <c r="C8942" s="52"/>
      <c r="D8942"/>
      <c r="E8942"/>
      <c r="F8942"/>
      <c r="N8942" s="44"/>
    </row>
    <row r="8943" spans="1:14" x14ac:dyDescent="0.3">
      <c r="A8943" s="42"/>
      <c r="C8943" s="52"/>
      <c r="D8943"/>
      <c r="E8943"/>
      <c r="F8943"/>
      <c r="N8943" s="44"/>
    </row>
    <row r="8944" spans="1:14" x14ac:dyDescent="0.3">
      <c r="A8944" s="42"/>
      <c r="C8944" s="52"/>
      <c r="D8944"/>
      <c r="E8944"/>
      <c r="F8944"/>
      <c r="N8944" s="44"/>
    </row>
    <row r="8945" spans="1:14" x14ac:dyDescent="0.3">
      <c r="A8945" s="42"/>
      <c r="C8945" s="52"/>
      <c r="D8945"/>
      <c r="E8945"/>
      <c r="F8945"/>
      <c r="N8945" s="44"/>
    </row>
    <row r="8946" spans="1:14" x14ac:dyDescent="0.3">
      <c r="A8946" s="42"/>
      <c r="C8946" s="52"/>
      <c r="D8946"/>
      <c r="E8946"/>
      <c r="F8946"/>
      <c r="N8946" s="44"/>
    </row>
    <row r="8947" spans="1:14" x14ac:dyDescent="0.3">
      <c r="A8947" s="42"/>
      <c r="C8947" s="52"/>
      <c r="D8947"/>
      <c r="E8947"/>
      <c r="F8947"/>
      <c r="L8947" s="45"/>
      <c r="N8947" s="44"/>
    </row>
    <row r="8948" spans="1:14" x14ac:dyDescent="0.3">
      <c r="A8948" s="42"/>
      <c r="C8948" s="52"/>
      <c r="D8948"/>
      <c r="E8948"/>
      <c r="F8948"/>
      <c r="L8948" s="45"/>
      <c r="N8948" s="44"/>
    </row>
    <row r="8949" spans="1:14" x14ac:dyDescent="0.3">
      <c r="A8949" s="42"/>
      <c r="C8949" s="52"/>
      <c r="D8949"/>
      <c r="E8949"/>
      <c r="F8949"/>
      <c r="L8949" s="45"/>
      <c r="N8949" s="44"/>
    </row>
    <row r="8950" spans="1:14" x14ac:dyDescent="0.3">
      <c r="A8950" s="42"/>
      <c r="C8950" s="52"/>
      <c r="D8950"/>
      <c r="E8950"/>
      <c r="F8950"/>
      <c r="N8950" s="44"/>
    </row>
    <row r="8951" spans="1:14" x14ac:dyDescent="0.3">
      <c r="A8951" s="42"/>
      <c r="C8951" s="52"/>
      <c r="D8951"/>
      <c r="E8951"/>
      <c r="F8951"/>
      <c r="L8951" s="45"/>
      <c r="N8951" s="44"/>
    </row>
    <row r="8952" spans="1:14" x14ac:dyDescent="0.3">
      <c r="A8952" s="42"/>
      <c r="C8952" s="52"/>
      <c r="D8952"/>
      <c r="E8952"/>
      <c r="F8952"/>
      <c r="N8952" s="44"/>
    </row>
    <row r="8953" spans="1:14" x14ac:dyDescent="0.3">
      <c r="A8953" s="42"/>
      <c r="C8953" s="52"/>
      <c r="D8953"/>
      <c r="E8953"/>
      <c r="F8953"/>
      <c r="N8953" s="44"/>
    </row>
    <row r="8954" spans="1:14" x14ac:dyDescent="0.3">
      <c r="A8954" s="42"/>
      <c r="C8954" s="52"/>
      <c r="D8954"/>
      <c r="E8954"/>
      <c r="F8954"/>
      <c r="N8954" s="44"/>
    </row>
    <row r="8955" spans="1:14" x14ac:dyDescent="0.3">
      <c r="A8955" s="42"/>
      <c r="C8955" s="52"/>
      <c r="D8955"/>
      <c r="E8955"/>
      <c r="F8955"/>
      <c r="N8955" s="44"/>
    </row>
    <row r="8956" spans="1:14" x14ac:dyDescent="0.3">
      <c r="A8956" s="42"/>
      <c r="C8956" s="52"/>
      <c r="D8956"/>
      <c r="E8956"/>
      <c r="F8956"/>
      <c r="N8956" s="44"/>
    </row>
    <row r="8957" spans="1:14" x14ac:dyDescent="0.3">
      <c r="A8957" s="42"/>
      <c r="C8957" s="52"/>
      <c r="D8957"/>
      <c r="E8957"/>
      <c r="F8957"/>
      <c r="L8957" s="45"/>
      <c r="N8957" s="44"/>
    </row>
    <row r="8958" spans="1:14" x14ac:dyDescent="0.3">
      <c r="A8958" s="42"/>
      <c r="C8958" s="52"/>
      <c r="D8958"/>
      <c r="E8958"/>
      <c r="F8958"/>
      <c r="L8958" s="45"/>
      <c r="N8958" s="44"/>
    </row>
    <row r="8959" spans="1:14" x14ac:dyDescent="0.3">
      <c r="A8959" s="42"/>
      <c r="C8959" s="52"/>
      <c r="D8959"/>
      <c r="E8959"/>
      <c r="F8959"/>
      <c r="N8959" s="44"/>
    </row>
    <row r="8960" spans="1:14" x14ac:dyDescent="0.3">
      <c r="A8960" s="42"/>
      <c r="C8960" s="52"/>
      <c r="D8960"/>
      <c r="E8960"/>
      <c r="F8960"/>
      <c r="N8960" s="44"/>
    </row>
    <row r="8961" spans="1:14" x14ac:dyDescent="0.3">
      <c r="A8961" s="42"/>
      <c r="C8961" s="52"/>
      <c r="D8961"/>
      <c r="E8961"/>
      <c r="F8961"/>
      <c r="N8961" s="44"/>
    </row>
    <row r="8962" spans="1:14" x14ac:dyDescent="0.3">
      <c r="A8962" s="42"/>
      <c r="C8962" s="52"/>
      <c r="D8962"/>
      <c r="E8962"/>
      <c r="F8962"/>
      <c r="N8962" s="44"/>
    </row>
    <row r="8963" spans="1:14" x14ac:dyDescent="0.3">
      <c r="A8963" s="42"/>
      <c r="C8963" s="52"/>
      <c r="D8963"/>
      <c r="E8963"/>
      <c r="F8963"/>
      <c r="L8963" s="45"/>
      <c r="N8963" s="44"/>
    </row>
    <row r="8964" spans="1:14" x14ac:dyDescent="0.3">
      <c r="A8964" s="42"/>
      <c r="C8964" s="52"/>
      <c r="D8964"/>
      <c r="E8964"/>
      <c r="F8964"/>
      <c r="L8964" s="45"/>
      <c r="N8964" s="44"/>
    </row>
    <row r="8965" spans="1:14" x14ac:dyDescent="0.3">
      <c r="A8965" s="42"/>
      <c r="C8965" s="52"/>
      <c r="D8965"/>
      <c r="E8965"/>
      <c r="F8965"/>
      <c r="L8965" s="45"/>
      <c r="N8965" s="44"/>
    </row>
    <row r="8966" spans="1:14" x14ac:dyDescent="0.3">
      <c r="A8966" s="42"/>
      <c r="C8966" s="52"/>
      <c r="D8966"/>
      <c r="E8966"/>
      <c r="F8966"/>
      <c r="L8966" s="45"/>
      <c r="N8966" s="44"/>
    </row>
    <row r="8967" spans="1:14" x14ac:dyDescent="0.3">
      <c r="A8967" s="42"/>
      <c r="C8967" s="52"/>
      <c r="D8967"/>
      <c r="E8967"/>
      <c r="F8967"/>
      <c r="N8967" s="44"/>
    </row>
    <row r="8968" spans="1:14" x14ac:dyDescent="0.3">
      <c r="A8968" s="42"/>
      <c r="C8968" s="52"/>
      <c r="D8968"/>
      <c r="E8968"/>
      <c r="F8968"/>
      <c r="N8968" s="44"/>
    </row>
    <row r="8969" spans="1:14" x14ac:dyDescent="0.3">
      <c r="A8969" s="42"/>
      <c r="C8969" s="52"/>
      <c r="D8969"/>
      <c r="E8969"/>
      <c r="F8969"/>
      <c r="N8969" s="44"/>
    </row>
    <row r="8970" spans="1:14" x14ac:dyDescent="0.3">
      <c r="A8970" s="42"/>
      <c r="C8970" s="52"/>
      <c r="D8970"/>
      <c r="E8970"/>
      <c r="F8970"/>
      <c r="N8970" s="44"/>
    </row>
    <row r="8971" spans="1:14" x14ac:dyDescent="0.3">
      <c r="A8971" s="42"/>
      <c r="C8971" s="52"/>
      <c r="D8971"/>
      <c r="E8971"/>
      <c r="F8971"/>
      <c r="N8971" s="44"/>
    </row>
    <row r="8972" spans="1:14" x14ac:dyDescent="0.3">
      <c r="A8972" s="42"/>
      <c r="C8972" s="52"/>
      <c r="D8972"/>
      <c r="E8972"/>
      <c r="F8972"/>
      <c r="N8972" s="44"/>
    </row>
    <row r="8973" spans="1:14" x14ac:dyDescent="0.3">
      <c r="A8973" s="42"/>
      <c r="C8973" s="52"/>
      <c r="D8973"/>
      <c r="E8973"/>
      <c r="F8973"/>
      <c r="L8973" s="45"/>
      <c r="N8973" s="44"/>
    </row>
    <row r="8974" spans="1:14" x14ac:dyDescent="0.3">
      <c r="A8974" s="42"/>
      <c r="C8974" s="52"/>
      <c r="D8974"/>
      <c r="E8974"/>
      <c r="F8974"/>
      <c r="N8974" s="44"/>
    </row>
    <row r="8975" spans="1:14" x14ac:dyDescent="0.3">
      <c r="A8975" s="42"/>
      <c r="C8975" s="52"/>
      <c r="D8975"/>
      <c r="E8975"/>
      <c r="F8975"/>
      <c r="N8975" s="44"/>
    </row>
    <row r="8976" spans="1:14" x14ac:dyDescent="0.3">
      <c r="A8976" s="42"/>
      <c r="C8976" s="52"/>
      <c r="D8976"/>
      <c r="E8976"/>
      <c r="F8976"/>
      <c r="N8976" s="44"/>
    </row>
    <row r="8977" spans="1:14" x14ac:dyDescent="0.3">
      <c r="A8977" s="42"/>
      <c r="C8977" s="52"/>
      <c r="D8977"/>
      <c r="E8977"/>
      <c r="F8977"/>
      <c r="N8977" s="44"/>
    </row>
    <row r="8978" spans="1:14" x14ac:dyDescent="0.3">
      <c r="A8978" s="42"/>
      <c r="C8978" s="52"/>
      <c r="D8978"/>
      <c r="E8978"/>
      <c r="F8978"/>
      <c r="N8978" s="44"/>
    </row>
    <row r="8979" spans="1:14" x14ac:dyDescent="0.3">
      <c r="A8979" s="42"/>
      <c r="C8979" s="52"/>
      <c r="D8979"/>
      <c r="E8979"/>
      <c r="F8979"/>
      <c r="N8979" s="44"/>
    </row>
    <row r="8980" spans="1:14" x14ac:dyDescent="0.3">
      <c r="A8980" s="42"/>
      <c r="C8980" s="52"/>
      <c r="D8980"/>
      <c r="E8980"/>
      <c r="F8980"/>
      <c r="N8980" s="44"/>
    </row>
    <row r="8981" spans="1:14" x14ac:dyDescent="0.3">
      <c r="A8981" s="42"/>
      <c r="C8981" s="52"/>
      <c r="D8981"/>
      <c r="E8981"/>
      <c r="F8981"/>
      <c r="N8981" s="44"/>
    </row>
    <row r="8982" spans="1:14" x14ac:dyDescent="0.3">
      <c r="A8982" s="42"/>
      <c r="C8982" s="52"/>
      <c r="D8982"/>
      <c r="E8982"/>
      <c r="F8982"/>
      <c r="N8982" s="44"/>
    </row>
    <row r="8983" spans="1:14" x14ac:dyDescent="0.3">
      <c r="A8983" s="42"/>
      <c r="C8983" s="52"/>
      <c r="D8983"/>
      <c r="E8983"/>
      <c r="F8983"/>
      <c r="N8983" s="44"/>
    </row>
    <row r="8984" spans="1:14" x14ac:dyDescent="0.3">
      <c r="A8984" s="42"/>
      <c r="C8984" s="52"/>
      <c r="D8984"/>
      <c r="E8984"/>
      <c r="F8984"/>
      <c r="L8984" s="45"/>
      <c r="N8984" s="44"/>
    </row>
    <row r="8985" spans="1:14" x14ac:dyDescent="0.3">
      <c r="A8985" s="42"/>
      <c r="C8985" s="52"/>
      <c r="D8985"/>
      <c r="E8985"/>
      <c r="F8985"/>
      <c r="N8985" s="44"/>
    </row>
    <row r="8986" spans="1:14" x14ac:dyDescent="0.3">
      <c r="A8986" s="42"/>
      <c r="C8986" s="52"/>
      <c r="D8986"/>
      <c r="E8986"/>
      <c r="F8986"/>
      <c r="N8986" s="44"/>
    </row>
    <row r="8987" spans="1:14" x14ac:dyDescent="0.3">
      <c r="A8987" s="42"/>
      <c r="C8987" s="52"/>
      <c r="D8987"/>
      <c r="E8987"/>
      <c r="F8987"/>
      <c r="N8987" s="44"/>
    </row>
    <row r="8988" spans="1:14" x14ac:dyDescent="0.3">
      <c r="A8988" s="42"/>
      <c r="C8988" s="52"/>
      <c r="D8988"/>
      <c r="E8988"/>
      <c r="F8988"/>
      <c r="N8988" s="44"/>
    </row>
    <row r="8989" spans="1:14" x14ac:dyDescent="0.3">
      <c r="A8989" s="42"/>
      <c r="C8989" s="52"/>
      <c r="D8989"/>
      <c r="E8989"/>
      <c r="F8989"/>
      <c r="N8989" s="44"/>
    </row>
    <row r="8990" spans="1:14" x14ac:dyDescent="0.3">
      <c r="A8990" s="42"/>
      <c r="C8990" s="52"/>
      <c r="D8990"/>
      <c r="E8990"/>
      <c r="F8990"/>
      <c r="N8990" s="44"/>
    </row>
    <row r="8991" spans="1:14" x14ac:dyDescent="0.3">
      <c r="A8991" s="42"/>
      <c r="C8991" s="52"/>
      <c r="D8991"/>
      <c r="E8991"/>
      <c r="F8991"/>
      <c r="N8991" s="44"/>
    </row>
    <row r="8992" spans="1:14" x14ac:dyDescent="0.3">
      <c r="A8992" s="42"/>
      <c r="C8992" s="52"/>
      <c r="D8992"/>
      <c r="E8992"/>
      <c r="F8992"/>
      <c r="N8992" s="44"/>
    </row>
    <row r="8993" spans="1:14" x14ac:dyDescent="0.3">
      <c r="A8993" s="42"/>
      <c r="C8993" s="52"/>
      <c r="D8993"/>
      <c r="E8993"/>
      <c r="F8993"/>
      <c r="N8993" s="44"/>
    </row>
    <row r="8994" spans="1:14" x14ac:dyDescent="0.3">
      <c r="A8994" s="42"/>
      <c r="C8994" s="52"/>
      <c r="D8994"/>
      <c r="E8994"/>
      <c r="F8994"/>
      <c r="N8994" s="44"/>
    </row>
    <row r="8995" spans="1:14" x14ac:dyDescent="0.3">
      <c r="A8995" s="42"/>
      <c r="C8995" s="52"/>
      <c r="D8995"/>
      <c r="E8995"/>
      <c r="F8995"/>
      <c r="L8995" s="45"/>
      <c r="N8995" s="44"/>
    </row>
    <row r="8996" spans="1:14" x14ac:dyDescent="0.3">
      <c r="A8996" s="42"/>
      <c r="C8996" s="52"/>
      <c r="D8996"/>
      <c r="E8996"/>
      <c r="F8996"/>
      <c r="N8996" s="44"/>
    </row>
    <row r="8997" spans="1:14" x14ac:dyDescent="0.3">
      <c r="A8997" s="42"/>
      <c r="C8997" s="52"/>
      <c r="D8997"/>
      <c r="E8997"/>
      <c r="F8997"/>
      <c r="L8997" s="45"/>
      <c r="N8997" s="44"/>
    </row>
    <row r="8998" spans="1:14" x14ac:dyDescent="0.3">
      <c r="A8998" s="42"/>
      <c r="C8998" s="52"/>
      <c r="D8998"/>
      <c r="E8998"/>
      <c r="F8998"/>
      <c r="N8998" s="44"/>
    </row>
    <row r="8999" spans="1:14" x14ac:dyDescent="0.3">
      <c r="A8999" s="42"/>
      <c r="C8999" s="52"/>
      <c r="D8999"/>
      <c r="E8999"/>
      <c r="F8999"/>
      <c r="N8999" s="44"/>
    </row>
    <row r="9000" spans="1:14" x14ac:dyDescent="0.3">
      <c r="A9000" s="42"/>
      <c r="C9000" s="52"/>
      <c r="D9000"/>
      <c r="E9000"/>
      <c r="F9000"/>
      <c r="N9000" s="44"/>
    </row>
    <row r="9001" spans="1:14" x14ac:dyDescent="0.3">
      <c r="A9001" s="42"/>
      <c r="C9001" s="52"/>
      <c r="D9001"/>
      <c r="E9001"/>
      <c r="F9001"/>
      <c r="N9001" s="44"/>
    </row>
    <row r="9002" spans="1:14" x14ac:dyDescent="0.3">
      <c r="A9002" s="42"/>
      <c r="C9002" s="52"/>
      <c r="D9002"/>
      <c r="E9002"/>
      <c r="F9002"/>
      <c r="N9002" s="44"/>
    </row>
    <row r="9003" spans="1:14" x14ac:dyDescent="0.3">
      <c r="A9003" s="42"/>
      <c r="C9003" s="52"/>
      <c r="D9003"/>
      <c r="E9003"/>
      <c r="F9003"/>
      <c r="N9003" s="44"/>
    </row>
    <row r="9004" spans="1:14" x14ac:dyDescent="0.3">
      <c r="A9004" s="42"/>
      <c r="C9004" s="52"/>
      <c r="D9004"/>
      <c r="E9004"/>
      <c r="F9004"/>
      <c r="N9004" s="44"/>
    </row>
    <row r="9005" spans="1:14" x14ac:dyDescent="0.3">
      <c r="A9005" s="42"/>
      <c r="C9005" s="52"/>
      <c r="D9005"/>
      <c r="E9005"/>
      <c r="F9005"/>
      <c r="L9005" s="45"/>
      <c r="N9005" s="44"/>
    </row>
    <row r="9006" spans="1:14" x14ac:dyDescent="0.3">
      <c r="A9006" s="42"/>
      <c r="C9006" s="52"/>
      <c r="D9006"/>
      <c r="E9006"/>
      <c r="F9006"/>
      <c r="N9006" s="44"/>
    </row>
    <row r="9007" spans="1:14" x14ac:dyDescent="0.3">
      <c r="A9007" s="42"/>
      <c r="C9007" s="52"/>
      <c r="D9007"/>
      <c r="E9007"/>
      <c r="F9007"/>
      <c r="N9007" s="44"/>
    </row>
    <row r="9008" spans="1:14" x14ac:dyDescent="0.3">
      <c r="A9008" s="42"/>
      <c r="C9008" s="52"/>
      <c r="D9008"/>
      <c r="E9008"/>
      <c r="F9008"/>
      <c r="N9008" s="44"/>
    </row>
    <row r="9009" spans="1:14" x14ac:dyDescent="0.3">
      <c r="A9009" s="42"/>
      <c r="C9009" s="52"/>
      <c r="D9009"/>
      <c r="E9009"/>
      <c r="F9009"/>
      <c r="N9009" s="44"/>
    </row>
    <row r="9010" spans="1:14" x14ac:dyDescent="0.3">
      <c r="A9010" s="42"/>
      <c r="C9010" s="52"/>
      <c r="D9010"/>
      <c r="E9010"/>
      <c r="F9010"/>
      <c r="N9010" s="44"/>
    </row>
    <row r="9011" spans="1:14" x14ac:dyDescent="0.3">
      <c r="A9011" s="42"/>
      <c r="C9011" s="52"/>
      <c r="D9011"/>
      <c r="E9011"/>
      <c r="F9011"/>
      <c r="N9011" s="44"/>
    </row>
    <row r="9012" spans="1:14" x14ac:dyDescent="0.3">
      <c r="A9012" s="42"/>
      <c r="C9012" s="52"/>
      <c r="D9012"/>
      <c r="E9012"/>
      <c r="F9012"/>
      <c r="N9012" s="44"/>
    </row>
    <row r="9013" spans="1:14" x14ac:dyDescent="0.3">
      <c r="A9013" s="42"/>
      <c r="C9013" s="52"/>
      <c r="D9013"/>
      <c r="E9013"/>
      <c r="F9013"/>
      <c r="N9013" s="44"/>
    </row>
    <row r="9014" spans="1:14" x14ac:dyDescent="0.3">
      <c r="A9014" s="42"/>
      <c r="C9014" s="52"/>
      <c r="D9014"/>
      <c r="E9014"/>
      <c r="F9014"/>
      <c r="N9014" s="44"/>
    </row>
    <row r="9015" spans="1:14" x14ac:dyDescent="0.3">
      <c r="A9015" s="42"/>
      <c r="C9015" s="52"/>
      <c r="D9015"/>
      <c r="E9015"/>
      <c r="F9015"/>
      <c r="N9015" s="44"/>
    </row>
    <row r="9016" spans="1:14" x14ac:dyDescent="0.3">
      <c r="A9016" s="42"/>
      <c r="C9016" s="52"/>
      <c r="D9016"/>
      <c r="E9016"/>
      <c r="F9016"/>
      <c r="N9016" s="44"/>
    </row>
    <row r="9017" spans="1:14" x14ac:dyDescent="0.3">
      <c r="A9017" s="42"/>
      <c r="C9017" s="52"/>
      <c r="D9017"/>
      <c r="E9017"/>
      <c r="F9017"/>
      <c r="N9017" s="44"/>
    </row>
    <row r="9018" spans="1:14" x14ac:dyDescent="0.3">
      <c r="A9018" s="42"/>
      <c r="C9018" s="52"/>
      <c r="D9018"/>
      <c r="E9018"/>
      <c r="F9018"/>
      <c r="N9018" s="44"/>
    </row>
    <row r="9019" spans="1:14" x14ac:dyDescent="0.3">
      <c r="A9019" s="42"/>
      <c r="C9019" s="52"/>
      <c r="D9019"/>
      <c r="E9019"/>
      <c r="F9019"/>
      <c r="N9019" s="44"/>
    </row>
    <row r="9020" spans="1:14" x14ac:dyDescent="0.3">
      <c r="A9020" s="42"/>
      <c r="C9020" s="52"/>
      <c r="D9020"/>
      <c r="E9020"/>
      <c r="F9020"/>
      <c r="N9020" s="44"/>
    </row>
    <row r="9021" spans="1:14" x14ac:dyDescent="0.3">
      <c r="A9021" s="42"/>
      <c r="C9021" s="52"/>
      <c r="D9021"/>
      <c r="E9021"/>
      <c r="F9021"/>
      <c r="N9021" s="44"/>
    </row>
    <row r="9022" spans="1:14" x14ac:dyDescent="0.3">
      <c r="A9022" s="42"/>
      <c r="C9022" s="52"/>
      <c r="D9022"/>
      <c r="E9022"/>
      <c r="F9022"/>
      <c r="N9022" s="44"/>
    </row>
    <row r="9023" spans="1:14" x14ac:dyDescent="0.3">
      <c r="A9023" s="42"/>
      <c r="C9023" s="52"/>
      <c r="D9023"/>
      <c r="E9023"/>
      <c r="F9023"/>
      <c r="L9023" s="45"/>
      <c r="N9023" s="44"/>
    </row>
    <row r="9024" spans="1:14" x14ac:dyDescent="0.3">
      <c r="A9024" s="42"/>
      <c r="C9024" s="52"/>
      <c r="D9024"/>
      <c r="E9024"/>
      <c r="F9024"/>
      <c r="N9024" s="44"/>
    </row>
    <row r="9025" spans="1:14" x14ac:dyDescent="0.3">
      <c r="A9025" s="42"/>
      <c r="C9025" s="52"/>
      <c r="D9025"/>
      <c r="E9025"/>
      <c r="F9025"/>
      <c r="N9025" s="44"/>
    </row>
    <row r="9026" spans="1:14" x14ac:dyDescent="0.3">
      <c r="A9026" s="42"/>
      <c r="C9026" s="52"/>
      <c r="D9026"/>
      <c r="E9026"/>
      <c r="F9026"/>
      <c r="N9026" s="44"/>
    </row>
    <row r="9027" spans="1:14" x14ac:dyDescent="0.3">
      <c r="A9027" s="42"/>
      <c r="C9027" s="52"/>
      <c r="D9027"/>
      <c r="E9027"/>
      <c r="F9027"/>
      <c r="N9027" s="44"/>
    </row>
    <row r="9028" spans="1:14" x14ac:dyDescent="0.3">
      <c r="A9028" s="42"/>
      <c r="C9028" s="52"/>
      <c r="D9028"/>
      <c r="E9028"/>
      <c r="F9028"/>
      <c r="N9028" s="44"/>
    </row>
    <row r="9029" spans="1:14" x14ac:dyDescent="0.3">
      <c r="A9029" s="42"/>
      <c r="C9029" s="52"/>
      <c r="D9029"/>
      <c r="E9029"/>
      <c r="F9029"/>
      <c r="N9029" s="44"/>
    </row>
    <row r="9030" spans="1:14" x14ac:dyDescent="0.3">
      <c r="A9030" s="42"/>
      <c r="C9030" s="52"/>
      <c r="D9030"/>
      <c r="E9030"/>
      <c r="F9030"/>
      <c r="L9030" s="45"/>
      <c r="N9030" s="44"/>
    </row>
    <row r="9031" spans="1:14" x14ac:dyDescent="0.3">
      <c r="A9031" s="42"/>
      <c r="C9031" s="52"/>
      <c r="D9031"/>
      <c r="E9031"/>
      <c r="F9031"/>
      <c r="L9031" s="45"/>
      <c r="N9031" s="44"/>
    </row>
    <row r="9032" spans="1:14" x14ac:dyDescent="0.3">
      <c r="A9032" s="42"/>
      <c r="C9032" s="52"/>
      <c r="D9032"/>
      <c r="E9032"/>
      <c r="F9032"/>
      <c r="N9032" s="44"/>
    </row>
    <row r="9033" spans="1:14" x14ac:dyDescent="0.3">
      <c r="A9033" s="42"/>
      <c r="C9033" s="52"/>
      <c r="D9033"/>
      <c r="E9033"/>
      <c r="F9033"/>
      <c r="L9033" s="45"/>
      <c r="N9033" s="44"/>
    </row>
    <row r="9034" spans="1:14" x14ac:dyDescent="0.3">
      <c r="A9034" s="42"/>
      <c r="C9034" s="52"/>
      <c r="D9034"/>
      <c r="E9034"/>
      <c r="F9034"/>
      <c r="N9034" s="44"/>
    </row>
    <row r="9035" spans="1:14" x14ac:dyDescent="0.3">
      <c r="A9035" s="42"/>
      <c r="C9035" s="52"/>
      <c r="D9035"/>
      <c r="E9035"/>
      <c r="F9035"/>
      <c r="N9035" s="44"/>
    </row>
    <row r="9036" spans="1:14" x14ac:dyDescent="0.3">
      <c r="A9036" s="42"/>
      <c r="C9036" s="52"/>
      <c r="D9036"/>
      <c r="E9036"/>
      <c r="F9036"/>
      <c r="L9036" s="45"/>
      <c r="N9036" s="44"/>
    </row>
    <row r="9037" spans="1:14" x14ac:dyDescent="0.3">
      <c r="A9037" s="42"/>
      <c r="C9037" s="52"/>
      <c r="D9037"/>
      <c r="E9037"/>
      <c r="F9037"/>
      <c r="L9037" s="45"/>
      <c r="N9037" s="44"/>
    </row>
    <row r="9038" spans="1:14" x14ac:dyDescent="0.3">
      <c r="A9038" s="42"/>
      <c r="C9038" s="52"/>
      <c r="D9038"/>
      <c r="E9038"/>
      <c r="F9038"/>
      <c r="N9038" s="44"/>
    </row>
    <row r="9039" spans="1:14" x14ac:dyDescent="0.3">
      <c r="A9039" s="42"/>
      <c r="C9039" s="52"/>
      <c r="D9039"/>
      <c r="E9039"/>
      <c r="F9039"/>
      <c r="N9039" s="44"/>
    </row>
    <row r="9040" spans="1:14" x14ac:dyDescent="0.3">
      <c r="A9040" s="42"/>
      <c r="C9040" s="52"/>
      <c r="D9040"/>
      <c r="E9040"/>
      <c r="F9040"/>
      <c r="N9040" s="44"/>
    </row>
    <row r="9041" spans="1:14" x14ac:dyDescent="0.3">
      <c r="A9041" s="42"/>
      <c r="C9041" s="52"/>
      <c r="D9041"/>
      <c r="E9041"/>
      <c r="F9041"/>
      <c r="N9041" s="44"/>
    </row>
    <row r="9042" spans="1:14" x14ac:dyDescent="0.3">
      <c r="A9042" s="42"/>
      <c r="C9042" s="52"/>
      <c r="D9042"/>
      <c r="E9042"/>
      <c r="F9042"/>
      <c r="N9042" s="44"/>
    </row>
    <row r="9043" spans="1:14" x14ac:dyDescent="0.3">
      <c r="A9043" s="42"/>
      <c r="C9043" s="52"/>
      <c r="D9043"/>
      <c r="E9043"/>
      <c r="F9043"/>
      <c r="N9043" s="44"/>
    </row>
    <row r="9044" spans="1:14" x14ac:dyDescent="0.3">
      <c r="A9044" s="42"/>
      <c r="C9044" s="52"/>
      <c r="D9044"/>
      <c r="E9044"/>
      <c r="F9044"/>
      <c r="N9044" s="44"/>
    </row>
    <row r="9045" spans="1:14" x14ac:dyDescent="0.3">
      <c r="A9045" s="42"/>
      <c r="C9045" s="52"/>
      <c r="D9045"/>
      <c r="E9045"/>
      <c r="F9045"/>
      <c r="N9045" s="44"/>
    </row>
    <row r="9046" spans="1:14" x14ac:dyDescent="0.3">
      <c r="A9046" s="42"/>
      <c r="C9046" s="52"/>
      <c r="D9046"/>
      <c r="E9046"/>
      <c r="F9046"/>
      <c r="N9046" s="44"/>
    </row>
    <row r="9047" spans="1:14" x14ac:dyDescent="0.3">
      <c r="A9047" s="42"/>
      <c r="C9047" s="52"/>
      <c r="D9047"/>
      <c r="E9047"/>
      <c r="F9047"/>
      <c r="N9047" s="44"/>
    </row>
    <row r="9048" spans="1:14" x14ac:dyDescent="0.3">
      <c r="A9048" s="42"/>
      <c r="C9048" s="52"/>
      <c r="D9048"/>
      <c r="E9048"/>
      <c r="F9048"/>
      <c r="N9048" s="44"/>
    </row>
    <row r="9049" spans="1:14" x14ac:dyDescent="0.3">
      <c r="A9049" s="42"/>
      <c r="C9049" s="52"/>
      <c r="D9049"/>
      <c r="E9049"/>
      <c r="F9049"/>
      <c r="N9049" s="44"/>
    </row>
    <row r="9050" spans="1:14" x14ac:dyDescent="0.3">
      <c r="A9050" s="42"/>
      <c r="C9050" s="52"/>
      <c r="D9050"/>
      <c r="E9050"/>
      <c r="F9050"/>
      <c r="L9050" s="45"/>
      <c r="N9050" s="44"/>
    </row>
    <row r="9051" spans="1:14" x14ac:dyDescent="0.3">
      <c r="A9051" s="42"/>
      <c r="C9051" s="52"/>
      <c r="D9051"/>
      <c r="E9051"/>
      <c r="F9051"/>
      <c r="N9051" s="44"/>
    </row>
    <row r="9052" spans="1:14" x14ac:dyDescent="0.3">
      <c r="A9052" s="42"/>
      <c r="C9052" s="52"/>
      <c r="D9052"/>
      <c r="E9052"/>
      <c r="F9052"/>
      <c r="L9052" s="45"/>
      <c r="N9052" s="44"/>
    </row>
    <row r="9053" spans="1:14" x14ac:dyDescent="0.3">
      <c r="A9053" s="42"/>
      <c r="C9053" s="52"/>
      <c r="D9053"/>
      <c r="E9053"/>
      <c r="F9053"/>
      <c r="N9053" s="44"/>
    </row>
    <row r="9054" spans="1:14" x14ac:dyDescent="0.3">
      <c r="A9054" s="42"/>
      <c r="C9054" s="52"/>
      <c r="D9054"/>
      <c r="E9054"/>
      <c r="F9054"/>
      <c r="N9054" s="44"/>
    </row>
    <row r="9055" spans="1:14" x14ac:dyDescent="0.3">
      <c r="A9055" s="42"/>
      <c r="C9055" s="52"/>
      <c r="D9055"/>
      <c r="E9055"/>
      <c r="F9055"/>
      <c r="N9055" s="44"/>
    </row>
    <row r="9056" spans="1:14" x14ac:dyDescent="0.3">
      <c r="A9056" s="42"/>
      <c r="C9056" s="52"/>
      <c r="D9056"/>
      <c r="E9056"/>
      <c r="F9056"/>
      <c r="N9056" s="44"/>
    </row>
    <row r="9057" spans="1:14" x14ac:dyDescent="0.3">
      <c r="A9057" s="42"/>
      <c r="C9057" s="52"/>
      <c r="D9057"/>
      <c r="E9057"/>
      <c r="F9057"/>
      <c r="N9057" s="44"/>
    </row>
    <row r="9058" spans="1:14" x14ac:dyDescent="0.3">
      <c r="A9058" s="42"/>
      <c r="C9058" s="52"/>
      <c r="D9058"/>
      <c r="E9058"/>
      <c r="F9058"/>
      <c r="N9058" s="44"/>
    </row>
    <row r="9059" spans="1:14" x14ac:dyDescent="0.3">
      <c r="A9059" s="42"/>
      <c r="C9059" s="52"/>
      <c r="D9059"/>
      <c r="E9059"/>
      <c r="F9059"/>
      <c r="N9059" s="44"/>
    </row>
    <row r="9060" spans="1:14" x14ac:dyDescent="0.3">
      <c r="A9060" s="42"/>
      <c r="C9060" s="52"/>
      <c r="D9060"/>
      <c r="E9060"/>
      <c r="F9060"/>
      <c r="N9060" s="44"/>
    </row>
    <row r="9061" spans="1:14" x14ac:dyDescent="0.3">
      <c r="A9061" s="42"/>
      <c r="C9061" s="52"/>
      <c r="D9061"/>
      <c r="E9061"/>
      <c r="F9061"/>
      <c r="N9061" s="44"/>
    </row>
    <row r="9062" spans="1:14" x14ac:dyDescent="0.3">
      <c r="A9062" s="42"/>
      <c r="C9062" s="52"/>
      <c r="D9062"/>
      <c r="E9062"/>
      <c r="F9062"/>
      <c r="N9062" s="44"/>
    </row>
    <row r="9063" spans="1:14" x14ac:dyDescent="0.3">
      <c r="A9063" s="42"/>
      <c r="C9063" s="52"/>
      <c r="D9063"/>
      <c r="E9063"/>
      <c r="F9063"/>
      <c r="N9063" s="44"/>
    </row>
    <row r="9064" spans="1:14" x14ac:dyDescent="0.3">
      <c r="A9064" s="42"/>
      <c r="C9064" s="52"/>
      <c r="D9064"/>
      <c r="E9064"/>
      <c r="F9064"/>
      <c r="N9064" s="44"/>
    </row>
    <row r="9065" spans="1:14" x14ac:dyDescent="0.3">
      <c r="A9065" s="42"/>
      <c r="C9065" s="52"/>
      <c r="D9065"/>
      <c r="E9065"/>
      <c r="F9065"/>
      <c r="N9065" s="44"/>
    </row>
    <row r="9066" spans="1:14" x14ac:dyDescent="0.3">
      <c r="A9066" s="42"/>
      <c r="C9066" s="52"/>
      <c r="D9066"/>
      <c r="E9066"/>
      <c r="F9066"/>
      <c r="L9066" s="45"/>
      <c r="N9066" s="44"/>
    </row>
    <row r="9067" spans="1:14" x14ac:dyDescent="0.3">
      <c r="A9067" s="42"/>
      <c r="C9067" s="52"/>
      <c r="D9067"/>
      <c r="E9067"/>
      <c r="F9067"/>
      <c r="N9067" s="44"/>
    </row>
    <row r="9068" spans="1:14" x14ac:dyDescent="0.3">
      <c r="A9068" s="42"/>
      <c r="C9068" s="52"/>
      <c r="D9068"/>
      <c r="E9068"/>
      <c r="F9068"/>
      <c r="N9068" s="44"/>
    </row>
    <row r="9069" spans="1:14" x14ac:dyDescent="0.3">
      <c r="A9069" s="42"/>
      <c r="C9069" s="52"/>
      <c r="D9069"/>
      <c r="E9069"/>
      <c r="F9069"/>
      <c r="L9069" s="45"/>
      <c r="N9069" s="44"/>
    </row>
    <row r="9070" spans="1:14" x14ac:dyDescent="0.3">
      <c r="A9070" s="42"/>
      <c r="C9070" s="52"/>
      <c r="D9070"/>
      <c r="E9070"/>
      <c r="F9070"/>
      <c r="N9070" s="44"/>
    </row>
    <row r="9071" spans="1:14" x14ac:dyDescent="0.3">
      <c r="A9071" s="42"/>
      <c r="C9071" s="52"/>
      <c r="D9071"/>
      <c r="E9071"/>
      <c r="F9071"/>
      <c r="N9071" s="44"/>
    </row>
    <row r="9072" spans="1:14" x14ac:dyDescent="0.3">
      <c r="A9072" s="42"/>
      <c r="C9072" s="52"/>
      <c r="D9072"/>
      <c r="E9072"/>
      <c r="F9072"/>
      <c r="M9072" s="45"/>
      <c r="N9072" s="44"/>
    </row>
    <row r="9073" spans="1:14" x14ac:dyDescent="0.3">
      <c r="A9073" s="42"/>
      <c r="C9073" s="52"/>
      <c r="D9073"/>
      <c r="E9073"/>
      <c r="F9073"/>
      <c r="N9073" s="44"/>
    </row>
    <row r="9074" spans="1:14" x14ac:dyDescent="0.3">
      <c r="A9074" s="42"/>
      <c r="C9074" s="52"/>
      <c r="D9074"/>
      <c r="E9074"/>
      <c r="F9074"/>
      <c r="L9074" s="45"/>
      <c r="N9074" s="44"/>
    </row>
    <row r="9075" spans="1:14" x14ac:dyDescent="0.3">
      <c r="A9075" s="42"/>
      <c r="C9075" s="52"/>
      <c r="D9075"/>
      <c r="E9075"/>
      <c r="F9075"/>
      <c r="N9075" s="44"/>
    </row>
    <row r="9076" spans="1:14" x14ac:dyDescent="0.3">
      <c r="A9076" s="42"/>
      <c r="C9076" s="52"/>
      <c r="D9076"/>
      <c r="E9076"/>
      <c r="F9076"/>
      <c r="N9076" s="44"/>
    </row>
    <row r="9077" spans="1:14" x14ac:dyDescent="0.3">
      <c r="A9077" s="42"/>
      <c r="C9077" s="52"/>
      <c r="D9077"/>
      <c r="E9077"/>
      <c r="F9077"/>
      <c r="N9077" s="44"/>
    </row>
    <row r="9078" spans="1:14" x14ac:dyDescent="0.3">
      <c r="A9078" s="42"/>
      <c r="C9078" s="52"/>
      <c r="D9078"/>
      <c r="E9078"/>
      <c r="F9078"/>
      <c r="N9078" s="44"/>
    </row>
    <row r="9079" spans="1:14" x14ac:dyDescent="0.3">
      <c r="A9079" s="42"/>
      <c r="C9079" s="52"/>
      <c r="D9079"/>
      <c r="E9079"/>
      <c r="F9079"/>
      <c r="N9079" s="44"/>
    </row>
    <row r="9080" spans="1:14" x14ac:dyDescent="0.3">
      <c r="A9080" s="42"/>
      <c r="C9080" s="52"/>
      <c r="D9080"/>
      <c r="E9080"/>
      <c r="F9080"/>
      <c r="N9080" s="44"/>
    </row>
    <row r="9081" spans="1:14" x14ac:dyDescent="0.3">
      <c r="A9081" s="42"/>
      <c r="C9081" s="52"/>
      <c r="D9081"/>
      <c r="E9081"/>
      <c r="F9081"/>
      <c r="M9081" s="45"/>
      <c r="N9081" s="44"/>
    </row>
    <row r="9082" spans="1:14" x14ac:dyDescent="0.3">
      <c r="A9082" s="42"/>
      <c r="C9082" s="52"/>
      <c r="D9082"/>
      <c r="E9082"/>
      <c r="F9082"/>
      <c r="N9082" s="44"/>
    </row>
    <row r="9083" spans="1:14" x14ac:dyDescent="0.3">
      <c r="A9083" s="42"/>
      <c r="C9083" s="52"/>
      <c r="D9083"/>
      <c r="E9083"/>
      <c r="F9083"/>
      <c r="N9083" s="44"/>
    </row>
    <row r="9084" spans="1:14" x14ac:dyDescent="0.3">
      <c r="A9084" s="42"/>
      <c r="C9084" s="52"/>
      <c r="D9084"/>
      <c r="E9084"/>
      <c r="F9084"/>
      <c r="N9084" s="44"/>
    </row>
    <row r="9085" spans="1:14" x14ac:dyDescent="0.3">
      <c r="A9085" s="42"/>
      <c r="C9085" s="52"/>
      <c r="D9085"/>
      <c r="E9085"/>
      <c r="F9085"/>
      <c r="N9085" s="44"/>
    </row>
    <row r="9086" spans="1:14" x14ac:dyDescent="0.3">
      <c r="A9086" s="42"/>
      <c r="C9086" s="52"/>
      <c r="D9086"/>
      <c r="E9086"/>
      <c r="F9086"/>
      <c r="N9086" s="44"/>
    </row>
    <row r="9087" spans="1:14" x14ac:dyDescent="0.3">
      <c r="A9087" s="42"/>
      <c r="C9087" s="52"/>
      <c r="D9087"/>
      <c r="E9087"/>
      <c r="F9087"/>
      <c r="N9087" s="44"/>
    </row>
    <row r="9088" spans="1:14" x14ac:dyDescent="0.3">
      <c r="A9088" s="42"/>
      <c r="C9088" s="52"/>
      <c r="D9088"/>
      <c r="E9088"/>
      <c r="F9088"/>
      <c r="N9088" s="44"/>
    </row>
    <row r="9089" spans="1:14" x14ac:dyDescent="0.3">
      <c r="A9089" s="42"/>
      <c r="C9089" s="52"/>
      <c r="D9089"/>
      <c r="E9089"/>
      <c r="F9089"/>
      <c r="N9089" s="44"/>
    </row>
    <row r="9090" spans="1:14" x14ac:dyDescent="0.3">
      <c r="A9090" s="42"/>
      <c r="C9090" s="52"/>
      <c r="D9090"/>
      <c r="E9090"/>
      <c r="F9090"/>
      <c r="N9090" s="44"/>
    </row>
    <row r="9091" spans="1:14" x14ac:dyDescent="0.3">
      <c r="A9091" s="42"/>
      <c r="C9091" s="52"/>
      <c r="D9091"/>
      <c r="E9091"/>
      <c r="F9091"/>
      <c r="N9091" s="44"/>
    </row>
    <row r="9092" spans="1:14" x14ac:dyDescent="0.3">
      <c r="A9092" s="42"/>
      <c r="C9092" s="52"/>
      <c r="D9092"/>
      <c r="E9092"/>
      <c r="F9092"/>
      <c r="N9092" s="44"/>
    </row>
    <row r="9093" spans="1:14" x14ac:dyDescent="0.3">
      <c r="A9093" s="42"/>
      <c r="C9093" s="52"/>
      <c r="D9093"/>
      <c r="E9093"/>
      <c r="F9093"/>
      <c r="N9093" s="44"/>
    </row>
    <row r="9094" spans="1:14" x14ac:dyDescent="0.3">
      <c r="A9094" s="42"/>
      <c r="C9094" s="52"/>
      <c r="D9094"/>
      <c r="E9094"/>
      <c r="F9094"/>
      <c r="N9094" s="44"/>
    </row>
    <row r="9095" spans="1:14" x14ac:dyDescent="0.3">
      <c r="A9095" s="42"/>
      <c r="C9095" s="52"/>
      <c r="D9095"/>
      <c r="E9095"/>
      <c r="F9095"/>
      <c r="N9095" s="44"/>
    </row>
    <row r="9096" spans="1:14" x14ac:dyDescent="0.3">
      <c r="A9096" s="42"/>
      <c r="C9096" s="52"/>
      <c r="D9096"/>
      <c r="E9096"/>
      <c r="F9096"/>
      <c r="L9096" s="45"/>
      <c r="N9096" s="44"/>
    </row>
    <row r="9097" spans="1:14" x14ac:dyDescent="0.3">
      <c r="A9097" s="42"/>
      <c r="C9097" s="52"/>
      <c r="D9097"/>
      <c r="E9097"/>
      <c r="F9097"/>
      <c r="N9097" s="44"/>
    </row>
    <row r="9098" spans="1:14" x14ac:dyDescent="0.3">
      <c r="A9098" s="42"/>
      <c r="C9098" s="52"/>
      <c r="D9098"/>
      <c r="E9098"/>
      <c r="F9098"/>
      <c r="N9098" s="44"/>
    </row>
    <row r="9099" spans="1:14" x14ac:dyDescent="0.3">
      <c r="A9099" s="42"/>
      <c r="C9099" s="52"/>
      <c r="D9099"/>
      <c r="E9099"/>
      <c r="F9099"/>
      <c r="N9099" s="44"/>
    </row>
    <row r="9100" spans="1:14" x14ac:dyDescent="0.3">
      <c r="A9100" s="42"/>
      <c r="C9100" s="52"/>
      <c r="D9100"/>
      <c r="E9100"/>
      <c r="F9100"/>
      <c r="N9100" s="44"/>
    </row>
    <row r="9101" spans="1:14" x14ac:dyDescent="0.3">
      <c r="A9101" s="42"/>
      <c r="C9101" s="52"/>
      <c r="D9101"/>
      <c r="E9101"/>
      <c r="F9101"/>
      <c r="N9101" s="44"/>
    </row>
    <row r="9102" spans="1:14" x14ac:dyDescent="0.3">
      <c r="A9102" s="42"/>
      <c r="C9102" s="52"/>
      <c r="D9102"/>
      <c r="E9102"/>
      <c r="F9102"/>
      <c r="N9102" s="44"/>
    </row>
    <row r="9103" spans="1:14" x14ac:dyDescent="0.3">
      <c r="A9103" s="42"/>
      <c r="C9103" s="52"/>
      <c r="D9103"/>
      <c r="E9103"/>
      <c r="F9103"/>
      <c r="N9103" s="44"/>
    </row>
    <row r="9104" spans="1:14" x14ac:dyDescent="0.3">
      <c r="A9104" s="42"/>
      <c r="C9104" s="52"/>
      <c r="D9104"/>
      <c r="E9104"/>
      <c r="F9104"/>
      <c r="N9104" s="44"/>
    </row>
    <row r="9105" spans="1:14" x14ac:dyDescent="0.3">
      <c r="A9105" s="42"/>
      <c r="C9105" s="52"/>
      <c r="D9105"/>
      <c r="E9105"/>
      <c r="F9105"/>
      <c r="N9105" s="44"/>
    </row>
    <row r="9106" spans="1:14" x14ac:dyDescent="0.3">
      <c r="A9106" s="42"/>
      <c r="C9106" s="52"/>
      <c r="D9106"/>
      <c r="E9106"/>
      <c r="F9106"/>
      <c r="N9106" s="44"/>
    </row>
    <row r="9107" spans="1:14" x14ac:dyDescent="0.3">
      <c r="A9107" s="42"/>
      <c r="C9107" s="52"/>
      <c r="D9107"/>
      <c r="E9107"/>
      <c r="F9107"/>
      <c r="N9107" s="44"/>
    </row>
    <row r="9108" spans="1:14" x14ac:dyDescent="0.3">
      <c r="A9108" s="42"/>
      <c r="C9108" s="52"/>
      <c r="D9108"/>
      <c r="E9108"/>
      <c r="F9108"/>
      <c r="L9108" s="45"/>
      <c r="N9108" s="44"/>
    </row>
    <row r="9109" spans="1:14" x14ac:dyDescent="0.3">
      <c r="A9109" s="42"/>
      <c r="C9109" s="52"/>
      <c r="D9109"/>
      <c r="E9109"/>
      <c r="F9109"/>
      <c r="L9109" s="45"/>
      <c r="N9109" s="44"/>
    </row>
    <row r="9110" spans="1:14" x14ac:dyDescent="0.3">
      <c r="A9110" s="42"/>
      <c r="C9110" s="52"/>
      <c r="D9110"/>
      <c r="E9110"/>
      <c r="F9110"/>
      <c r="N9110" s="44"/>
    </row>
    <row r="9111" spans="1:14" x14ac:dyDescent="0.3">
      <c r="A9111" s="42"/>
      <c r="C9111" s="52"/>
      <c r="D9111"/>
      <c r="E9111"/>
      <c r="F9111"/>
      <c r="N9111" s="44"/>
    </row>
    <row r="9112" spans="1:14" x14ac:dyDescent="0.3">
      <c r="A9112" s="42"/>
      <c r="C9112" s="52"/>
      <c r="D9112"/>
      <c r="E9112"/>
      <c r="F9112"/>
      <c r="N9112" s="44"/>
    </row>
    <row r="9113" spans="1:14" x14ac:dyDescent="0.3">
      <c r="A9113" s="42"/>
      <c r="C9113" s="52"/>
      <c r="D9113"/>
      <c r="E9113"/>
      <c r="F9113"/>
      <c r="N9113" s="44"/>
    </row>
    <row r="9114" spans="1:14" x14ac:dyDescent="0.3">
      <c r="A9114" s="42"/>
      <c r="C9114" s="52"/>
      <c r="D9114"/>
      <c r="E9114"/>
      <c r="F9114"/>
      <c r="N9114" s="44"/>
    </row>
    <row r="9115" spans="1:14" x14ac:dyDescent="0.3">
      <c r="A9115" s="42"/>
      <c r="C9115" s="52"/>
      <c r="D9115"/>
      <c r="E9115"/>
      <c r="F9115"/>
      <c r="N9115" s="44"/>
    </row>
    <row r="9116" spans="1:14" x14ac:dyDescent="0.3">
      <c r="A9116" s="42"/>
      <c r="C9116" s="52"/>
      <c r="D9116"/>
      <c r="E9116"/>
      <c r="F9116"/>
      <c r="N9116" s="44"/>
    </row>
    <row r="9117" spans="1:14" x14ac:dyDescent="0.3">
      <c r="A9117" s="42"/>
      <c r="C9117" s="52"/>
      <c r="D9117"/>
      <c r="E9117"/>
      <c r="F9117"/>
      <c r="N9117" s="44"/>
    </row>
    <row r="9118" spans="1:14" x14ac:dyDescent="0.3">
      <c r="A9118" s="42"/>
      <c r="C9118" s="52"/>
      <c r="D9118"/>
      <c r="E9118"/>
      <c r="F9118"/>
      <c r="N9118" s="44"/>
    </row>
    <row r="9119" spans="1:14" x14ac:dyDescent="0.3">
      <c r="A9119" s="42"/>
      <c r="C9119" s="52"/>
      <c r="D9119"/>
      <c r="E9119"/>
      <c r="F9119"/>
      <c r="N9119" s="44"/>
    </row>
    <row r="9120" spans="1:14" x14ac:dyDescent="0.3">
      <c r="A9120" s="42"/>
      <c r="C9120" s="52"/>
      <c r="D9120"/>
      <c r="E9120"/>
      <c r="F9120"/>
      <c r="N9120" s="44"/>
    </row>
    <row r="9121" spans="1:14" x14ac:dyDescent="0.3">
      <c r="A9121" s="42"/>
      <c r="C9121" s="52"/>
      <c r="D9121"/>
      <c r="E9121"/>
      <c r="F9121"/>
      <c r="N9121" s="44"/>
    </row>
    <row r="9122" spans="1:14" x14ac:dyDescent="0.3">
      <c r="A9122" s="42"/>
      <c r="C9122" s="52"/>
      <c r="D9122"/>
      <c r="E9122"/>
      <c r="F9122"/>
      <c r="N9122" s="44"/>
    </row>
    <row r="9123" spans="1:14" x14ac:dyDescent="0.3">
      <c r="A9123" s="42"/>
      <c r="C9123" s="52"/>
      <c r="D9123"/>
      <c r="E9123"/>
      <c r="F9123"/>
      <c r="M9123" s="45"/>
      <c r="N9123" s="44"/>
    </row>
    <row r="9124" spans="1:14" x14ac:dyDescent="0.3">
      <c r="A9124" s="42"/>
      <c r="C9124" s="52"/>
      <c r="D9124"/>
      <c r="E9124"/>
      <c r="F9124"/>
      <c r="N9124" s="44"/>
    </row>
    <row r="9125" spans="1:14" x14ac:dyDescent="0.3">
      <c r="A9125" s="42"/>
      <c r="C9125" s="52"/>
      <c r="D9125"/>
      <c r="E9125"/>
      <c r="F9125"/>
      <c r="N9125" s="44"/>
    </row>
    <row r="9126" spans="1:14" x14ac:dyDescent="0.3">
      <c r="A9126" s="42"/>
      <c r="C9126" s="52"/>
      <c r="D9126"/>
      <c r="E9126"/>
      <c r="F9126"/>
      <c r="N9126" s="44"/>
    </row>
    <row r="9127" spans="1:14" x14ac:dyDescent="0.3">
      <c r="A9127" s="42"/>
      <c r="C9127" s="52"/>
      <c r="D9127"/>
      <c r="E9127"/>
      <c r="F9127"/>
      <c r="N9127" s="44"/>
    </row>
    <row r="9128" spans="1:14" x14ac:dyDescent="0.3">
      <c r="A9128" s="42"/>
      <c r="C9128" s="52"/>
      <c r="D9128"/>
      <c r="E9128"/>
      <c r="F9128"/>
      <c r="L9128" s="45"/>
      <c r="N9128" s="44"/>
    </row>
    <row r="9129" spans="1:14" x14ac:dyDescent="0.3">
      <c r="A9129" s="42"/>
      <c r="C9129" s="52"/>
      <c r="D9129"/>
      <c r="E9129"/>
      <c r="F9129"/>
      <c r="L9129" s="45"/>
      <c r="N9129" s="44"/>
    </row>
    <row r="9130" spans="1:14" x14ac:dyDescent="0.3">
      <c r="A9130" s="42"/>
      <c r="C9130" s="52"/>
      <c r="D9130"/>
      <c r="E9130"/>
      <c r="F9130"/>
      <c r="L9130" s="45"/>
      <c r="M9130" s="45"/>
      <c r="N9130" s="44"/>
    </row>
    <row r="9131" spans="1:14" x14ac:dyDescent="0.3">
      <c r="A9131" s="42"/>
      <c r="C9131" s="52"/>
      <c r="D9131"/>
      <c r="E9131"/>
      <c r="F9131"/>
      <c r="N9131" s="44"/>
    </row>
    <row r="9132" spans="1:14" x14ac:dyDescent="0.3">
      <c r="A9132" s="42"/>
      <c r="C9132" s="52"/>
      <c r="D9132"/>
      <c r="E9132"/>
      <c r="F9132"/>
      <c r="N9132" s="44"/>
    </row>
    <row r="9133" spans="1:14" x14ac:dyDescent="0.3">
      <c r="A9133" s="42"/>
      <c r="C9133" s="52"/>
      <c r="D9133"/>
      <c r="E9133"/>
      <c r="F9133"/>
      <c r="N9133" s="44"/>
    </row>
    <row r="9134" spans="1:14" x14ac:dyDescent="0.3">
      <c r="A9134" s="42"/>
      <c r="C9134" s="52"/>
      <c r="D9134"/>
      <c r="E9134"/>
      <c r="F9134"/>
      <c r="L9134" s="45"/>
      <c r="N9134" s="44"/>
    </row>
    <row r="9135" spans="1:14" x14ac:dyDescent="0.3">
      <c r="A9135" s="42"/>
      <c r="C9135" s="52"/>
      <c r="D9135"/>
      <c r="E9135"/>
      <c r="F9135"/>
      <c r="L9135" s="45"/>
      <c r="N9135" s="44"/>
    </row>
    <row r="9136" spans="1:14" x14ac:dyDescent="0.3">
      <c r="A9136" s="42"/>
      <c r="C9136" s="52"/>
      <c r="D9136"/>
      <c r="E9136"/>
      <c r="F9136"/>
      <c r="N9136" s="44"/>
    </row>
    <row r="9137" spans="1:14" x14ac:dyDescent="0.3">
      <c r="A9137" s="42"/>
      <c r="C9137" s="52"/>
      <c r="D9137"/>
      <c r="E9137"/>
      <c r="F9137"/>
      <c r="L9137" s="45"/>
      <c r="N9137" s="44"/>
    </row>
    <row r="9138" spans="1:14" x14ac:dyDescent="0.3">
      <c r="A9138" s="42"/>
      <c r="C9138" s="52"/>
      <c r="D9138"/>
      <c r="E9138"/>
      <c r="F9138"/>
      <c r="L9138" s="45"/>
      <c r="N9138" s="44"/>
    </row>
    <row r="9139" spans="1:14" x14ac:dyDescent="0.3">
      <c r="A9139" s="42"/>
      <c r="C9139" s="52"/>
      <c r="D9139"/>
      <c r="E9139"/>
      <c r="F9139"/>
      <c r="N9139" s="44"/>
    </row>
    <row r="9140" spans="1:14" x14ac:dyDescent="0.3">
      <c r="A9140" s="42"/>
      <c r="C9140" s="52"/>
      <c r="D9140"/>
      <c r="E9140"/>
      <c r="F9140"/>
      <c r="L9140" s="45"/>
      <c r="N9140" s="44"/>
    </row>
    <row r="9141" spans="1:14" x14ac:dyDescent="0.3">
      <c r="A9141" s="42"/>
      <c r="C9141" s="52"/>
      <c r="D9141"/>
      <c r="E9141"/>
      <c r="F9141"/>
      <c r="L9141" s="45"/>
      <c r="N9141" s="44"/>
    </row>
    <row r="9142" spans="1:14" x14ac:dyDescent="0.3">
      <c r="A9142" s="42"/>
      <c r="C9142" s="52"/>
      <c r="D9142"/>
      <c r="E9142"/>
      <c r="F9142"/>
      <c r="N9142" s="44"/>
    </row>
    <row r="9143" spans="1:14" x14ac:dyDescent="0.3">
      <c r="A9143" s="42"/>
      <c r="C9143" s="52"/>
      <c r="D9143"/>
      <c r="E9143"/>
      <c r="F9143"/>
      <c r="L9143" s="45"/>
      <c r="N9143" s="44"/>
    </row>
    <row r="9144" spans="1:14" x14ac:dyDescent="0.3">
      <c r="A9144" s="42"/>
      <c r="C9144" s="52"/>
      <c r="D9144"/>
      <c r="E9144"/>
      <c r="F9144"/>
      <c r="L9144" s="45"/>
      <c r="N9144" s="44"/>
    </row>
    <row r="9145" spans="1:14" x14ac:dyDescent="0.3">
      <c r="A9145" s="42"/>
      <c r="C9145" s="52"/>
      <c r="D9145"/>
      <c r="E9145"/>
      <c r="F9145"/>
      <c r="L9145" s="45"/>
      <c r="N9145" s="44"/>
    </row>
    <row r="9146" spans="1:14" x14ac:dyDescent="0.3">
      <c r="A9146" s="42"/>
      <c r="C9146" s="52"/>
      <c r="D9146"/>
      <c r="E9146"/>
      <c r="F9146"/>
      <c r="L9146" s="45"/>
      <c r="N9146" s="44"/>
    </row>
    <row r="9147" spans="1:14" x14ac:dyDescent="0.3">
      <c r="A9147" s="42"/>
      <c r="C9147" s="52"/>
      <c r="D9147"/>
      <c r="E9147"/>
      <c r="F9147"/>
      <c r="L9147" s="45"/>
      <c r="N9147" s="44"/>
    </row>
    <row r="9148" spans="1:14" x14ac:dyDescent="0.3">
      <c r="A9148" s="42"/>
      <c r="C9148" s="52"/>
      <c r="D9148"/>
      <c r="E9148"/>
      <c r="F9148"/>
      <c r="L9148" s="45"/>
      <c r="N9148" s="44"/>
    </row>
    <row r="9149" spans="1:14" x14ac:dyDescent="0.3">
      <c r="A9149" s="42"/>
      <c r="C9149" s="52"/>
      <c r="D9149"/>
      <c r="E9149"/>
      <c r="F9149"/>
      <c r="L9149" s="45"/>
      <c r="N9149" s="44"/>
    </row>
    <row r="9150" spans="1:14" x14ac:dyDescent="0.3">
      <c r="A9150" s="42"/>
      <c r="C9150" s="52"/>
      <c r="D9150"/>
      <c r="E9150"/>
      <c r="F9150"/>
      <c r="L9150" s="45"/>
      <c r="N9150" s="44"/>
    </row>
    <row r="9151" spans="1:14" x14ac:dyDescent="0.3">
      <c r="A9151" s="42"/>
      <c r="C9151" s="52"/>
      <c r="D9151"/>
      <c r="E9151"/>
      <c r="F9151"/>
      <c r="L9151" s="45"/>
      <c r="N9151" s="44"/>
    </row>
    <row r="9152" spans="1:14" x14ac:dyDescent="0.3">
      <c r="A9152" s="42"/>
      <c r="C9152" s="52"/>
      <c r="D9152"/>
      <c r="E9152"/>
      <c r="F9152"/>
      <c r="L9152" s="45"/>
      <c r="N9152" s="44"/>
    </row>
    <row r="9153" spans="1:14" x14ac:dyDescent="0.3">
      <c r="A9153" s="42"/>
      <c r="C9153" s="52"/>
      <c r="D9153"/>
      <c r="E9153"/>
      <c r="F9153"/>
      <c r="L9153" s="45"/>
      <c r="N9153" s="44"/>
    </row>
    <row r="9154" spans="1:14" x14ac:dyDescent="0.3">
      <c r="A9154" s="42"/>
      <c r="C9154" s="52"/>
      <c r="D9154"/>
      <c r="E9154"/>
      <c r="F9154"/>
      <c r="L9154" s="45"/>
      <c r="N9154" s="44"/>
    </row>
    <row r="9155" spans="1:14" x14ac:dyDescent="0.3">
      <c r="A9155" s="42"/>
      <c r="C9155" s="52"/>
      <c r="D9155"/>
      <c r="E9155"/>
      <c r="F9155"/>
      <c r="L9155" s="45"/>
      <c r="N9155" s="44"/>
    </row>
    <row r="9156" spans="1:14" x14ac:dyDescent="0.3">
      <c r="A9156" s="42"/>
      <c r="C9156" s="52"/>
      <c r="D9156"/>
      <c r="E9156"/>
      <c r="F9156"/>
      <c r="N9156" s="44"/>
    </row>
    <row r="9157" spans="1:14" x14ac:dyDescent="0.3">
      <c r="A9157" s="42"/>
      <c r="C9157" s="52"/>
      <c r="D9157"/>
      <c r="E9157"/>
      <c r="F9157"/>
      <c r="N9157" s="44"/>
    </row>
    <row r="9158" spans="1:14" x14ac:dyDescent="0.3">
      <c r="A9158" s="42"/>
      <c r="C9158" s="52"/>
      <c r="D9158"/>
      <c r="E9158"/>
      <c r="F9158"/>
      <c r="N9158" s="44"/>
    </row>
    <row r="9159" spans="1:14" x14ac:dyDescent="0.3">
      <c r="A9159" s="42"/>
      <c r="C9159" s="52"/>
      <c r="D9159"/>
      <c r="E9159"/>
      <c r="F9159"/>
      <c r="N9159" s="44"/>
    </row>
    <row r="9160" spans="1:14" x14ac:dyDescent="0.3">
      <c r="A9160" s="42"/>
      <c r="C9160" s="52"/>
      <c r="D9160"/>
      <c r="E9160"/>
      <c r="F9160"/>
      <c r="N9160" s="44"/>
    </row>
    <row r="9161" spans="1:14" x14ac:dyDescent="0.3">
      <c r="A9161" s="42"/>
      <c r="C9161" s="52"/>
      <c r="D9161"/>
      <c r="E9161"/>
      <c r="F9161"/>
      <c r="N9161" s="44"/>
    </row>
    <row r="9162" spans="1:14" x14ac:dyDescent="0.3">
      <c r="A9162" s="42"/>
      <c r="C9162" s="52"/>
      <c r="D9162"/>
      <c r="E9162"/>
      <c r="F9162"/>
      <c r="N9162" s="44"/>
    </row>
    <row r="9163" spans="1:14" x14ac:dyDescent="0.3">
      <c r="A9163" s="42"/>
      <c r="C9163" s="52"/>
      <c r="D9163"/>
      <c r="E9163"/>
      <c r="F9163"/>
      <c r="N9163" s="44"/>
    </row>
    <row r="9164" spans="1:14" x14ac:dyDescent="0.3">
      <c r="A9164" s="42"/>
      <c r="C9164" s="52"/>
      <c r="D9164"/>
      <c r="E9164"/>
      <c r="F9164"/>
      <c r="N9164" s="44"/>
    </row>
    <row r="9165" spans="1:14" x14ac:dyDescent="0.3">
      <c r="A9165" s="42"/>
      <c r="C9165" s="52"/>
      <c r="D9165"/>
      <c r="E9165"/>
      <c r="F9165"/>
      <c r="N9165" s="44"/>
    </row>
    <row r="9166" spans="1:14" x14ac:dyDescent="0.3">
      <c r="A9166" s="42"/>
      <c r="C9166" s="52"/>
      <c r="D9166"/>
      <c r="E9166"/>
      <c r="F9166"/>
      <c r="N9166" s="44"/>
    </row>
    <row r="9167" spans="1:14" x14ac:dyDescent="0.3">
      <c r="A9167" s="42"/>
      <c r="C9167" s="52"/>
      <c r="D9167"/>
      <c r="E9167"/>
      <c r="F9167"/>
      <c r="N9167" s="44"/>
    </row>
    <row r="9168" spans="1:14" x14ac:dyDescent="0.3">
      <c r="A9168" s="42"/>
      <c r="C9168" s="52"/>
      <c r="D9168"/>
      <c r="E9168"/>
      <c r="F9168"/>
      <c r="N9168" s="44"/>
    </row>
    <row r="9169" spans="1:14" x14ac:dyDescent="0.3">
      <c r="A9169" s="42"/>
      <c r="C9169" s="52"/>
      <c r="D9169"/>
      <c r="E9169"/>
      <c r="F9169"/>
      <c r="N9169" s="44"/>
    </row>
    <row r="9170" spans="1:14" x14ac:dyDescent="0.3">
      <c r="A9170" s="42"/>
      <c r="C9170" s="52"/>
      <c r="D9170"/>
      <c r="E9170"/>
      <c r="F9170"/>
      <c r="N9170" s="44"/>
    </row>
    <row r="9171" spans="1:14" x14ac:dyDescent="0.3">
      <c r="A9171" s="42"/>
      <c r="C9171" s="52"/>
      <c r="D9171"/>
      <c r="E9171"/>
      <c r="F9171"/>
      <c r="N9171" s="44"/>
    </row>
    <row r="9172" spans="1:14" x14ac:dyDescent="0.3">
      <c r="A9172" s="42"/>
      <c r="C9172" s="52"/>
      <c r="D9172"/>
      <c r="E9172"/>
      <c r="F9172"/>
      <c r="N9172" s="44"/>
    </row>
    <row r="9173" spans="1:14" x14ac:dyDescent="0.3">
      <c r="A9173" s="42"/>
      <c r="C9173" s="52"/>
      <c r="D9173"/>
      <c r="E9173"/>
      <c r="F9173"/>
      <c r="N9173" s="44"/>
    </row>
    <row r="9174" spans="1:14" x14ac:dyDescent="0.3">
      <c r="A9174" s="42"/>
      <c r="C9174" s="52"/>
      <c r="D9174"/>
      <c r="E9174"/>
      <c r="F9174"/>
      <c r="N9174" s="44"/>
    </row>
    <row r="9175" spans="1:14" x14ac:dyDescent="0.3">
      <c r="A9175" s="42"/>
      <c r="C9175" s="52"/>
      <c r="D9175"/>
      <c r="E9175"/>
      <c r="F9175"/>
      <c r="N9175" s="44"/>
    </row>
    <row r="9176" spans="1:14" x14ac:dyDescent="0.3">
      <c r="A9176" s="42"/>
      <c r="C9176" s="52"/>
      <c r="D9176"/>
      <c r="E9176"/>
      <c r="F9176"/>
      <c r="N9176" s="44"/>
    </row>
    <row r="9177" spans="1:14" x14ac:dyDescent="0.3">
      <c r="A9177" s="42"/>
      <c r="C9177" s="52"/>
      <c r="D9177"/>
      <c r="E9177"/>
      <c r="F9177"/>
      <c r="N9177" s="44"/>
    </row>
    <row r="9178" spans="1:14" x14ac:dyDescent="0.3">
      <c r="A9178" s="42"/>
      <c r="C9178" s="52"/>
      <c r="D9178"/>
      <c r="E9178"/>
      <c r="F9178"/>
      <c r="M9178" s="45"/>
      <c r="N9178" s="44"/>
    </row>
    <row r="9179" spans="1:14" x14ac:dyDescent="0.3">
      <c r="A9179" s="42"/>
      <c r="C9179" s="52"/>
      <c r="D9179"/>
      <c r="E9179"/>
      <c r="F9179"/>
      <c r="N9179" s="44"/>
    </row>
    <row r="9180" spans="1:14" x14ac:dyDescent="0.3">
      <c r="A9180" s="42"/>
      <c r="C9180" s="52"/>
      <c r="D9180"/>
      <c r="E9180"/>
      <c r="F9180"/>
      <c r="N9180" s="44"/>
    </row>
    <row r="9181" spans="1:14" x14ac:dyDescent="0.3">
      <c r="A9181" s="42"/>
      <c r="C9181" s="52"/>
      <c r="D9181"/>
      <c r="E9181"/>
      <c r="F9181"/>
      <c r="N9181" s="44"/>
    </row>
    <row r="9182" spans="1:14" x14ac:dyDescent="0.3">
      <c r="A9182" s="42"/>
      <c r="C9182" s="52"/>
      <c r="D9182"/>
      <c r="E9182"/>
      <c r="F9182"/>
      <c r="N9182" s="44"/>
    </row>
    <row r="9183" spans="1:14" x14ac:dyDescent="0.3">
      <c r="A9183" s="42"/>
      <c r="C9183" s="52"/>
      <c r="D9183"/>
      <c r="E9183"/>
      <c r="F9183"/>
      <c r="N9183" s="44"/>
    </row>
    <row r="9184" spans="1:14" x14ac:dyDescent="0.3">
      <c r="A9184" s="42"/>
      <c r="C9184" s="52"/>
      <c r="D9184"/>
      <c r="E9184"/>
      <c r="F9184"/>
      <c r="N9184" s="44"/>
    </row>
    <row r="9185" spans="1:14" x14ac:dyDescent="0.3">
      <c r="A9185" s="42"/>
      <c r="C9185" s="52"/>
      <c r="D9185"/>
      <c r="E9185"/>
      <c r="F9185"/>
      <c r="N9185" s="44"/>
    </row>
    <row r="9186" spans="1:14" x14ac:dyDescent="0.3">
      <c r="A9186" s="42"/>
      <c r="C9186" s="52"/>
      <c r="D9186"/>
      <c r="E9186"/>
      <c r="F9186"/>
      <c r="N9186" s="44"/>
    </row>
    <row r="9187" spans="1:14" x14ac:dyDescent="0.3">
      <c r="A9187" s="42"/>
      <c r="C9187" s="52"/>
      <c r="D9187"/>
      <c r="E9187"/>
      <c r="F9187"/>
      <c r="N9187" s="44"/>
    </row>
    <row r="9188" spans="1:14" x14ac:dyDescent="0.3">
      <c r="A9188" s="42"/>
      <c r="C9188" s="52"/>
      <c r="D9188"/>
      <c r="E9188"/>
      <c r="F9188"/>
      <c r="N9188" s="44"/>
    </row>
    <row r="9189" spans="1:14" x14ac:dyDescent="0.3">
      <c r="A9189" s="42"/>
      <c r="C9189" s="52"/>
      <c r="D9189"/>
      <c r="E9189"/>
      <c r="F9189"/>
      <c r="N9189" s="44"/>
    </row>
    <row r="9190" spans="1:14" x14ac:dyDescent="0.3">
      <c r="A9190" s="42"/>
      <c r="C9190" s="52"/>
      <c r="D9190"/>
      <c r="E9190"/>
      <c r="F9190"/>
      <c r="N9190" s="44"/>
    </row>
    <row r="9191" spans="1:14" x14ac:dyDescent="0.3">
      <c r="A9191" s="42"/>
      <c r="C9191" s="52"/>
      <c r="D9191"/>
      <c r="E9191"/>
      <c r="F9191"/>
      <c r="N9191" s="44"/>
    </row>
    <row r="9192" spans="1:14" x14ac:dyDescent="0.3">
      <c r="A9192" s="42"/>
      <c r="C9192" s="52"/>
      <c r="D9192"/>
      <c r="E9192"/>
      <c r="F9192"/>
      <c r="N9192" s="44"/>
    </row>
    <row r="9193" spans="1:14" x14ac:dyDescent="0.3">
      <c r="A9193" s="42"/>
      <c r="C9193" s="52"/>
      <c r="D9193"/>
      <c r="E9193"/>
      <c r="F9193"/>
      <c r="N9193" s="44"/>
    </row>
    <row r="9194" spans="1:14" x14ac:dyDescent="0.3">
      <c r="A9194" s="42"/>
      <c r="C9194" s="52"/>
      <c r="D9194"/>
      <c r="E9194"/>
      <c r="F9194"/>
      <c r="N9194" s="44"/>
    </row>
    <row r="9195" spans="1:14" x14ac:dyDescent="0.3">
      <c r="A9195" s="42"/>
      <c r="C9195" s="52"/>
      <c r="D9195"/>
      <c r="E9195"/>
      <c r="F9195"/>
      <c r="N9195" s="44"/>
    </row>
    <row r="9196" spans="1:14" x14ac:dyDescent="0.3">
      <c r="A9196" s="42"/>
      <c r="C9196" s="52"/>
      <c r="D9196"/>
      <c r="E9196"/>
      <c r="F9196"/>
      <c r="N9196" s="44"/>
    </row>
    <row r="9197" spans="1:14" x14ac:dyDescent="0.3">
      <c r="A9197" s="42"/>
      <c r="C9197" s="52"/>
      <c r="D9197"/>
      <c r="E9197"/>
      <c r="F9197"/>
      <c r="N9197" s="44"/>
    </row>
    <row r="9198" spans="1:14" x14ac:dyDescent="0.3">
      <c r="A9198" s="42"/>
      <c r="C9198" s="52"/>
      <c r="D9198"/>
      <c r="E9198"/>
      <c r="F9198"/>
      <c r="N9198" s="44"/>
    </row>
    <row r="9199" spans="1:14" x14ac:dyDescent="0.3">
      <c r="A9199" s="42"/>
      <c r="C9199" s="52"/>
      <c r="D9199"/>
      <c r="E9199"/>
      <c r="F9199"/>
      <c r="N9199" s="44"/>
    </row>
    <row r="9200" spans="1:14" x14ac:dyDescent="0.3">
      <c r="A9200" s="42"/>
      <c r="C9200" s="52"/>
      <c r="D9200"/>
      <c r="E9200"/>
      <c r="F9200"/>
      <c r="N9200" s="44"/>
    </row>
    <row r="9201" spans="1:14" x14ac:dyDescent="0.3">
      <c r="A9201" s="42"/>
      <c r="C9201" s="52"/>
      <c r="D9201"/>
      <c r="E9201"/>
      <c r="F9201"/>
      <c r="N9201" s="44"/>
    </row>
    <row r="9202" spans="1:14" x14ac:dyDescent="0.3">
      <c r="A9202" s="42"/>
      <c r="C9202" s="52"/>
      <c r="D9202"/>
      <c r="E9202"/>
      <c r="F9202"/>
      <c r="N9202" s="44"/>
    </row>
    <row r="9203" spans="1:14" x14ac:dyDescent="0.3">
      <c r="A9203" s="42"/>
      <c r="C9203" s="52"/>
      <c r="D9203"/>
      <c r="E9203"/>
      <c r="F9203"/>
      <c r="N9203" s="44"/>
    </row>
    <row r="9204" spans="1:14" x14ac:dyDescent="0.3">
      <c r="A9204" s="42"/>
      <c r="C9204" s="52"/>
      <c r="D9204"/>
      <c r="E9204"/>
      <c r="F9204"/>
      <c r="N9204" s="44"/>
    </row>
    <row r="9205" spans="1:14" x14ac:dyDescent="0.3">
      <c r="A9205" s="42"/>
      <c r="C9205" s="52"/>
      <c r="D9205"/>
      <c r="E9205"/>
      <c r="F9205"/>
      <c r="N9205" s="44"/>
    </row>
    <row r="9206" spans="1:14" x14ac:dyDescent="0.3">
      <c r="A9206" s="42"/>
      <c r="C9206" s="52"/>
      <c r="D9206"/>
      <c r="E9206"/>
      <c r="F9206"/>
      <c r="N9206" s="44"/>
    </row>
    <row r="9207" spans="1:14" x14ac:dyDescent="0.3">
      <c r="A9207" s="42"/>
      <c r="C9207" s="52"/>
      <c r="D9207"/>
      <c r="E9207"/>
      <c r="F9207"/>
      <c r="N9207" s="44"/>
    </row>
    <row r="9208" spans="1:14" x14ac:dyDescent="0.3">
      <c r="A9208" s="42"/>
      <c r="C9208" s="52"/>
      <c r="D9208"/>
      <c r="E9208"/>
      <c r="F9208"/>
      <c r="N9208" s="44"/>
    </row>
    <row r="9209" spans="1:14" x14ac:dyDescent="0.3">
      <c r="A9209" s="42"/>
      <c r="C9209" s="52"/>
      <c r="D9209"/>
      <c r="E9209"/>
      <c r="F9209"/>
      <c r="N9209" s="44"/>
    </row>
    <row r="9210" spans="1:14" x14ac:dyDescent="0.3">
      <c r="A9210" s="42"/>
      <c r="C9210" s="52"/>
      <c r="D9210"/>
      <c r="E9210"/>
      <c r="F9210"/>
      <c r="N9210" s="44"/>
    </row>
    <row r="9211" spans="1:14" x14ac:dyDescent="0.3">
      <c r="A9211" s="42"/>
      <c r="C9211" s="52"/>
      <c r="D9211"/>
      <c r="E9211"/>
      <c r="F9211"/>
      <c r="N9211" s="44"/>
    </row>
    <row r="9212" spans="1:14" x14ac:dyDescent="0.3">
      <c r="A9212" s="42"/>
      <c r="C9212" s="52"/>
      <c r="D9212"/>
      <c r="E9212"/>
      <c r="F9212"/>
      <c r="N9212" s="44"/>
    </row>
    <row r="9213" spans="1:14" x14ac:dyDescent="0.3">
      <c r="A9213" s="42"/>
      <c r="C9213" s="52"/>
      <c r="D9213"/>
      <c r="E9213"/>
      <c r="F9213"/>
      <c r="N9213" s="44"/>
    </row>
    <row r="9214" spans="1:14" x14ac:dyDescent="0.3">
      <c r="A9214" s="42"/>
      <c r="C9214" s="52"/>
      <c r="D9214"/>
      <c r="E9214"/>
      <c r="F9214"/>
      <c r="N9214" s="44"/>
    </row>
    <row r="9215" spans="1:14" x14ac:dyDescent="0.3">
      <c r="A9215" s="42"/>
      <c r="C9215" s="52"/>
      <c r="D9215"/>
      <c r="E9215"/>
      <c r="F9215"/>
      <c r="N9215" s="44"/>
    </row>
    <row r="9216" spans="1:14" x14ac:dyDescent="0.3">
      <c r="A9216" s="42"/>
      <c r="C9216" s="52"/>
      <c r="D9216"/>
      <c r="E9216"/>
      <c r="F9216"/>
      <c r="N9216" s="44"/>
    </row>
    <row r="9217" spans="1:14" x14ac:dyDescent="0.3">
      <c r="A9217" s="42"/>
      <c r="C9217" s="52"/>
      <c r="D9217"/>
      <c r="E9217"/>
      <c r="F9217"/>
      <c r="N9217" s="44"/>
    </row>
    <row r="9218" spans="1:14" x14ac:dyDescent="0.3">
      <c r="A9218" s="42"/>
      <c r="C9218" s="52"/>
      <c r="D9218"/>
      <c r="E9218"/>
      <c r="F9218"/>
      <c r="N9218" s="44"/>
    </row>
    <row r="9219" spans="1:14" x14ac:dyDescent="0.3">
      <c r="A9219" s="42"/>
      <c r="C9219" s="52"/>
      <c r="D9219"/>
      <c r="E9219"/>
      <c r="F9219"/>
      <c r="N9219" s="44"/>
    </row>
    <row r="9220" spans="1:14" x14ac:dyDescent="0.3">
      <c r="A9220" s="42"/>
      <c r="C9220" s="52"/>
      <c r="D9220"/>
      <c r="E9220"/>
      <c r="F9220"/>
      <c r="N9220" s="44"/>
    </row>
    <row r="9221" spans="1:14" x14ac:dyDescent="0.3">
      <c r="A9221" s="42"/>
      <c r="C9221" s="52"/>
      <c r="D9221"/>
      <c r="E9221"/>
      <c r="F9221"/>
      <c r="N9221" s="44"/>
    </row>
    <row r="9222" spans="1:14" x14ac:dyDescent="0.3">
      <c r="A9222" s="42"/>
      <c r="C9222" s="52"/>
      <c r="D9222"/>
      <c r="E9222"/>
      <c r="F9222"/>
      <c r="N9222" s="44"/>
    </row>
    <row r="9223" spans="1:14" x14ac:dyDescent="0.3">
      <c r="A9223" s="42"/>
      <c r="C9223" s="52"/>
      <c r="D9223"/>
      <c r="E9223"/>
      <c r="F9223"/>
      <c r="N9223" s="44"/>
    </row>
    <row r="9224" spans="1:14" x14ac:dyDescent="0.3">
      <c r="A9224" s="42"/>
      <c r="C9224" s="52"/>
      <c r="D9224"/>
      <c r="E9224"/>
      <c r="F9224"/>
      <c r="N9224" s="44"/>
    </row>
    <row r="9225" spans="1:14" x14ac:dyDescent="0.3">
      <c r="A9225" s="42"/>
      <c r="C9225" s="52"/>
      <c r="D9225"/>
      <c r="E9225"/>
      <c r="F9225"/>
      <c r="N9225" s="44"/>
    </row>
    <row r="9226" spans="1:14" x14ac:dyDescent="0.3">
      <c r="A9226" s="42"/>
      <c r="C9226" s="52"/>
      <c r="D9226"/>
      <c r="E9226"/>
      <c r="F9226"/>
      <c r="N9226" s="44"/>
    </row>
    <row r="9227" spans="1:14" x14ac:dyDescent="0.3">
      <c r="A9227" s="42"/>
      <c r="C9227" s="52"/>
      <c r="D9227"/>
      <c r="E9227"/>
      <c r="F9227"/>
      <c r="M9227" s="45"/>
      <c r="N9227" s="44"/>
    </row>
    <row r="9228" spans="1:14" x14ac:dyDescent="0.3">
      <c r="A9228" s="42"/>
      <c r="C9228" s="52"/>
      <c r="D9228"/>
      <c r="E9228"/>
      <c r="F9228"/>
      <c r="M9228" s="45"/>
      <c r="N9228" s="44"/>
    </row>
    <row r="9229" spans="1:14" x14ac:dyDescent="0.3">
      <c r="A9229" s="42"/>
      <c r="C9229" s="52"/>
      <c r="D9229"/>
      <c r="E9229"/>
      <c r="F9229"/>
      <c r="N9229" s="44"/>
    </row>
    <row r="9230" spans="1:14" x14ac:dyDescent="0.3">
      <c r="A9230" s="42"/>
      <c r="C9230" s="52"/>
      <c r="D9230"/>
      <c r="E9230"/>
      <c r="F9230"/>
      <c r="N9230" s="44"/>
    </row>
    <row r="9231" spans="1:14" x14ac:dyDescent="0.3">
      <c r="A9231" s="42"/>
      <c r="C9231" s="52"/>
      <c r="D9231"/>
      <c r="E9231"/>
      <c r="F9231"/>
      <c r="N9231" s="44"/>
    </row>
    <row r="9232" spans="1:14" x14ac:dyDescent="0.3">
      <c r="A9232" s="42"/>
      <c r="C9232" s="52"/>
      <c r="D9232"/>
      <c r="E9232"/>
      <c r="F9232"/>
      <c r="N9232" s="44"/>
    </row>
    <row r="9233" spans="1:14" x14ac:dyDescent="0.3">
      <c r="A9233" s="42"/>
      <c r="C9233" s="52"/>
      <c r="D9233"/>
      <c r="E9233"/>
      <c r="F9233"/>
      <c r="M9233" s="45"/>
      <c r="N9233" s="44"/>
    </row>
    <row r="9234" spans="1:14" x14ac:dyDescent="0.3">
      <c r="A9234" s="42"/>
      <c r="C9234" s="52"/>
      <c r="D9234"/>
      <c r="E9234"/>
      <c r="F9234"/>
      <c r="N9234" s="44"/>
    </row>
    <row r="9235" spans="1:14" x14ac:dyDescent="0.3">
      <c r="A9235" s="42"/>
      <c r="C9235" s="52"/>
      <c r="D9235"/>
      <c r="E9235"/>
      <c r="F9235"/>
      <c r="N9235" s="44"/>
    </row>
    <row r="9236" spans="1:14" x14ac:dyDescent="0.3">
      <c r="A9236" s="42"/>
      <c r="C9236" s="52"/>
      <c r="D9236"/>
      <c r="E9236"/>
      <c r="F9236"/>
      <c r="N9236" s="44"/>
    </row>
    <row r="9237" spans="1:14" x14ac:dyDescent="0.3">
      <c r="A9237" s="42"/>
      <c r="C9237" s="52"/>
      <c r="D9237"/>
      <c r="E9237"/>
      <c r="F9237"/>
      <c r="N9237" s="44"/>
    </row>
    <row r="9238" spans="1:14" x14ac:dyDescent="0.3">
      <c r="A9238" s="42"/>
      <c r="C9238" s="52"/>
      <c r="D9238"/>
      <c r="E9238"/>
      <c r="F9238"/>
      <c r="N9238" s="44"/>
    </row>
    <row r="9239" spans="1:14" x14ac:dyDescent="0.3">
      <c r="A9239" s="42"/>
      <c r="C9239" s="52"/>
      <c r="D9239"/>
      <c r="E9239"/>
      <c r="F9239"/>
      <c r="N9239" s="44"/>
    </row>
    <row r="9240" spans="1:14" x14ac:dyDescent="0.3">
      <c r="A9240" s="42"/>
      <c r="C9240" s="52"/>
      <c r="D9240"/>
      <c r="E9240"/>
      <c r="F9240"/>
      <c r="N9240" s="44"/>
    </row>
    <row r="9241" spans="1:14" x14ac:dyDescent="0.3">
      <c r="A9241" s="42"/>
      <c r="C9241" s="52"/>
      <c r="D9241"/>
      <c r="E9241"/>
      <c r="F9241"/>
      <c r="N9241" s="44"/>
    </row>
    <row r="9242" spans="1:14" x14ac:dyDescent="0.3">
      <c r="A9242" s="42"/>
      <c r="C9242" s="52"/>
      <c r="D9242"/>
      <c r="E9242"/>
      <c r="F9242"/>
      <c r="N9242" s="44"/>
    </row>
    <row r="9243" spans="1:14" x14ac:dyDescent="0.3">
      <c r="A9243" s="42"/>
      <c r="C9243" s="52"/>
      <c r="D9243"/>
      <c r="E9243"/>
      <c r="F9243"/>
      <c r="N9243" s="44"/>
    </row>
    <row r="9244" spans="1:14" x14ac:dyDescent="0.3">
      <c r="A9244" s="42"/>
      <c r="C9244" s="52"/>
      <c r="D9244"/>
      <c r="E9244"/>
      <c r="F9244"/>
      <c r="N9244" s="44"/>
    </row>
    <row r="9245" spans="1:14" x14ac:dyDescent="0.3">
      <c r="A9245" s="42"/>
      <c r="C9245" s="52"/>
      <c r="D9245"/>
      <c r="E9245"/>
      <c r="F9245"/>
      <c r="N9245" s="44"/>
    </row>
    <row r="9246" spans="1:14" x14ac:dyDescent="0.3">
      <c r="A9246" s="42"/>
      <c r="C9246" s="52"/>
      <c r="D9246"/>
      <c r="E9246"/>
      <c r="F9246"/>
      <c r="N9246" s="44"/>
    </row>
    <row r="9247" spans="1:14" x14ac:dyDescent="0.3">
      <c r="A9247" s="42"/>
      <c r="C9247" s="52"/>
      <c r="D9247"/>
      <c r="E9247"/>
      <c r="F9247"/>
      <c r="N9247" s="44"/>
    </row>
    <row r="9248" spans="1:14" x14ac:dyDescent="0.3">
      <c r="A9248" s="42"/>
      <c r="C9248" s="52"/>
      <c r="D9248"/>
      <c r="E9248"/>
      <c r="F9248"/>
      <c r="N9248" s="44"/>
    </row>
    <row r="9249" spans="1:14" x14ac:dyDescent="0.3">
      <c r="A9249" s="42"/>
      <c r="C9249" s="52"/>
      <c r="D9249"/>
      <c r="E9249"/>
      <c r="F9249"/>
      <c r="N9249" s="44"/>
    </row>
    <row r="9250" spans="1:14" x14ac:dyDescent="0.3">
      <c r="A9250" s="42"/>
      <c r="C9250" s="52"/>
      <c r="D9250"/>
      <c r="E9250"/>
      <c r="F9250"/>
      <c r="N9250" s="44"/>
    </row>
    <row r="9251" spans="1:14" x14ac:dyDescent="0.3">
      <c r="A9251" s="42"/>
      <c r="C9251" s="52"/>
      <c r="D9251"/>
      <c r="E9251"/>
      <c r="F9251"/>
      <c r="N9251" s="44"/>
    </row>
    <row r="9252" spans="1:14" x14ac:dyDescent="0.3">
      <c r="A9252" s="42"/>
      <c r="C9252" s="52"/>
      <c r="D9252"/>
      <c r="E9252"/>
      <c r="F9252"/>
      <c r="N9252" s="44"/>
    </row>
    <row r="9253" spans="1:14" x14ac:dyDescent="0.3">
      <c r="A9253" s="42"/>
      <c r="C9253" s="52"/>
      <c r="D9253"/>
      <c r="E9253"/>
      <c r="F9253"/>
      <c r="N9253" s="44"/>
    </row>
    <row r="9254" spans="1:14" x14ac:dyDescent="0.3">
      <c r="A9254" s="42"/>
      <c r="C9254" s="52"/>
      <c r="D9254"/>
      <c r="E9254"/>
      <c r="F9254"/>
      <c r="N9254" s="44"/>
    </row>
    <row r="9255" spans="1:14" x14ac:dyDescent="0.3">
      <c r="A9255" s="42"/>
      <c r="C9255" s="52"/>
      <c r="D9255"/>
      <c r="E9255"/>
      <c r="F9255"/>
      <c r="N9255" s="44"/>
    </row>
    <row r="9256" spans="1:14" x14ac:dyDescent="0.3">
      <c r="A9256" s="42"/>
      <c r="C9256" s="52"/>
      <c r="D9256"/>
      <c r="E9256"/>
      <c r="F9256"/>
      <c r="N9256" s="44"/>
    </row>
    <row r="9257" spans="1:14" x14ac:dyDescent="0.3">
      <c r="A9257" s="42"/>
      <c r="C9257" s="52"/>
      <c r="D9257"/>
      <c r="E9257"/>
      <c r="F9257"/>
      <c r="N9257" s="44"/>
    </row>
    <row r="9258" spans="1:14" x14ac:dyDescent="0.3">
      <c r="A9258" s="42"/>
      <c r="C9258" s="52"/>
      <c r="D9258"/>
      <c r="E9258"/>
      <c r="F9258"/>
      <c r="N9258" s="44"/>
    </row>
    <row r="9259" spans="1:14" x14ac:dyDescent="0.3">
      <c r="A9259" s="42"/>
      <c r="C9259" s="52"/>
      <c r="D9259"/>
      <c r="E9259"/>
      <c r="F9259"/>
      <c r="N9259" s="44"/>
    </row>
    <row r="9260" spans="1:14" x14ac:dyDescent="0.3">
      <c r="A9260" s="42"/>
      <c r="C9260" s="52"/>
      <c r="D9260"/>
      <c r="E9260"/>
      <c r="F9260"/>
      <c r="N9260" s="44"/>
    </row>
    <row r="9261" spans="1:14" x14ac:dyDescent="0.3">
      <c r="A9261" s="42"/>
      <c r="C9261" s="52"/>
      <c r="D9261"/>
      <c r="E9261"/>
      <c r="F9261"/>
      <c r="N9261" s="44"/>
    </row>
    <row r="9262" spans="1:14" x14ac:dyDescent="0.3">
      <c r="A9262" s="42"/>
      <c r="C9262" s="52"/>
      <c r="D9262"/>
      <c r="E9262"/>
      <c r="F9262"/>
      <c r="N9262" s="44"/>
    </row>
    <row r="9263" spans="1:14" x14ac:dyDescent="0.3">
      <c r="A9263" s="42"/>
      <c r="C9263" s="52"/>
      <c r="D9263"/>
      <c r="E9263"/>
      <c r="F9263"/>
      <c r="N9263" s="44"/>
    </row>
    <row r="9264" spans="1:14" x14ac:dyDescent="0.3">
      <c r="A9264" s="42"/>
      <c r="C9264" s="52"/>
      <c r="D9264"/>
      <c r="E9264"/>
      <c r="F9264"/>
      <c r="N9264" s="44"/>
    </row>
    <row r="9265" spans="1:14" x14ac:dyDescent="0.3">
      <c r="A9265" s="42"/>
      <c r="C9265" s="52"/>
      <c r="D9265"/>
      <c r="E9265"/>
      <c r="F9265"/>
      <c r="N9265" s="44"/>
    </row>
    <row r="9266" spans="1:14" x14ac:dyDescent="0.3">
      <c r="A9266" s="42"/>
      <c r="C9266" s="52"/>
      <c r="D9266"/>
      <c r="E9266"/>
      <c r="F9266"/>
      <c r="N9266" s="44"/>
    </row>
    <row r="9267" spans="1:14" x14ac:dyDescent="0.3">
      <c r="A9267" s="42"/>
      <c r="C9267" s="52"/>
      <c r="D9267"/>
      <c r="E9267"/>
      <c r="F9267"/>
      <c r="N9267" s="44"/>
    </row>
    <row r="9268" spans="1:14" x14ac:dyDescent="0.3">
      <c r="A9268" s="42"/>
      <c r="C9268" s="52"/>
      <c r="D9268"/>
      <c r="E9268"/>
      <c r="F9268"/>
      <c r="N9268" s="44"/>
    </row>
    <row r="9269" spans="1:14" x14ac:dyDescent="0.3">
      <c r="A9269" s="42"/>
      <c r="C9269" s="52"/>
      <c r="D9269"/>
      <c r="E9269"/>
      <c r="F9269"/>
      <c r="N9269" s="44"/>
    </row>
    <row r="9270" spans="1:14" x14ac:dyDescent="0.3">
      <c r="A9270" s="42"/>
      <c r="C9270" s="52"/>
      <c r="D9270"/>
      <c r="E9270"/>
      <c r="F9270"/>
      <c r="N9270" s="44"/>
    </row>
    <row r="9271" spans="1:14" x14ac:dyDescent="0.3">
      <c r="A9271" s="42"/>
      <c r="C9271" s="52"/>
      <c r="D9271"/>
      <c r="E9271"/>
      <c r="F9271"/>
      <c r="M9271" s="45"/>
      <c r="N9271" s="44"/>
    </row>
    <row r="9272" spans="1:14" x14ac:dyDescent="0.3">
      <c r="A9272" s="42"/>
      <c r="C9272" s="52"/>
      <c r="D9272"/>
      <c r="E9272"/>
      <c r="F9272"/>
      <c r="N9272" s="44"/>
    </row>
    <row r="9273" spans="1:14" x14ac:dyDescent="0.3">
      <c r="A9273" s="42"/>
      <c r="C9273" s="52"/>
      <c r="D9273"/>
      <c r="E9273"/>
      <c r="F9273"/>
      <c r="N9273" s="44"/>
    </row>
    <row r="9274" spans="1:14" x14ac:dyDescent="0.3">
      <c r="A9274" s="42"/>
      <c r="C9274" s="52"/>
      <c r="D9274"/>
      <c r="E9274"/>
      <c r="F9274"/>
      <c r="N9274" s="44"/>
    </row>
    <row r="9275" spans="1:14" x14ac:dyDescent="0.3">
      <c r="A9275" s="42"/>
      <c r="C9275" s="52"/>
      <c r="D9275"/>
      <c r="E9275"/>
      <c r="F9275"/>
      <c r="N9275" s="44"/>
    </row>
    <row r="9276" spans="1:14" x14ac:dyDescent="0.3">
      <c r="A9276" s="42"/>
      <c r="C9276" s="52"/>
      <c r="D9276"/>
      <c r="E9276"/>
      <c r="F9276"/>
      <c r="N9276" s="44"/>
    </row>
    <row r="9277" spans="1:14" x14ac:dyDescent="0.3">
      <c r="A9277" s="42"/>
      <c r="C9277" s="52"/>
      <c r="D9277"/>
      <c r="E9277"/>
      <c r="F9277"/>
      <c r="N9277" s="44"/>
    </row>
    <row r="9278" spans="1:14" x14ac:dyDescent="0.3">
      <c r="A9278" s="42"/>
      <c r="C9278" s="52"/>
      <c r="D9278"/>
      <c r="E9278"/>
      <c r="F9278"/>
      <c r="N9278" s="44"/>
    </row>
    <row r="9279" spans="1:14" x14ac:dyDescent="0.3">
      <c r="A9279" s="42"/>
      <c r="C9279" s="52"/>
      <c r="D9279"/>
      <c r="E9279"/>
      <c r="F9279"/>
      <c r="N9279" s="44"/>
    </row>
    <row r="9280" spans="1:14" x14ac:dyDescent="0.3">
      <c r="A9280" s="42"/>
      <c r="C9280" s="52"/>
      <c r="D9280"/>
      <c r="E9280"/>
      <c r="F9280"/>
      <c r="N9280" s="44"/>
    </row>
    <row r="9281" spans="1:14" x14ac:dyDescent="0.3">
      <c r="A9281" s="42"/>
      <c r="C9281" s="52"/>
      <c r="D9281"/>
      <c r="E9281"/>
      <c r="F9281"/>
      <c r="N9281" s="44"/>
    </row>
    <row r="9282" spans="1:14" x14ac:dyDescent="0.3">
      <c r="A9282" s="42"/>
      <c r="C9282" s="52"/>
      <c r="D9282"/>
      <c r="E9282"/>
      <c r="F9282"/>
      <c r="N9282" s="44"/>
    </row>
    <row r="9283" spans="1:14" x14ac:dyDescent="0.3">
      <c r="A9283" s="42"/>
      <c r="C9283" s="52"/>
      <c r="D9283"/>
      <c r="E9283"/>
      <c r="F9283"/>
      <c r="N9283" s="44"/>
    </row>
    <row r="9284" spans="1:14" x14ac:dyDescent="0.3">
      <c r="A9284" s="42"/>
      <c r="C9284" s="52"/>
      <c r="D9284"/>
      <c r="E9284"/>
      <c r="F9284"/>
      <c r="N9284" s="44"/>
    </row>
    <row r="9285" spans="1:14" x14ac:dyDescent="0.3">
      <c r="A9285" s="42"/>
      <c r="C9285" s="52"/>
      <c r="D9285"/>
      <c r="E9285"/>
      <c r="F9285"/>
      <c r="N9285" s="44"/>
    </row>
    <row r="9286" spans="1:14" x14ac:dyDescent="0.3">
      <c r="A9286" s="42"/>
      <c r="C9286" s="52"/>
      <c r="D9286"/>
      <c r="E9286"/>
      <c r="F9286"/>
      <c r="N9286" s="44"/>
    </row>
    <row r="9287" spans="1:14" x14ac:dyDescent="0.3">
      <c r="A9287" s="42"/>
      <c r="C9287" s="52"/>
      <c r="D9287"/>
      <c r="E9287"/>
      <c r="F9287"/>
      <c r="N9287" s="44"/>
    </row>
    <row r="9288" spans="1:14" x14ac:dyDescent="0.3">
      <c r="A9288" s="42"/>
      <c r="C9288" s="52"/>
      <c r="D9288"/>
      <c r="E9288"/>
      <c r="F9288"/>
      <c r="N9288" s="44"/>
    </row>
    <row r="9289" spans="1:14" x14ac:dyDescent="0.3">
      <c r="A9289" s="42"/>
      <c r="C9289" s="52"/>
      <c r="D9289"/>
      <c r="E9289"/>
      <c r="F9289"/>
      <c r="N9289" s="44"/>
    </row>
    <row r="9290" spans="1:14" x14ac:dyDescent="0.3">
      <c r="A9290" s="42"/>
      <c r="C9290" s="52"/>
      <c r="D9290"/>
      <c r="E9290"/>
      <c r="F9290"/>
      <c r="N9290" s="44"/>
    </row>
    <row r="9291" spans="1:14" x14ac:dyDescent="0.3">
      <c r="A9291" s="42"/>
      <c r="C9291" s="52"/>
      <c r="D9291"/>
      <c r="E9291"/>
      <c r="F9291"/>
      <c r="N9291" s="44"/>
    </row>
    <row r="9292" spans="1:14" x14ac:dyDescent="0.3">
      <c r="A9292" s="42"/>
      <c r="C9292" s="52"/>
      <c r="D9292"/>
      <c r="E9292"/>
      <c r="F9292"/>
      <c r="N9292" s="44"/>
    </row>
    <row r="9293" spans="1:14" x14ac:dyDescent="0.3">
      <c r="A9293" s="42"/>
      <c r="C9293" s="52"/>
      <c r="D9293"/>
      <c r="E9293"/>
      <c r="F9293"/>
      <c r="N9293" s="44"/>
    </row>
    <row r="9294" spans="1:14" x14ac:dyDescent="0.3">
      <c r="A9294" s="42"/>
      <c r="C9294" s="52"/>
      <c r="D9294"/>
      <c r="E9294"/>
      <c r="F9294"/>
      <c r="N9294" s="44"/>
    </row>
    <row r="9295" spans="1:14" x14ac:dyDescent="0.3">
      <c r="A9295" s="42"/>
      <c r="C9295" s="52"/>
      <c r="D9295"/>
      <c r="E9295"/>
      <c r="F9295"/>
      <c r="N9295" s="44"/>
    </row>
    <row r="9296" spans="1:14" x14ac:dyDescent="0.3">
      <c r="A9296" s="42"/>
      <c r="C9296" s="52"/>
      <c r="D9296"/>
      <c r="E9296"/>
      <c r="F9296"/>
      <c r="N9296" s="44"/>
    </row>
    <row r="9297" spans="1:14" x14ac:dyDescent="0.3">
      <c r="A9297" s="42"/>
      <c r="C9297" s="52"/>
      <c r="D9297"/>
      <c r="E9297"/>
      <c r="F9297"/>
      <c r="N9297" s="44"/>
    </row>
    <row r="9298" spans="1:14" x14ac:dyDescent="0.3">
      <c r="A9298" s="42"/>
      <c r="C9298" s="52"/>
      <c r="D9298"/>
      <c r="E9298"/>
      <c r="F9298"/>
      <c r="N9298" s="44"/>
    </row>
    <row r="9299" spans="1:14" x14ac:dyDescent="0.3">
      <c r="A9299" s="42"/>
      <c r="C9299" s="52"/>
      <c r="D9299"/>
      <c r="E9299"/>
      <c r="F9299"/>
      <c r="N9299" s="44"/>
    </row>
    <row r="9300" spans="1:14" x14ac:dyDescent="0.3">
      <c r="A9300" s="42"/>
      <c r="C9300" s="52"/>
      <c r="D9300"/>
      <c r="E9300"/>
      <c r="F9300"/>
      <c r="N9300" s="44"/>
    </row>
    <row r="9301" spans="1:14" x14ac:dyDescent="0.3">
      <c r="A9301" s="42"/>
      <c r="C9301" s="52"/>
      <c r="D9301"/>
      <c r="E9301"/>
      <c r="F9301"/>
      <c r="N9301" s="44"/>
    </row>
    <row r="9302" spans="1:14" x14ac:dyDescent="0.3">
      <c r="A9302" s="42"/>
      <c r="C9302" s="52"/>
      <c r="D9302"/>
      <c r="E9302"/>
      <c r="F9302"/>
      <c r="N9302" s="44"/>
    </row>
    <row r="9303" spans="1:14" x14ac:dyDescent="0.3">
      <c r="A9303" s="42"/>
      <c r="C9303" s="52"/>
      <c r="D9303"/>
      <c r="E9303"/>
      <c r="F9303"/>
      <c r="N9303" s="44"/>
    </row>
    <row r="9304" spans="1:14" x14ac:dyDescent="0.3">
      <c r="A9304" s="42"/>
      <c r="C9304" s="52"/>
      <c r="D9304"/>
      <c r="E9304"/>
      <c r="F9304"/>
      <c r="N9304" s="44"/>
    </row>
    <row r="9305" spans="1:14" x14ac:dyDescent="0.3">
      <c r="A9305" s="42"/>
      <c r="C9305" s="52"/>
      <c r="D9305"/>
      <c r="E9305"/>
      <c r="F9305"/>
      <c r="N9305" s="44"/>
    </row>
    <row r="9306" spans="1:14" x14ac:dyDescent="0.3">
      <c r="A9306" s="42"/>
      <c r="C9306" s="52"/>
      <c r="D9306"/>
      <c r="E9306"/>
      <c r="F9306"/>
      <c r="N9306" s="44"/>
    </row>
    <row r="9307" spans="1:14" x14ac:dyDescent="0.3">
      <c r="A9307" s="42"/>
      <c r="C9307" s="52"/>
      <c r="D9307"/>
      <c r="E9307"/>
      <c r="F9307"/>
      <c r="N9307" s="44"/>
    </row>
    <row r="9308" spans="1:14" x14ac:dyDescent="0.3">
      <c r="A9308" s="42"/>
      <c r="C9308" s="52"/>
      <c r="D9308"/>
      <c r="E9308"/>
      <c r="F9308"/>
      <c r="N9308" s="44"/>
    </row>
    <row r="9309" spans="1:14" x14ac:dyDescent="0.3">
      <c r="A9309" s="42"/>
      <c r="C9309" s="52"/>
      <c r="D9309"/>
      <c r="E9309"/>
      <c r="F9309"/>
      <c r="N9309" s="44"/>
    </row>
    <row r="9310" spans="1:14" x14ac:dyDescent="0.3">
      <c r="A9310" s="42"/>
      <c r="C9310" s="52"/>
      <c r="D9310"/>
      <c r="E9310"/>
      <c r="F9310"/>
      <c r="N9310" s="44"/>
    </row>
    <row r="9311" spans="1:14" x14ac:dyDescent="0.3">
      <c r="A9311" s="42"/>
      <c r="C9311" s="52"/>
      <c r="D9311"/>
      <c r="E9311"/>
      <c r="F9311"/>
      <c r="N9311" s="44"/>
    </row>
    <row r="9312" spans="1:14" x14ac:dyDescent="0.3">
      <c r="A9312" s="42"/>
      <c r="C9312" s="52"/>
      <c r="D9312"/>
      <c r="E9312"/>
      <c r="F9312"/>
      <c r="N9312" s="44"/>
    </row>
    <row r="9313" spans="1:14" x14ac:dyDescent="0.3">
      <c r="A9313" s="42"/>
      <c r="C9313" s="52"/>
      <c r="D9313"/>
      <c r="E9313"/>
      <c r="F9313"/>
      <c r="N9313" s="44"/>
    </row>
    <row r="9314" spans="1:14" x14ac:dyDescent="0.3">
      <c r="A9314" s="42"/>
      <c r="C9314" s="52"/>
      <c r="D9314"/>
      <c r="E9314"/>
      <c r="F9314"/>
      <c r="M9314" s="45"/>
      <c r="N9314" s="44"/>
    </row>
    <row r="9315" spans="1:14" x14ac:dyDescent="0.3">
      <c r="A9315" s="42"/>
      <c r="C9315" s="52"/>
      <c r="D9315"/>
      <c r="E9315"/>
      <c r="F9315"/>
      <c r="N9315" s="44"/>
    </row>
    <row r="9316" spans="1:14" x14ac:dyDescent="0.3">
      <c r="A9316" s="42"/>
      <c r="C9316" s="52"/>
      <c r="D9316"/>
      <c r="E9316"/>
      <c r="F9316"/>
      <c r="N9316" s="44"/>
    </row>
    <row r="9317" spans="1:14" x14ac:dyDescent="0.3">
      <c r="A9317" s="42"/>
      <c r="C9317" s="52"/>
      <c r="D9317"/>
      <c r="E9317"/>
      <c r="F9317"/>
      <c r="N9317" s="44"/>
    </row>
    <row r="9318" spans="1:14" x14ac:dyDescent="0.3">
      <c r="A9318" s="42"/>
      <c r="C9318" s="52"/>
      <c r="D9318"/>
      <c r="E9318"/>
      <c r="F9318"/>
      <c r="N9318" s="44"/>
    </row>
    <row r="9319" spans="1:14" x14ac:dyDescent="0.3">
      <c r="A9319" s="42"/>
      <c r="C9319" s="52"/>
      <c r="D9319"/>
      <c r="E9319"/>
      <c r="F9319"/>
      <c r="N9319" s="44"/>
    </row>
    <row r="9320" spans="1:14" x14ac:dyDescent="0.3">
      <c r="A9320" s="42"/>
      <c r="C9320" s="52"/>
      <c r="D9320"/>
      <c r="E9320"/>
      <c r="F9320"/>
      <c r="N9320" s="44"/>
    </row>
    <row r="9321" spans="1:14" x14ac:dyDescent="0.3">
      <c r="A9321" s="42"/>
      <c r="C9321" s="52"/>
      <c r="D9321"/>
      <c r="E9321"/>
      <c r="F9321"/>
      <c r="N9321" s="44"/>
    </row>
    <row r="9322" spans="1:14" x14ac:dyDescent="0.3">
      <c r="A9322" s="42"/>
      <c r="C9322" s="52"/>
      <c r="D9322"/>
      <c r="E9322"/>
      <c r="F9322"/>
      <c r="N9322" s="44"/>
    </row>
    <row r="9323" spans="1:14" x14ac:dyDescent="0.3">
      <c r="A9323" s="42"/>
      <c r="C9323" s="52"/>
      <c r="D9323"/>
      <c r="E9323"/>
      <c r="F9323"/>
      <c r="N9323" s="44"/>
    </row>
    <row r="9324" spans="1:14" x14ac:dyDescent="0.3">
      <c r="A9324" s="42"/>
      <c r="C9324" s="52"/>
      <c r="D9324"/>
      <c r="E9324"/>
      <c r="F9324"/>
      <c r="N9324" s="44"/>
    </row>
    <row r="9325" spans="1:14" x14ac:dyDescent="0.3">
      <c r="A9325" s="42"/>
      <c r="C9325" s="52"/>
      <c r="D9325"/>
      <c r="E9325"/>
      <c r="F9325"/>
      <c r="N9325" s="44"/>
    </row>
    <row r="9326" spans="1:14" x14ac:dyDescent="0.3">
      <c r="A9326" s="42"/>
      <c r="C9326" s="52"/>
      <c r="D9326"/>
      <c r="E9326"/>
      <c r="F9326"/>
      <c r="N9326" s="44"/>
    </row>
    <row r="9327" spans="1:14" x14ac:dyDescent="0.3">
      <c r="A9327" s="42"/>
      <c r="C9327" s="52"/>
      <c r="D9327"/>
      <c r="E9327"/>
      <c r="F9327"/>
      <c r="N9327" s="44"/>
    </row>
    <row r="9328" spans="1:14" x14ac:dyDescent="0.3">
      <c r="A9328" s="42"/>
      <c r="C9328" s="52"/>
      <c r="D9328"/>
      <c r="E9328"/>
      <c r="F9328"/>
      <c r="N9328" s="44"/>
    </row>
    <row r="9329" spans="1:14" x14ac:dyDescent="0.3">
      <c r="A9329" s="42"/>
      <c r="C9329" s="52"/>
      <c r="D9329"/>
      <c r="E9329"/>
      <c r="F9329"/>
      <c r="N9329" s="44"/>
    </row>
    <row r="9330" spans="1:14" x14ac:dyDescent="0.3">
      <c r="A9330" s="42"/>
      <c r="C9330" s="52"/>
      <c r="D9330"/>
      <c r="E9330"/>
      <c r="F9330"/>
      <c r="N9330" s="44"/>
    </row>
    <row r="9331" spans="1:14" x14ac:dyDescent="0.3">
      <c r="A9331" s="42"/>
      <c r="C9331" s="52"/>
      <c r="D9331"/>
      <c r="E9331"/>
      <c r="F9331"/>
      <c r="N9331" s="44"/>
    </row>
    <row r="9332" spans="1:14" x14ac:dyDescent="0.3">
      <c r="A9332" s="42"/>
      <c r="C9332" s="52"/>
      <c r="D9332"/>
      <c r="E9332"/>
      <c r="F9332"/>
      <c r="N9332" s="44"/>
    </row>
    <row r="9333" spans="1:14" x14ac:dyDescent="0.3">
      <c r="A9333" s="42"/>
      <c r="C9333" s="52"/>
      <c r="D9333"/>
      <c r="E9333"/>
      <c r="F9333"/>
      <c r="N9333" s="44"/>
    </row>
    <row r="9334" spans="1:14" x14ac:dyDescent="0.3">
      <c r="A9334" s="42"/>
      <c r="C9334" s="52"/>
      <c r="D9334"/>
      <c r="E9334"/>
      <c r="F9334"/>
      <c r="N9334" s="44"/>
    </row>
    <row r="9335" spans="1:14" x14ac:dyDescent="0.3">
      <c r="A9335" s="42"/>
      <c r="C9335" s="52"/>
      <c r="D9335"/>
      <c r="E9335"/>
      <c r="F9335"/>
      <c r="N9335" s="44"/>
    </row>
    <row r="9336" spans="1:14" x14ac:dyDescent="0.3">
      <c r="A9336" s="42"/>
      <c r="C9336" s="52"/>
      <c r="D9336"/>
      <c r="E9336"/>
      <c r="F9336"/>
      <c r="N9336" s="44"/>
    </row>
    <row r="9337" spans="1:14" x14ac:dyDescent="0.3">
      <c r="A9337" s="42"/>
      <c r="C9337" s="52"/>
      <c r="D9337"/>
      <c r="E9337"/>
      <c r="F9337"/>
      <c r="N9337" s="44"/>
    </row>
    <row r="9338" spans="1:14" x14ac:dyDescent="0.3">
      <c r="A9338" s="42"/>
      <c r="C9338" s="52"/>
      <c r="D9338"/>
      <c r="E9338"/>
      <c r="F9338"/>
      <c r="N9338" s="44"/>
    </row>
    <row r="9339" spans="1:14" x14ac:dyDescent="0.3">
      <c r="A9339" s="42"/>
      <c r="C9339" s="52"/>
      <c r="D9339"/>
      <c r="E9339"/>
      <c r="F9339"/>
      <c r="N9339" s="44"/>
    </row>
    <row r="9340" spans="1:14" x14ac:dyDescent="0.3">
      <c r="A9340" s="42"/>
      <c r="C9340" s="52"/>
      <c r="D9340"/>
      <c r="E9340"/>
      <c r="F9340"/>
      <c r="N9340" s="44"/>
    </row>
    <row r="9341" spans="1:14" x14ac:dyDescent="0.3">
      <c r="A9341" s="42"/>
      <c r="C9341" s="52"/>
      <c r="D9341"/>
      <c r="E9341"/>
      <c r="F9341"/>
      <c r="N9341" s="44"/>
    </row>
    <row r="9342" spans="1:14" x14ac:dyDescent="0.3">
      <c r="A9342" s="42"/>
      <c r="C9342" s="52"/>
      <c r="D9342"/>
      <c r="E9342"/>
      <c r="F9342"/>
      <c r="N9342" s="44"/>
    </row>
    <row r="9343" spans="1:14" x14ac:dyDescent="0.3">
      <c r="A9343" s="42"/>
      <c r="C9343" s="52"/>
      <c r="D9343"/>
      <c r="E9343"/>
      <c r="F9343"/>
      <c r="N9343" s="44"/>
    </row>
    <row r="9344" spans="1:14" x14ac:dyDescent="0.3">
      <c r="A9344" s="42"/>
      <c r="C9344" s="52"/>
      <c r="D9344"/>
      <c r="E9344"/>
      <c r="F9344"/>
      <c r="N9344" s="44"/>
    </row>
    <row r="9345" spans="1:14" x14ac:dyDescent="0.3">
      <c r="A9345" s="42"/>
      <c r="C9345" s="52"/>
      <c r="D9345"/>
      <c r="E9345"/>
      <c r="F9345"/>
      <c r="N9345" s="44"/>
    </row>
    <row r="9346" spans="1:14" x14ac:dyDescent="0.3">
      <c r="A9346" s="42"/>
      <c r="C9346" s="52"/>
      <c r="D9346"/>
      <c r="E9346"/>
      <c r="F9346"/>
      <c r="N9346" s="44"/>
    </row>
    <row r="9347" spans="1:14" x14ac:dyDescent="0.3">
      <c r="A9347" s="42"/>
      <c r="C9347" s="52"/>
      <c r="D9347"/>
      <c r="E9347"/>
      <c r="F9347"/>
      <c r="N9347" s="44"/>
    </row>
    <row r="9348" spans="1:14" x14ac:dyDescent="0.3">
      <c r="A9348" s="42"/>
      <c r="C9348" s="52"/>
      <c r="D9348"/>
      <c r="E9348"/>
      <c r="F9348"/>
      <c r="N9348" s="44"/>
    </row>
    <row r="9349" spans="1:14" x14ac:dyDescent="0.3">
      <c r="A9349" s="42"/>
      <c r="C9349" s="52"/>
      <c r="D9349"/>
      <c r="E9349"/>
      <c r="F9349"/>
      <c r="N9349" s="44"/>
    </row>
    <row r="9350" spans="1:14" x14ac:dyDescent="0.3">
      <c r="A9350" s="42"/>
      <c r="C9350" s="52"/>
      <c r="D9350"/>
      <c r="E9350"/>
      <c r="F9350"/>
      <c r="N9350" s="44"/>
    </row>
    <row r="9351" spans="1:14" x14ac:dyDescent="0.3">
      <c r="A9351" s="42"/>
      <c r="C9351" s="52"/>
      <c r="D9351"/>
      <c r="E9351"/>
      <c r="F9351"/>
      <c r="N9351" s="44"/>
    </row>
    <row r="9352" spans="1:14" x14ac:dyDescent="0.3">
      <c r="A9352" s="42"/>
      <c r="C9352" s="52"/>
      <c r="D9352"/>
      <c r="E9352"/>
      <c r="F9352"/>
      <c r="N9352" s="44"/>
    </row>
    <row r="9353" spans="1:14" x14ac:dyDescent="0.3">
      <c r="A9353" s="42"/>
      <c r="C9353" s="52"/>
      <c r="D9353"/>
      <c r="E9353"/>
      <c r="F9353"/>
      <c r="N9353" s="44"/>
    </row>
    <row r="9354" spans="1:14" x14ac:dyDescent="0.3">
      <c r="A9354" s="42"/>
      <c r="C9354" s="52"/>
      <c r="D9354"/>
      <c r="E9354"/>
      <c r="F9354"/>
      <c r="N9354" s="44"/>
    </row>
    <row r="9355" spans="1:14" x14ac:dyDescent="0.3">
      <c r="A9355" s="42"/>
      <c r="C9355" s="52"/>
      <c r="D9355"/>
      <c r="E9355"/>
      <c r="F9355"/>
      <c r="N9355" s="44"/>
    </row>
    <row r="9356" spans="1:14" x14ac:dyDescent="0.3">
      <c r="A9356" s="42"/>
      <c r="C9356" s="52"/>
      <c r="D9356"/>
      <c r="E9356"/>
      <c r="F9356"/>
      <c r="N9356" s="44"/>
    </row>
    <row r="9357" spans="1:14" x14ac:dyDescent="0.3">
      <c r="A9357" s="42"/>
      <c r="C9357" s="52"/>
      <c r="D9357"/>
      <c r="E9357"/>
      <c r="F9357"/>
      <c r="N9357" s="44"/>
    </row>
    <row r="9358" spans="1:14" x14ac:dyDescent="0.3">
      <c r="A9358" s="42"/>
      <c r="C9358" s="52"/>
      <c r="D9358"/>
      <c r="E9358"/>
      <c r="F9358"/>
      <c r="N9358" s="44"/>
    </row>
    <row r="9359" spans="1:14" x14ac:dyDescent="0.3">
      <c r="A9359" s="42"/>
      <c r="C9359" s="52"/>
      <c r="D9359"/>
      <c r="E9359"/>
      <c r="F9359"/>
      <c r="N9359" s="44"/>
    </row>
    <row r="9360" spans="1:14" x14ac:dyDescent="0.3">
      <c r="A9360" s="42"/>
      <c r="C9360" s="52"/>
      <c r="D9360"/>
      <c r="E9360"/>
      <c r="F9360"/>
      <c r="N9360" s="44"/>
    </row>
    <row r="9361" spans="1:14" x14ac:dyDescent="0.3">
      <c r="A9361" s="42"/>
      <c r="C9361" s="52"/>
      <c r="D9361"/>
      <c r="E9361"/>
      <c r="F9361"/>
      <c r="N9361" s="44"/>
    </row>
    <row r="9362" spans="1:14" x14ac:dyDescent="0.3">
      <c r="A9362" s="42"/>
      <c r="C9362" s="52"/>
      <c r="D9362"/>
      <c r="E9362"/>
      <c r="F9362"/>
      <c r="N9362" s="44"/>
    </row>
    <row r="9363" spans="1:14" x14ac:dyDescent="0.3">
      <c r="A9363" s="42"/>
      <c r="C9363" s="52"/>
      <c r="D9363"/>
      <c r="E9363"/>
      <c r="F9363"/>
      <c r="N9363" s="44"/>
    </row>
    <row r="9364" spans="1:14" x14ac:dyDescent="0.3">
      <c r="A9364" s="42"/>
      <c r="C9364" s="52"/>
      <c r="D9364"/>
      <c r="E9364"/>
      <c r="F9364"/>
      <c r="N9364" s="44"/>
    </row>
    <row r="9365" spans="1:14" x14ac:dyDescent="0.3">
      <c r="A9365" s="42"/>
      <c r="C9365" s="52"/>
      <c r="D9365"/>
      <c r="E9365"/>
      <c r="F9365"/>
      <c r="N9365" s="44"/>
    </row>
    <row r="9366" spans="1:14" x14ac:dyDescent="0.3">
      <c r="A9366" s="42"/>
      <c r="C9366" s="52"/>
      <c r="D9366"/>
      <c r="E9366"/>
      <c r="F9366"/>
      <c r="N9366" s="44"/>
    </row>
    <row r="9367" spans="1:14" x14ac:dyDescent="0.3">
      <c r="A9367" s="42"/>
      <c r="C9367" s="52"/>
      <c r="D9367"/>
      <c r="E9367"/>
      <c r="F9367"/>
      <c r="N9367" s="44"/>
    </row>
    <row r="9368" spans="1:14" x14ac:dyDescent="0.3">
      <c r="A9368" s="42"/>
      <c r="C9368" s="52"/>
      <c r="D9368"/>
      <c r="E9368"/>
      <c r="F9368"/>
      <c r="N9368" s="44"/>
    </row>
    <row r="9369" spans="1:14" x14ac:dyDescent="0.3">
      <c r="A9369" s="42"/>
      <c r="C9369" s="52"/>
      <c r="D9369"/>
      <c r="E9369"/>
      <c r="F9369"/>
      <c r="N9369" s="44"/>
    </row>
    <row r="9370" spans="1:14" x14ac:dyDescent="0.3">
      <c r="A9370" s="42"/>
      <c r="C9370" s="52"/>
      <c r="D9370"/>
      <c r="E9370"/>
      <c r="F9370"/>
      <c r="N9370" s="44"/>
    </row>
    <row r="9371" spans="1:14" x14ac:dyDescent="0.3">
      <c r="A9371" s="42"/>
      <c r="C9371" s="52"/>
      <c r="D9371"/>
      <c r="E9371"/>
      <c r="F9371"/>
      <c r="N9371" s="44"/>
    </row>
    <row r="9372" spans="1:14" x14ac:dyDescent="0.3">
      <c r="A9372" s="42"/>
      <c r="C9372" s="52"/>
      <c r="D9372"/>
      <c r="E9372"/>
      <c r="F9372"/>
      <c r="N9372" s="44"/>
    </row>
    <row r="9373" spans="1:14" x14ac:dyDescent="0.3">
      <c r="A9373" s="42"/>
      <c r="C9373" s="52"/>
      <c r="D9373"/>
      <c r="E9373"/>
      <c r="F9373"/>
      <c r="N9373" s="44"/>
    </row>
    <row r="9374" spans="1:14" x14ac:dyDescent="0.3">
      <c r="A9374" s="42"/>
      <c r="C9374" s="52"/>
      <c r="D9374"/>
      <c r="E9374"/>
      <c r="F9374"/>
      <c r="N9374" s="44"/>
    </row>
    <row r="9375" spans="1:14" x14ac:dyDescent="0.3">
      <c r="A9375" s="42"/>
      <c r="C9375" s="52"/>
      <c r="D9375"/>
      <c r="E9375"/>
      <c r="F9375"/>
      <c r="N9375" s="44"/>
    </row>
    <row r="9376" spans="1:14" x14ac:dyDescent="0.3">
      <c r="A9376" s="42"/>
      <c r="C9376" s="52"/>
      <c r="D9376"/>
      <c r="E9376"/>
      <c r="F9376"/>
      <c r="N9376" s="44"/>
    </row>
    <row r="9377" spans="1:14" x14ac:dyDescent="0.3">
      <c r="A9377" s="42"/>
      <c r="C9377" s="52"/>
      <c r="D9377"/>
      <c r="E9377"/>
      <c r="F9377"/>
      <c r="N9377" s="44"/>
    </row>
    <row r="9378" spans="1:14" x14ac:dyDescent="0.3">
      <c r="A9378" s="42"/>
      <c r="C9378" s="52"/>
      <c r="D9378"/>
      <c r="E9378"/>
      <c r="F9378"/>
      <c r="N9378" s="44"/>
    </row>
    <row r="9379" spans="1:14" x14ac:dyDescent="0.3">
      <c r="A9379" s="42"/>
      <c r="C9379" s="52"/>
      <c r="D9379"/>
      <c r="E9379"/>
      <c r="F9379"/>
      <c r="N9379" s="44"/>
    </row>
    <row r="9380" spans="1:14" x14ac:dyDescent="0.3">
      <c r="A9380" s="42"/>
      <c r="C9380" s="52"/>
      <c r="D9380"/>
      <c r="E9380"/>
      <c r="F9380"/>
      <c r="N9380" s="44"/>
    </row>
    <row r="9381" spans="1:14" x14ac:dyDescent="0.3">
      <c r="A9381" s="42"/>
      <c r="C9381" s="52"/>
      <c r="D9381"/>
      <c r="E9381"/>
      <c r="F9381"/>
      <c r="N9381" s="44"/>
    </row>
    <row r="9382" spans="1:14" x14ac:dyDescent="0.3">
      <c r="A9382" s="42"/>
      <c r="C9382" s="52"/>
      <c r="D9382"/>
      <c r="E9382"/>
      <c r="F9382"/>
      <c r="N9382" s="44"/>
    </row>
    <row r="9383" spans="1:14" x14ac:dyDescent="0.3">
      <c r="A9383" s="42"/>
      <c r="C9383" s="52"/>
      <c r="D9383"/>
      <c r="E9383"/>
      <c r="F9383"/>
      <c r="N9383" s="44"/>
    </row>
    <row r="9384" spans="1:14" x14ac:dyDescent="0.3">
      <c r="A9384" s="42"/>
      <c r="C9384" s="52"/>
      <c r="D9384"/>
      <c r="E9384"/>
      <c r="F9384"/>
      <c r="N9384" s="44"/>
    </row>
    <row r="9385" spans="1:14" x14ac:dyDescent="0.3">
      <c r="A9385" s="42"/>
      <c r="C9385" s="52"/>
      <c r="D9385"/>
      <c r="E9385"/>
      <c r="F9385"/>
      <c r="N9385" s="44"/>
    </row>
    <row r="9386" spans="1:14" x14ac:dyDescent="0.3">
      <c r="A9386" s="42"/>
      <c r="C9386" s="52"/>
      <c r="D9386"/>
      <c r="E9386"/>
      <c r="F9386"/>
      <c r="N9386" s="44"/>
    </row>
    <row r="9387" spans="1:14" x14ac:dyDescent="0.3">
      <c r="A9387" s="42"/>
      <c r="C9387" s="52"/>
      <c r="D9387"/>
      <c r="E9387"/>
      <c r="F9387"/>
      <c r="N9387" s="44"/>
    </row>
    <row r="9388" spans="1:14" x14ac:dyDescent="0.3">
      <c r="A9388" s="42"/>
      <c r="C9388" s="52"/>
      <c r="D9388"/>
      <c r="E9388"/>
      <c r="F9388"/>
      <c r="N9388" s="44"/>
    </row>
    <row r="9389" spans="1:14" x14ac:dyDescent="0.3">
      <c r="A9389" s="42"/>
      <c r="C9389" s="52"/>
      <c r="D9389"/>
      <c r="E9389"/>
      <c r="F9389"/>
      <c r="N9389" s="44"/>
    </row>
    <row r="9390" spans="1:14" x14ac:dyDescent="0.3">
      <c r="A9390" s="42"/>
      <c r="C9390" s="52"/>
      <c r="D9390"/>
      <c r="E9390"/>
      <c r="F9390"/>
      <c r="N9390" s="44"/>
    </row>
    <row r="9391" spans="1:14" x14ac:dyDescent="0.3">
      <c r="A9391" s="42"/>
      <c r="C9391" s="52"/>
      <c r="D9391"/>
      <c r="E9391"/>
      <c r="F9391"/>
      <c r="N9391" s="44"/>
    </row>
    <row r="9392" spans="1:14" x14ac:dyDescent="0.3">
      <c r="A9392" s="42"/>
      <c r="C9392" s="52"/>
      <c r="D9392"/>
      <c r="E9392"/>
      <c r="F9392"/>
      <c r="N9392" s="44"/>
    </row>
    <row r="9393" spans="1:14" x14ac:dyDescent="0.3">
      <c r="A9393" s="42"/>
      <c r="C9393" s="52"/>
      <c r="D9393"/>
      <c r="E9393"/>
      <c r="F9393"/>
      <c r="N9393" s="44"/>
    </row>
    <row r="9394" spans="1:14" x14ac:dyDescent="0.3">
      <c r="A9394" s="42"/>
      <c r="C9394" s="52"/>
      <c r="D9394"/>
      <c r="E9394"/>
      <c r="F9394"/>
      <c r="N9394" s="44"/>
    </row>
    <row r="9395" spans="1:14" x14ac:dyDescent="0.3">
      <c r="A9395" s="42"/>
      <c r="C9395" s="52"/>
      <c r="D9395"/>
      <c r="E9395"/>
      <c r="F9395"/>
      <c r="N9395" s="44"/>
    </row>
    <row r="9396" spans="1:14" x14ac:dyDescent="0.3">
      <c r="A9396" s="42"/>
      <c r="C9396" s="52"/>
      <c r="D9396"/>
      <c r="E9396"/>
      <c r="F9396"/>
      <c r="N9396" s="44"/>
    </row>
    <row r="9397" spans="1:14" x14ac:dyDescent="0.3">
      <c r="A9397" s="42"/>
      <c r="C9397" s="52"/>
      <c r="D9397"/>
      <c r="E9397"/>
      <c r="F9397"/>
      <c r="N9397" s="44"/>
    </row>
    <row r="9398" spans="1:14" x14ac:dyDescent="0.3">
      <c r="A9398" s="42"/>
      <c r="C9398" s="52"/>
      <c r="D9398"/>
      <c r="E9398"/>
      <c r="F9398"/>
      <c r="N9398" s="44"/>
    </row>
    <row r="9399" spans="1:14" x14ac:dyDescent="0.3">
      <c r="A9399" s="42"/>
      <c r="C9399" s="52"/>
      <c r="D9399"/>
      <c r="E9399"/>
      <c r="F9399"/>
      <c r="N9399" s="44"/>
    </row>
    <row r="9400" spans="1:14" x14ac:dyDescent="0.3">
      <c r="A9400" s="42"/>
      <c r="C9400" s="52"/>
      <c r="D9400"/>
      <c r="E9400"/>
      <c r="F9400"/>
      <c r="N9400" s="44"/>
    </row>
    <row r="9401" spans="1:14" x14ac:dyDescent="0.3">
      <c r="A9401" s="42"/>
      <c r="C9401" s="52"/>
      <c r="D9401"/>
      <c r="E9401"/>
      <c r="F9401"/>
      <c r="N9401" s="44"/>
    </row>
    <row r="9402" spans="1:14" x14ac:dyDescent="0.3">
      <c r="A9402" s="42"/>
      <c r="C9402" s="52"/>
      <c r="D9402"/>
      <c r="E9402"/>
      <c r="F9402"/>
      <c r="N9402" s="44"/>
    </row>
    <row r="9403" spans="1:14" x14ac:dyDescent="0.3">
      <c r="A9403" s="42"/>
      <c r="C9403" s="52"/>
      <c r="D9403"/>
      <c r="E9403"/>
      <c r="F9403"/>
      <c r="M9403" s="45"/>
      <c r="N9403" s="44"/>
    </row>
    <row r="9404" spans="1:14" x14ac:dyDescent="0.3">
      <c r="A9404" s="42"/>
      <c r="C9404" s="52"/>
      <c r="D9404"/>
      <c r="E9404"/>
      <c r="F9404"/>
      <c r="N9404" s="44"/>
    </row>
    <row r="9405" spans="1:14" x14ac:dyDescent="0.3">
      <c r="A9405" s="42"/>
      <c r="C9405" s="52"/>
      <c r="D9405"/>
      <c r="E9405"/>
      <c r="F9405"/>
      <c r="N9405" s="44"/>
    </row>
    <row r="9406" spans="1:14" x14ac:dyDescent="0.3">
      <c r="A9406" s="42"/>
      <c r="C9406" s="52"/>
      <c r="D9406"/>
      <c r="E9406"/>
      <c r="F9406"/>
      <c r="N9406" s="44"/>
    </row>
    <row r="9407" spans="1:14" x14ac:dyDescent="0.3">
      <c r="A9407" s="42"/>
      <c r="C9407" s="52"/>
      <c r="D9407"/>
      <c r="E9407"/>
      <c r="F9407"/>
      <c r="N9407" s="44"/>
    </row>
    <row r="9408" spans="1:14" x14ac:dyDescent="0.3">
      <c r="A9408" s="42"/>
      <c r="C9408" s="52"/>
      <c r="D9408"/>
      <c r="E9408"/>
      <c r="F9408"/>
      <c r="N9408" s="44"/>
    </row>
    <row r="9409" spans="1:14" x14ac:dyDescent="0.3">
      <c r="A9409" s="42"/>
      <c r="C9409" s="52"/>
      <c r="D9409"/>
      <c r="E9409"/>
      <c r="F9409"/>
      <c r="N9409" s="44"/>
    </row>
    <row r="9410" spans="1:14" x14ac:dyDescent="0.3">
      <c r="A9410" s="42"/>
      <c r="C9410" s="52"/>
      <c r="D9410"/>
      <c r="E9410"/>
      <c r="F9410"/>
      <c r="N9410" s="44"/>
    </row>
    <row r="9411" spans="1:14" x14ac:dyDescent="0.3">
      <c r="A9411" s="42"/>
      <c r="C9411" s="52"/>
      <c r="D9411"/>
      <c r="E9411"/>
      <c r="F9411"/>
      <c r="N9411" s="44"/>
    </row>
    <row r="9412" spans="1:14" x14ac:dyDescent="0.3">
      <c r="A9412" s="42"/>
      <c r="C9412" s="52"/>
      <c r="D9412"/>
      <c r="E9412"/>
      <c r="F9412"/>
      <c r="N9412" s="44"/>
    </row>
    <row r="9413" spans="1:14" x14ac:dyDescent="0.3">
      <c r="A9413" s="42"/>
      <c r="C9413" s="52"/>
      <c r="D9413"/>
      <c r="E9413"/>
      <c r="F9413"/>
      <c r="N9413" s="44"/>
    </row>
    <row r="9414" spans="1:14" x14ac:dyDescent="0.3">
      <c r="A9414" s="42"/>
      <c r="C9414" s="52"/>
      <c r="D9414"/>
      <c r="E9414"/>
      <c r="F9414"/>
      <c r="N9414" s="44"/>
    </row>
    <row r="9415" spans="1:14" x14ac:dyDescent="0.3">
      <c r="A9415" s="42"/>
      <c r="C9415" s="52"/>
      <c r="D9415"/>
      <c r="E9415"/>
      <c r="F9415"/>
      <c r="N9415" s="44"/>
    </row>
    <row r="9416" spans="1:14" x14ac:dyDescent="0.3">
      <c r="A9416" s="42"/>
      <c r="C9416" s="52"/>
      <c r="D9416"/>
      <c r="E9416"/>
      <c r="F9416"/>
      <c r="N9416" s="44"/>
    </row>
    <row r="9417" spans="1:14" x14ac:dyDescent="0.3">
      <c r="A9417" s="42"/>
      <c r="C9417" s="52"/>
      <c r="D9417"/>
      <c r="E9417"/>
      <c r="F9417"/>
      <c r="N9417" s="44"/>
    </row>
    <row r="9418" spans="1:14" x14ac:dyDescent="0.3">
      <c r="A9418" s="42"/>
      <c r="C9418" s="52"/>
      <c r="D9418"/>
      <c r="E9418"/>
      <c r="F9418"/>
      <c r="N9418" s="44"/>
    </row>
    <row r="9419" spans="1:14" x14ac:dyDescent="0.3">
      <c r="A9419" s="42"/>
      <c r="C9419" s="52"/>
      <c r="D9419"/>
      <c r="E9419"/>
      <c r="F9419"/>
      <c r="N9419" s="44"/>
    </row>
    <row r="9420" spans="1:14" x14ac:dyDescent="0.3">
      <c r="A9420" s="42"/>
      <c r="C9420" s="52"/>
      <c r="D9420"/>
      <c r="E9420"/>
      <c r="F9420"/>
      <c r="N9420" s="44"/>
    </row>
    <row r="9421" spans="1:14" x14ac:dyDescent="0.3">
      <c r="A9421" s="42"/>
      <c r="C9421" s="52"/>
      <c r="D9421"/>
      <c r="E9421"/>
      <c r="F9421"/>
      <c r="N9421" s="44"/>
    </row>
    <row r="9422" spans="1:14" x14ac:dyDescent="0.3">
      <c r="A9422" s="42"/>
      <c r="C9422" s="52"/>
      <c r="D9422"/>
      <c r="E9422"/>
      <c r="F9422"/>
      <c r="N9422" s="44"/>
    </row>
    <row r="9423" spans="1:14" x14ac:dyDescent="0.3">
      <c r="A9423" s="42"/>
      <c r="C9423" s="52"/>
      <c r="D9423"/>
      <c r="E9423"/>
      <c r="F9423"/>
      <c r="N9423" s="44"/>
    </row>
    <row r="9424" spans="1:14" x14ac:dyDescent="0.3">
      <c r="A9424" s="42"/>
      <c r="C9424" s="52"/>
      <c r="D9424"/>
      <c r="E9424"/>
      <c r="F9424"/>
      <c r="N9424" s="44"/>
    </row>
    <row r="9425" spans="1:14" x14ac:dyDescent="0.3">
      <c r="A9425" s="42"/>
      <c r="C9425" s="52"/>
      <c r="D9425"/>
      <c r="E9425"/>
      <c r="F9425"/>
      <c r="N9425" s="44"/>
    </row>
    <row r="9426" spans="1:14" x14ac:dyDescent="0.3">
      <c r="A9426" s="42"/>
      <c r="C9426" s="52"/>
      <c r="D9426"/>
      <c r="E9426"/>
      <c r="F9426"/>
      <c r="N9426" s="44"/>
    </row>
    <row r="9427" spans="1:14" x14ac:dyDescent="0.3">
      <c r="A9427" s="42"/>
      <c r="C9427" s="52"/>
      <c r="D9427"/>
      <c r="E9427"/>
      <c r="F9427"/>
      <c r="N9427" s="44"/>
    </row>
    <row r="9428" spans="1:14" x14ac:dyDescent="0.3">
      <c r="A9428" s="42"/>
      <c r="C9428" s="52"/>
      <c r="D9428"/>
      <c r="E9428"/>
      <c r="F9428"/>
      <c r="N9428" s="44"/>
    </row>
    <row r="9429" spans="1:14" x14ac:dyDescent="0.3">
      <c r="A9429" s="42"/>
      <c r="C9429" s="52"/>
      <c r="D9429"/>
      <c r="E9429"/>
      <c r="F9429"/>
      <c r="N9429" s="44"/>
    </row>
    <row r="9430" spans="1:14" x14ac:dyDescent="0.3">
      <c r="A9430" s="42"/>
      <c r="C9430" s="52"/>
      <c r="D9430"/>
      <c r="E9430"/>
      <c r="F9430"/>
      <c r="N9430" s="44"/>
    </row>
    <row r="9431" spans="1:14" x14ac:dyDescent="0.3">
      <c r="A9431" s="42"/>
      <c r="C9431" s="52"/>
      <c r="D9431"/>
      <c r="E9431"/>
      <c r="F9431"/>
      <c r="N9431" s="44"/>
    </row>
    <row r="9432" spans="1:14" x14ac:dyDescent="0.3">
      <c r="A9432" s="42"/>
      <c r="C9432" s="52"/>
      <c r="D9432"/>
      <c r="E9432"/>
      <c r="F9432"/>
      <c r="N9432" s="44"/>
    </row>
    <row r="9433" spans="1:14" x14ac:dyDescent="0.3">
      <c r="A9433" s="42"/>
      <c r="C9433" s="52"/>
      <c r="D9433"/>
      <c r="E9433"/>
      <c r="F9433"/>
      <c r="N9433" s="44"/>
    </row>
    <row r="9434" spans="1:14" x14ac:dyDescent="0.3">
      <c r="A9434" s="42"/>
      <c r="C9434" s="52"/>
      <c r="D9434"/>
      <c r="E9434"/>
      <c r="F9434"/>
      <c r="N9434" s="44"/>
    </row>
    <row r="9435" spans="1:14" x14ac:dyDescent="0.3">
      <c r="A9435" s="42"/>
      <c r="C9435" s="52"/>
      <c r="D9435"/>
      <c r="E9435"/>
      <c r="F9435"/>
      <c r="N9435" s="44"/>
    </row>
    <row r="9436" spans="1:14" x14ac:dyDescent="0.3">
      <c r="A9436" s="42"/>
      <c r="C9436" s="52"/>
      <c r="D9436"/>
      <c r="E9436"/>
      <c r="F9436"/>
      <c r="N9436" s="44"/>
    </row>
    <row r="9437" spans="1:14" x14ac:dyDescent="0.3">
      <c r="A9437" s="42"/>
      <c r="C9437" s="52"/>
      <c r="D9437"/>
      <c r="E9437"/>
      <c r="F9437"/>
      <c r="N9437" s="44"/>
    </row>
    <row r="9438" spans="1:14" x14ac:dyDescent="0.3">
      <c r="A9438" s="42"/>
      <c r="C9438" s="52"/>
      <c r="D9438"/>
      <c r="E9438"/>
      <c r="F9438"/>
      <c r="M9438" s="45"/>
      <c r="N9438" s="44"/>
    </row>
    <row r="9439" spans="1:14" x14ac:dyDescent="0.3">
      <c r="A9439" s="42"/>
      <c r="C9439" s="52"/>
      <c r="D9439"/>
      <c r="E9439"/>
      <c r="F9439"/>
      <c r="N9439" s="44"/>
    </row>
    <row r="9440" spans="1:14" x14ac:dyDescent="0.3">
      <c r="A9440" s="42"/>
      <c r="C9440" s="52"/>
      <c r="D9440"/>
      <c r="E9440"/>
      <c r="F9440"/>
      <c r="N9440" s="44"/>
    </row>
    <row r="9441" spans="1:14" x14ac:dyDescent="0.3">
      <c r="A9441" s="42"/>
      <c r="C9441" s="52"/>
      <c r="D9441"/>
      <c r="E9441"/>
      <c r="F9441"/>
      <c r="N9441" s="44"/>
    </row>
    <row r="9442" spans="1:14" x14ac:dyDescent="0.3">
      <c r="A9442" s="42"/>
      <c r="C9442" s="52"/>
      <c r="D9442"/>
      <c r="E9442"/>
      <c r="F9442"/>
      <c r="N9442" s="44"/>
    </row>
    <row r="9443" spans="1:14" x14ac:dyDescent="0.3">
      <c r="A9443" s="42"/>
      <c r="C9443" s="52"/>
      <c r="D9443"/>
      <c r="E9443"/>
      <c r="F9443"/>
      <c r="N9443" s="44"/>
    </row>
    <row r="9444" spans="1:14" x14ac:dyDescent="0.3">
      <c r="A9444" s="42"/>
      <c r="C9444" s="52"/>
      <c r="D9444"/>
      <c r="E9444"/>
      <c r="F9444"/>
      <c r="N9444" s="44"/>
    </row>
    <row r="9445" spans="1:14" x14ac:dyDescent="0.3">
      <c r="A9445" s="42"/>
      <c r="C9445" s="52"/>
      <c r="D9445"/>
      <c r="E9445"/>
      <c r="F9445"/>
      <c r="N9445" s="44"/>
    </row>
    <row r="9446" spans="1:14" x14ac:dyDescent="0.3">
      <c r="A9446" s="42"/>
      <c r="C9446" s="52"/>
      <c r="D9446"/>
      <c r="E9446"/>
      <c r="F9446"/>
      <c r="M9446" s="45"/>
      <c r="N9446" s="44"/>
    </row>
    <row r="9447" spans="1:14" x14ac:dyDescent="0.3">
      <c r="A9447" s="42"/>
      <c r="C9447" s="52"/>
      <c r="D9447"/>
      <c r="E9447"/>
      <c r="F9447"/>
      <c r="N9447" s="44"/>
    </row>
    <row r="9448" spans="1:14" x14ac:dyDescent="0.3">
      <c r="A9448" s="42"/>
      <c r="C9448" s="52"/>
      <c r="D9448"/>
      <c r="E9448"/>
      <c r="F9448"/>
      <c r="N9448" s="44"/>
    </row>
    <row r="9449" spans="1:14" x14ac:dyDescent="0.3">
      <c r="A9449" s="42"/>
      <c r="C9449" s="52"/>
      <c r="D9449"/>
      <c r="E9449"/>
      <c r="F9449"/>
      <c r="N9449" s="44"/>
    </row>
    <row r="9450" spans="1:14" x14ac:dyDescent="0.3">
      <c r="A9450" s="42"/>
      <c r="C9450" s="52"/>
      <c r="D9450"/>
      <c r="E9450"/>
      <c r="F9450"/>
      <c r="N9450" s="44"/>
    </row>
    <row r="9451" spans="1:14" x14ac:dyDescent="0.3">
      <c r="A9451" s="42"/>
      <c r="C9451" s="52"/>
      <c r="D9451"/>
      <c r="E9451"/>
      <c r="F9451"/>
      <c r="N9451" s="44"/>
    </row>
    <row r="9452" spans="1:14" x14ac:dyDescent="0.3">
      <c r="A9452" s="42"/>
      <c r="C9452" s="52"/>
      <c r="D9452"/>
      <c r="E9452"/>
      <c r="F9452"/>
      <c r="N9452" s="44"/>
    </row>
    <row r="9453" spans="1:14" x14ac:dyDescent="0.3">
      <c r="A9453" s="42"/>
      <c r="C9453" s="52"/>
      <c r="D9453"/>
      <c r="E9453"/>
      <c r="F9453"/>
      <c r="N9453" s="44"/>
    </row>
    <row r="9454" spans="1:14" x14ac:dyDescent="0.3">
      <c r="A9454" s="42"/>
      <c r="C9454" s="52"/>
      <c r="D9454"/>
      <c r="E9454"/>
      <c r="F9454"/>
      <c r="N9454" s="44"/>
    </row>
    <row r="9455" spans="1:14" x14ac:dyDescent="0.3">
      <c r="A9455" s="42"/>
      <c r="C9455" s="52"/>
      <c r="D9455"/>
      <c r="E9455"/>
      <c r="F9455"/>
      <c r="N9455" s="44"/>
    </row>
    <row r="9456" spans="1:14" x14ac:dyDescent="0.3">
      <c r="A9456" s="42"/>
      <c r="C9456" s="52"/>
      <c r="D9456"/>
      <c r="E9456"/>
      <c r="F9456"/>
      <c r="N9456" s="44"/>
    </row>
    <row r="9457" spans="1:14" x14ac:dyDescent="0.3">
      <c r="A9457" s="42"/>
      <c r="C9457" s="52"/>
      <c r="D9457"/>
      <c r="E9457"/>
      <c r="F9457"/>
      <c r="N9457" s="44"/>
    </row>
    <row r="9458" spans="1:14" x14ac:dyDescent="0.3">
      <c r="A9458" s="42"/>
      <c r="C9458" s="52"/>
      <c r="D9458"/>
      <c r="E9458"/>
      <c r="F9458"/>
      <c r="N9458" s="44"/>
    </row>
    <row r="9459" spans="1:14" x14ac:dyDescent="0.3">
      <c r="A9459" s="42"/>
      <c r="C9459" s="52"/>
      <c r="D9459"/>
      <c r="E9459"/>
      <c r="F9459"/>
      <c r="N9459" s="44"/>
    </row>
    <row r="9460" spans="1:14" x14ac:dyDescent="0.3">
      <c r="A9460" s="42"/>
      <c r="C9460" s="52"/>
      <c r="D9460"/>
      <c r="E9460"/>
      <c r="F9460"/>
      <c r="N9460" s="44"/>
    </row>
    <row r="9461" spans="1:14" x14ac:dyDescent="0.3">
      <c r="A9461" s="42"/>
      <c r="C9461" s="52"/>
      <c r="D9461"/>
      <c r="E9461"/>
      <c r="F9461"/>
      <c r="N9461" s="44"/>
    </row>
    <row r="9462" spans="1:14" x14ac:dyDescent="0.3">
      <c r="A9462" s="42"/>
      <c r="C9462" s="52"/>
      <c r="D9462"/>
      <c r="E9462"/>
      <c r="F9462"/>
      <c r="N9462" s="44"/>
    </row>
    <row r="9463" spans="1:14" x14ac:dyDescent="0.3">
      <c r="A9463" s="42"/>
      <c r="C9463" s="52"/>
      <c r="D9463"/>
      <c r="E9463"/>
      <c r="F9463"/>
      <c r="N9463" s="44"/>
    </row>
    <row r="9464" spans="1:14" x14ac:dyDescent="0.3">
      <c r="A9464" s="42"/>
      <c r="C9464" s="52"/>
      <c r="D9464"/>
      <c r="E9464"/>
      <c r="F9464"/>
      <c r="N9464" s="44"/>
    </row>
    <row r="9465" spans="1:14" x14ac:dyDescent="0.3">
      <c r="A9465" s="42"/>
      <c r="C9465" s="52"/>
      <c r="D9465"/>
      <c r="E9465"/>
      <c r="F9465"/>
      <c r="N9465" s="44"/>
    </row>
    <row r="9466" spans="1:14" x14ac:dyDescent="0.3">
      <c r="A9466" s="42"/>
      <c r="C9466" s="52"/>
      <c r="D9466"/>
      <c r="E9466"/>
      <c r="F9466"/>
      <c r="N9466" s="44"/>
    </row>
    <row r="9467" spans="1:14" x14ac:dyDescent="0.3">
      <c r="A9467" s="42"/>
      <c r="C9467" s="52"/>
      <c r="D9467"/>
      <c r="E9467"/>
      <c r="F9467"/>
      <c r="N9467" s="44"/>
    </row>
    <row r="9468" spans="1:14" x14ac:dyDescent="0.3">
      <c r="A9468" s="42"/>
      <c r="C9468" s="52"/>
      <c r="D9468"/>
      <c r="E9468"/>
      <c r="F9468"/>
      <c r="N9468" s="44"/>
    </row>
    <row r="9469" spans="1:14" x14ac:dyDescent="0.3">
      <c r="A9469" s="42"/>
      <c r="C9469" s="52"/>
      <c r="D9469"/>
      <c r="E9469"/>
      <c r="F9469"/>
      <c r="N9469" s="44"/>
    </row>
    <row r="9470" spans="1:14" x14ac:dyDescent="0.3">
      <c r="A9470" s="42"/>
      <c r="C9470" s="52"/>
      <c r="D9470"/>
      <c r="E9470"/>
      <c r="F9470"/>
      <c r="N9470" s="44"/>
    </row>
    <row r="9471" spans="1:14" x14ac:dyDescent="0.3">
      <c r="A9471" s="42"/>
      <c r="C9471" s="52"/>
      <c r="D9471"/>
      <c r="E9471"/>
      <c r="F9471"/>
      <c r="N9471" s="44"/>
    </row>
    <row r="9472" spans="1:14" x14ac:dyDescent="0.3">
      <c r="A9472" s="42"/>
      <c r="C9472" s="52"/>
      <c r="D9472"/>
      <c r="E9472"/>
      <c r="F9472"/>
      <c r="N9472" s="44"/>
    </row>
    <row r="9473" spans="1:14" x14ac:dyDescent="0.3">
      <c r="A9473" s="42"/>
      <c r="C9473" s="52"/>
      <c r="D9473"/>
      <c r="E9473"/>
      <c r="F9473"/>
      <c r="N9473" s="44"/>
    </row>
    <row r="9474" spans="1:14" x14ac:dyDescent="0.3">
      <c r="A9474" s="42"/>
      <c r="C9474" s="52"/>
      <c r="D9474"/>
      <c r="E9474"/>
      <c r="F9474"/>
      <c r="N9474" s="44"/>
    </row>
    <row r="9475" spans="1:14" x14ac:dyDescent="0.3">
      <c r="A9475" s="42"/>
      <c r="C9475" s="52"/>
      <c r="D9475"/>
      <c r="E9475"/>
      <c r="F9475"/>
      <c r="N9475" s="44"/>
    </row>
    <row r="9476" spans="1:14" x14ac:dyDescent="0.3">
      <c r="A9476" s="42"/>
      <c r="C9476" s="52"/>
      <c r="D9476"/>
      <c r="E9476"/>
      <c r="F9476"/>
      <c r="N9476" s="44"/>
    </row>
    <row r="9477" spans="1:14" x14ac:dyDescent="0.3">
      <c r="A9477" s="42"/>
      <c r="C9477" s="52"/>
      <c r="D9477"/>
      <c r="E9477"/>
      <c r="F9477"/>
      <c r="N9477" s="44"/>
    </row>
    <row r="9478" spans="1:14" x14ac:dyDescent="0.3">
      <c r="A9478" s="42"/>
      <c r="C9478" s="52"/>
      <c r="D9478"/>
      <c r="E9478"/>
      <c r="F9478"/>
      <c r="N9478" s="44"/>
    </row>
    <row r="9479" spans="1:14" x14ac:dyDescent="0.3">
      <c r="A9479" s="42"/>
      <c r="C9479" s="52"/>
      <c r="D9479"/>
      <c r="E9479"/>
      <c r="F9479"/>
      <c r="N9479" s="44"/>
    </row>
    <row r="9480" spans="1:14" x14ac:dyDescent="0.3">
      <c r="A9480" s="42"/>
      <c r="C9480" s="52"/>
      <c r="D9480"/>
      <c r="E9480"/>
      <c r="F9480"/>
      <c r="N9480" s="44"/>
    </row>
    <row r="9481" spans="1:14" x14ac:dyDescent="0.3">
      <c r="A9481" s="42"/>
      <c r="C9481" s="52"/>
      <c r="D9481"/>
      <c r="E9481"/>
      <c r="F9481"/>
      <c r="N9481" s="44"/>
    </row>
    <row r="9482" spans="1:14" x14ac:dyDescent="0.3">
      <c r="A9482" s="42"/>
      <c r="C9482" s="52"/>
      <c r="D9482"/>
      <c r="E9482"/>
      <c r="F9482"/>
      <c r="N9482" s="44"/>
    </row>
    <row r="9483" spans="1:14" x14ac:dyDescent="0.3">
      <c r="A9483" s="42"/>
      <c r="C9483" s="52"/>
      <c r="D9483"/>
      <c r="E9483"/>
      <c r="F9483"/>
      <c r="N9483" s="44"/>
    </row>
    <row r="9484" spans="1:14" x14ac:dyDescent="0.3">
      <c r="A9484" s="42"/>
      <c r="C9484" s="52"/>
      <c r="D9484"/>
      <c r="E9484"/>
      <c r="F9484"/>
      <c r="N9484" s="44"/>
    </row>
    <row r="9485" spans="1:14" x14ac:dyDescent="0.3">
      <c r="A9485" s="42"/>
      <c r="C9485" s="52"/>
      <c r="D9485"/>
      <c r="E9485"/>
      <c r="F9485"/>
      <c r="N9485" s="44"/>
    </row>
    <row r="9486" spans="1:14" x14ac:dyDescent="0.3">
      <c r="A9486" s="42"/>
      <c r="C9486" s="52"/>
      <c r="D9486"/>
      <c r="E9486"/>
      <c r="F9486"/>
      <c r="M9486" s="45"/>
      <c r="N9486" s="44"/>
    </row>
    <row r="9487" spans="1:14" x14ac:dyDescent="0.3">
      <c r="A9487" s="42"/>
      <c r="C9487" s="52"/>
      <c r="D9487"/>
      <c r="E9487"/>
      <c r="F9487"/>
      <c r="N9487" s="44"/>
    </row>
    <row r="9488" spans="1:14" x14ac:dyDescent="0.3">
      <c r="A9488" s="42"/>
      <c r="C9488" s="52"/>
      <c r="D9488"/>
      <c r="E9488"/>
      <c r="F9488"/>
      <c r="N9488" s="44"/>
    </row>
    <row r="9489" spans="1:14" x14ac:dyDescent="0.3">
      <c r="A9489" s="42"/>
      <c r="C9489" s="52"/>
      <c r="D9489"/>
      <c r="E9489"/>
      <c r="F9489"/>
      <c r="N9489" s="44"/>
    </row>
    <row r="9490" spans="1:14" x14ac:dyDescent="0.3">
      <c r="A9490" s="42"/>
      <c r="C9490" s="52"/>
      <c r="D9490"/>
      <c r="E9490"/>
      <c r="F9490"/>
      <c r="N9490" s="44"/>
    </row>
    <row r="9491" spans="1:14" x14ac:dyDescent="0.3">
      <c r="A9491" s="42"/>
      <c r="C9491" s="52"/>
      <c r="D9491"/>
      <c r="E9491"/>
      <c r="F9491"/>
      <c r="N9491" s="44"/>
    </row>
    <row r="9492" spans="1:14" x14ac:dyDescent="0.3">
      <c r="A9492" s="42"/>
      <c r="C9492" s="52"/>
      <c r="D9492"/>
      <c r="E9492"/>
      <c r="F9492"/>
      <c r="N9492" s="44"/>
    </row>
    <row r="9493" spans="1:14" x14ac:dyDescent="0.3">
      <c r="A9493" s="42"/>
      <c r="C9493" s="52"/>
      <c r="D9493"/>
      <c r="E9493"/>
      <c r="F9493"/>
      <c r="N9493" s="44"/>
    </row>
    <row r="9494" spans="1:14" x14ac:dyDescent="0.3">
      <c r="A9494" s="42"/>
      <c r="C9494" s="52"/>
      <c r="D9494"/>
      <c r="E9494"/>
      <c r="F9494"/>
      <c r="N9494" s="44"/>
    </row>
    <row r="9495" spans="1:14" x14ac:dyDescent="0.3">
      <c r="A9495" s="42"/>
      <c r="C9495" s="52"/>
      <c r="D9495"/>
      <c r="E9495"/>
      <c r="F9495"/>
      <c r="N9495" s="44"/>
    </row>
    <row r="9496" spans="1:14" x14ac:dyDescent="0.3">
      <c r="A9496" s="42"/>
      <c r="C9496" s="52"/>
      <c r="D9496"/>
      <c r="E9496"/>
      <c r="F9496"/>
      <c r="N9496" s="44"/>
    </row>
    <row r="9497" spans="1:14" x14ac:dyDescent="0.3">
      <c r="A9497" s="42"/>
      <c r="C9497" s="52"/>
      <c r="D9497"/>
      <c r="E9497"/>
      <c r="F9497"/>
      <c r="N9497" s="44"/>
    </row>
    <row r="9498" spans="1:14" x14ac:dyDescent="0.3">
      <c r="A9498" s="42"/>
      <c r="C9498" s="52"/>
      <c r="D9498"/>
      <c r="E9498"/>
      <c r="F9498"/>
      <c r="N9498" s="44"/>
    </row>
    <row r="9499" spans="1:14" x14ac:dyDescent="0.3">
      <c r="A9499" s="42"/>
      <c r="C9499" s="52"/>
      <c r="D9499"/>
      <c r="E9499"/>
      <c r="F9499"/>
      <c r="N9499" s="44"/>
    </row>
    <row r="9500" spans="1:14" x14ac:dyDescent="0.3">
      <c r="A9500" s="42"/>
      <c r="C9500" s="52"/>
      <c r="D9500"/>
      <c r="E9500"/>
      <c r="F9500"/>
      <c r="N9500" s="44"/>
    </row>
    <row r="9501" spans="1:14" x14ac:dyDescent="0.3">
      <c r="A9501" s="42"/>
      <c r="C9501" s="52"/>
      <c r="D9501"/>
      <c r="E9501"/>
      <c r="F9501"/>
      <c r="N9501" s="44"/>
    </row>
    <row r="9502" spans="1:14" x14ac:dyDescent="0.3">
      <c r="A9502" s="42"/>
      <c r="C9502" s="52"/>
      <c r="D9502"/>
      <c r="E9502"/>
      <c r="F9502"/>
      <c r="N9502" s="44"/>
    </row>
    <row r="9503" spans="1:14" x14ac:dyDescent="0.3">
      <c r="A9503" s="42"/>
      <c r="C9503" s="52"/>
      <c r="D9503"/>
      <c r="E9503"/>
      <c r="F9503"/>
      <c r="N9503" s="44"/>
    </row>
    <row r="9504" spans="1:14" x14ac:dyDescent="0.3">
      <c r="A9504" s="42"/>
      <c r="C9504" s="52"/>
      <c r="D9504"/>
      <c r="E9504"/>
      <c r="F9504"/>
      <c r="N9504" s="44"/>
    </row>
    <row r="9505" spans="1:14" x14ac:dyDescent="0.3">
      <c r="A9505" s="42"/>
      <c r="C9505" s="52"/>
      <c r="D9505"/>
      <c r="E9505"/>
      <c r="F9505"/>
      <c r="N9505" s="44"/>
    </row>
    <row r="9506" spans="1:14" x14ac:dyDescent="0.3">
      <c r="A9506" s="42"/>
      <c r="C9506" s="52"/>
      <c r="D9506"/>
      <c r="E9506"/>
      <c r="F9506"/>
      <c r="N9506" s="44"/>
    </row>
    <row r="9507" spans="1:14" x14ac:dyDescent="0.3">
      <c r="A9507" s="42"/>
      <c r="C9507" s="52"/>
      <c r="D9507"/>
      <c r="E9507"/>
      <c r="F9507"/>
      <c r="N9507" s="44"/>
    </row>
    <row r="9508" spans="1:14" x14ac:dyDescent="0.3">
      <c r="A9508" s="42"/>
      <c r="C9508" s="52"/>
      <c r="D9508"/>
      <c r="E9508"/>
      <c r="F9508"/>
      <c r="N9508" s="44"/>
    </row>
    <row r="9509" spans="1:14" x14ac:dyDescent="0.3">
      <c r="A9509" s="42"/>
      <c r="C9509" s="52"/>
      <c r="D9509"/>
      <c r="E9509"/>
      <c r="F9509"/>
      <c r="N9509" s="44"/>
    </row>
    <row r="9510" spans="1:14" x14ac:dyDescent="0.3">
      <c r="A9510" s="42"/>
      <c r="C9510" s="52"/>
      <c r="D9510"/>
      <c r="E9510"/>
      <c r="F9510"/>
      <c r="N9510" s="44"/>
    </row>
    <row r="9511" spans="1:14" x14ac:dyDescent="0.3">
      <c r="A9511" s="42"/>
      <c r="C9511" s="52"/>
      <c r="D9511"/>
      <c r="E9511"/>
      <c r="F9511"/>
      <c r="N9511" s="44"/>
    </row>
    <row r="9512" spans="1:14" x14ac:dyDescent="0.3">
      <c r="A9512" s="42"/>
      <c r="C9512" s="52"/>
      <c r="D9512"/>
      <c r="E9512"/>
      <c r="F9512"/>
      <c r="N9512" s="44"/>
    </row>
    <row r="9513" spans="1:14" x14ac:dyDescent="0.3">
      <c r="A9513" s="42"/>
      <c r="C9513" s="52"/>
      <c r="D9513"/>
      <c r="E9513"/>
      <c r="F9513"/>
      <c r="N9513" s="44"/>
    </row>
    <row r="9514" spans="1:14" x14ac:dyDescent="0.3">
      <c r="A9514" s="42"/>
      <c r="C9514" s="52"/>
      <c r="D9514"/>
      <c r="E9514"/>
      <c r="F9514"/>
      <c r="N9514" s="44"/>
    </row>
    <row r="9515" spans="1:14" x14ac:dyDescent="0.3">
      <c r="A9515" s="42"/>
      <c r="C9515" s="52"/>
      <c r="D9515"/>
      <c r="E9515"/>
      <c r="F9515"/>
      <c r="N9515" s="44"/>
    </row>
    <row r="9516" spans="1:14" x14ac:dyDescent="0.3">
      <c r="A9516" s="42"/>
      <c r="C9516" s="52"/>
      <c r="D9516"/>
      <c r="E9516"/>
      <c r="F9516"/>
      <c r="N9516" s="44"/>
    </row>
    <row r="9517" spans="1:14" x14ac:dyDescent="0.3">
      <c r="A9517" s="42"/>
      <c r="C9517" s="52"/>
      <c r="D9517"/>
      <c r="E9517"/>
      <c r="F9517"/>
      <c r="N9517" s="44"/>
    </row>
    <row r="9518" spans="1:14" x14ac:dyDescent="0.3">
      <c r="A9518" s="42"/>
      <c r="C9518" s="52"/>
      <c r="D9518"/>
      <c r="E9518"/>
      <c r="F9518"/>
      <c r="N9518" s="44"/>
    </row>
    <row r="9519" spans="1:14" x14ac:dyDescent="0.3">
      <c r="A9519" s="42"/>
      <c r="C9519" s="52"/>
      <c r="D9519"/>
      <c r="E9519"/>
      <c r="F9519"/>
      <c r="M9519" s="45"/>
      <c r="N9519" s="44"/>
    </row>
    <row r="9520" spans="1:14" x14ac:dyDescent="0.3">
      <c r="A9520" s="42"/>
      <c r="C9520" s="52"/>
      <c r="D9520"/>
      <c r="E9520"/>
      <c r="F9520"/>
      <c r="N9520" s="44"/>
    </row>
    <row r="9521" spans="1:14" x14ac:dyDescent="0.3">
      <c r="A9521" s="42"/>
      <c r="C9521" s="52"/>
      <c r="D9521"/>
      <c r="E9521"/>
      <c r="F9521"/>
      <c r="N9521" s="44"/>
    </row>
    <row r="9522" spans="1:14" x14ac:dyDescent="0.3">
      <c r="A9522" s="42"/>
      <c r="C9522" s="52"/>
      <c r="D9522"/>
      <c r="E9522"/>
      <c r="F9522"/>
      <c r="N9522" s="44"/>
    </row>
    <row r="9523" spans="1:14" x14ac:dyDescent="0.3">
      <c r="A9523" s="42"/>
      <c r="C9523" s="52"/>
      <c r="D9523"/>
      <c r="E9523"/>
      <c r="F9523"/>
      <c r="N9523" s="44"/>
    </row>
    <row r="9524" spans="1:14" x14ac:dyDescent="0.3">
      <c r="A9524" s="42"/>
      <c r="C9524" s="52"/>
      <c r="D9524"/>
      <c r="E9524"/>
      <c r="F9524"/>
      <c r="N9524" s="44"/>
    </row>
    <row r="9525" spans="1:14" x14ac:dyDescent="0.3">
      <c r="A9525" s="42"/>
      <c r="C9525" s="52"/>
      <c r="D9525"/>
      <c r="E9525"/>
      <c r="F9525"/>
      <c r="M9525" s="45"/>
      <c r="N9525" s="44"/>
    </row>
    <row r="9526" spans="1:14" x14ac:dyDescent="0.3">
      <c r="A9526" s="42"/>
      <c r="C9526" s="52"/>
      <c r="D9526"/>
      <c r="E9526"/>
      <c r="F9526"/>
      <c r="N9526" s="44"/>
    </row>
    <row r="9527" spans="1:14" x14ac:dyDescent="0.3">
      <c r="A9527" s="42"/>
      <c r="C9527" s="52"/>
      <c r="D9527"/>
      <c r="E9527"/>
      <c r="F9527"/>
      <c r="N9527" s="44"/>
    </row>
    <row r="9528" spans="1:14" x14ac:dyDescent="0.3">
      <c r="A9528" s="42"/>
      <c r="C9528" s="52"/>
      <c r="D9528"/>
      <c r="E9528"/>
      <c r="F9528"/>
      <c r="N9528" s="44"/>
    </row>
    <row r="9529" spans="1:14" x14ac:dyDescent="0.3">
      <c r="A9529" s="42"/>
      <c r="C9529" s="52"/>
      <c r="D9529"/>
      <c r="E9529"/>
      <c r="F9529"/>
      <c r="N9529" s="44"/>
    </row>
    <row r="9530" spans="1:14" x14ac:dyDescent="0.3">
      <c r="A9530" s="42"/>
      <c r="C9530" s="52"/>
      <c r="D9530"/>
      <c r="E9530"/>
      <c r="F9530"/>
      <c r="N9530" s="44"/>
    </row>
    <row r="9531" spans="1:14" x14ac:dyDescent="0.3">
      <c r="A9531" s="42"/>
      <c r="C9531" s="52"/>
      <c r="D9531"/>
      <c r="E9531"/>
      <c r="F9531"/>
      <c r="N9531" s="44"/>
    </row>
    <row r="9532" spans="1:14" x14ac:dyDescent="0.3">
      <c r="A9532" s="42"/>
      <c r="C9532" s="52"/>
      <c r="D9532"/>
      <c r="E9532"/>
      <c r="F9532"/>
      <c r="N9532" s="44"/>
    </row>
    <row r="9533" spans="1:14" x14ac:dyDescent="0.3">
      <c r="A9533" s="42"/>
      <c r="C9533" s="52"/>
      <c r="D9533"/>
      <c r="E9533"/>
      <c r="F9533"/>
      <c r="N9533" s="44"/>
    </row>
    <row r="9534" spans="1:14" x14ac:dyDescent="0.3">
      <c r="A9534" s="42"/>
      <c r="C9534" s="52"/>
      <c r="D9534"/>
      <c r="E9534"/>
      <c r="F9534"/>
      <c r="N9534" s="44"/>
    </row>
    <row r="9535" spans="1:14" x14ac:dyDescent="0.3">
      <c r="A9535" s="42"/>
      <c r="C9535" s="52"/>
      <c r="D9535"/>
      <c r="E9535"/>
      <c r="F9535"/>
      <c r="N9535" s="44"/>
    </row>
    <row r="9536" spans="1:14" x14ac:dyDescent="0.3">
      <c r="A9536" s="42"/>
      <c r="C9536" s="52"/>
      <c r="D9536"/>
      <c r="E9536"/>
      <c r="F9536"/>
      <c r="N9536" s="44"/>
    </row>
    <row r="9537" spans="1:14" x14ac:dyDescent="0.3">
      <c r="A9537" s="42"/>
      <c r="C9537" s="52"/>
      <c r="D9537"/>
      <c r="E9537"/>
      <c r="F9537"/>
      <c r="N9537" s="44"/>
    </row>
    <row r="9538" spans="1:14" x14ac:dyDescent="0.3">
      <c r="A9538" s="42"/>
      <c r="C9538" s="52"/>
      <c r="D9538"/>
      <c r="E9538"/>
      <c r="F9538"/>
      <c r="N9538" s="44"/>
    </row>
    <row r="9539" spans="1:14" x14ac:dyDescent="0.3">
      <c r="A9539" s="42"/>
      <c r="C9539" s="52"/>
      <c r="D9539"/>
      <c r="E9539"/>
      <c r="F9539"/>
      <c r="N9539" s="44"/>
    </row>
    <row r="9540" spans="1:14" x14ac:dyDescent="0.3">
      <c r="A9540" s="42"/>
      <c r="C9540" s="52"/>
      <c r="D9540"/>
      <c r="E9540"/>
      <c r="F9540"/>
      <c r="N9540" s="44"/>
    </row>
    <row r="9541" spans="1:14" x14ac:dyDescent="0.3">
      <c r="A9541" s="42"/>
      <c r="C9541" s="52"/>
      <c r="D9541"/>
      <c r="E9541"/>
      <c r="F9541"/>
      <c r="N9541" s="44"/>
    </row>
    <row r="9542" spans="1:14" x14ac:dyDescent="0.3">
      <c r="A9542" s="42"/>
      <c r="C9542" s="52"/>
      <c r="D9542"/>
      <c r="E9542"/>
      <c r="F9542"/>
      <c r="N9542" s="44"/>
    </row>
    <row r="9543" spans="1:14" x14ac:dyDescent="0.3">
      <c r="A9543" s="42"/>
      <c r="C9543" s="52"/>
      <c r="D9543"/>
      <c r="E9543"/>
      <c r="F9543"/>
      <c r="N9543" s="44"/>
    </row>
    <row r="9544" spans="1:14" x14ac:dyDescent="0.3">
      <c r="A9544" s="42"/>
      <c r="C9544" s="52"/>
      <c r="D9544"/>
      <c r="E9544"/>
      <c r="F9544"/>
      <c r="N9544" s="44"/>
    </row>
    <row r="9545" spans="1:14" x14ac:dyDescent="0.3">
      <c r="A9545" s="42"/>
      <c r="C9545" s="52"/>
      <c r="D9545"/>
      <c r="E9545"/>
      <c r="F9545"/>
      <c r="N9545" s="44"/>
    </row>
    <row r="9546" spans="1:14" x14ac:dyDescent="0.3">
      <c r="A9546" s="42"/>
      <c r="C9546" s="52"/>
      <c r="D9546"/>
      <c r="E9546"/>
      <c r="F9546"/>
      <c r="N9546" s="44"/>
    </row>
    <row r="9547" spans="1:14" x14ac:dyDescent="0.3">
      <c r="A9547" s="42"/>
      <c r="C9547" s="52"/>
      <c r="D9547"/>
      <c r="E9547"/>
      <c r="F9547"/>
      <c r="N9547" s="44"/>
    </row>
    <row r="9548" spans="1:14" x14ac:dyDescent="0.3">
      <c r="A9548" s="42"/>
      <c r="C9548" s="52"/>
      <c r="D9548"/>
      <c r="E9548"/>
      <c r="F9548"/>
      <c r="N9548" s="44"/>
    </row>
    <row r="9549" spans="1:14" x14ac:dyDescent="0.3">
      <c r="A9549" s="42"/>
      <c r="C9549" s="52"/>
      <c r="D9549"/>
      <c r="E9549"/>
      <c r="F9549"/>
      <c r="N9549" s="44"/>
    </row>
    <row r="9550" spans="1:14" x14ac:dyDescent="0.3">
      <c r="A9550" s="42"/>
      <c r="C9550" s="52"/>
      <c r="D9550"/>
      <c r="E9550"/>
      <c r="F9550"/>
      <c r="N9550" s="44"/>
    </row>
    <row r="9551" spans="1:14" x14ac:dyDescent="0.3">
      <c r="A9551" s="42"/>
      <c r="C9551" s="52"/>
      <c r="D9551"/>
      <c r="E9551"/>
      <c r="F9551"/>
      <c r="N9551" s="44"/>
    </row>
    <row r="9552" spans="1:14" x14ac:dyDescent="0.3">
      <c r="A9552" s="42"/>
      <c r="C9552" s="52"/>
      <c r="D9552"/>
      <c r="E9552"/>
      <c r="F9552"/>
      <c r="N9552" s="44"/>
    </row>
    <row r="9553" spans="1:14" x14ac:dyDescent="0.3">
      <c r="A9553" s="42"/>
      <c r="C9553" s="52"/>
      <c r="D9553"/>
      <c r="E9553"/>
      <c r="F9553"/>
      <c r="N9553" s="44"/>
    </row>
    <row r="9554" spans="1:14" x14ac:dyDescent="0.3">
      <c r="A9554" s="42"/>
      <c r="C9554" s="52"/>
      <c r="D9554"/>
      <c r="E9554"/>
      <c r="F9554"/>
      <c r="N9554" s="44"/>
    </row>
    <row r="9555" spans="1:14" x14ac:dyDescent="0.3">
      <c r="A9555" s="42"/>
      <c r="C9555" s="52"/>
      <c r="D9555"/>
      <c r="E9555"/>
      <c r="F9555"/>
      <c r="N9555" s="44"/>
    </row>
    <row r="9556" spans="1:14" x14ac:dyDescent="0.3">
      <c r="A9556" s="42"/>
      <c r="C9556" s="52"/>
      <c r="D9556"/>
      <c r="E9556"/>
      <c r="F9556"/>
      <c r="N9556" s="44"/>
    </row>
    <row r="9557" spans="1:14" x14ac:dyDescent="0.3">
      <c r="A9557" s="42"/>
      <c r="C9557" s="52"/>
      <c r="D9557"/>
      <c r="E9557"/>
      <c r="F9557"/>
      <c r="N9557" s="44"/>
    </row>
    <row r="9558" spans="1:14" x14ac:dyDescent="0.3">
      <c r="A9558" s="42"/>
      <c r="C9558" s="52"/>
      <c r="D9558"/>
      <c r="E9558"/>
      <c r="F9558"/>
      <c r="N9558" s="44"/>
    </row>
    <row r="9559" spans="1:14" x14ac:dyDescent="0.3">
      <c r="A9559" s="42"/>
      <c r="C9559" s="52"/>
      <c r="D9559"/>
      <c r="E9559"/>
      <c r="F9559"/>
      <c r="N9559" s="44"/>
    </row>
    <row r="9560" spans="1:14" x14ac:dyDescent="0.3">
      <c r="A9560" s="42"/>
      <c r="C9560" s="52"/>
      <c r="D9560"/>
      <c r="E9560"/>
      <c r="F9560"/>
      <c r="N9560" s="44"/>
    </row>
    <row r="9561" spans="1:14" x14ac:dyDescent="0.3">
      <c r="A9561" s="42"/>
      <c r="C9561" s="52"/>
      <c r="D9561"/>
      <c r="E9561"/>
      <c r="F9561"/>
      <c r="N9561" s="44"/>
    </row>
    <row r="9562" spans="1:14" x14ac:dyDescent="0.3">
      <c r="A9562" s="42"/>
      <c r="C9562" s="52"/>
      <c r="D9562"/>
      <c r="E9562"/>
      <c r="F9562"/>
      <c r="N9562" s="44"/>
    </row>
    <row r="9563" spans="1:14" x14ac:dyDescent="0.3">
      <c r="A9563" s="42"/>
      <c r="C9563" s="52"/>
      <c r="D9563"/>
      <c r="E9563"/>
      <c r="F9563"/>
      <c r="N9563" s="44"/>
    </row>
    <row r="9564" spans="1:14" x14ac:dyDescent="0.3">
      <c r="A9564" s="42"/>
      <c r="C9564" s="52"/>
      <c r="D9564"/>
      <c r="E9564"/>
      <c r="F9564"/>
      <c r="N9564" s="44"/>
    </row>
    <row r="9565" spans="1:14" x14ac:dyDescent="0.3">
      <c r="A9565" s="42"/>
      <c r="C9565" s="52"/>
      <c r="D9565"/>
      <c r="E9565"/>
      <c r="F9565"/>
      <c r="N9565" s="44"/>
    </row>
    <row r="9566" spans="1:14" x14ac:dyDescent="0.3">
      <c r="A9566" s="42"/>
      <c r="C9566" s="52"/>
      <c r="D9566"/>
      <c r="E9566"/>
      <c r="F9566"/>
      <c r="N9566" s="44"/>
    </row>
    <row r="9567" spans="1:14" x14ac:dyDescent="0.3">
      <c r="A9567" s="42"/>
      <c r="C9567" s="52"/>
      <c r="D9567"/>
      <c r="E9567"/>
      <c r="F9567"/>
      <c r="N9567" s="44"/>
    </row>
    <row r="9568" spans="1:14" x14ac:dyDescent="0.3">
      <c r="A9568" s="42"/>
      <c r="C9568" s="52"/>
      <c r="D9568"/>
      <c r="E9568"/>
      <c r="F9568"/>
      <c r="N9568" s="44"/>
    </row>
    <row r="9569" spans="1:14" x14ac:dyDescent="0.3">
      <c r="A9569" s="42"/>
      <c r="C9569" s="52"/>
      <c r="D9569"/>
      <c r="E9569"/>
      <c r="F9569"/>
      <c r="N9569" s="44"/>
    </row>
    <row r="9570" spans="1:14" x14ac:dyDescent="0.3">
      <c r="A9570" s="42"/>
      <c r="C9570" s="52"/>
      <c r="D9570"/>
      <c r="E9570"/>
      <c r="F9570"/>
      <c r="N9570" s="44"/>
    </row>
    <row r="9571" spans="1:14" x14ac:dyDescent="0.3">
      <c r="A9571" s="42"/>
      <c r="C9571" s="52"/>
      <c r="D9571"/>
      <c r="E9571"/>
      <c r="F9571"/>
      <c r="N9571" s="44"/>
    </row>
    <row r="9572" spans="1:14" x14ac:dyDescent="0.3">
      <c r="A9572" s="42"/>
      <c r="C9572" s="52"/>
      <c r="D9572"/>
      <c r="E9572"/>
      <c r="F9572"/>
      <c r="N9572" s="44"/>
    </row>
    <row r="9573" spans="1:14" x14ac:dyDescent="0.3">
      <c r="A9573" s="42"/>
      <c r="C9573" s="52"/>
      <c r="D9573"/>
      <c r="E9573"/>
      <c r="F9573"/>
      <c r="N9573" s="44"/>
    </row>
    <row r="9574" spans="1:14" x14ac:dyDescent="0.3">
      <c r="A9574" s="42"/>
      <c r="C9574" s="52"/>
      <c r="D9574"/>
      <c r="E9574"/>
      <c r="F9574"/>
      <c r="N9574" s="44"/>
    </row>
    <row r="9575" spans="1:14" x14ac:dyDescent="0.3">
      <c r="A9575" s="42"/>
      <c r="C9575" s="52"/>
      <c r="D9575"/>
      <c r="E9575"/>
      <c r="F9575"/>
      <c r="N9575" s="44"/>
    </row>
    <row r="9576" spans="1:14" x14ac:dyDescent="0.3">
      <c r="A9576" s="42"/>
      <c r="C9576" s="52"/>
      <c r="D9576"/>
      <c r="E9576"/>
      <c r="F9576"/>
      <c r="N9576" s="44"/>
    </row>
    <row r="9577" spans="1:14" x14ac:dyDescent="0.3">
      <c r="A9577" s="42"/>
      <c r="C9577" s="52"/>
      <c r="D9577"/>
      <c r="E9577"/>
      <c r="F9577"/>
      <c r="N9577" s="44"/>
    </row>
    <row r="9578" spans="1:14" x14ac:dyDescent="0.3">
      <c r="A9578" s="42"/>
      <c r="C9578" s="52"/>
      <c r="D9578"/>
      <c r="E9578"/>
      <c r="F9578"/>
      <c r="N9578" s="44"/>
    </row>
    <row r="9579" spans="1:14" x14ac:dyDescent="0.3">
      <c r="A9579" s="42"/>
      <c r="C9579" s="52"/>
      <c r="D9579"/>
      <c r="E9579"/>
      <c r="F9579"/>
      <c r="N9579" s="44"/>
    </row>
    <row r="9580" spans="1:14" x14ac:dyDescent="0.3">
      <c r="A9580" s="42"/>
      <c r="C9580" s="52"/>
      <c r="D9580"/>
      <c r="E9580"/>
      <c r="F9580"/>
      <c r="N9580" s="44"/>
    </row>
    <row r="9581" spans="1:14" x14ac:dyDescent="0.3">
      <c r="A9581" s="42"/>
      <c r="C9581" s="52"/>
      <c r="D9581"/>
      <c r="E9581"/>
      <c r="F9581"/>
      <c r="N9581" s="44"/>
    </row>
    <row r="9582" spans="1:14" x14ac:dyDescent="0.3">
      <c r="A9582" s="42"/>
      <c r="C9582" s="52"/>
      <c r="D9582"/>
      <c r="E9582"/>
      <c r="F9582"/>
      <c r="N9582" s="44"/>
    </row>
    <row r="9583" spans="1:14" x14ac:dyDescent="0.3">
      <c r="A9583" s="42"/>
      <c r="C9583" s="52"/>
      <c r="D9583"/>
      <c r="E9583"/>
      <c r="F9583"/>
      <c r="N9583" s="44"/>
    </row>
    <row r="9584" spans="1:14" x14ac:dyDescent="0.3">
      <c r="A9584" s="42"/>
      <c r="C9584" s="52"/>
      <c r="D9584"/>
      <c r="E9584"/>
      <c r="F9584"/>
      <c r="N9584" s="44"/>
    </row>
    <row r="9585" spans="1:14" x14ac:dyDescent="0.3">
      <c r="A9585" s="42"/>
      <c r="C9585" s="52"/>
      <c r="D9585"/>
      <c r="E9585"/>
      <c r="F9585"/>
      <c r="N9585" s="44"/>
    </row>
    <row r="9586" spans="1:14" x14ac:dyDescent="0.3">
      <c r="A9586" s="42"/>
      <c r="C9586" s="52"/>
      <c r="D9586"/>
      <c r="E9586"/>
      <c r="F9586"/>
      <c r="N9586" s="44"/>
    </row>
    <row r="9587" spans="1:14" x14ac:dyDescent="0.3">
      <c r="A9587" s="42"/>
      <c r="C9587" s="52"/>
      <c r="D9587"/>
      <c r="E9587"/>
      <c r="F9587"/>
      <c r="N9587" s="44"/>
    </row>
    <row r="9588" spans="1:14" x14ac:dyDescent="0.3">
      <c r="A9588" s="42"/>
      <c r="C9588" s="52"/>
      <c r="D9588"/>
      <c r="E9588"/>
      <c r="F9588"/>
      <c r="N9588" s="44"/>
    </row>
    <row r="9589" spans="1:14" x14ac:dyDescent="0.3">
      <c r="A9589" s="42"/>
      <c r="C9589" s="52"/>
      <c r="D9589"/>
      <c r="E9589"/>
      <c r="F9589"/>
      <c r="N9589" s="44"/>
    </row>
    <row r="9590" spans="1:14" x14ac:dyDescent="0.3">
      <c r="A9590" s="42"/>
      <c r="C9590" s="52"/>
      <c r="D9590"/>
      <c r="E9590"/>
      <c r="F9590"/>
      <c r="N9590" s="44"/>
    </row>
    <row r="9591" spans="1:14" x14ac:dyDescent="0.3">
      <c r="A9591" s="42"/>
      <c r="C9591" s="52"/>
      <c r="D9591"/>
      <c r="E9591"/>
      <c r="F9591"/>
      <c r="N9591" s="44"/>
    </row>
    <row r="9592" spans="1:14" x14ac:dyDescent="0.3">
      <c r="A9592" s="42"/>
      <c r="C9592" s="52"/>
      <c r="D9592"/>
      <c r="E9592"/>
      <c r="F9592"/>
      <c r="N9592" s="44"/>
    </row>
    <row r="9593" spans="1:14" x14ac:dyDescent="0.3">
      <c r="A9593" s="42"/>
      <c r="C9593" s="52"/>
      <c r="D9593"/>
      <c r="E9593"/>
      <c r="F9593"/>
      <c r="N9593" s="44"/>
    </row>
    <row r="9594" spans="1:14" x14ac:dyDescent="0.3">
      <c r="A9594" s="42"/>
      <c r="C9594" s="52"/>
      <c r="D9594"/>
      <c r="E9594"/>
      <c r="F9594"/>
      <c r="N9594" s="44"/>
    </row>
    <row r="9595" spans="1:14" x14ac:dyDescent="0.3">
      <c r="A9595" s="42"/>
      <c r="C9595" s="52"/>
      <c r="D9595"/>
      <c r="E9595"/>
      <c r="F9595"/>
      <c r="N9595" s="44"/>
    </row>
    <row r="9596" spans="1:14" x14ac:dyDescent="0.3">
      <c r="A9596" s="42"/>
      <c r="C9596" s="52"/>
      <c r="D9596"/>
      <c r="E9596"/>
      <c r="F9596"/>
      <c r="N9596" s="44"/>
    </row>
    <row r="9597" spans="1:14" x14ac:dyDescent="0.3">
      <c r="A9597" s="42"/>
      <c r="C9597" s="52"/>
      <c r="D9597"/>
      <c r="E9597"/>
      <c r="F9597"/>
      <c r="N9597" s="44"/>
    </row>
    <row r="9598" spans="1:14" x14ac:dyDescent="0.3">
      <c r="A9598" s="42"/>
      <c r="C9598" s="52"/>
      <c r="D9598"/>
      <c r="E9598"/>
      <c r="F9598"/>
      <c r="N9598" s="44"/>
    </row>
    <row r="9599" spans="1:14" x14ac:dyDescent="0.3">
      <c r="A9599" s="42"/>
      <c r="C9599" s="52"/>
      <c r="D9599"/>
      <c r="E9599"/>
      <c r="F9599"/>
      <c r="N9599" s="44"/>
    </row>
    <row r="9600" spans="1:14" x14ac:dyDescent="0.3">
      <c r="A9600" s="42"/>
      <c r="C9600" s="52"/>
      <c r="D9600"/>
      <c r="E9600"/>
      <c r="F9600"/>
      <c r="N9600" s="44"/>
    </row>
    <row r="9601" spans="1:14" x14ac:dyDescent="0.3">
      <c r="A9601" s="42"/>
      <c r="C9601" s="52"/>
      <c r="D9601"/>
      <c r="E9601"/>
      <c r="F9601"/>
      <c r="N9601" s="44"/>
    </row>
    <row r="9602" spans="1:14" x14ac:dyDescent="0.3">
      <c r="A9602" s="42"/>
      <c r="C9602" s="52"/>
      <c r="D9602"/>
      <c r="E9602"/>
      <c r="F9602"/>
      <c r="N9602" s="44"/>
    </row>
    <row r="9603" spans="1:14" x14ac:dyDescent="0.3">
      <c r="A9603" s="42"/>
      <c r="C9603" s="52"/>
      <c r="D9603"/>
      <c r="E9603"/>
      <c r="F9603"/>
      <c r="N9603" s="44"/>
    </row>
    <row r="9604" spans="1:14" x14ac:dyDescent="0.3">
      <c r="A9604" s="42"/>
      <c r="C9604" s="52"/>
      <c r="D9604"/>
      <c r="E9604"/>
      <c r="F9604"/>
      <c r="N9604" s="44"/>
    </row>
    <row r="9605" spans="1:14" x14ac:dyDescent="0.3">
      <c r="A9605" s="42"/>
      <c r="C9605" s="52"/>
      <c r="D9605"/>
      <c r="E9605"/>
      <c r="F9605"/>
      <c r="N9605" s="44"/>
    </row>
    <row r="9606" spans="1:14" x14ac:dyDescent="0.3">
      <c r="A9606" s="42"/>
      <c r="C9606" s="52"/>
      <c r="D9606"/>
      <c r="E9606"/>
      <c r="F9606"/>
      <c r="N9606" s="44"/>
    </row>
    <row r="9607" spans="1:14" x14ac:dyDescent="0.3">
      <c r="A9607" s="42"/>
      <c r="C9607" s="52"/>
      <c r="D9607"/>
      <c r="E9607"/>
      <c r="F9607"/>
      <c r="N9607" s="44"/>
    </row>
    <row r="9608" spans="1:14" x14ac:dyDescent="0.3">
      <c r="A9608" s="42"/>
      <c r="C9608" s="52"/>
      <c r="D9608"/>
      <c r="E9608"/>
      <c r="F9608"/>
      <c r="N9608" s="44"/>
    </row>
    <row r="9609" spans="1:14" x14ac:dyDescent="0.3">
      <c r="A9609" s="42"/>
      <c r="C9609" s="52"/>
      <c r="D9609"/>
      <c r="E9609"/>
      <c r="F9609"/>
      <c r="N9609" s="44"/>
    </row>
    <row r="9610" spans="1:14" x14ac:dyDescent="0.3">
      <c r="A9610" s="42"/>
      <c r="C9610" s="52"/>
      <c r="D9610"/>
      <c r="E9610"/>
      <c r="F9610"/>
      <c r="N9610" s="44"/>
    </row>
    <row r="9611" spans="1:14" x14ac:dyDescent="0.3">
      <c r="A9611" s="42"/>
      <c r="C9611" s="52"/>
      <c r="D9611"/>
      <c r="E9611"/>
      <c r="F9611"/>
      <c r="N9611" s="44"/>
    </row>
    <row r="9612" spans="1:14" x14ac:dyDescent="0.3">
      <c r="A9612" s="42"/>
      <c r="C9612" s="52"/>
      <c r="D9612"/>
      <c r="E9612"/>
      <c r="F9612"/>
      <c r="N9612" s="44"/>
    </row>
    <row r="9613" spans="1:14" x14ac:dyDescent="0.3">
      <c r="A9613" s="42"/>
      <c r="C9613" s="52"/>
      <c r="D9613"/>
      <c r="E9613"/>
      <c r="F9613"/>
      <c r="N9613" s="44"/>
    </row>
    <row r="9614" spans="1:14" x14ac:dyDescent="0.3">
      <c r="A9614" s="42"/>
      <c r="C9614" s="52"/>
      <c r="D9614"/>
      <c r="E9614"/>
      <c r="F9614"/>
      <c r="N9614" s="44"/>
    </row>
    <row r="9615" spans="1:14" x14ac:dyDescent="0.3">
      <c r="A9615" s="42"/>
      <c r="C9615" s="52"/>
      <c r="D9615"/>
      <c r="E9615"/>
      <c r="F9615"/>
      <c r="N9615" s="44"/>
    </row>
    <row r="9616" spans="1:14" x14ac:dyDescent="0.3">
      <c r="A9616" s="42"/>
      <c r="C9616" s="52"/>
      <c r="D9616"/>
      <c r="E9616"/>
      <c r="F9616"/>
      <c r="N9616" s="44"/>
    </row>
    <row r="9617" spans="1:14" x14ac:dyDescent="0.3">
      <c r="A9617" s="42"/>
      <c r="C9617" s="52"/>
      <c r="D9617"/>
      <c r="E9617"/>
      <c r="F9617"/>
      <c r="N9617" s="44"/>
    </row>
    <row r="9618" spans="1:14" x14ac:dyDescent="0.3">
      <c r="A9618" s="42"/>
      <c r="C9618" s="52"/>
      <c r="D9618"/>
      <c r="E9618"/>
      <c r="F9618"/>
      <c r="N9618" s="44"/>
    </row>
    <row r="9619" spans="1:14" x14ac:dyDescent="0.3">
      <c r="A9619" s="42"/>
      <c r="C9619" s="52"/>
      <c r="D9619"/>
      <c r="E9619"/>
      <c r="F9619"/>
      <c r="M9619" s="45"/>
      <c r="N9619" s="44"/>
    </row>
    <row r="9620" spans="1:14" x14ac:dyDescent="0.3">
      <c r="A9620" s="42"/>
      <c r="C9620" s="52"/>
      <c r="D9620"/>
      <c r="E9620"/>
      <c r="F9620"/>
      <c r="N9620" s="44"/>
    </row>
    <row r="9621" spans="1:14" x14ac:dyDescent="0.3">
      <c r="A9621" s="42"/>
      <c r="C9621" s="52"/>
      <c r="D9621"/>
      <c r="E9621"/>
      <c r="F9621"/>
      <c r="N9621" s="44"/>
    </row>
    <row r="9622" spans="1:14" x14ac:dyDescent="0.3">
      <c r="A9622" s="42"/>
      <c r="C9622" s="52"/>
      <c r="D9622"/>
      <c r="E9622"/>
      <c r="F9622"/>
      <c r="N9622" s="44"/>
    </row>
    <row r="9623" spans="1:14" x14ac:dyDescent="0.3">
      <c r="A9623" s="42"/>
      <c r="C9623" s="52"/>
      <c r="D9623"/>
      <c r="E9623"/>
      <c r="F9623"/>
      <c r="N9623" s="44"/>
    </row>
    <row r="9624" spans="1:14" x14ac:dyDescent="0.3">
      <c r="A9624" s="42"/>
      <c r="C9624" s="52"/>
      <c r="D9624"/>
      <c r="E9624"/>
      <c r="F9624"/>
      <c r="N9624" s="44"/>
    </row>
    <row r="9625" spans="1:14" x14ac:dyDescent="0.3">
      <c r="A9625" s="42"/>
      <c r="C9625" s="52"/>
      <c r="D9625"/>
      <c r="E9625"/>
      <c r="F9625"/>
      <c r="N9625" s="44"/>
    </row>
    <row r="9626" spans="1:14" x14ac:dyDescent="0.3">
      <c r="A9626" s="42"/>
      <c r="C9626" s="52"/>
      <c r="D9626"/>
      <c r="E9626"/>
      <c r="F9626"/>
      <c r="N9626" s="44"/>
    </row>
    <row r="9627" spans="1:14" x14ac:dyDescent="0.3">
      <c r="A9627" s="42"/>
      <c r="C9627" s="52"/>
      <c r="D9627"/>
      <c r="E9627"/>
      <c r="F9627"/>
      <c r="N9627" s="44"/>
    </row>
    <row r="9628" spans="1:14" x14ac:dyDescent="0.3">
      <c r="A9628" s="42"/>
      <c r="C9628" s="52"/>
      <c r="D9628"/>
      <c r="E9628"/>
      <c r="F9628"/>
      <c r="N9628" s="44"/>
    </row>
    <row r="9629" spans="1:14" x14ac:dyDescent="0.3">
      <c r="A9629" s="42"/>
      <c r="C9629" s="52"/>
      <c r="D9629"/>
      <c r="E9629"/>
      <c r="F9629"/>
      <c r="N9629" s="44"/>
    </row>
    <row r="9630" spans="1:14" x14ac:dyDescent="0.3">
      <c r="A9630" s="42"/>
      <c r="C9630" s="52"/>
      <c r="D9630"/>
      <c r="E9630"/>
      <c r="F9630"/>
      <c r="N9630" s="44"/>
    </row>
    <row r="9631" spans="1:14" x14ac:dyDescent="0.3">
      <c r="A9631" s="42"/>
      <c r="C9631" s="52"/>
      <c r="D9631"/>
      <c r="E9631"/>
      <c r="F9631"/>
      <c r="N9631" s="44"/>
    </row>
    <row r="9632" spans="1:14" x14ac:dyDescent="0.3">
      <c r="A9632" s="42"/>
      <c r="C9632" s="52"/>
      <c r="D9632"/>
      <c r="E9632"/>
      <c r="F9632"/>
      <c r="N9632" s="44"/>
    </row>
    <row r="9633" spans="1:14" x14ac:dyDescent="0.3">
      <c r="A9633" s="42"/>
      <c r="C9633" s="52"/>
      <c r="D9633"/>
      <c r="E9633"/>
      <c r="F9633"/>
      <c r="N9633" s="44"/>
    </row>
    <row r="9634" spans="1:14" x14ac:dyDescent="0.3">
      <c r="A9634" s="42"/>
      <c r="C9634" s="52"/>
      <c r="D9634"/>
      <c r="E9634"/>
      <c r="F9634"/>
      <c r="N9634" s="44"/>
    </row>
    <row r="9635" spans="1:14" x14ac:dyDescent="0.3">
      <c r="A9635" s="42"/>
      <c r="C9635" s="52"/>
      <c r="D9635"/>
      <c r="E9635"/>
      <c r="F9635"/>
      <c r="N9635" s="44"/>
    </row>
    <row r="9636" spans="1:14" x14ac:dyDescent="0.3">
      <c r="A9636" s="42"/>
      <c r="C9636" s="52"/>
      <c r="D9636"/>
      <c r="E9636"/>
      <c r="F9636"/>
      <c r="N9636" s="44"/>
    </row>
    <row r="9637" spans="1:14" x14ac:dyDescent="0.3">
      <c r="A9637" s="42"/>
      <c r="C9637" s="52"/>
      <c r="D9637"/>
      <c r="E9637"/>
      <c r="F9637"/>
      <c r="N9637" s="44"/>
    </row>
    <row r="9638" spans="1:14" x14ac:dyDescent="0.3">
      <c r="A9638" s="42"/>
      <c r="C9638" s="52"/>
      <c r="D9638"/>
      <c r="E9638"/>
      <c r="F9638"/>
      <c r="N9638" s="44"/>
    </row>
    <row r="9639" spans="1:14" x14ac:dyDescent="0.3">
      <c r="A9639" s="42"/>
      <c r="C9639" s="52"/>
      <c r="D9639"/>
      <c r="E9639"/>
      <c r="F9639"/>
      <c r="N9639" s="44"/>
    </row>
    <row r="9640" spans="1:14" x14ac:dyDescent="0.3">
      <c r="A9640" s="42"/>
      <c r="C9640" s="52"/>
      <c r="D9640"/>
      <c r="E9640"/>
      <c r="F9640"/>
      <c r="N9640" s="44"/>
    </row>
    <row r="9641" spans="1:14" x14ac:dyDescent="0.3">
      <c r="A9641" s="42"/>
      <c r="C9641" s="52"/>
      <c r="D9641"/>
      <c r="E9641"/>
      <c r="F9641"/>
      <c r="N9641" s="44"/>
    </row>
    <row r="9642" spans="1:14" x14ac:dyDescent="0.3">
      <c r="A9642" s="42"/>
      <c r="C9642" s="52"/>
      <c r="D9642"/>
      <c r="E9642"/>
      <c r="F9642"/>
      <c r="N9642" s="44"/>
    </row>
    <row r="9643" spans="1:14" x14ac:dyDescent="0.3">
      <c r="A9643" s="42"/>
      <c r="C9643" s="52"/>
      <c r="D9643"/>
      <c r="E9643"/>
      <c r="F9643"/>
      <c r="N9643" s="44"/>
    </row>
    <row r="9644" spans="1:14" x14ac:dyDescent="0.3">
      <c r="A9644" s="42"/>
      <c r="C9644" s="52"/>
      <c r="D9644"/>
      <c r="E9644"/>
      <c r="F9644"/>
      <c r="N9644" s="44"/>
    </row>
    <row r="9645" spans="1:14" x14ac:dyDescent="0.3">
      <c r="A9645" s="42"/>
      <c r="C9645" s="52"/>
      <c r="D9645"/>
      <c r="E9645"/>
      <c r="F9645"/>
      <c r="N9645" s="44"/>
    </row>
    <row r="9646" spans="1:14" x14ac:dyDescent="0.3">
      <c r="A9646" s="42"/>
      <c r="C9646" s="52"/>
      <c r="D9646"/>
      <c r="E9646"/>
      <c r="F9646"/>
      <c r="N9646" s="44"/>
    </row>
    <row r="9647" spans="1:14" x14ac:dyDescent="0.3">
      <c r="A9647" s="42"/>
      <c r="C9647" s="52"/>
      <c r="D9647"/>
      <c r="E9647"/>
      <c r="F9647"/>
      <c r="N9647" s="44"/>
    </row>
    <row r="9648" spans="1:14" x14ac:dyDescent="0.3">
      <c r="A9648" s="42"/>
      <c r="C9648" s="52"/>
      <c r="D9648"/>
      <c r="E9648"/>
      <c r="F9648"/>
      <c r="N9648" s="44"/>
    </row>
    <row r="9649" spans="1:14" x14ac:dyDescent="0.3">
      <c r="A9649" s="42"/>
      <c r="C9649" s="52"/>
      <c r="D9649"/>
      <c r="E9649"/>
      <c r="F9649"/>
      <c r="N9649" s="44"/>
    </row>
    <row r="9650" spans="1:14" x14ac:dyDescent="0.3">
      <c r="A9650" s="42"/>
      <c r="C9650" s="52"/>
      <c r="D9650"/>
      <c r="E9650"/>
      <c r="F9650"/>
      <c r="N9650" s="44"/>
    </row>
    <row r="9651" spans="1:14" x14ac:dyDescent="0.3">
      <c r="A9651" s="42"/>
      <c r="C9651" s="52"/>
      <c r="D9651"/>
      <c r="E9651"/>
      <c r="F9651"/>
      <c r="N9651" s="44"/>
    </row>
    <row r="9652" spans="1:14" x14ac:dyDescent="0.3">
      <c r="A9652" s="42"/>
      <c r="C9652" s="52"/>
      <c r="D9652"/>
      <c r="E9652"/>
      <c r="F9652"/>
      <c r="N9652" s="44"/>
    </row>
    <row r="9653" spans="1:14" x14ac:dyDescent="0.3">
      <c r="A9653" s="42"/>
      <c r="C9653" s="52"/>
      <c r="D9653"/>
      <c r="E9653"/>
      <c r="F9653"/>
      <c r="N9653" s="44"/>
    </row>
    <row r="9654" spans="1:14" x14ac:dyDescent="0.3">
      <c r="A9654" s="42"/>
      <c r="C9654" s="52"/>
      <c r="D9654"/>
      <c r="E9654"/>
      <c r="F9654"/>
      <c r="N9654" s="44"/>
    </row>
    <row r="9655" spans="1:14" x14ac:dyDescent="0.3">
      <c r="A9655" s="42"/>
      <c r="C9655" s="52"/>
      <c r="D9655"/>
      <c r="E9655"/>
      <c r="F9655"/>
      <c r="N9655" s="44"/>
    </row>
    <row r="9656" spans="1:14" x14ac:dyDescent="0.3">
      <c r="A9656" s="42"/>
      <c r="C9656" s="52"/>
      <c r="D9656"/>
      <c r="E9656"/>
      <c r="F9656"/>
      <c r="N9656" s="44"/>
    </row>
    <row r="9657" spans="1:14" x14ac:dyDescent="0.3">
      <c r="A9657" s="42"/>
      <c r="C9657" s="52"/>
      <c r="D9657"/>
      <c r="E9657"/>
      <c r="F9657"/>
      <c r="N9657" s="44"/>
    </row>
    <row r="9658" spans="1:14" x14ac:dyDescent="0.3">
      <c r="A9658" s="42"/>
      <c r="C9658" s="52"/>
      <c r="D9658"/>
      <c r="E9658"/>
      <c r="F9658"/>
      <c r="N9658" s="44"/>
    </row>
    <row r="9659" spans="1:14" x14ac:dyDescent="0.3">
      <c r="A9659" s="42"/>
      <c r="C9659" s="52"/>
      <c r="D9659"/>
      <c r="E9659"/>
      <c r="F9659"/>
      <c r="N9659" s="44"/>
    </row>
    <row r="9660" spans="1:14" x14ac:dyDescent="0.3">
      <c r="A9660" s="42"/>
      <c r="C9660" s="52"/>
      <c r="D9660"/>
      <c r="E9660"/>
      <c r="F9660"/>
      <c r="N9660" s="44"/>
    </row>
    <row r="9661" spans="1:14" x14ac:dyDescent="0.3">
      <c r="A9661" s="42"/>
      <c r="C9661" s="52"/>
      <c r="D9661"/>
      <c r="E9661"/>
      <c r="F9661"/>
      <c r="N9661" s="44"/>
    </row>
    <row r="9662" spans="1:14" x14ac:dyDescent="0.3">
      <c r="A9662" s="42"/>
      <c r="C9662" s="52"/>
      <c r="D9662"/>
      <c r="E9662"/>
      <c r="F9662"/>
      <c r="N9662" s="44"/>
    </row>
    <row r="9663" spans="1:14" x14ac:dyDescent="0.3">
      <c r="A9663" s="42"/>
      <c r="C9663" s="52"/>
      <c r="D9663"/>
      <c r="E9663"/>
      <c r="F9663"/>
      <c r="N9663" s="44"/>
    </row>
    <row r="9664" spans="1:14" x14ac:dyDescent="0.3">
      <c r="A9664" s="42"/>
      <c r="C9664" s="52"/>
      <c r="D9664"/>
      <c r="E9664"/>
      <c r="F9664"/>
      <c r="N9664" s="44"/>
    </row>
    <row r="9665" spans="1:14" x14ac:dyDescent="0.3">
      <c r="A9665" s="42"/>
      <c r="C9665" s="52"/>
      <c r="D9665"/>
      <c r="E9665"/>
      <c r="F9665"/>
      <c r="N9665" s="44"/>
    </row>
    <row r="9666" spans="1:14" x14ac:dyDescent="0.3">
      <c r="A9666" s="42"/>
      <c r="C9666" s="52"/>
      <c r="D9666"/>
      <c r="E9666"/>
      <c r="F9666"/>
      <c r="N9666" s="44"/>
    </row>
    <row r="9667" spans="1:14" x14ac:dyDescent="0.3">
      <c r="A9667" s="42"/>
      <c r="C9667" s="52"/>
      <c r="D9667"/>
      <c r="E9667"/>
      <c r="F9667"/>
      <c r="N9667" s="44"/>
    </row>
    <row r="9668" spans="1:14" x14ac:dyDescent="0.3">
      <c r="A9668" s="42"/>
      <c r="C9668" s="52"/>
      <c r="D9668"/>
      <c r="E9668"/>
      <c r="F9668"/>
      <c r="N9668" s="44"/>
    </row>
    <row r="9669" spans="1:14" x14ac:dyDescent="0.3">
      <c r="A9669" s="42"/>
      <c r="C9669" s="52"/>
      <c r="D9669"/>
      <c r="E9669"/>
      <c r="F9669"/>
      <c r="N9669" s="44"/>
    </row>
    <row r="9670" spans="1:14" x14ac:dyDescent="0.3">
      <c r="A9670" s="42"/>
      <c r="C9670" s="52"/>
      <c r="D9670"/>
      <c r="E9670"/>
      <c r="F9670"/>
      <c r="N9670" s="44"/>
    </row>
    <row r="9671" spans="1:14" x14ac:dyDescent="0.3">
      <c r="A9671" s="42"/>
      <c r="C9671" s="52"/>
      <c r="D9671"/>
      <c r="E9671"/>
      <c r="F9671"/>
      <c r="N9671" s="44"/>
    </row>
    <row r="9672" spans="1:14" x14ac:dyDescent="0.3">
      <c r="A9672" s="42"/>
      <c r="C9672" s="52"/>
      <c r="D9672"/>
      <c r="E9672"/>
      <c r="F9672"/>
      <c r="N9672" s="44"/>
    </row>
    <row r="9673" spans="1:14" x14ac:dyDescent="0.3">
      <c r="A9673" s="42"/>
      <c r="C9673" s="52"/>
      <c r="D9673"/>
      <c r="E9673"/>
      <c r="F9673"/>
      <c r="N9673" s="44"/>
    </row>
    <row r="9674" spans="1:14" x14ac:dyDescent="0.3">
      <c r="A9674" s="42"/>
      <c r="C9674" s="52"/>
      <c r="D9674"/>
      <c r="E9674"/>
      <c r="F9674"/>
      <c r="N9674" s="44"/>
    </row>
    <row r="9675" spans="1:14" x14ac:dyDescent="0.3">
      <c r="A9675" s="42"/>
      <c r="C9675" s="52"/>
      <c r="D9675"/>
      <c r="E9675"/>
      <c r="F9675"/>
      <c r="N9675" s="44"/>
    </row>
    <row r="9676" spans="1:14" x14ac:dyDescent="0.3">
      <c r="A9676" s="42"/>
      <c r="C9676" s="52"/>
      <c r="D9676"/>
      <c r="E9676"/>
      <c r="F9676"/>
      <c r="N9676" s="44"/>
    </row>
    <row r="9677" spans="1:14" x14ac:dyDescent="0.3">
      <c r="A9677" s="42"/>
      <c r="C9677" s="52"/>
      <c r="D9677"/>
      <c r="E9677"/>
      <c r="F9677"/>
      <c r="N9677" s="44"/>
    </row>
    <row r="9678" spans="1:14" x14ac:dyDescent="0.3">
      <c r="A9678" s="42"/>
      <c r="C9678" s="52"/>
      <c r="D9678"/>
      <c r="E9678"/>
      <c r="F9678"/>
      <c r="N9678" s="44"/>
    </row>
    <row r="9679" spans="1:14" x14ac:dyDescent="0.3">
      <c r="A9679" s="42"/>
      <c r="C9679" s="52"/>
      <c r="D9679"/>
      <c r="E9679"/>
      <c r="F9679"/>
      <c r="N9679" s="44"/>
    </row>
    <row r="9680" spans="1:14" x14ac:dyDescent="0.3">
      <c r="A9680" s="42"/>
      <c r="C9680" s="52"/>
      <c r="D9680"/>
      <c r="E9680"/>
      <c r="F9680"/>
      <c r="N9680" s="44"/>
    </row>
    <row r="9681" spans="1:14" x14ac:dyDescent="0.3">
      <c r="A9681" s="42"/>
      <c r="C9681" s="52"/>
      <c r="D9681"/>
      <c r="E9681"/>
      <c r="F9681"/>
      <c r="N9681" s="44"/>
    </row>
    <row r="9682" spans="1:14" x14ac:dyDescent="0.3">
      <c r="A9682" s="42"/>
      <c r="C9682" s="52"/>
      <c r="D9682"/>
      <c r="E9682"/>
      <c r="F9682"/>
      <c r="N9682" s="44"/>
    </row>
    <row r="9683" spans="1:14" x14ac:dyDescent="0.3">
      <c r="A9683" s="42"/>
      <c r="C9683" s="52"/>
      <c r="D9683"/>
      <c r="E9683"/>
      <c r="F9683"/>
      <c r="N9683" s="44"/>
    </row>
    <row r="9684" spans="1:14" x14ac:dyDescent="0.3">
      <c r="A9684" s="42"/>
      <c r="C9684" s="52"/>
      <c r="D9684"/>
      <c r="E9684"/>
      <c r="F9684"/>
      <c r="N9684" s="44"/>
    </row>
    <row r="9685" spans="1:14" x14ac:dyDescent="0.3">
      <c r="A9685" s="42"/>
      <c r="C9685" s="52"/>
      <c r="D9685"/>
      <c r="E9685"/>
      <c r="F9685"/>
      <c r="N9685" s="44"/>
    </row>
    <row r="9686" spans="1:14" x14ac:dyDescent="0.3">
      <c r="A9686" s="42"/>
      <c r="C9686" s="52"/>
      <c r="D9686"/>
      <c r="E9686"/>
      <c r="F9686"/>
      <c r="N9686" s="44"/>
    </row>
    <row r="9687" spans="1:14" x14ac:dyDescent="0.3">
      <c r="A9687" s="42"/>
      <c r="C9687" s="52"/>
      <c r="D9687"/>
      <c r="E9687"/>
      <c r="F9687"/>
      <c r="N9687" s="44"/>
    </row>
    <row r="9688" spans="1:14" x14ac:dyDescent="0.3">
      <c r="A9688" s="42"/>
      <c r="C9688" s="52"/>
      <c r="D9688"/>
      <c r="E9688"/>
      <c r="F9688"/>
      <c r="N9688" s="44"/>
    </row>
    <row r="9689" spans="1:14" x14ac:dyDescent="0.3">
      <c r="A9689" s="42"/>
      <c r="C9689" s="52"/>
      <c r="D9689"/>
      <c r="E9689"/>
      <c r="F9689"/>
      <c r="N9689" s="44"/>
    </row>
    <row r="9690" spans="1:14" x14ac:dyDescent="0.3">
      <c r="A9690" s="42"/>
      <c r="C9690" s="52"/>
      <c r="D9690"/>
      <c r="E9690"/>
      <c r="F9690"/>
      <c r="N9690" s="44"/>
    </row>
    <row r="9691" spans="1:14" x14ac:dyDescent="0.3">
      <c r="A9691" s="42"/>
      <c r="C9691" s="52"/>
      <c r="D9691"/>
      <c r="E9691"/>
      <c r="F9691"/>
      <c r="N9691" s="44"/>
    </row>
    <row r="9692" spans="1:14" x14ac:dyDescent="0.3">
      <c r="A9692" s="42"/>
      <c r="C9692" s="52"/>
      <c r="D9692"/>
      <c r="E9692"/>
      <c r="F9692"/>
      <c r="N9692" s="44"/>
    </row>
    <row r="9693" spans="1:14" x14ac:dyDescent="0.3">
      <c r="A9693" s="42"/>
      <c r="C9693" s="52"/>
      <c r="D9693"/>
      <c r="E9693"/>
      <c r="F9693"/>
      <c r="N9693" s="44"/>
    </row>
    <row r="9694" spans="1:14" x14ac:dyDescent="0.3">
      <c r="A9694" s="42"/>
      <c r="C9694" s="52"/>
      <c r="D9694"/>
      <c r="E9694"/>
      <c r="F9694"/>
      <c r="N9694" s="44"/>
    </row>
    <row r="9695" spans="1:14" x14ac:dyDescent="0.3">
      <c r="A9695" s="42"/>
      <c r="C9695" s="52"/>
      <c r="D9695"/>
      <c r="E9695"/>
      <c r="F9695"/>
      <c r="N9695" s="44"/>
    </row>
    <row r="9696" spans="1:14" x14ac:dyDescent="0.3">
      <c r="A9696" s="42"/>
      <c r="C9696" s="52"/>
      <c r="D9696"/>
      <c r="E9696"/>
      <c r="F9696"/>
      <c r="N9696" s="44"/>
    </row>
    <row r="9697" spans="1:14" x14ac:dyDescent="0.3">
      <c r="A9697" s="42"/>
      <c r="C9697" s="52"/>
      <c r="D9697"/>
      <c r="E9697"/>
      <c r="F9697"/>
      <c r="N9697" s="44"/>
    </row>
    <row r="9698" spans="1:14" x14ac:dyDescent="0.3">
      <c r="A9698" s="42"/>
      <c r="C9698" s="52"/>
      <c r="D9698"/>
      <c r="E9698"/>
      <c r="F9698"/>
      <c r="N9698" s="44"/>
    </row>
    <row r="9699" spans="1:14" x14ac:dyDescent="0.3">
      <c r="A9699" s="42"/>
      <c r="C9699" s="52"/>
      <c r="D9699"/>
      <c r="E9699"/>
      <c r="F9699"/>
      <c r="N9699" s="44"/>
    </row>
    <row r="9700" spans="1:14" x14ac:dyDescent="0.3">
      <c r="A9700" s="42"/>
      <c r="C9700" s="52"/>
      <c r="D9700"/>
      <c r="E9700"/>
      <c r="F9700"/>
      <c r="N9700" s="44"/>
    </row>
    <row r="9701" spans="1:14" x14ac:dyDescent="0.3">
      <c r="A9701" s="42"/>
      <c r="C9701" s="52"/>
      <c r="D9701"/>
      <c r="E9701"/>
      <c r="F9701"/>
      <c r="N9701" s="44"/>
    </row>
    <row r="9702" spans="1:14" x14ac:dyDescent="0.3">
      <c r="A9702" s="42"/>
      <c r="C9702" s="52"/>
      <c r="D9702"/>
      <c r="E9702"/>
      <c r="F9702"/>
      <c r="N9702" s="44"/>
    </row>
    <row r="9703" spans="1:14" x14ac:dyDescent="0.3">
      <c r="A9703" s="42"/>
      <c r="C9703" s="52"/>
      <c r="D9703"/>
      <c r="E9703"/>
      <c r="F9703"/>
      <c r="N9703" s="44"/>
    </row>
    <row r="9704" spans="1:14" x14ac:dyDescent="0.3">
      <c r="A9704" s="42"/>
      <c r="C9704" s="52"/>
      <c r="D9704"/>
      <c r="E9704"/>
      <c r="F9704"/>
      <c r="N9704" s="44"/>
    </row>
    <row r="9705" spans="1:14" x14ac:dyDescent="0.3">
      <c r="A9705" s="42"/>
      <c r="C9705" s="52"/>
      <c r="D9705"/>
      <c r="E9705"/>
      <c r="F9705"/>
      <c r="N9705" s="44"/>
    </row>
    <row r="9706" spans="1:14" x14ac:dyDescent="0.3">
      <c r="A9706" s="42"/>
      <c r="C9706" s="52"/>
      <c r="D9706"/>
      <c r="E9706"/>
      <c r="F9706"/>
      <c r="N9706" s="44"/>
    </row>
    <row r="9707" spans="1:14" x14ac:dyDescent="0.3">
      <c r="A9707" s="42"/>
      <c r="C9707" s="52"/>
      <c r="D9707"/>
      <c r="E9707"/>
      <c r="F9707"/>
      <c r="N9707" s="44"/>
    </row>
    <row r="9708" spans="1:14" x14ac:dyDescent="0.3">
      <c r="A9708" s="42"/>
      <c r="C9708" s="52"/>
      <c r="D9708"/>
      <c r="E9708"/>
      <c r="F9708"/>
      <c r="N9708" s="44"/>
    </row>
    <row r="9709" spans="1:14" x14ac:dyDescent="0.3">
      <c r="A9709" s="42"/>
      <c r="C9709" s="52"/>
      <c r="D9709"/>
      <c r="E9709"/>
      <c r="F9709"/>
      <c r="N9709" s="44"/>
    </row>
    <row r="9710" spans="1:14" x14ac:dyDescent="0.3">
      <c r="A9710" s="42"/>
      <c r="C9710" s="52"/>
      <c r="D9710"/>
      <c r="E9710"/>
      <c r="F9710"/>
      <c r="N9710" s="44"/>
    </row>
    <row r="9711" spans="1:14" x14ac:dyDescent="0.3">
      <c r="A9711" s="42"/>
      <c r="C9711" s="52"/>
      <c r="D9711"/>
      <c r="E9711"/>
      <c r="F9711"/>
      <c r="N9711" s="44"/>
    </row>
    <row r="9712" spans="1:14" x14ac:dyDescent="0.3">
      <c r="A9712" s="42"/>
      <c r="C9712" s="52"/>
      <c r="D9712"/>
      <c r="E9712"/>
      <c r="F9712"/>
      <c r="N9712" s="44"/>
    </row>
    <row r="9713" spans="1:14" x14ac:dyDescent="0.3">
      <c r="A9713" s="42"/>
      <c r="C9713" s="52"/>
      <c r="D9713"/>
      <c r="E9713"/>
      <c r="F9713"/>
      <c r="N9713" s="44"/>
    </row>
    <row r="9714" spans="1:14" x14ac:dyDescent="0.3">
      <c r="A9714" s="42"/>
      <c r="C9714" s="52"/>
      <c r="D9714"/>
      <c r="E9714"/>
      <c r="F9714"/>
      <c r="N9714" s="44"/>
    </row>
    <row r="9715" spans="1:14" x14ac:dyDescent="0.3">
      <c r="A9715" s="42"/>
      <c r="C9715" s="52"/>
      <c r="D9715"/>
      <c r="E9715"/>
      <c r="F9715"/>
      <c r="N9715" s="44"/>
    </row>
    <row r="9716" spans="1:14" x14ac:dyDescent="0.3">
      <c r="A9716" s="42"/>
      <c r="C9716" s="52"/>
      <c r="D9716"/>
      <c r="E9716"/>
      <c r="F9716"/>
      <c r="N9716" s="44"/>
    </row>
    <row r="9717" spans="1:14" x14ac:dyDescent="0.3">
      <c r="A9717" s="42"/>
      <c r="C9717" s="52"/>
      <c r="D9717"/>
      <c r="E9717"/>
      <c r="F9717"/>
      <c r="N9717" s="44"/>
    </row>
    <row r="9718" spans="1:14" x14ac:dyDescent="0.3">
      <c r="A9718" s="42"/>
      <c r="C9718" s="52"/>
      <c r="D9718"/>
      <c r="E9718"/>
      <c r="F9718"/>
      <c r="N9718" s="44"/>
    </row>
    <row r="9719" spans="1:14" x14ac:dyDescent="0.3">
      <c r="A9719" s="42"/>
      <c r="C9719" s="52"/>
      <c r="D9719"/>
      <c r="E9719"/>
      <c r="F9719"/>
      <c r="N9719" s="44"/>
    </row>
    <row r="9720" spans="1:14" x14ac:dyDescent="0.3">
      <c r="A9720" s="42"/>
      <c r="C9720" s="52"/>
      <c r="D9720"/>
      <c r="E9720"/>
      <c r="F9720"/>
      <c r="N9720" s="44"/>
    </row>
    <row r="9721" spans="1:14" x14ac:dyDescent="0.3">
      <c r="A9721" s="42"/>
      <c r="C9721" s="52"/>
      <c r="D9721"/>
      <c r="E9721"/>
      <c r="F9721"/>
      <c r="N9721" s="44"/>
    </row>
    <row r="9722" spans="1:14" x14ac:dyDescent="0.3">
      <c r="A9722" s="42"/>
      <c r="C9722" s="52"/>
      <c r="D9722"/>
      <c r="E9722"/>
      <c r="F9722"/>
      <c r="N9722" s="44"/>
    </row>
    <row r="9723" spans="1:14" x14ac:dyDescent="0.3">
      <c r="A9723" s="42"/>
      <c r="C9723" s="52"/>
      <c r="D9723"/>
      <c r="E9723"/>
      <c r="F9723"/>
      <c r="N9723" s="44"/>
    </row>
    <row r="9724" spans="1:14" x14ac:dyDescent="0.3">
      <c r="A9724" s="42"/>
      <c r="C9724" s="52"/>
      <c r="D9724"/>
      <c r="E9724"/>
      <c r="F9724"/>
      <c r="N9724" s="44"/>
    </row>
    <row r="9725" spans="1:14" x14ac:dyDescent="0.3">
      <c r="A9725" s="42"/>
      <c r="C9725" s="52"/>
      <c r="D9725"/>
      <c r="E9725"/>
      <c r="F9725"/>
      <c r="N9725" s="44"/>
    </row>
    <row r="9726" spans="1:14" x14ac:dyDescent="0.3">
      <c r="A9726" s="42"/>
      <c r="C9726" s="52"/>
      <c r="D9726"/>
      <c r="E9726"/>
      <c r="F9726"/>
      <c r="N9726" s="44"/>
    </row>
    <row r="9727" spans="1:14" x14ac:dyDescent="0.3">
      <c r="A9727" s="42"/>
      <c r="C9727" s="52"/>
      <c r="D9727"/>
      <c r="E9727"/>
      <c r="F9727"/>
      <c r="N9727" s="44"/>
    </row>
    <row r="9728" spans="1:14" x14ac:dyDescent="0.3">
      <c r="A9728" s="42"/>
      <c r="C9728" s="52"/>
      <c r="D9728"/>
      <c r="E9728"/>
      <c r="F9728"/>
      <c r="N9728" s="44"/>
    </row>
    <row r="9729" spans="1:14" x14ac:dyDescent="0.3">
      <c r="A9729" s="42"/>
      <c r="C9729" s="52"/>
      <c r="D9729"/>
      <c r="E9729"/>
      <c r="F9729"/>
      <c r="N9729" s="44"/>
    </row>
    <row r="9730" spans="1:14" x14ac:dyDescent="0.3">
      <c r="A9730" s="42"/>
      <c r="C9730" s="52"/>
      <c r="D9730"/>
      <c r="E9730"/>
      <c r="F9730"/>
      <c r="N9730" s="44"/>
    </row>
    <row r="9731" spans="1:14" x14ac:dyDescent="0.3">
      <c r="A9731" s="42"/>
      <c r="C9731" s="52"/>
      <c r="D9731"/>
      <c r="E9731"/>
      <c r="F9731"/>
      <c r="N9731" s="44"/>
    </row>
    <row r="9732" spans="1:14" x14ac:dyDescent="0.3">
      <c r="A9732" s="42"/>
      <c r="C9732" s="52"/>
      <c r="D9732"/>
      <c r="E9732"/>
      <c r="F9732"/>
      <c r="N9732" s="44"/>
    </row>
    <row r="9733" spans="1:14" x14ac:dyDescent="0.3">
      <c r="A9733" s="42"/>
      <c r="C9733" s="52"/>
      <c r="D9733"/>
      <c r="E9733"/>
      <c r="F9733"/>
      <c r="N9733" s="44"/>
    </row>
    <row r="9734" spans="1:14" x14ac:dyDescent="0.3">
      <c r="A9734" s="42"/>
      <c r="C9734" s="52"/>
      <c r="D9734"/>
      <c r="E9734"/>
      <c r="F9734"/>
      <c r="N9734" s="44"/>
    </row>
    <row r="9735" spans="1:14" x14ac:dyDescent="0.3">
      <c r="A9735" s="42"/>
      <c r="C9735" s="52"/>
      <c r="D9735"/>
      <c r="E9735"/>
      <c r="F9735"/>
      <c r="N9735" s="44"/>
    </row>
    <row r="9736" spans="1:14" x14ac:dyDescent="0.3">
      <c r="A9736" s="42"/>
      <c r="C9736" s="52"/>
      <c r="D9736"/>
      <c r="E9736"/>
      <c r="F9736"/>
      <c r="N9736" s="44"/>
    </row>
    <row r="9737" spans="1:14" x14ac:dyDescent="0.3">
      <c r="A9737" s="42"/>
      <c r="C9737" s="52"/>
      <c r="D9737"/>
      <c r="E9737"/>
      <c r="F9737"/>
      <c r="N9737" s="44"/>
    </row>
    <row r="9738" spans="1:14" x14ac:dyDescent="0.3">
      <c r="A9738" s="42"/>
      <c r="C9738" s="52"/>
      <c r="D9738"/>
      <c r="E9738"/>
      <c r="F9738"/>
      <c r="N9738" s="44"/>
    </row>
    <row r="9739" spans="1:14" x14ac:dyDescent="0.3">
      <c r="A9739" s="42"/>
      <c r="C9739" s="52"/>
      <c r="D9739"/>
      <c r="E9739"/>
      <c r="F9739"/>
      <c r="N9739" s="44"/>
    </row>
    <row r="9740" spans="1:14" x14ac:dyDescent="0.3">
      <c r="A9740" s="42"/>
      <c r="C9740" s="52"/>
      <c r="D9740"/>
      <c r="E9740"/>
      <c r="F9740"/>
      <c r="N9740" s="44"/>
    </row>
    <row r="9741" spans="1:14" x14ac:dyDescent="0.3">
      <c r="A9741" s="42"/>
      <c r="C9741" s="52"/>
      <c r="D9741"/>
      <c r="E9741"/>
      <c r="F9741"/>
      <c r="N9741" s="44"/>
    </row>
    <row r="9742" spans="1:14" x14ac:dyDescent="0.3">
      <c r="A9742" s="42"/>
      <c r="C9742" s="52"/>
      <c r="D9742"/>
      <c r="E9742"/>
      <c r="F9742"/>
      <c r="N9742" s="44"/>
    </row>
    <row r="9743" spans="1:14" x14ac:dyDescent="0.3">
      <c r="A9743" s="42"/>
      <c r="C9743" s="52"/>
      <c r="D9743"/>
      <c r="E9743"/>
      <c r="F9743"/>
      <c r="N9743" s="44"/>
    </row>
    <row r="9744" spans="1:14" x14ac:dyDescent="0.3">
      <c r="A9744" s="42"/>
      <c r="C9744" s="52"/>
      <c r="D9744"/>
      <c r="E9744"/>
      <c r="F9744"/>
      <c r="N9744" s="44"/>
    </row>
    <row r="9745" spans="1:14" x14ac:dyDescent="0.3">
      <c r="A9745" s="42"/>
      <c r="C9745" s="52"/>
      <c r="D9745"/>
      <c r="E9745"/>
      <c r="F9745"/>
      <c r="N9745" s="44"/>
    </row>
    <row r="9746" spans="1:14" x14ac:dyDescent="0.3">
      <c r="A9746" s="42"/>
      <c r="C9746" s="52"/>
      <c r="D9746"/>
      <c r="E9746"/>
      <c r="F9746"/>
      <c r="N9746" s="44"/>
    </row>
    <row r="9747" spans="1:14" x14ac:dyDescent="0.3">
      <c r="A9747" s="42"/>
      <c r="C9747" s="52"/>
      <c r="D9747"/>
      <c r="E9747"/>
      <c r="F9747"/>
      <c r="N9747" s="44"/>
    </row>
    <row r="9748" spans="1:14" x14ac:dyDescent="0.3">
      <c r="A9748" s="42"/>
      <c r="C9748" s="52"/>
      <c r="D9748"/>
      <c r="E9748"/>
      <c r="F9748"/>
      <c r="N9748" s="44"/>
    </row>
    <row r="9749" spans="1:14" x14ac:dyDescent="0.3">
      <c r="A9749" s="42"/>
      <c r="C9749" s="52"/>
      <c r="D9749"/>
      <c r="E9749"/>
      <c r="F9749"/>
      <c r="N9749" s="44"/>
    </row>
    <row r="9750" spans="1:14" x14ac:dyDescent="0.3">
      <c r="A9750" s="42"/>
      <c r="C9750" s="52"/>
      <c r="D9750"/>
      <c r="E9750"/>
      <c r="F9750"/>
      <c r="N9750" s="44"/>
    </row>
    <row r="9751" spans="1:14" x14ac:dyDescent="0.3">
      <c r="A9751" s="42"/>
      <c r="C9751" s="52"/>
      <c r="D9751"/>
      <c r="E9751"/>
      <c r="F9751"/>
      <c r="N9751" s="44"/>
    </row>
    <row r="9752" spans="1:14" x14ac:dyDescent="0.3">
      <c r="A9752" s="42"/>
      <c r="C9752" s="52"/>
      <c r="D9752"/>
      <c r="E9752"/>
      <c r="F9752"/>
      <c r="N9752" s="44"/>
    </row>
    <row r="9753" spans="1:14" x14ac:dyDescent="0.3">
      <c r="A9753" s="42"/>
      <c r="C9753" s="52"/>
      <c r="D9753"/>
      <c r="E9753"/>
      <c r="F9753"/>
      <c r="N9753" s="44"/>
    </row>
    <row r="9754" spans="1:14" x14ac:dyDescent="0.3">
      <c r="A9754" s="42"/>
      <c r="C9754" s="52"/>
      <c r="D9754"/>
      <c r="E9754"/>
      <c r="F9754"/>
      <c r="N9754" s="44"/>
    </row>
    <row r="9755" spans="1:14" x14ac:dyDescent="0.3">
      <c r="A9755" s="42"/>
      <c r="C9755" s="52"/>
      <c r="D9755"/>
      <c r="E9755"/>
      <c r="F9755"/>
      <c r="N9755" s="44"/>
    </row>
    <row r="9756" spans="1:14" x14ac:dyDescent="0.3">
      <c r="A9756" s="42"/>
      <c r="C9756" s="52"/>
      <c r="D9756"/>
      <c r="E9756"/>
      <c r="F9756"/>
      <c r="N9756" s="44"/>
    </row>
    <row r="9757" spans="1:14" x14ac:dyDescent="0.3">
      <c r="A9757" s="42"/>
      <c r="C9757" s="52"/>
      <c r="D9757"/>
      <c r="E9757"/>
      <c r="F9757"/>
      <c r="N9757" s="44"/>
    </row>
    <row r="9758" spans="1:14" x14ac:dyDescent="0.3">
      <c r="A9758" s="42"/>
      <c r="C9758" s="52"/>
      <c r="D9758"/>
      <c r="E9758"/>
      <c r="F9758"/>
      <c r="N9758" s="44"/>
    </row>
    <row r="9759" spans="1:14" x14ac:dyDescent="0.3">
      <c r="A9759" s="42"/>
      <c r="C9759" s="52"/>
      <c r="D9759"/>
      <c r="E9759"/>
      <c r="F9759"/>
      <c r="N9759" s="44"/>
    </row>
    <row r="9760" spans="1:14" x14ac:dyDescent="0.3">
      <c r="A9760" s="42"/>
      <c r="C9760" s="52"/>
      <c r="D9760"/>
      <c r="E9760"/>
      <c r="F9760"/>
      <c r="N9760" s="44"/>
    </row>
    <row r="9761" spans="1:14" x14ac:dyDescent="0.3">
      <c r="A9761" s="42"/>
      <c r="C9761" s="52"/>
      <c r="D9761"/>
      <c r="E9761"/>
      <c r="F9761"/>
      <c r="N9761" s="44"/>
    </row>
    <row r="9762" spans="1:14" x14ac:dyDescent="0.3">
      <c r="A9762" s="42"/>
      <c r="C9762" s="52"/>
      <c r="D9762"/>
      <c r="E9762"/>
      <c r="F9762"/>
      <c r="N9762" s="44"/>
    </row>
    <row r="9763" spans="1:14" x14ac:dyDescent="0.3">
      <c r="A9763" s="42"/>
      <c r="C9763" s="52"/>
      <c r="D9763"/>
      <c r="E9763"/>
      <c r="F9763"/>
      <c r="N9763" s="44"/>
    </row>
    <row r="9764" spans="1:14" x14ac:dyDescent="0.3">
      <c r="A9764" s="42"/>
      <c r="C9764" s="52"/>
      <c r="D9764"/>
      <c r="E9764"/>
      <c r="F9764"/>
      <c r="N9764" s="44"/>
    </row>
    <row r="9765" spans="1:14" x14ac:dyDescent="0.3">
      <c r="A9765" s="42"/>
      <c r="C9765" s="52"/>
      <c r="D9765"/>
      <c r="E9765"/>
      <c r="F9765"/>
      <c r="N9765" s="44"/>
    </row>
    <row r="9766" spans="1:14" x14ac:dyDescent="0.3">
      <c r="A9766" s="42"/>
      <c r="C9766" s="52"/>
      <c r="D9766"/>
      <c r="E9766"/>
      <c r="F9766"/>
      <c r="N9766" s="44"/>
    </row>
    <row r="9767" spans="1:14" x14ac:dyDescent="0.3">
      <c r="A9767" s="42"/>
      <c r="C9767" s="52"/>
      <c r="D9767"/>
      <c r="E9767"/>
      <c r="F9767"/>
      <c r="N9767" s="44"/>
    </row>
    <row r="9768" spans="1:14" x14ac:dyDescent="0.3">
      <c r="A9768" s="42"/>
      <c r="C9768" s="52"/>
      <c r="D9768"/>
      <c r="E9768"/>
      <c r="F9768"/>
      <c r="N9768" s="44"/>
    </row>
    <row r="9769" spans="1:14" x14ac:dyDescent="0.3">
      <c r="A9769" s="42"/>
      <c r="C9769" s="52"/>
      <c r="D9769"/>
      <c r="E9769"/>
      <c r="F9769"/>
      <c r="N9769" s="44"/>
    </row>
    <row r="9770" spans="1:14" x14ac:dyDescent="0.3">
      <c r="A9770" s="42"/>
      <c r="C9770" s="52"/>
      <c r="D9770"/>
      <c r="E9770"/>
      <c r="F9770"/>
      <c r="N9770" s="44"/>
    </row>
    <row r="9771" spans="1:14" x14ac:dyDescent="0.3">
      <c r="A9771" s="42"/>
      <c r="C9771" s="52"/>
      <c r="D9771"/>
      <c r="E9771"/>
      <c r="F9771"/>
      <c r="N9771" s="44"/>
    </row>
    <row r="9772" spans="1:14" x14ac:dyDescent="0.3">
      <c r="A9772" s="42"/>
      <c r="C9772" s="52"/>
      <c r="D9772"/>
      <c r="E9772"/>
      <c r="F9772"/>
      <c r="N9772" s="44"/>
    </row>
    <row r="9773" spans="1:14" x14ac:dyDescent="0.3">
      <c r="A9773" s="42"/>
      <c r="C9773" s="52"/>
      <c r="D9773"/>
      <c r="E9773"/>
      <c r="F9773"/>
      <c r="N9773" s="44"/>
    </row>
    <row r="9774" spans="1:14" x14ac:dyDescent="0.3">
      <c r="A9774" s="42"/>
      <c r="C9774" s="52"/>
      <c r="D9774"/>
      <c r="E9774"/>
      <c r="F9774"/>
      <c r="N9774" s="44"/>
    </row>
    <row r="9775" spans="1:14" x14ac:dyDescent="0.3">
      <c r="A9775" s="42"/>
      <c r="C9775" s="52"/>
      <c r="D9775"/>
      <c r="E9775"/>
      <c r="F9775"/>
      <c r="N9775" s="44"/>
    </row>
    <row r="9776" spans="1:14" x14ac:dyDescent="0.3">
      <c r="A9776" s="42"/>
      <c r="C9776" s="52"/>
      <c r="D9776"/>
      <c r="E9776"/>
      <c r="F9776"/>
      <c r="N9776" s="44"/>
    </row>
    <row r="9777" spans="1:14" x14ac:dyDescent="0.3">
      <c r="A9777" s="42"/>
      <c r="C9777" s="52"/>
      <c r="D9777"/>
      <c r="E9777"/>
      <c r="F9777"/>
      <c r="N9777" s="44"/>
    </row>
    <row r="9778" spans="1:14" x14ac:dyDescent="0.3">
      <c r="A9778" s="42"/>
      <c r="C9778" s="52"/>
      <c r="D9778"/>
      <c r="E9778"/>
      <c r="F9778"/>
      <c r="N9778" s="44"/>
    </row>
    <row r="9779" spans="1:14" x14ac:dyDescent="0.3">
      <c r="A9779" s="42"/>
      <c r="C9779" s="52"/>
      <c r="D9779"/>
      <c r="E9779"/>
      <c r="F9779"/>
      <c r="N9779" s="44"/>
    </row>
    <row r="9780" spans="1:14" x14ac:dyDescent="0.3">
      <c r="A9780" s="42"/>
      <c r="C9780" s="52"/>
      <c r="D9780"/>
      <c r="E9780"/>
      <c r="F9780"/>
      <c r="N9780" s="44"/>
    </row>
    <row r="9781" spans="1:14" x14ac:dyDescent="0.3">
      <c r="A9781" s="42"/>
      <c r="C9781" s="52"/>
      <c r="D9781"/>
      <c r="E9781"/>
      <c r="F9781"/>
      <c r="N9781" s="44"/>
    </row>
    <row r="9782" spans="1:14" x14ac:dyDescent="0.3">
      <c r="A9782" s="42"/>
      <c r="C9782" s="52"/>
      <c r="D9782"/>
      <c r="E9782"/>
      <c r="F9782"/>
      <c r="N9782" s="44"/>
    </row>
    <row r="9783" spans="1:14" x14ac:dyDescent="0.3">
      <c r="A9783" s="42"/>
      <c r="C9783" s="52"/>
      <c r="D9783"/>
      <c r="E9783"/>
      <c r="F9783"/>
      <c r="N9783" s="44"/>
    </row>
    <row r="9784" spans="1:14" x14ac:dyDescent="0.3">
      <c r="A9784" s="42"/>
      <c r="C9784" s="52"/>
      <c r="D9784"/>
      <c r="E9784"/>
      <c r="F9784"/>
      <c r="N9784" s="44"/>
    </row>
    <row r="9785" spans="1:14" x14ac:dyDescent="0.3">
      <c r="A9785" s="42"/>
      <c r="C9785" s="52"/>
      <c r="D9785"/>
      <c r="E9785"/>
      <c r="F9785"/>
      <c r="N9785" s="44"/>
    </row>
    <row r="9786" spans="1:14" x14ac:dyDescent="0.3">
      <c r="A9786" s="42"/>
      <c r="C9786" s="52"/>
      <c r="D9786"/>
      <c r="E9786"/>
      <c r="F9786"/>
      <c r="N9786" s="44"/>
    </row>
    <row r="9787" spans="1:14" x14ac:dyDescent="0.3">
      <c r="A9787" s="42"/>
      <c r="C9787" s="52"/>
      <c r="D9787"/>
      <c r="E9787"/>
      <c r="F9787"/>
      <c r="N9787" s="44"/>
    </row>
    <row r="9788" spans="1:14" x14ac:dyDescent="0.3">
      <c r="A9788" s="42"/>
      <c r="C9788" s="52"/>
      <c r="D9788"/>
      <c r="E9788"/>
      <c r="F9788"/>
      <c r="N9788" s="44"/>
    </row>
    <row r="9789" spans="1:14" x14ac:dyDescent="0.3">
      <c r="A9789" s="42"/>
      <c r="C9789" s="52"/>
      <c r="D9789"/>
      <c r="E9789"/>
      <c r="F9789"/>
      <c r="N9789" s="44"/>
    </row>
    <row r="9790" spans="1:14" x14ac:dyDescent="0.3">
      <c r="A9790" s="42"/>
      <c r="C9790" s="52"/>
      <c r="D9790"/>
      <c r="E9790"/>
      <c r="F9790"/>
      <c r="N9790" s="44"/>
    </row>
    <row r="9791" spans="1:14" x14ac:dyDescent="0.3">
      <c r="A9791" s="42"/>
      <c r="C9791" s="52"/>
      <c r="D9791"/>
      <c r="E9791"/>
      <c r="F9791"/>
      <c r="N9791" s="44"/>
    </row>
    <row r="9792" spans="1:14" x14ac:dyDescent="0.3">
      <c r="A9792" s="42"/>
      <c r="C9792" s="52"/>
      <c r="D9792"/>
      <c r="E9792"/>
      <c r="F9792"/>
      <c r="N9792" s="44"/>
    </row>
    <row r="9793" spans="1:14" x14ac:dyDescent="0.3">
      <c r="A9793" s="42"/>
      <c r="C9793" s="52"/>
      <c r="D9793"/>
      <c r="E9793"/>
      <c r="F9793"/>
      <c r="N9793" s="44"/>
    </row>
    <row r="9794" spans="1:14" x14ac:dyDescent="0.3">
      <c r="A9794" s="42"/>
      <c r="C9794" s="52"/>
      <c r="D9794"/>
      <c r="E9794"/>
      <c r="F9794"/>
      <c r="N9794" s="44"/>
    </row>
    <row r="9795" spans="1:14" x14ac:dyDescent="0.3">
      <c r="A9795" s="42"/>
      <c r="C9795" s="52"/>
      <c r="D9795"/>
      <c r="E9795"/>
      <c r="F9795"/>
      <c r="N9795" s="44"/>
    </row>
    <row r="9796" spans="1:14" x14ac:dyDescent="0.3">
      <c r="A9796" s="42"/>
      <c r="C9796" s="52"/>
      <c r="D9796"/>
      <c r="E9796"/>
      <c r="F9796"/>
      <c r="N9796" s="44"/>
    </row>
    <row r="9797" spans="1:14" x14ac:dyDescent="0.3">
      <c r="A9797" s="42"/>
      <c r="C9797" s="52"/>
      <c r="D9797"/>
      <c r="E9797"/>
      <c r="F9797"/>
      <c r="N9797" s="44"/>
    </row>
    <row r="9798" spans="1:14" x14ac:dyDescent="0.3">
      <c r="A9798" s="42"/>
      <c r="C9798" s="52"/>
      <c r="D9798"/>
      <c r="E9798"/>
      <c r="F9798"/>
      <c r="N9798" s="44"/>
    </row>
    <row r="9799" spans="1:14" x14ac:dyDescent="0.3">
      <c r="A9799" s="42"/>
      <c r="C9799" s="52"/>
      <c r="D9799"/>
      <c r="E9799"/>
      <c r="F9799"/>
      <c r="N9799" s="44"/>
    </row>
    <row r="9800" spans="1:14" x14ac:dyDescent="0.3">
      <c r="A9800" s="42"/>
      <c r="C9800" s="52"/>
      <c r="D9800"/>
      <c r="E9800"/>
      <c r="F9800"/>
      <c r="N9800" s="44"/>
    </row>
    <row r="9801" spans="1:14" x14ac:dyDescent="0.3">
      <c r="A9801" s="42"/>
      <c r="C9801" s="52"/>
      <c r="D9801"/>
      <c r="E9801"/>
      <c r="F9801"/>
      <c r="N9801" s="44"/>
    </row>
    <row r="9802" spans="1:14" x14ac:dyDescent="0.3">
      <c r="A9802" s="42"/>
      <c r="C9802" s="52"/>
      <c r="D9802"/>
      <c r="E9802"/>
      <c r="F9802"/>
      <c r="N9802" s="44"/>
    </row>
    <row r="9803" spans="1:14" x14ac:dyDescent="0.3">
      <c r="A9803" s="42"/>
      <c r="C9803" s="52"/>
      <c r="D9803"/>
      <c r="E9803"/>
      <c r="F9803"/>
      <c r="N9803" s="44"/>
    </row>
    <row r="9804" spans="1:14" x14ac:dyDescent="0.3">
      <c r="A9804" s="42"/>
      <c r="C9804" s="52"/>
      <c r="D9804"/>
      <c r="E9804"/>
      <c r="F9804"/>
      <c r="N9804" s="44"/>
    </row>
    <row r="9805" spans="1:14" x14ac:dyDescent="0.3">
      <c r="A9805" s="42"/>
      <c r="C9805" s="52"/>
      <c r="D9805"/>
      <c r="E9805"/>
      <c r="F9805"/>
      <c r="N9805" s="44"/>
    </row>
    <row r="9806" spans="1:14" x14ac:dyDescent="0.3">
      <c r="A9806" s="42"/>
      <c r="C9806" s="52"/>
      <c r="D9806"/>
      <c r="E9806"/>
      <c r="F9806"/>
      <c r="N9806" s="44"/>
    </row>
    <row r="9807" spans="1:14" x14ac:dyDescent="0.3">
      <c r="A9807" s="42"/>
      <c r="C9807" s="52"/>
      <c r="D9807"/>
      <c r="E9807"/>
      <c r="F9807"/>
      <c r="N9807" s="44"/>
    </row>
    <row r="9808" spans="1:14" x14ac:dyDescent="0.3">
      <c r="A9808" s="42"/>
      <c r="C9808" s="52"/>
      <c r="D9808"/>
      <c r="E9808"/>
      <c r="F9808"/>
      <c r="N9808" s="44"/>
    </row>
    <row r="9809" spans="1:14" x14ac:dyDescent="0.3">
      <c r="A9809" s="42"/>
      <c r="C9809" s="52"/>
      <c r="D9809"/>
      <c r="E9809"/>
      <c r="F9809"/>
      <c r="N9809" s="44"/>
    </row>
    <row r="9810" spans="1:14" x14ac:dyDescent="0.3">
      <c r="A9810" s="42"/>
      <c r="C9810" s="52"/>
      <c r="D9810"/>
      <c r="E9810"/>
      <c r="F9810"/>
      <c r="N9810" s="44"/>
    </row>
    <row r="9811" spans="1:14" x14ac:dyDescent="0.3">
      <c r="A9811" s="42"/>
      <c r="C9811" s="52"/>
      <c r="D9811"/>
      <c r="E9811"/>
      <c r="F9811"/>
      <c r="N9811" s="44"/>
    </row>
    <row r="9812" spans="1:14" x14ac:dyDescent="0.3">
      <c r="A9812" s="42"/>
      <c r="C9812" s="52"/>
      <c r="D9812"/>
      <c r="E9812"/>
      <c r="F9812"/>
      <c r="N9812" s="44"/>
    </row>
    <row r="9813" spans="1:14" x14ac:dyDescent="0.3">
      <c r="A9813" s="42"/>
      <c r="C9813" s="52"/>
      <c r="D9813"/>
      <c r="E9813"/>
      <c r="F9813"/>
      <c r="N9813" s="44"/>
    </row>
    <row r="9814" spans="1:14" x14ac:dyDescent="0.3">
      <c r="A9814" s="42"/>
      <c r="C9814" s="52"/>
      <c r="D9814"/>
      <c r="E9814"/>
      <c r="F9814"/>
      <c r="N9814" s="44"/>
    </row>
    <row r="9815" spans="1:14" x14ac:dyDescent="0.3">
      <c r="A9815" s="42"/>
      <c r="C9815" s="52"/>
      <c r="D9815"/>
      <c r="E9815"/>
      <c r="F9815"/>
      <c r="N9815" s="44"/>
    </row>
    <row r="9816" spans="1:14" x14ac:dyDescent="0.3">
      <c r="A9816" s="42"/>
      <c r="C9816" s="52"/>
      <c r="D9816"/>
      <c r="E9816"/>
      <c r="F9816"/>
      <c r="N9816" s="44"/>
    </row>
    <row r="9817" spans="1:14" x14ac:dyDescent="0.3">
      <c r="A9817" s="42"/>
      <c r="C9817" s="52"/>
      <c r="D9817"/>
      <c r="E9817"/>
      <c r="F9817"/>
      <c r="N9817" s="44"/>
    </row>
    <row r="9818" spans="1:14" x14ac:dyDescent="0.3">
      <c r="A9818" s="42"/>
      <c r="C9818" s="52"/>
      <c r="D9818"/>
      <c r="E9818"/>
      <c r="F9818"/>
      <c r="N9818" s="44"/>
    </row>
    <row r="9819" spans="1:14" x14ac:dyDescent="0.3">
      <c r="A9819" s="42"/>
      <c r="C9819" s="52"/>
      <c r="D9819"/>
      <c r="E9819"/>
      <c r="F9819"/>
      <c r="N9819" s="44"/>
    </row>
    <row r="9820" spans="1:14" x14ac:dyDescent="0.3">
      <c r="A9820" s="42"/>
      <c r="C9820" s="52"/>
      <c r="D9820"/>
      <c r="E9820"/>
      <c r="F9820"/>
      <c r="N9820" s="44"/>
    </row>
    <row r="9821" spans="1:14" x14ac:dyDescent="0.3">
      <c r="A9821" s="42"/>
      <c r="C9821" s="52"/>
      <c r="D9821"/>
      <c r="E9821"/>
      <c r="F9821"/>
      <c r="N9821" s="44"/>
    </row>
    <row r="9822" spans="1:14" x14ac:dyDescent="0.3">
      <c r="A9822" s="42"/>
      <c r="C9822" s="52"/>
      <c r="D9822"/>
      <c r="E9822"/>
      <c r="F9822"/>
      <c r="N9822" s="44"/>
    </row>
    <row r="9823" spans="1:14" x14ac:dyDescent="0.3">
      <c r="A9823" s="42"/>
      <c r="C9823" s="52"/>
      <c r="D9823"/>
      <c r="E9823"/>
      <c r="F9823"/>
      <c r="N9823" s="44"/>
    </row>
    <row r="9824" spans="1:14" x14ac:dyDescent="0.3">
      <c r="A9824" s="42"/>
      <c r="C9824" s="52"/>
      <c r="D9824"/>
      <c r="E9824"/>
      <c r="F9824"/>
      <c r="N9824" s="44"/>
    </row>
    <row r="9825" spans="1:14" x14ac:dyDescent="0.3">
      <c r="A9825" s="42"/>
      <c r="C9825" s="52"/>
      <c r="D9825"/>
      <c r="E9825"/>
      <c r="F9825"/>
      <c r="N9825" s="44"/>
    </row>
    <row r="9826" spans="1:14" x14ac:dyDescent="0.3">
      <c r="A9826" s="42"/>
      <c r="C9826" s="52"/>
      <c r="D9826"/>
      <c r="E9826"/>
      <c r="F9826"/>
      <c r="N9826" s="44"/>
    </row>
    <row r="9827" spans="1:14" x14ac:dyDescent="0.3">
      <c r="A9827" s="42"/>
      <c r="C9827" s="52"/>
      <c r="D9827"/>
      <c r="E9827"/>
      <c r="F9827"/>
      <c r="L9827" s="45"/>
      <c r="N9827" s="44"/>
    </row>
    <row r="9828" spans="1:14" x14ac:dyDescent="0.3">
      <c r="A9828" s="42"/>
      <c r="C9828" s="52"/>
      <c r="D9828"/>
      <c r="E9828"/>
      <c r="F9828"/>
      <c r="L9828" s="45"/>
      <c r="N9828" s="44"/>
    </row>
    <row r="9829" spans="1:14" x14ac:dyDescent="0.3">
      <c r="A9829" s="42"/>
      <c r="C9829" s="52"/>
      <c r="D9829"/>
      <c r="E9829"/>
      <c r="F9829"/>
      <c r="L9829" s="45"/>
      <c r="N9829" s="44"/>
    </row>
    <row r="9830" spans="1:14" x14ac:dyDescent="0.3">
      <c r="A9830" s="42"/>
      <c r="C9830" s="52"/>
      <c r="D9830"/>
      <c r="E9830"/>
      <c r="F9830"/>
      <c r="N9830" s="44"/>
    </row>
    <row r="9831" spans="1:14" x14ac:dyDescent="0.3">
      <c r="A9831" s="42"/>
      <c r="C9831" s="52"/>
      <c r="D9831"/>
      <c r="E9831"/>
      <c r="F9831"/>
      <c r="N9831" s="44"/>
    </row>
    <row r="9832" spans="1:14" x14ac:dyDescent="0.3">
      <c r="A9832" s="42"/>
      <c r="C9832" s="52"/>
      <c r="D9832"/>
      <c r="E9832"/>
      <c r="F9832"/>
      <c r="L9832" s="45"/>
      <c r="N9832" s="44"/>
    </row>
    <row r="9833" spans="1:14" x14ac:dyDescent="0.3">
      <c r="A9833" s="42"/>
      <c r="C9833" s="52"/>
      <c r="D9833"/>
      <c r="E9833"/>
      <c r="F9833"/>
      <c r="L9833" s="45"/>
      <c r="N9833" s="44"/>
    </row>
    <row r="9834" spans="1:14" x14ac:dyDescent="0.3">
      <c r="A9834" s="42"/>
      <c r="C9834" s="52"/>
      <c r="D9834"/>
      <c r="E9834"/>
      <c r="F9834"/>
      <c r="L9834" s="45"/>
      <c r="N9834" s="44"/>
    </row>
    <row r="9835" spans="1:14" x14ac:dyDescent="0.3">
      <c r="A9835" s="42"/>
      <c r="C9835" s="52"/>
      <c r="D9835"/>
      <c r="E9835"/>
      <c r="F9835"/>
      <c r="L9835" s="45"/>
      <c r="N9835" s="44"/>
    </row>
    <row r="9836" spans="1:14" x14ac:dyDescent="0.3">
      <c r="A9836" s="42"/>
      <c r="C9836" s="52"/>
      <c r="D9836"/>
      <c r="E9836"/>
      <c r="F9836"/>
      <c r="N9836" s="44"/>
    </row>
    <row r="9837" spans="1:14" x14ac:dyDescent="0.3">
      <c r="A9837" s="42"/>
      <c r="C9837" s="52"/>
      <c r="D9837"/>
      <c r="E9837"/>
      <c r="F9837"/>
      <c r="L9837" s="45"/>
      <c r="N9837" s="44"/>
    </row>
    <row r="9838" spans="1:14" x14ac:dyDescent="0.3">
      <c r="A9838" s="42"/>
      <c r="C9838" s="52"/>
      <c r="D9838"/>
      <c r="E9838"/>
      <c r="F9838"/>
      <c r="L9838" s="45"/>
      <c r="N9838" s="44"/>
    </row>
    <row r="9839" spans="1:14" x14ac:dyDescent="0.3">
      <c r="A9839" s="42"/>
      <c r="C9839" s="52"/>
      <c r="D9839"/>
      <c r="E9839"/>
      <c r="F9839"/>
      <c r="N9839" s="44"/>
    </row>
    <row r="9840" spans="1:14" x14ac:dyDescent="0.3">
      <c r="A9840" s="42"/>
      <c r="C9840" s="52"/>
      <c r="D9840"/>
      <c r="E9840"/>
      <c r="F9840"/>
      <c r="N9840" s="44"/>
    </row>
    <row r="9841" spans="1:14" x14ac:dyDescent="0.3">
      <c r="A9841" s="42"/>
      <c r="C9841" s="52"/>
      <c r="D9841"/>
      <c r="E9841"/>
      <c r="F9841"/>
      <c r="N9841" s="44"/>
    </row>
    <row r="9842" spans="1:14" x14ac:dyDescent="0.3">
      <c r="A9842" s="42"/>
      <c r="C9842" s="52"/>
      <c r="D9842"/>
      <c r="E9842"/>
      <c r="F9842"/>
      <c r="N9842" s="44"/>
    </row>
    <row r="9843" spans="1:14" x14ac:dyDescent="0.3">
      <c r="A9843" s="42"/>
      <c r="C9843" s="52"/>
      <c r="D9843"/>
      <c r="E9843"/>
      <c r="F9843"/>
      <c r="N9843" s="44"/>
    </row>
    <row r="9844" spans="1:14" x14ac:dyDescent="0.3">
      <c r="A9844" s="42"/>
      <c r="C9844" s="52"/>
      <c r="D9844"/>
      <c r="E9844"/>
      <c r="F9844"/>
      <c r="N9844" s="44"/>
    </row>
    <row r="9845" spans="1:14" x14ac:dyDescent="0.3">
      <c r="A9845" s="42"/>
      <c r="C9845" s="52"/>
      <c r="D9845"/>
      <c r="E9845"/>
      <c r="F9845"/>
      <c r="N9845" s="44"/>
    </row>
    <row r="9846" spans="1:14" x14ac:dyDescent="0.3">
      <c r="A9846" s="42"/>
      <c r="C9846" s="52"/>
      <c r="D9846"/>
      <c r="E9846"/>
      <c r="F9846"/>
      <c r="L9846" s="45"/>
      <c r="N9846" s="44"/>
    </row>
    <row r="9847" spans="1:14" x14ac:dyDescent="0.3">
      <c r="A9847" s="42"/>
      <c r="C9847" s="52"/>
      <c r="D9847"/>
      <c r="E9847"/>
      <c r="F9847"/>
      <c r="L9847" s="45"/>
      <c r="N9847" s="44"/>
    </row>
    <row r="9848" spans="1:14" x14ac:dyDescent="0.3">
      <c r="A9848" s="42"/>
      <c r="C9848" s="52"/>
      <c r="D9848"/>
      <c r="E9848"/>
      <c r="F9848"/>
      <c r="N9848" s="44"/>
    </row>
    <row r="9849" spans="1:14" x14ac:dyDescent="0.3">
      <c r="A9849" s="42"/>
      <c r="C9849" s="52"/>
      <c r="D9849"/>
      <c r="E9849"/>
      <c r="F9849"/>
      <c r="M9849" s="45"/>
      <c r="N9849" s="44"/>
    </row>
    <row r="9850" spans="1:14" x14ac:dyDescent="0.3">
      <c r="A9850" s="42"/>
      <c r="C9850" s="52"/>
      <c r="D9850"/>
      <c r="E9850"/>
      <c r="F9850"/>
      <c r="N9850" s="44"/>
    </row>
    <row r="9851" spans="1:14" x14ac:dyDescent="0.3">
      <c r="A9851" s="42"/>
      <c r="C9851" s="52"/>
      <c r="D9851"/>
      <c r="E9851"/>
      <c r="F9851"/>
      <c r="N9851" s="44"/>
    </row>
    <row r="9852" spans="1:14" x14ac:dyDescent="0.3">
      <c r="A9852" s="42"/>
      <c r="C9852" s="52"/>
      <c r="D9852"/>
      <c r="E9852"/>
      <c r="F9852"/>
      <c r="N9852" s="44"/>
    </row>
    <row r="9853" spans="1:14" x14ac:dyDescent="0.3">
      <c r="A9853" s="42"/>
      <c r="C9853" s="52"/>
      <c r="D9853"/>
      <c r="E9853"/>
      <c r="F9853"/>
      <c r="L9853" s="45"/>
      <c r="N9853" s="44"/>
    </row>
    <row r="9854" spans="1:14" x14ac:dyDescent="0.3">
      <c r="A9854" s="42"/>
      <c r="C9854" s="52"/>
      <c r="D9854"/>
      <c r="E9854"/>
      <c r="F9854"/>
      <c r="N9854" s="44"/>
    </row>
    <row r="9855" spans="1:14" x14ac:dyDescent="0.3">
      <c r="A9855" s="42"/>
      <c r="C9855" s="52"/>
      <c r="D9855"/>
      <c r="E9855"/>
      <c r="F9855"/>
      <c r="L9855" s="45"/>
      <c r="N9855" s="44"/>
    </row>
    <row r="9856" spans="1:14" x14ac:dyDescent="0.3">
      <c r="A9856" s="42"/>
      <c r="C9856" s="52"/>
      <c r="D9856"/>
      <c r="E9856"/>
      <c r="F9856"/>
      <c r="L9856" s="45"/>
      <c r="N9856" s="44"/>
    </row>
    <row r="9857" spans="1:14" x14ac:dyDescent="0.3">
      <c r="A9857" s="42"/>
      <c r="C9857" s="52"/>
      <c r="D9857"/>
      <c r="E9857"/>
      <c r="F9857"/>
      <c r="L9857" s="45"/>
      <c r="N9857" s="44"/>
    </row>
    <row r="9858" spans="1:14" x14ac:dyDescent="0.3">
      <c r="A9858" s="42"/>
      <c r="C9858" s="52"/>
      <c r="D9858"/>
      <c r="E9858"/>
      <c r="F9858"/>
      <c r="L9858" s="45"/>
      <c r="N9858" s="44"/>
    </row>
    <row r="9859" spans="1:14" x14ac:dyDescent="0.3">
      <c r="A9859" s="42"/>
      <c r="C9859" s="52"/>
      <c r="D9859"/>
      <c r="E9859"/>
      <c r="F9859"/>
      <c r="L9859" s="45"/>
      <c r="N9859" s="44"/>
    </row>
    <row r="9860" spans="1:14" x14ac:dyDescent="0.3">
      <c r="A9860" s="42"/>
      <c r="C9860" s="52"/>
      <c r="D9860"/>
      <c r="E9860"/>
      <c r="F9860"/>
      <c r="L9860" s="45"/>
      <c r="N9860" s="44"/>
    </row>
    <row r="9861" spans="1:14" x14ac:dyDescent="0.3">
      <c r="A9861" s="42"/>
      <c r="C9861" s="52"/>
      <c r="D9861"/>
      <c r="E9861"/>
      <c r="F9861"/>
      <c r="L9861" s="45"/>
      <c r="N9861" s="44"/>
    </row>
    <row r="9862" spans="1:14" x14ac:dyDescent="0.3">
      <c r="A9862" s="42"/>
      <c r="C9862" s="52"/>
      <c r="D9862"/>
      <c r="E9862"/>
      <c r="F9862"/>
      <c r="L9862" s="45"/>
      <c r="N9862" s="44"/>
    </row>
    <row r="9863" spans="1:14" x14ac:dyDescent="0.3">
      <c r="A9863" s="42"/>
      <c r="C9863" s="52"/>
      <c r="D9863"/>
      <c r="E9863"/>
      <c r="F9863"/>
      <c r="L9863" s="45"/>
      <c r="N9863" s="44"/>
    </row>
    <row r="9864" spans="1:14" x14ac:dyDescent="0.3">
      <c r="A9864" s="42"/>
      <c r="C9864" s="52"/>
      <c r="D9864"/>
      <c r="E9864"/>
      <c r="F9864"/>
      <c r="L9864" s="45"/>
      <c r="N9864" s="44"/>
    </row>
    <row r="9865" spans="1:14" x14ac:dyDescent="0.3">
      <c r="A9865" s="42"/>
      <c r="C9865" s="52"/>
      <c r="D9865"/>
      <c r="E9865"/>
      <c r="F9865"/>
      <c r="L9865" s="45"/>
      <c r="N9865" s="44"/>
    </row>
    <row r="9866" spans="1:14" x14ac:dyDescent="0.3">
      <c r="A9866" s="42"/>
      <c r="C9866" s="52"/>
      <c r="D9866"/>
      <c r="E9866"/>
      <c r="F9866"/>
      <c r="N9866" s="44"/>
    </row>
    <row r="9867" spans="1:14" x14ac:dyDescent="0.3">
      <c r="A9867" s="42"/>
      <c r="C9867" s="52"/>
      <c r="D9867"/>
      <c r="E9867"/>
      <c r="F9867"/>
      <c r="N9867" s="44"/>
    </row>
    <row r="9868" spans="1:14" x14ac:dyDescent="0.3">
      <c r="A9868" s="42"/>
      <c r="C9868" s="52"/>
      <c r="D9868"/>
      <c r="E9868"/>
      <c r="F9868"/>
      <c r="N9868" s="44"/>
    </row>
    <row r="9869" spans="1:14" x14ac:dyDescent="0.3">
      <c r="A9869" s="42"/>
      <c r="C9869" s="52"/>
      <c r="D9869"/>
      <c r="E9869"/>
      <c r="F9869"/>
      <c r="N9869" s="44"/>
    </row>
    <row r="9870" spans="1:14" x14ac:dyDescent="0.3">
      <c r="A9870" s="42"/>
      <c r="C9870" s="52"/>
      <c r="D9870"/>
      <c r="E9870"/>
      <c r="F9870"/>
      <c r="N9870" s="44"/>
    </row>
    <row r="9871" spans="1:14" x14ac:dyDescent="0.3">
      <c r="A9871" s="42"/>
      <c r="C9871" s="52"/>
      <c r="D9871"/>
      <c r="E9871"/>
      <c r="F9871"/>
      <c r="N9871" s="44"/>
    </row>
    <row r="9872" spans="1:14" x14ac:dyDescent="0.3">
      <c r="A9872" s="42"/>
      <c r="C9872" s="52"/>
      <c r="D9872"/>
      <c r="E9872"/>
      <c r="F9872"/>
      <c r="N9872" s="44"/>
    </row>
    <row r="9873" spans="1:14" x14ac:dyDescent="0.3">
      <c r="A9873" s="42"/>
      <c r="C9873" s="52"/>
      <c r="D9873"/>
      <c r="E9873"/>
      <c r="F9873"/>
      <c r="N9873" s="44"/>
    </row>
    <row r="9874" spans="1:14" x14ac:dyDescent="0.3">
      <c r="A9874" s="42"/>
      <c r="C9874" s="52"/>
      <c r="D9874"/>
      <c r="E9874"/>
      <c r="F9874"/>
      <c r="N9874" s="44"/>
    </row>
    <row r="9875" spans="1:14" x14ac:dyDescent="0.3">
      <c r="A9875" s="42"/>
      <c r="C9875" s="52"/>
      <c r="D9875"/>
      <c r="E9875"/>
      <c r="F9875"/>
      <c r="N9875" s="44"/>
    </row>
    <row r="9876" spans="1:14" x14ac:dyDescent="0.3">
      <c r="A9876" s="42"/>
      <c r="C9876" s="52"/>
      <c r="D9876"/>
      <c r="E9876"/>
      <c r="F9876"/>
      <c r="N9876" s="44"/>
    </row>
    <row r="9877" spans="1:14" x14ac:dyDescent="0.3">
      <c r="A9877" s="42"/>
      <c r="C9877" s="52"/>
      <c r="D9877"/>
      <c r="E9877"/>
      <c r="F9877"/>
      <c r="N9877" s="44"/>
    </row>
    <row r="9878" spans="1:14" x14ac:dyDescent="0.3">
      <c r="A9878" s="42"/>
      <c r="C9878" s="52"/>
      <c r="D9878"/>
      <c r="E9878"/>
      <c r="F9878"/>
      <c r="N9878" s="44"/>
    </row>
    <row r="9879" spans="1:14" x14ac:dyDescent="0.3">
      <c r="A9879" s="42"/>
      <c r="C9879" s="52"/>
      <c r="D9879"/>
      <c r="E9879"/>
      <c r="F9879"/>
      <c r="N9879" s="44"/>
    </row>
    <row r="9880" spans="1:14" x14ac:dyDescent="0.3">
      <c r="A9880" s="42"/>
      <c r="C9880" s="52"/>
      <c r="D9880"/>
      <c r="E9880"/>
      <c r="F9880"/>
      <c r="L9880" s="45"/>
      <c r="N9880" s="44"/>
    </row>
    <row r="9881" spans="1:14" x14ac:dyDescent="0.3">
      <c r="A9881" s="42"/>
      <c r="C9881" s="52"/>
      <c r="D9881"/>
      <c r="E9881"/>
      <c r="F9881"/>
      <c r="N9881" s="44"/>
    </row>
    <row r="9882" spans="1:14" x14ac:dyDescent="0.3">
      <c r="A9882" s="42"/>
      <c r="C9882" s="52"/>
      <c r="D9882"/>
      <c r="E9882"/>
      <c r="F9882"/>
      <c r="N9882" s="44"/>
    </row>
    <row r="9883" spans="1:14" x14ac:dyDescent="0.3">
      <c r="A9883" s="42"/>
      <c r="C9883" s="52"/>
      <c r="D9883"/>
      <c r="E9883"/>
      <c r="F9883"/>
      <c r="L9883" s="45"/>
      <c r="N9883" s="44"/>
    </row>
    <row r="9884" spans="1:14" x14ac:dyDescent="0.3">
      <c r="A9884" s="42"/>
      <c r="C9884" s="52"/>
      <c r="D9884"/>
      <c r="E9884"/>
      <c r="F9884"/>
      <c r="N9884" s="44"/>
    </row>
    <row r="9885" spans="1:14" x14ac:dyDescent="0.3">
      <c r="A9885" s="42"/>
      <c r="C9885" s="52"/>
      <c r="D9885"/>
      <c r="E9885"/>
      <c r="F9885"/>
      <c r="N9885" s="44"/>
    </row>
    <row r="9886" spans="1:14" x14ac:dyDescent="0.3">
      <c r="A9886" s="42"/>
      <c r="C9886" s="52"/>
      <c r="D9886"/>
      <c r="E9886"/>
      <c r="F9886"/>
      <c r="N9886" s="44"/>
    </row>
    <row r="9887" spans="1:14" x14ac:dyDescent="0.3">
      <c r="A9887" s="42"/>
      <c r="C9887" s="52"/>
      <c r="D9887"/>
      <c r="E9887"/>
      <c r="F9887"/>
      <c r="M9887" s="45"/>
      <c r="N9887" s="44"/>
    </row>
    <row r="9888" spans="1:14" x14ac:dyDescent="0.3">
      <c r="A9888" s="42"/>
      <c r="C9888" s="52"/>
      <c r="D9888"/>
      <c r="E9888"/>
      <c r="F9888"/>
      <c r="N9888" s="44"/>
    </row>
    <row r="9889" spans="1:14" x14ac:dyDescent="0.3">
      <c r="A9889" s="42"/>
      <c r="C9889" s="52"/>
      <c r="D9889"/>
      <c r="E9889"/>
      <c r="F9889"/>
      <c r="N9889" s="44"/>
    </row>
    <row r="9890" spans="1:14" x14ac:dyDescent="0.3">
      <c r="A9890" s="42"/>
      <c r="C9890" s="52"/>
      <c r="D9890"/>
      <c r="E9890"/>
      <c r="F9890"/>
      <c r="N9890" s="44"/>
    </row>
    <row r="9891" spans="1:14" x14ac:dyDescent="0.3">
      <c r="A9891" s="42"/>
      <c r="C9891" s="52"/>
      <c r="D9891"/>
      <c r="E9891"/>
      <c r="F9891"/>
      <c r="L9891" s="45"/>
      <c r="N9891" s="44"/>
    </row>
    <row r="9892" spans="1:14" x14ac:dyDescent="0.3">
      <c r="A9892" s="42"/>
      <c r="C9892" s="52"/>
      <c r="D9892"/>
      <c r="E9892"/>
      <c r="F9892"/>
      <c r="L9892" s="45"/>
      <c r="N9892" s="44"/>
    </row>
    <row r="9893" spans="1:14" x14ac:dyDescent="0.3">
      <c r="A9893" s="42"/>
      <c r="C9893" s="52"/>
      <c r="D9893"/>
      <c r="E9893"/>
      <c r="F9893"/>
      <c r="N9893" s="44"/>
    </row>
    <row r="9894" spans="1:14" x14ac:dyDescent="0.3">
      <c r="A9894" s="42"/>
      <c r="C9894" s="52"/>
      <c r="D9894"/>
      <c r="E9894"/>
      <c r="F9894"/>
      <c r="N9894" s="44"/>
    </row>
    <row r="9895" spans="1:14" x14ac:dyDescent="0.3">
      <c r="A9895" s="42"/>
      <c r="C9895" s="52"/>
      <c r="D9895"/>
      <c r="E9895"/>
      <c r="F9895"/>
      <c r="N9895" s="44"/>
    </row>
    <row r="9896" spans="1:14" x14ac:dyDescent="0.3">
      <c r="A9896" s="42"/>
      <c r="C9896" s="52"/>
      <c r="D9896"/>
      <c r="E9896"/>
      <c r="F9896"/>
      <c r="N9896" s="44"/>
    </row>
    <row r="9897" spans="1:14" x14ac:dyDescent="0.3">
      <c r="A9897" s="42"/>
      <c r="C9897" s="52"/>
      <c r="D9897"/>
      <c r="E9897"/>
      <c r="F9897"/>
      <c r="N9897" s="44"/>
    </row>
    <row r="9898" spans="1:14" x14ac:dyDescent="0.3">
      <c r="A9898" s="42"/>
      <c r="C9898" s="52"/>
      <c r="D9898"/>
      <c r="E9898"/>
      <c r="F9898"/>
      <c r="N9898" s="44"/>
    </row>
    <row r="9899" spans="1:14" x14ac:dyDescent="0.3">
      <c r="A9899" s="42"/>
      <c r="C9899" s="52"/>
      <c r="D9899"/>
      <c r="E9899"/>
      <c r="F9899"/>
      <c r="L9899" s="45"/>
      <c r="N9899" s="44"/>
    </row>
    <row r="9900" spans="1:14" x14ac:dyDescent="0.3">
      <c r="A9900" s="42"/>
      <c r="C9900" s="52"/>
      <c r="D9900"/>
      <c r="E9900"/>
      <c r="F9900"/>
      <c r="N9900" s="44"/>
    </row>
    <row r="9901" spans="1:14" x14ac:dyDescent="0.3">
      <c r="A9901" s="42"/>
      <c r="C9901" s="52"/>
      <c r="D9901"/>
      <c r="E9901"/>
      <c r="F9901"/>
      <c r="N9901" s="44"/>
    </row>
    <row r="9902" spans="1:14" x14ac:dyDescent="0.3">
      <c r="A9902" s="42"/>
      <c r="C9902" s="52"/>
      <c r="D9902"/>
      <c r="E9902"/>
      <c r="F9902"/>
      <c r="N9902" s="44"/>
    </row>
    <row r="9903" spans="1:14" x14ac:dyDescent="0.3">
      <c r="A9903" s="42"/>
      <c r="C9903" s="52"/>
      <c r="D9903"/>
      <c r="E9903"/>
      <c r="F9903"/>
      <c r="L9903" s="45"/>
      <c r="N9903" s="44"/>
    </row>
    <row r="9904" spans="1:14" x14ac:dyDescent="0.3">
      <c r="A9904" s="42"/>
      <c r="C9904" s="52"/>
      <c r="D9904"/>
      <c r="E9904"/>
      <c r="F9904"/>
      <c r="N9904" s="44"/>
    </row>
    <row r="9905" spans="1:14" x14ac:dyDescent="0.3">
      <c r="A9905" s="42"/>
      <c r="C9905" s="52"/>
      <c r="D9905"/>
      <c r="E9905"/>
      <c r="F9905"/>
      <c r="N9905" s="44"/>
    </row>
    <row r="9906" spans="1:14" x14ac:dyDescent="0.3">
      <c r="A9906" s="42"/>
      <c r="C9906" s="52"/>
      <c r="D9906"/>
      <c r="E9906"/>
      <c r="F9906"/>
      <c r="N9906" s="44"/>
    </row>
    <row r="9907" spans="1:14" x14ac:dyDescent="0.3">
      <c r="A9907" s="42"/>
      <c r="C9907" s="52"/>
      <c r="D9907"/>
      <c r="E9907"/>
      <c r="F9907"/>
      <c r="N9907" s="44"/>
    </row>
    <row r="9908" spans="1:14" x14ac:dyDescent="0.3">
      <c r="A9908" s="42"/>
      <c r="C9908" s="52"/>
      <c r="D9908"/>
      <c r="E9908"/>
      <c r="F9908"/>
      <c r="N9908" s="44"/>
    </row>
    <row r="9909" spans="1:14" x14ac:dyDescent="0.3">
      <c r="A9909" s="42"/>
      <c r="C9909" s="52"/>
      <c r="D9909"/>
      <c r="E9909"/>
      <c r="F9909"/>
      <c r="N9909" s="44"/>
    </row>
    <row r="9910" spans="1:14" x14ac:dyDescent="0.3">
      <c r="A9910" s="42"/>
      <c r="C9910" s="52"/>
      <c r="D9910"/>
      <c r="E9910"/>
      <c r="F9910"/>
      <c r="N9910" s="44"/>
    </row>
    <row r="9911" spans="1:14" x14ac:dyDescent="0.3">
      <c r="A9911" s="42"/>
      <c r="C9911" s="52"/>
      <c r="D9911"/>
      <c r="E9911"/>
      <c r="F9911"/>
      <c r="N9911" s="44"/>
    </row>
    <row r="9912" spans="1:14" x14ac:dyDescent="0.3">
      <c r="A9912" s="42"/>
      <c r="C9912" s="52"/>
      <c r="D9912"/>
      <c r="E9912"/>
      <c r="F9912"/>
      <c r="N9912" s="44"/>
    </row>
    <row r="9913" spans="1:14" x14ac:dyDescent="0.3">
      <c r="A9913" s="42"/>
      <c r="C9913" s="52"/>
      <c r="D9913"/>
      <c r="E9913"/>
      <c r="F9913"/>
      <c r="N9913" s="44"/>
    </row>
    <row r="9914" spans="1:14" x14ac:dyDescent="0.3">
      <c r="A9914" s="42"/>
      <c r="C9914" s="52"/>
      <c r="D9914"/>
      <c r="E9914"/>
      <c r="F9914"/>
      <c r="N9914" s="44"/>
    </row>
    <row r="9915" spans="1:14" x14ac:dyDescent="0.3">
      <c r="A9915" s="42"/>
      <c r="C9915" s="52"/>
      <c r="D9915"/>
      <c r="E9915"/>
      <c r="F9915"/>
      <c r="N9915" s="44"/>
    </row>
    <row r="9916" spans="1:14" x14ac:dyDescent="0.3">
      <c r="A9916" s="42"/>
      <c r="C9916" s="52"/>
      <c r="D9916"/>
      <c r="E9916"/>
      <c r="F9916"/>
      <c r="N9916" s="44"/>
    </row>
    <row r="9917" spans="1:14" x14ac:dyDescent="0.3">
      <c r="A9917" s="42"/>
      <c r="C9917" s="52"/>
      <c r="D9917"/>
      <c r="E9917"/>
      <c r="F9917"/>
      <c r="N9917" s="44"/>
    </row>
    <row r="9918" spans="1:14" x14ac:dyDescent="0.3">
      <c r="A9918" s="42"/>
      <c r="C9918" s="52"/>
      <c r="D9918"/>
      <c r="E9918"/>
      <c r="F9918"/>
      <c r="N9918" s="44"/>
    </row>
    <row r="9919" spans="1:14" x14ac:dyDescent="0.3">
      <c r="A9919" s="42"/>
      <c r="C9919" s="52"/>
      <c r="D9919"/>
      <c r="E9919"/>
      <c r="F9919"/>
      <c r="N9919" s="44"/>
    </row>
    <row r="9920" spans="1:14" x14ac:dyDescent="0.3">
      <c r="A9920" s="42"/>
      <c r="C9920" s="52"/>
      <c r="D9920"/>
      <c r="E9920"/>
      <c r="F9920"/>
      <c r="L9920" s="45"/>
      <c r="N9920" s="44"/>
    </row>
    <row r="9921" spans="1:14" x14ac:dyDescent="0.3">
      <c r="A9921" s="42"/>
      <c r="C9921" s="52"/>
      <c r="D9921"/>
      <c r="E9921"/>
      <c r="F9921"/>
      <c r="N9921" s="44"/>
    </row>
    <row r="9922" spans="1:14" x14ac:dyDescent="0.3">
      <c r="A9922" s="42"/>
      <c r="C9922" s="52"/>
      <c r="D9922"/>
      <c r="E9922"/>
      <c r="F9922"/>
      <c r="N9922" s="44"/>
    </row>
    <row r="9923" spans="1:14" x14ac:dyDescent="0.3">
      <c r="A9923" s="42"/>
      <c r="C9923" s="52"/>
      <c r="D9923"/>
      <c r="E9923"/>
      <c r="F9923"/>
      <c r="N9923" s="44"/>
    </row>
    <row r="9924" spans="1:14" x14ac:dyDescent="0.3">
      <c r="A9924" s="42"/>
      <c r="C9924" s="52"/>
      <c r="D9924"/>
      <c r="E9924"/>
      <c r="F9924"/>
      <c r="N9924" s="44"/>
    </row>
    <row r="9925" spans="1:14" x14ac:dyDescent="0.3">
      <c r="A9925" s="42"/>
      <c r="C9925" s="52"/>
      <c r="D9925"/>
      <c r="E9925"/>
      <c r="F9925"/>
      <c r="N9925" s="44"/>
    </row>
    <row r="9926" spans="1:14" x14ac:dyDescent="0.3">
      <c r="A9926" s="42"/>
      <c r="C9926" s="52"/>
      <c r="D9926"/>
      <c r="E9926"/>
      <c r="F9926"/>
      <c r="N9926" s="44"/>
    </row>
    <row r="9927" spans="1:14" x14ac:dyDescent="0.3">
      <c r="A9927" s="42"/>
      <c r="C9927" s="52"/>
      <c r="D9927"/>
      <c r="E9927"/>
      <c r="F9927"/>
      <c r="N9927" s="44"/>
    </row>
    <row r="9928" spans="1:14" x14ac:dyDescent="0.3">
      <c r="A9928" s="42"/>
      <c r="C9928" s="52"/>
      <c r="D9928"/>
      <c r="E9928"/>
      <c r="F9928"/>
      <c r="N9928" s="44"/>
    </row>
    <row r="9929" spans="1:14" x14ac:dyDescent="0.3">
      <c r="A9929" s="42"/>
      <c r="C9929" s="52"/>
      <c r="D9929"/>
      <c r="E9929"/>
      <c r="F9929"/>
      <c r="N9929" s="44"/>
    </row>
    <row r="9930" spans="1:14" x14ac:dyDescent="0.3">
      <c r="A9930" s="42"/>
      <c r="C9930" s="52"/>
      <c r="D9930"/>
      <c r="E9930"/>
      <c r="F9930"/>
      <c r="N9930" s="44"/>
    </row>
    <row r="9931" spans="1:14" x14ac:dyDescent="0.3">
      <c r="A9931" s="42"/>
      <c r="C9931" s="52"/>
      <c r="D9931"/>
      <c r="E9931"/>
      <c r="F9931"/>
      <c r="L9931" s="45"/>
      <c r="N9931" s="44"/>
    </row>
    <row r="9932" spans="1:14" x14ac:dyDescent="0.3">
      <c r="A9932" s="42"/>
      <c r="C9932" s="52"/>
      <c r="D9932"/>
      <c r="E9932"/>
      <c r="F9932"/>
      <c r="N9932" s="44"/>
    </row>
    <row r="9933" spans="1:14" x14ac:dyDescent="0.3">
      <c r="A9933" s="42"/>
      <c r="C9933" s="52"/>
      <c r="D9933"/>
      <c r="E9933"/>
      <c r="F9933"/>
      <c r="N9933" s="44"/>
    </row>
    <row r="9934" spans="1:14" x14ac:dyDescent="0.3">
      <c r="A9934" s="42"/>
      <c r="C9934" s="52"/>
      <c r="D9934"/>
      <c r="E9934"/>
      <c r="F9934"/>
      <c r="N9934" s="44"/>
    </row>
    <row r="9935" spans="1:14" x14ac:dyDescent="0.3">
      <c r="A9935" s="42"/>
      <c r="C9935" s="52"/>
      <c r="D9935"/>
      <c r="E9935"/>
      <c r="F9935"/>
      <c r="L9935" s="45"/>
      <c r="N9935" s="44"/>
    </row>
    <row r="9936" spans="1:14" x14ac:dyDescent="0.3">
      <c r="A9936" s="42"/>
      <c r="C9936" s="52"/>
      <c r="D9936"/>
      <c r="E9936"/>
      <c r="F9936"/>
      <c r="L9936" s="45"/>
      <c r="N9936" s="44"/>
    </row>
    <row r="9937" spans="1:14" x14ac:dyDescent="0.3">
      <c r="A9937" s="42"/>
      <c r="C9937" s="52"/>
      <c r="D9937"/>
      <c r="E9937"/>
      <c r="F9937"/>
      <c r="N9937" s="44"/>
    </row>
    <row r="9938" spans="1:14" x14ac:dyDescent="0.3">
      <c r="A9938" s="42"/>
      <c r="C9938" s="52"/>
      <c r="D9938"/>
      <c r="E9938"/>
      <c r="F9938"/>
      <c r="N9938" s="44"/>
    </row>
    <row r="9939" spans="1:14" x14ac:dyDescent="0.3">
      <c r="A9939" s="42"/>
      <c r="C9939" s="52"/>
      <c r="D9939"/>
      <c r="E9939"/>
      <c r="F9939"/>
      <c r="N9939" s="44"/>
    </row>
    <row r="9940" spans="1:14" x14ac:dyDescent="0.3">
      <c r="A9940" s="42"/>
      <c r="C9940" s="52"/>
      <c r="D9940"/>
      <c r="E9940"/>
      <c r="F9940"/>
      <c r="N9940" s="44"/>
    </row>
    <row r="9941" spans="1:14" x14ac:dyDescent="0.3">
      <c r="A9941" s="42"/>
      <c r="C9941" s="52"/>
      <c r="D9941"/>
      <c r="E9941"/>
      <c r="F9941"/>
      <c r="N9941" s="44"/>
    </row>
    <row r="9942" spans="1:14" x14ac:dyDescent="0.3">
      <c r="A9942" s="42"/>
      <c r="C9942" s="52"/>
      <c r="D9942"/>
      <c r="E9942"/>
      <c r="F9942"/>
      <c r="N9942" s="44"/>
    </row>
    <row r="9943" spans="1:14" x14ac:dyDescent="0.3">
      <c r="A9943" s="42"/>
      <c r="C9943" s="52"/>
      <c r="D9943"/>
      <c r="E9943"/>
      <c r="F9943"/>
      <c r="N9943" s="44"/>
    </row>
    <row r="9944" spans="1:14" x14ac:dyDescent="0.3">
      <c r="A9944" s="42"/>
      <c r="C9944" s="52"/>
      <c r="D9944"/>
      <c r="E9944"/>
      <c r="F9944"/>
      <c r="N9944" s="44"/>
    </row>
    <row r="9945" spans="1:14" x14ac:dyDescent="0.3">
      <c r="A9945" s="42"/>
      <c r="C9945" s="52"/>
      <c r="D9945"/>
      <c r="E9945"/>
      <c r="F9945"/>
      <c r="N9945" s="44"/>
    </row>
    <row r="9946" spans="1:14" x14ac:dyDescent="0.3">
      <c r="A9946" s="42"/>
      <c r="C9946" s="52"/>
      <c r="D9946"/>
      <c r="E9946"/>
      <c r="F9946"/>
      <c r="N9946" s="44"/>
    </row>
    <row r="9947" spans="1:14" x14ac:dyDescent="0.3">
      <c r="A9947" s="42"/>
      <c r="C9947" s="52"/>
      <c r="D9947"/>
      <c r="E9947"/>
      <c r="F9947"/>
      <c r="N9947" s="44"/>
    </row>
    <row r="9948" spans="1:14" x14ac:dyDescent="0.3">
      <c r="A9948" s="42"/>
      <c r="C9948" s="52"/>
      <c r="D9948"/>
      <c r="E9948"/>
      <c r="F9948"/>
      <c r="N9948" s="44"/>
    </row>
    <row r="9949" spans="1:14" x14ac:dyDescent="0.3">
      <c r="A9949" s="42"/>
      <c r="C9949" s="52"/>
      <c r="D9949"/>
      <c r="E9949"/>
      <c r="F9949"/>
      <c r="L9949" s="45"/>
      <c r="N9949" s="44"/>
    </row>
    <row r="9950" spans="1:14" x14ac:dyDescent="0.3">
      <c r="A9950" s="42"/>
      <c r="C9950" s="52"/>
      <c r="D9950"/>
      <c r="E9950"/>
      <c r="F9950"/>
      <c r="N9950" s="44"/>
    </row>
    <row r="9951" spans="1:14" x14ac:dyDescent="0.3">
      <c r="A9951" s="42"/>
      <c r="C9951" s="52"/>
      <c r="D9951"/>
      <c r="E9951"/>
      <c r="F9951"/>
      <c r="N9951" s="44"/>
    </row>
    <row r="9952" spans="1:14" x14ac:dyDescent="0.3">
      <c r="A9952" s="42"/>
      <c r="C9952" s="52"/>
      <c r="D9952"/>
      <c r="E9952"/>
      <c r="F9952"/>
      <c r="N9952" s="44"/>
    </row>
    <row r="9953" spans="1:14" x14ac:dyDescent="0.3">
      <c r="A9953" s="42"/>
      <c r="C9953" s="52"/>
      <c r="D9953"/>
      <c r="E9953"/>
      <c r="F9953"/>
      <c r="N9953" s="44"/>
    </row>
    <row r="9954" spans="1:14" x14ac:dyDescent="0.3">
      <c r="A9954" s="42"/>
      <c r="C9954" s="52"/>
      <c r="D9954"/>
      <c r="E9954"/>
      <c r="F9954"/>
      <c r="N9954" s="44"/>
    </row>
    <row r="9955" spans="1:14" x14ac:dyDescent="0.3">
      <c r="A9955" s="42"/>
      <c r="C9955" s="52"/>
      <c r="D9955"/>
      <c r="E9955"/>
      <c r="F9955"/>
      <c r="N9955" s="44"/>
    </row>
    <row r="9956" spans="1:14" x14ac:dyDescent="0.3">
      <c r="A9956" s="42"/>
      <c r="C9956" s="52"/>
      <c r="D9956"/>
      <c r="E9956"/>
      <c r="F9956"/>
      <c r="N9956" s="44"/>
    </row>
    <row r="9957" spans="1:14" x14ac:dyDescent="0.3">
      <c r="A9957" s="42"/>
      <c r="C9957" s="52"/>
      <c r="D9957"/>
      <c r="E9957"/>
      <c r="F9957"/>
      <c r="L9957" s="45"/>
      <c r="N9957" s="44"/>
    </row>
    <row r="9958" spans="1:14" x14ac:dyDescent="0.3">
      <c r="A9958" s="42"/>
      <c r="C9958" s="52"/>
      <c r="D9958"/>
      <c r="E9958"/>
      <c r="F9958"/>
      <c r="N9958" s="44"/>
    </row>
    <row r="9959" spans="1:14" x14ac:dyDescent="0.3">
      <c r="A9959" s="42"/>
      <c r="C9959" s="52"/>
      <c r="D9959"/>
      <c r="E9959"/>
      <c r="F9959"/>
      <c r="N9959" s="44"/>
    </row>
    <row r="9960" spans="1:14" x14ac:dyDescent="0.3">
      <c r="A9960" s="42"/>
      <c r="C9960" s="52"/>
      <c r="D9960"/>
      <c r="E9960"/>
      <c r="F9960"/>
      <c r="N9960" s="44"/>
    </row>
    <row r="9961" spans="1:14" x14ac:dyDescent="0.3">
      <c r="A9961" s="42"/>
      <c r="C9961" s="52"/>
      <c r="D9961"/>
      <c r="E9961"/>
      <c r="F9961"/>
      <c r="L9961" s="45"/>
      <c r="N9961" s="44"/>
    </row>
    <row r="9962" spans="1:14" x14ac:dyDescent="0.3">
      <c r="A9962" s="42"/>
      <c r="C9962" s="52"/>
      <c r="D9962"/>
      <c r="E9962"/>
      <c r="F9962"/>
      <c r="L9962" s="45"/>
      <c r="N9962" s="44"/>
    </row>
    <row r="9963" spans="1:14" x14ac:dyDescent="0.3">
      <c r="A9963" s="42"/>
      <c r="C9963" s="52"/>
      <c r="D9963"/>
      <c r="E9963"/>
      <c r="F9963"/>
      <c r="L9963" s="45"/>
      <c r="N9963" s="44"/>
    </row>
    <row r="9964" spans="1:14" x14ac:dyDescent="0.3">
      <c r="A9964" s="42"/>
      <c r="C9964" s="52"/>
      <c r="D9964"/>
      <c r="E9964"/>
      <c r="F9964"/>
      <c r="N9964" s="44"/>
    </row>
    <row r="9965" spans="1:14" x14ac:dyDescent="0.3">
      <c r="A9965" s="42"/>
      <c r="C9965" s="52"/>
      <c r="D9965"/>
      <c r="E9965"/>
      <c r="F9965"/>
      <c r="N9965" s="44"/>
    </row>
    <row r="9966" spans="1:14" x14ac:dyDescent="0.3">
      <c r="A9966" s="42"/>
      <c r="C9966" s="52"/>
      <c r="D9966"/>
      <c r="E9966"/>
      <c r="F9966"/>
      <c r="M9966" s="45"/>
      <c r="N9966" s="44"/>
    </row>
    <row r="9967" spans="1:14" x14ac:dyDescent="0.3">
      <c r="A9967" s="42"/>
      <c r="C9967" s="52"/>
      <c r="D9967"/>
      <c r="E9967"/>
      <c r="F9967"/>
      <c r="N9967" s="44"/>
    </row>
    <row r="9968" spans="1:14" x14ac:dyDescent="0.3">
      <c r="A9968" s="42"/>
      <c r="C9968" s="52"/>
      <c r="D9968"/>
      <c r="E9968"/>
      <c r="F9968"/>
      <c r="N9968" s="44"/>
    </row>
    <row r="9969" spans="1:14" x14ac:dyDescent="0.3">
      <c r="A9969" s="42"/>
      <c r="C9969" s="52"/>
      <c r="D9969"/>
      <c r="E9969"/>
      <c r="F9969"/>
      <c r="L9969" s="45"/>
      <c r="N9969" s="44"/>
    </row>
    <row r="9970" spans="1:14" x14ac:dyDescent="0.3">
      <c r="A9970" s="42"/>
      <c r="C9970" s="52"/>
      <c r="D9970"/>
      <c r="E9970"/>
      <c r="F9970"/>
      <c r="N9970" s="44"/>
    </row>
    <row r="9971" spans="1:14" x14ac:dyDescent="0.3">
      <c r="A9971" s="42"/>
      <c r="C9971" s="52"/>
      <c r="D9971"/>
      <c r="E9971"/>
      <c r="F9971"/>
      <c r="L9971" s="45"/>
      <c r="N9971" s="44"/>
    </row>
    <row r="9972" spans="1:14" x14ac:dyDescent="0.3">
      <c r="A9972" s="42"/>
      <c r="C9972" s="52"/>
      <c r="D9972"/>
      <c r="E9972"/>
      <c r="F9972"/>
      <c r="N9972" s="44"/>
    </row>
    <row r="9973" spans="1:14" x14ac:dyDescent="0.3">
      <c r="A9973" s="42"/>
      <c r="C9973" s="52"/>
      <c r="D9973"/>
      <c r="E9973"/>
      <c r="F9973"/>
      <c r="N9973" s="44"/>
    </row>
    <row r="9974" spans="1:14" x14ac:dyDescent="0.3">
      <c r="A9974" s="42"/>
      <c r="C9974" s="52"/>
      <c r="D9974"/>
      <c r="E9974"/>
      <c r="F9974"/>
      <c r="N9974" s="44"/>
    </row>
    <row r="9975" spans="1:14" x14ac:dyDescent="0.3">
      <c r="A9975" s="42"/>
      <c r="C9975" s="52"/>
      <c r="D9975"/>
      <c r="E9975"/>
      <c r="F9975"/>
      <c r="N9975" s="44"/>
    </row>
    <row r="9976" spans="1:14" x14ac:dyDescent="0.3">
      <c r="A9976" s="42"/>
      <c r="C9976" s="52"/>
      <c r="D9976"/>
      <c r="E9976"/>
      <c r="F9976"/>
      <c r="N9976" s="44"/>
    </row>
    <row r="9977" spans="1:14" x14ac:dyDescent="0.3">
      <c r="A9977" s="42"/>
      <c r="C9977" s="52"/>
      <c r="D9977"/>
      <c r="E9977"/>
      <c r="F9977"/>
      <c r="N9977" s="44"/>
    </row>
    <row r="9978" spans="1:14" x14ac:dyDescent="0.3">
      <c r="A9978" s="42"/>
      <c r="C9978" s="52"/>
      <c r="D9978"/>
      <c r="E9978"/>
      <c r="F9978"/>
      <c r="N9978" s="44"/>
    </row>
    <row r="9979" spans="1:14" x14ac:dyDescent="0.3">
      <c r="A9979" s="42"/>
      <c r="C9979" s="52"/>
      <c r="D9979"/>
      <c r="E9979"/>
      <c r="F9979"/>
      <c r="N9979" s="44"/>
    </row>
    <row r="9980" spans="1:14" x14ac:dyDescent="0.3">
      <c r="A9980" s="42"/>
      <c r="C9980" s="52"/>
      <c r="D9980"/>
      <c r="E9980"/>
      <c r="F9980"/>
      <c r="N9980" s="44"/>
    </row>
    <row r="9981" spans="1:14" x14ac:dyDescent="0.3">
      <c r="A9981" s="42"/>
      <c r="C9981" s="52"/>
      <c r="D9981"/>
      <c r="E9981"/>
      <c r="F9981"/>
      <c r="N9981" s="44"/>
    </row>
    <row r="9982" spans="1:14" x14ac:dyDescent="0.3">
      <c r="A9982" s="42"/>
      <c r="C9982" s="52"/>
      <c r="D9982"/>
      <c r="E9982"/>
      <c r="F9982"/>
      <c r="N9982" s="44"/>
    </row>
    <row r="9983" spans="1:14" x14ac:dyDescent="0.3">
      <c r="A9983" s="42"/>
      <c r="C9983" s="52"/>
      <c r="D9983"/>
      <c r="E9983"/>
      <c r="F9983"/>
      <c r="N9983" s="44"/>
    </row>
    <row r="9984" spans="1:14" x14ac:dyDescent="0.3">
      <c r="A9984" s="42"/>
      <c r="C9984" s="52"/>
      <c r="D9984"/>
      <c r="E9984"/>
      <c r="F9984"/>
      <c r="N9984" s="44"/>
    </row>
    <row r="9985" spans="1:14" x14ac:dyDescent="0.3">
      <c r="A9985" s="42"/>
      <c r="C9985" s="52"/>
      <c r="D9985"/>
      <c r="E9985"/>
      <c r="F9985"/>
      <c r="L9985" s="45"/>
      <c r="N9985" s="44"/>
    </row>
    <row r="9986" spans="1:14" x14ac:dyDescent="0.3">
      <c r="A9986" s="42"/>
      <c r="C9986" s="52"/>
      <c r="D9986"/>
      <c r="E9986"/>
      <c r="F9986"/>
      <c r="N9986" s="44"/>
    </row>
    <row r="9987" spans="1:14" x14ac:dyDescent="0.3">
      <c r="A9987" s="42"/>
      <c r="C9987" s="52"/>
      <c r="D9987"/>
      <c r="E9987"/>
      <c r="F9987"/>
      <c r="N9987" s="44"/>
    </row>
    <row r="9988" spans="1:14" x14ac:dyDescent="0.3">
      <c r="A9988" s="42"/>
      <c r="C9988" s="52"/>
      <c r="D9988"/>
      <c r="E9988"/>
      <c r="F9988"/>
      <c r="N9988" s="44"/>
    </row>
    <row r="9989" spans="1:14" x14ac:dyDescent="0.3">
      <c r="A9989" s="42"/>
      <c r="C9989" s="52"/>
      <c r="D9989"/>
      <c r="E9989"/>
      <c r="F9989"/>
      <c r="N9989" s="44"/>
    </row>
    <row r="9990" spans="1:14" x14ac:dyDescent="0.3">
      <c r="A9990" s="42"/>
      <c r="C9990" s="52"/>
      <c r="D9990"/>
      <c r="E9990"/>
      <c r="F9990"/>
      <c r="N9990" s="44"/>
    </row>
    <row r="9991" spans="1:14" x14ac:dyDescent="0.3">
      <c r="A9991" s="42"/>
      <c r="C9991" s="52"/>
      <c r="D9991"/>
      <c r="E9991"/>
      <c r="F9991"/>
      <c r="N9991" s="44"/>
    </row>
    <row r="9992" spans="1:14" x14ac:dyDescent="0.3">
      <c r="A9992" s="42"/>
      <c r="C9992" s="52"/>
      <c r="D9992"/>
      <c r="E9992"/>
      <c r="F9992"/>
      <c r="N9992" s="44"/>
    </row>
    <row r="9993" spans="1:14" x14ac:dyDescent="0.3">
      <c r="A9993" s="42"/>
      <c r="C9993" s="52"/>
      <c r="D9993"/>
      <c r="E9993"/>
      <c r="F9993"/>
      <c r="N9993" s="44"/>
    </row>
    <row r="9994" spans="1:14" x14ac:dyDescent="0.3">
      <c r="A9994" s="42"/>
      <c r="C9994" s="52"/>
      <c r="D9994"/>
      <c r="E9994"/>
      <c r="F9994"/>
      <c r="N9994" s="44"/>
    </row>
    <row r="9995" spans="1:14" x14ac:dyDescent="0.3">
      <c r="A9995" s="42"/>
      <c r="C9995" s="52"/>
      <c r="D9995"/>
      <c r="E9995"/>
      <c r="F9995"/>
      <c r="N9995" s="44"/>
    </row>
    <row r="9996" spans="1:14" x14ac:dyDescent="0.3">
      <c r="A9996" s="42"/>
      <c r="C9996" s="52"/>
      <c r="D9996"/>
      <c r="E9996"/>
      <c r="F9996"/>
      <c r="L9996" s="45"/>
      <c r="N9996" s="44"/>
    </row>
    <row r="9997" spans="1:14" x14ac:dyDescent="0.3">
      <c r="A9997" s="42"/>
      <c r="C9997" s="52"/>
      <c r="D9997"/>
      <c r="E9997"/>
      <c r="F9997"/>
      <c r="N9997" s="44"/>
    </row>
    <row r="9998" spans="1:14" x14ac:dyDescent="0.3">
      <c r="A9998" s="42"/>
      <c r="C9998" s="52"/>
      <c r="D9998"/>
      <c r="E9998"/>
      <c r="F9998"/>
      <c r="N9998" s="44"/>
    </row>
    <row r="9999" spans="1:14" x14ac:dyDescent="0.3">
      <c r="A9999" s="42"/>
      <c r="C9999" s="52"/>
      <c r="D9999"/>
      <c r="E9999"/>
      <c r="F9999"/>
      <c r="N9999" s="44"/>
    </row>
    <row r="10000" spans="1:14" x14ac:dyDescent="0.3">
      <c r="A10000" s="42"/>
      <c r="C10000" s="52"/>
      <c r="D10000"/>
      <c r="E10000"/>
      <c r="F10000"/>
      <c r="N10000" s="44"/>
    </row>
    <row r="10001" spans="1:14" x14ac:dyDescent="0.3">
      <c r="A10001" s="42"/>
      <c r="C10001" s="52"/>
      <c r="D10001"/>
      <c r="E10001"/>
      <c r="F10001"/>
      <c r="L10001" s="45"/>
      <c r="N10001" s="44"/>
    </row>
    <row r="10002" spans="1:14" x14ac:dyDescent="0.3">
      <c r="A10002" s="42"/>
      <c r="C10002" s="52"/>
      <c r="D10002"/>
      <c r="E10002"/>
      <c r="F10002"/>
      <c r="N10002" s="44"/>
    </row>
    <row r="10003" spans="1:14" x14ac:dyDescent="0.3">
      <c r="A10003" s="42"/>
      <c r="C10003" s="52"/>
      <c r="D10003"/>
      <c r="E10003"/>
      <c r="F10003"/>
      <c r="L10003" s="45"/>
      <c r="N10003" s="44"/>
    </row>
    <row r="10004" spans="1:14" x14ac:dyDescent="0.3">
      <c r="A10004" s="42"/>
      <c r="C10004" s="52"/>
      <c r="D10004"/>
      <c r="E10004"/>
      <c r="F10004"/>
      <c r="N10004" s="44"/>
    </row>
    <row r="10005" spans="1:14" x14ac:dyDescent="0.3">
      <c r="A10005" s="42"/>
      <c r="C10005" s="52"/>
      <c r="D10005"/>
      <c r="E10005"/>
      <c r="F10005"/>
      <c r="N10005" s="44"/>
    </row>
    <row r="10006" spans="1:14" x14ac:dyDescent="0.3">
      <c r="A10006" s="42"/>
      <c r="C10006" s="52"/>
      <c r="D10006"/>
      <c r="E10006"/>
      <c r="F10006"/>
      <c r="N10006" s="44"/>
    </row>
    <row r="10007" spans="1:14" x14ac:dyDescent="0.3">
      <c r="A10007" s="42"/>
      <c r="C10007" s="52"/>
      <c r="D10007"/>
      <c r="E10007"/>
      <c r="F10007"/>
      <c r="N10007" s="44"/>
    </row>
    <row r="10008" spans="1:14" x14ac:dyDescent="0.3">
      <c r="A10008" s="42"/>
      <c r="C10008" s="52"/>
      <c r="D10008"/>
      <c r="E10008"/>
      <c r="F10008"/>
      <c r="N10008" s="44"/>
    </row>
    <row r="10009" spans="1:14" x14ac:dyDescent="0.3">
      <c r="A10009" s="42"/>
      <c r="C10009" s="52"/>
      <c r="D10009"/>
      <c r="E10009"/>
      <c r="F10009"/>
      <c r="L10009" s="45"/>
      <c r="N10009" s="44"/>
    </row>
    <row r="10010" spans="1:14" x14ac:dyDescent="0.3">
      <c r="A10010" s="42"/>
      <c r="C10010" s="52"/>
      <c r="D10010"/>
      <c r="E10010"/>
      <c r="F10010"/>
      <c r="N10010" s="44"/>
    </row>
    <row r="10011" spans="1:14" x14ac:dyDescent="0.3">
      <c r="A10011" s="42"/>
      <c r="C10011" s="52"/>
      <c r="D10011"/>
      <c r="E10011"/>
      <c r="F10011"/>
      <c r="N10011" s="44"/>
    </row>
    <row r="10012" spans="1:14" x14ac:dyDescent="0.3">
      <c r="A10012" s="42"/>
      <c r="C10012" s="52"/>
      <c r="D10012"/>
      <c r="E10012"/>
      <c r="F10012"/>
      <c r="N10012" s="44"/>
    </row>
    <row r="10013" spans="1:14" x14ac:dyDescent="0.3">
      <c r="A10013" s="42"/>
      <c r="C10013" s="52"/>
      <c r="D10013"/>
      <c r="E10013"/>
      <c r="F10013"/>
      <c r="N10013" s="44"/>
    </row>
    <row r="10014" spans="1:14" x14ac:dyDescent="0.3">
      <c r="A10014" s="42"/>
      <c r="C10014" s="52"/>
      <c r="D10014"/>
      <c r="E10014"/>
      <c r="F10014"/>
      <c r="N10014" s="44"/>
    </row>
    <row r="10015" spans="1:14" x14ac:dyDescent="0.3">
      <c r="A10015" s="42"/>
      <c r="C10015" s="52"/>
      <c r="D10015"/>
      <c r="E10015"/>
      <c r="F10015"/>
      <c r="N10015" s="44"/>
    </row>
    <row r="10016" spans="1:14" x14ac:dyDescent="0.3">
      <c r="A10016" s="42"/>
      <c r="C10016" s="52"/>
      <c r="D10016"/>
      <c r="E10016"/>
      <c r="F10016"/>
      <c r="N10016" s="44"/>
    </row>
    <row r="10017" spans="1:14" x14ac:dyDescent="0.3">
      <c r="A10017" s="42"/>
      <c r="C10017" s="52"/>
      <c r="D10017"/>
      <c r="E10017"/>
      <c r="F10017"/>
      <c r="N10017" s="44"/>
    </row>
    <row r="10018" spans="1:14" x14ac:dyDescent="0.3">
      <c r="A10018" s="42"/>
      <c r="C10018" s="52"/>
      <c r="D10018"/>
      <c r="E10018"/>
      <c r="F10018"/>
      <c r="N10018" s="44"/>
    </row>
    <row r="10019" spans="1:14" x14ac:dyDescent="0.3">
      <c r="A10019" s="42"/>
      <c r="C10019" s="52"/>
      <c r="D10019"/>
      <c r="E10019"/>
      <c r="F10019"/>
      <c r="N10019" s="44"/>
    </row>
    <row r="10020" spans="1:14" x14ac:dyDescent="0.3">
      <c r="A10020" s="42"/>
      <c r="C10020" s="52"/>
      <c r="D10020"/>
      <c r="E10020"/>
      <c r="F10020"/>
      <c r="N10020" s="44"/>
    </row>
    <row r="10021" spans="1:14" x14ac:dyDescent="0.3">
      <c r="A10021" s="42"/>
      <c r="C10021" s="52"/>
      <c r="D10021"/>
      <c r="E10021"/>
      <c r="F10021"/>
      <c r="N10021" s="44"/>
    </row>
    <row r="10022" spans="1:14" x14ac:dyDescent="0.3">
      <c r="A10022" s="42"/>
      <c r="C10022" s="52"/>
      <c r="D10022"/>
      <c r="E10022"/>
      <c r="F10022"/>
      <c r="N10022" s="44"/>
    </row>
    <row r="10023" spans="1:14" x14ac:dyDescent="0.3">
      <c r="A10023" s="42"/>
      <c r="C10023" s="52"/>
      <c r="D10023"/>
      <c r="E10023"/>
      <c r="F10023"/>
      <c r="N10023" s="44"/>
    </row>
    <row r="10024" spans="1:14" x14ac:dyDescent="0.3">
      <c r="A10024" s="42"/>
      <c r="C10024" s="52"/>
      <c r="D10024"/>
      <c r="E10024"/>
      <c r="F10024"/>
      <c r="N10024" s="44"/>
    </row>
    <row r="10025" spans="1:14" x14ac:dyDescent="0.3">
      <c r="A10025" s="42"/>
      <c r="C10025" s="52"/>
      <c r="D10025"/>
      <c r="E10025"/>
      <c r="F10025"/>
      <c r="N10025" s="44"/>
    </row>
    <row r="10026" spans="1:14" x14ac:dyDescent="0.3">
      <c r="A10026" s="42"/>
      <c r="C10026" s="52"/>
      <c r="D10026"/>
      <c r="E10026"/>
      <c r="F10026"/>
      <c r="N10026" s="44"/>
    </row>
    <row r="10027" spans="1:14" x14ac:dyDescent="0.3">
      <c r="A10027" s="42"/>
      <c r="C10027" s="52"/>
      <c r="D10027"/>
      <c r="E10027"/>
      <c r="F10027"/>
      <c r="N10027" s="44"/>
    </row>
    <row r="10028" spans="1:14" x14ac:dyDescent="0.3">
      <c r="A10028" s="42"/>
      <c r="C10028" s="52"/>
      <c r="D10028"/>
      <c r="E10028"/>
      <c r="F10028"/>
      <c r="N10028" s="44"/>
    </row>
    <row r="10029" spans="1:14" x14ac:dyDescent="0.3">
      <c r="A10029" s="42"/>
      <c r="C10029" s="52"/>
      <c r="D10029"/>
      <c r="E10029"/>
      <c r="F10029"/>
      <c r="N10029" s="44"/>
    </row>
    <row r="10030" spans="1:14" x14ac:dyDescent="0.3">
      <c r="A10030" s="42"/>
      <c r="C10030" s="52"/>
      <c r="D10030"/>
      <c r="E10030"/>
      <c r="F10030"/>
      <c r="N10030" s="44"/>
    </row>
    <row r="10031" spans="1:14" x14ac:dyDescent="0.3">
      <c r="A10031" s="42"/>
      <c r="C10031" s="52"/>
      <c r="D10031"/>
      <c r="E10031"/>
      <c r="F10031"/>
      <c r="N10031" s="44"/>
    </row>
    <row r="10032" spans="1:14" x14ac:dyDescent="0.3">
      <c r="A10032" s="42"/>
      <c r="C10032" s="52"/>
      <c r="D10032"/>
      <c r="E10032"/>
      <c r="F10032"/>
      <c r="N10032" s="44"/>
    </row>
    <row r="10033" spans="1:14" x14ac:dyDescent="0.3">
      <c r="A10033" s="42"/>
      <c r="C10033" s="52"/>
      <c r="D10033"/>
      <c r="E10033"/>
      <c r="F10033"/>
      <c r="N10033" s="44"/>
    </row>
    <row r="10034" spans="1:14" x14ac:dyDescent="0.3">
      <c r="A10034" s="42"/>
      <c r="C10034" s="52"/>
      <c r="D10034"/>
      <c r="E10034"/>
      <c r="F10034"/>
      <c r="N10034" s="44"/>
    </row>
    <row r="10035" spans="1:14" x14ac:dyDescent="0.3">
      <c r="A10035" s="42"/>
      <c r="C10035" s="52"/>
      <c r="D10035"/>
      <c r="E10035"/>
      <c r="F10035"/>
      <c r="N10035" s="44"/>
    </row>
    <row r="10036" spans="1:14" x14ac:dyDescent="0.3">
      <c r="A10036" s="42"/>
      <c r="C10036" s="52"/>
      <c r="D10036"/>
      <c r="E10036"/>
      <c r="F10036"/>
      <c r="N10036" s="44"/>
    </row>
    <row r="10037" spans="1:14" x14ac:dyDescent="0.3">
      <c r="A10037" s="42"/>
      <c r="C10037" s="52"/>
      <c r="D10037"/>
      <c r="E10037"/>
      <c r="F10037"/>
      <c r="N10037" s="44"/>
    </row>
    <row r="10038" spans="1:14" x14ac:dyDescent="0.3">
      <c r="A10038" s="42"/>
      <c r="C10038" s="52"/>
      <c r="D10038"/>
      <c r="E10038"/>
      <c r="F10038"/>
      <c r="N10038" s="44"/>
    </row>
    <row r="10039" spans="1:14" x14ac:dyDescent="0.3">
      <c r="A10039" s="42"/>
      <c r="C10039" s="52"/>
      <c r="D10039"/>
      <c r="E10039"/>
      <c r="F10039"/>
      <c r="N10039" s="44"/>
    </row>
    <row r="10040" spans="1:14" x14ac:dyDescent="0.3">
      <c r="A10040" s="42"/>
      <c r="C10040" s="52"/>
      <c r="D10040"/>
      <c r="E10040"/>
      <c r="F10040"/>
      <c r="N10040" s="44"/>
    </row>
    <row r="10041" spans="1:14" x14ac:dyDescent="0.3">
      <c r="A10041" s="42"/>
      <c r="C10041" s="52"/>
      <c r="D10041"/>
      <c r="E10041"/>
      <c r="F10041"/>
      <c r="N10041" s="44"/>
    </row>
    <row r="10042" spans="1:14" x14ac:dyDescent="0.3">
      <c r="A10042" s="42"/>
      <c r="C10042" s="52"/>
      <c r="D10042"/>
      <c r="E10042"/>
      <c r="F10042"/>
      <c r="N10042" s="44"/>
    </row>
    <row r="10043" spans="1:14" x14ac:dyDescent="0.3">
      <c r="A10043" s="42"/>
      <c r="C10043" s="52"/>
      <c r="D10043"/>
      <c r="E10043"/>
      <c r="F10043"/>
      <c r="N10043" s="44"/>
    </row>
    <row r="10044" spans="1:14" x14ac:dyDescent="0.3">
      <c r="A10044" s="42"/>
      <c r="C10044" s="52"/>
      <c r="D10044"/>
      <c r="E10044"/>
      <c r="F10044"/>
      <c r="N10044" s="44"/>
    </row>
    <row r="10045" spans="1:14" x14ac:dyDescent="0.3">
      <c r="A10045" s="42"/>
      <c r="C10045" s="52"/>
      <c r="D10045"/>
      <c r="E10045"/>
      <c r="F10045"/>
      <c r="N10045" s="44"/>
    </row>
    <row r="10046" spans="1:14" x14ac:dyDescent="0.3">
      <c r="A10046" s="42"/>
      <c r="C10046" s="52"/>
      <c r="D10046"/>
      <c r="E10046"/>
      <c r="F10046"/>
      <c r="N10046" s="44"/>
    </row>
    <row r="10047" spans="1:14" x14ac:dyDescent="0.3">
      <c r="A10047" s="42"/>
      <c r="C10047" s="52"/>
      <c r="D10047"/>
      <c r="E10047"/>
      <c r="F10047"/>
      <c r="N10047" s="44"/>
    </row>
    <row r="10048" spans="1:14" x14ac:dyDescent="0.3">
      <c r="A10048" s="42"/>
      <c r="C10048" s="52"/>
      <c r="D10048"/>
      <c r="E10048"/>
      <c r="F10048"/>
      <c r="N10048" s="44"/>
    </row>
    <row r="10049" spans="1:14" x14ac:dyDescent="0.3">
      <c r="A10049" s="42"/>
      <c r="C10049" s="52"/>
      <c r="D10049"/>
      <c r="E10049"/>
      <c r="F10049"/>
      <c r="N10049" s="44"/>
    </row>
    <row r="10050" spans="1:14" x14ac:dyDescent="0.3">
      <c r="A10050" s="42"/>
      <c r="C10050" s="52"/>
      <c r="D10050"/>
      <c r="E10050"/>
      <c r="F10050"/>
      <c r="N10050" s="44"/>
    </row>
    <row r="10051" spans="1:14" x14ac:dyDescent="0.3">
      <c r="A10051" s="42"/>
      <c r="C10051" s="52"/>
      <c r="D10051"/>
      <c r="E10051"/>
      <c r="F10051"/>
      <c r="N10051" s="44"/>
    </row>
    <row r="10052" spans="1:14" x14ac:dyDescent="0.3">
      <c r="A10052" s="42"/>
      <c r="C10052" s="52"/>
      <c r="D10052"/>
      <c r="E10052"/>
      <c r="F10052"/>
      <c r="N10052" s="44"/>
    </row>
    <row r="10053" spans="1:14" x14ac:dyDescent="0.3">
      <c r="A10053" s="42"/>
      <c r="C10053" s="52"/>
      <c r="D10053"/>
      <c r="E10053"/>
      <c r="F10053"/>
      <c r="N10053" s="44"/>
    </row>
    <row r="10054" spans="1:14" x14ac:dyDescent="0.3">
      <c r="A10054" s="42"/>
      <c r="C10054" s="52"/>
      <c r="D10054"/>
      <c r="E10054"/>
      <c r="F10054"/>
      <c r="N10054" s="44"/>
    </row>
    <row r="10055" spans="1:14" x14ac:dyDescent="0.3">
      <c r="A10055" s="42"/>
      <c r="C10055" s="52"/>
      <c r="D10055"/>
      <c r="E10055"/>
      <c r="F10055"/>
      <c r="N10055" s="44"/>
    </row>
    <row r="10056" spans="1:14" x14ac:dyDescent="0.3">
      <c r="A10056" s="42"/>
      <c r="C10056" s="52"/>
      <c r="D10056"/>
      <c r="E10056"/>
      <c r="F10056"/>
      <c r="N10056" s="44"/>
    </row>
    <row r="10057" spans="1:14" x14ac:dyDescent="0.3">
      <c r="A10057" s="42"/>
      <c r="C10057" s="52"/>
      <c r="D10057"/>
      <c r="E10057"/>
      <c r="F10057"/>
      <c r="N10057" s="44"/>
    </row>
    <row r="10058" spans="1:14" x14ac:dyDescent="0.3">
      <c r="A10058" s="42"/>
      <c r="C10058" s="52"/>
      <c r="D10058"/>
      <c r="E10058"/>
      <c r="F10058"/>
      <c r="N10058" s="44"/>
    </row>
    <row r="10059" spans="1:14" x14ac:dyDescent="0.3">
      <c r="A10059" s="42"/>
      <c r="C10059" s="52"/>
      <c r="D10059"/>
      <c r="E10059"/>
      <c r="F10059"/>
      <c r="N10059" s="44"/>
    </row>
    <row r="10060" spans="1:14" x14ac:dyDescent="0.3">
      <c r="A10060" s="42"/>
      <c r="C10060" s="52"/>
      <c r="D10060"/>
      <c r="E10060"/>
      <c r="F10060"/>
      <c r="N10060" s="44"/>
    </row>
    <row r="10061" spans="1:14" x14ac:dyDescent="0.3">
      <c r="A10061" s="42"/>
      <c r="C10061" s="52"/>
      <c r="D10061"/>
      <c r="E10061"/>
      <c r="F10061"/>
      <c r="N10061" s="44"/>
    </row>
    <row r="10062" spans="1:14" x14ac:dyDescent="0.3">
      <c r="A10062" s="42"/>
      <c r="C10062" s="52"/>
      <c r="D10062"/>
      <c r="E10062"/>
      <c r="F10062"/>
      <c r="N10062" s="44"/>
    </row>
    <row r="10063" spans="1:14" x14ac:dyDescent="0.3">
      <c r="A10063" s="42"/>
      <c r="C10063" s="52"/>
      <c r="D10063"/>
      <c r="E10063"/>
      <c r="F10063"/>
      <c r="N10063" s="44"/>
    </row>
    <row r="10064" spans="1:14" x14ac:dyDescent="0.3">
      <c r="A10064" s="42"/>
      <c r="C10064" s="52"/>
      <c r="D10064"/>
      <c r="E10064"/>
      <c r="F10064"/>
      <c r="N10064" s="44"/>
    </row>
    <row r="10065" spans="1:14" x14ac:dyDescent="0.3">
      <c r="A10065" s="42"/>
      <c r="C10065" s="52"/>
      <c r="D10065"/>
      <c r="E10065"/>
      <c r="F10065"/>
      <c r="N10065" s="44"/>
    </row>
    <row r="10066" spans="1:14" x14ac:dyDescent="0.3">
      <c r="A10066" s="42"/>
      <c r="C10066" s="52"/>
      <c r="D10066"/>
      <c r="E10066"/>
      <c r="F10066"/>
      <c r="N10066" s="44"/>
    </row>
    <row r="10067" spans="1:14" x14ac:dyDescent="0.3">
      <c r="A10067" s="42"/>
      <c r="C10067" s="52"/>
      <c r="D10067"/>
      <c r="E10067"/>
      <c r="F10067"/>
      <c r="N10067" s="44"/>
    </row>
    <row r="10068" spans="1:14" x14ac:dyDescent="0.3">
      <c r="A10068" s="42"/>
      <c r="C10068" s="52"/>
      <c r="D10068"/>
      <c r="E10068"/>
      <c r="F10068"/>
      <c r="N10068" s="44"/>
    </row>
    <row r="10069" spans="1:14" x14ac:dyDescent="0.3">
      <c r="A10069" s="42"/>
      <c r="C10069" s="52"/>
      <c r="D10069"/>
      <c r="E10069"/>
      <c r="F10069"/>
      <c r="N10069" s="44"/>
    </row>
    <row r="10070" spans="1:14" x14ac:dyDescent="0.3">
      <c r="A10070" s="42"/>
      <c r="C10070" s="52"/>
      <c r="D10070"/>
      <c r="E10070"/>
      <c r="F10070"/>
      <c r="N10070" s="44"/>
    </row>
    <row r="10071" spans="1:14" x14ac:dyDescent="0.3">
      <c r="A10071" s="42"/>
      <c r="C10071" s="52"/>
      <c r="D10071"/>
      <c r="E10071"/>
      <c r="F10071"/>
      <c r="N10071" s="44"/>
    </row>
    <row r="10072" spans="1:14" x14ac:dyDescent="0.3">
      <c r="A10072" s="42"/>
      <c r="C10072" s="52"/>
      <c r="D10072"/>
      <c r="E10072"/>
      <c r="F10072"/>
      <c r="N10072" s="44"/>
    </row>
    <row r="10073" spans="1:14" x14ac:dyDescent="0.3">
      <c r="A10073" s="42"/>
      <c r="C10073" s="52"/>
      <c r="D10073"/>
      <c r="E10073"/>
      <c r="F10073"/>
      <c r="N10073" s="44"/>
    </row>
    <row r="10074" spans="1:14" x14ac:dyDescent="0.3">
      <c r="A10074" s="42"/>
      <c r="C10074" s="52"/>
      <c r="D10074"/>
      <c r="E10074"/>
      <c r="F10074"/>
      <c r="N10074" s="44"/>
    </row>
    <row r="10075" spans="1:14" x14ac:dyDescent="0.3">
      <c r="A10075" s="42"/>
      <c r="C10075" s="52"/>
      <c r="D10075"/>
      <c r="E10075"/>
      <c r="F10075"/>
      <c r="N10075" s="44"/>
    </row>
    <row r="10076" spans="1:14" x14ac:dyDescent="0.3">
      <c r="A10076" s="42"/>
      <c r="C10076" s="52"/>
      <c r="D10076"/>
      <c r="E10076"/>
      <c r="F10076"/>
      <c r="N10076" s="44"/>
    </row>
    <row r="10077" spans="1:14" x14ac:dyDescent="0.3">
      <c r="A10077" s="42"/>
      <c r="C10077" s="52"/>
      <c r="D10077"/>
      <c r="E10077"/>
      <c r="F10077"/>
      <c r="N10077" s="44"/>
    </row>
    <row r="10078" spans="1:14" x14ac:dyDescent="0.3">
      <c r="A10078" s="42"/>
      <c r="C10078" s="52"/>
      <c r="D10078"/>
      <c r="E10078"/>
      <c r="F10078"/>
      <c r="N10078" s="44"/>
    </row>
    <row r="10079" spans="1:14" x14ac:dyDescent="0.3">
      <c r="A10079" s="42"/>
      <c r="C10079" s="52"/>
      <c r="D10079"/>
      <c r="E10079"/>
      <c r="F10079"/>
      <c r="N10079" s="44"/>
    </row>
    <row r="10080" spans="1:14" x14ac:dyDescent="0.3">
      <c r="A10080" s="42"/>
      <c r="C10080" s="52"/>
      <c r="D10080"/>
      <c r="E10080"/>
      <c r="F10080"/>
      <c r="N10080" s="44"/>
    </row>
    <row r="10081" spans="1:14" x14ac:dyDescent="0.3">
      <c r="A10081" s="42"/>
      <c r="C10081" s="52"/>
      <c r="D10081"/>
      <c r="E10081"/>
      <c r="F10081"/>
      <c r="N10081" s="44"/>
    </row>
    <row r="10082" spans="1:14" x14ac:dyDescent="0.3">
      <c r="A10082" s="42"/>
      <c r="C10082" s="52"/>
      <c r="D10082"/>
      <c r="E10082"/>
      <c r="F10082"/>
      <c r="N10082" s="44"/>
    </row>
    <row r="10083" spans="1:14" x14ac:dyDescent="0.3">
      <c r="A10083" s="42"/>
      <c r="C10083" s="52"/>
      <c r="D10083"/>
      <c r="E10083"/>
      <c r="F10083"/>
      <c r="N10083" s="44"/>
    </row>
    <row r="10084" spans="1:14" x14ac:dyDescent="0.3">
      <c r="A10084" s="42"/>
      <c r="C10084" s="52"/>
      <c r="D10084"/>
      <c r="E10084"/>
      <c r="F10084"/>
      <c r="N10084" s="44"/>
    </row>
    <row r="10085" spans="1:14" x14ac:dyDescent="0.3">
      <c r="A10085" s="42"/>
      <c r="C10085" s="52"/>
      <c r="D10085"/>
      <c r="E10085"/>
      <c r="F10085"/>
      <c r="N10085" s="44"/>
    </row>
    <row r="10086" spans="1:14" x14ac:dyDescent="0.3">
      <c r="A10086" s="42"/>
      <c r="C10086" s="52"/>
      <c r="D10086"/>
      <c r="E10086"/>
      <c r="F10086"/>
      <c r="N10086" s="44"/>
    </row>
    <row r="10087" spans="1:14" x14ac:dyDescent="0.3">
      <c r="A10087" s="42"/>
      <c r="C10087" s="52"/>
      <c r="D10087"/>
      <c r="E10087"/>
      <c r="F10087"/>
      <c r="N10087" s="44"/>
    </row>
    <row r="10088" spans="1:14" x14ac:dyDescent="0.3">
      <c r="A10088" s="42"/>
      <c r="C10088" s="52"/>
      <c r="D10088"/>
      <c r="E10088"/>
      <c r="F10088"/>
      <c r="N10088" s="44"/>
    </row>
    <row r="10089" spans="1:14" x14ac:dyDescent="0.3">
      <c r="A10089" s="42"/>
      <c r="C10089" s="52"/>
      <c r="D10089"/>
      <c r="E10089"/>
      <c r="F10089"/>
      <c r="N10089" s="44"/>
    </row>
    <row r="10090" spans="1:14" x14ac:dyDescent="0.3">
      <c r="A10090" s="42"/>
      <c r="C10090" s="52"/>
      <c r="D10090"/>
      <c r="E10090"/>
      <c r="F10090"/>
      <c r="N10090" s="44"/>
    </row>
    <row r="10091" spans="1:14" x14ac:dyDescent="0.3">
      <c r="A10091" s="42"/>
      <c r="C10091" s="52"/>
      <c r="D10091"/>
      <c r="E10091"/>
      <c r="F10091"/>
      <c r="N10091" s="44"/>
    </row>
    <row r="10092" spans="1:14" x14ac:dyDescent="0.3">
      <c r="A10092" s="42"/>
      <c r="C10092" s="52"/>
      <c r="D10092"/>
      <c r="E10092"/>
      <c r="F10092"/>
      <c r="N10092" s="44"/>
    </row>
    <row r="10093" spans="1:14" x14ac:dyDescent="0.3">
      <c r="A10093" s="42"/>
      <c r="C10093" s="52"/>
      <c r="D10093"/>
      <c r="E10093"/>
      <c r="F10093"/>
      <c r="N10093" s="44"/>
    </row>
    <row r="10094" spans="1:14" x14ac:dyDescent="0.3">
      <c r="A10094" s="42"/>
      <c r="C10094" s="52"/>
      <c r="D10094"/>
      <c r="E10094"/>
      <c r="F10094"/>
      <c r="N10094" s="44"/>
    </row>
    <row r="10095" spans="1:14" x14ac:dyDescent="0.3">
      <c r="A10095" s="42"/>
      <c r="C10095" s="52"/>
      <c r="D10095"/>
      <c r="E10095"/>
      <c r="F10095"/>
      <c r="N10095" s="44"/>
    </row>
    <row r="10096" spans="1:14" x14ac:dyDescent="0.3">
      <c r="A10096" s="42"/>
      <c r="C10096" s="52"/>
      <c r="D10096"/>
      <c r="E10096"/>
      <c r="F10096"/>
      <c r="N10096" s="44"/>
    </row>
    <row r="10097" spans="1:14" x14ac:dyDescent="0.3">
      <c r="A10097" s="42"/>
      <c r="C10097" s="52"/>
      <c r="D10097"/>
      <c r="E10097"/>
      <c r="F10097"/>
      <c r="N10097" s="44"/>
    </row>
    <row r="10098" spans="1:14" x14ac:dyDescent="0.3">
      <c r="A10098" s="42"/>
      <c r="C10098" s="52"/>
      <c r="D10098"/>
      <c r="E10098"/>
      <c r="F10098"/>
      <c r="N10098" s="44"/>
    </row>
    <row r="10099" spans="1:14" x14ac:dyDescent="0.3">
      <c r="A10099" s="42"/>
      <c r="C10099" s="52"/>
      <c r="D10099"/>
      <c r="E10099"/>
      <c r="F10099"/>
      <c r="N10099" s="44"/>
    </row>
    <row r="10100" spans="1:14" x14ac:dyDescent="0.3">
      <c r="A10100" s="42"/>
      <c r="C10100" s="52"/>
      <c r="D10100"/>
      <c r="E10100"/>
      <c r="F10100"/>
      <c r="N10100" s="44"/>
    </row>
    <row r="10101" spans="1:14" x14ac:dyDescent="0.3">
      <c r="A10101" s="42"/>
      <c r="C10101" s="52"/>
      <c r="D10101"/>
      <c r="E10101"/>
      <c r="F10101"/>
      <c r="N10101" s="44"/>
    </row>
    <row r="10102" spans="1:14" x14ac:dyDescent="0.3">
      <c r="A10102" s="42"/>
      <c r="C10102" s="52"/>
      <c r="D10102"/>
      <c r="E10102"/>
      <c r="F10102"/>
      <c r="N10102" s="44"/>
    </row>
    <row r="10103" spans="1:14" x14ac:dyDescent="0.3">
      <c r="A10103" s="42"/>
      <c r="C10103" s="52"/>
      <c r="D10103"/>
      <c r="E10103"/>
      <c r="F10103"/>
      <c r="N10103" s="44"/>
    </row>
    <row r="10104" spans="1:14" x14ac:dyDescent="0.3">
      <c r="A10104" s="42"/>
      <c r="C10104" s="52"/>
      <c r="D10104"/>
      <c r="E10104"/>
      <c r="F10104"/>
      <c r="N10104" s="44"/>
    </row>
    <row r="10105" spans="1:14" x14ac:dyDescent="0.3">
      <c r="A10105" s="42"/>
      <c r="C10105" s="52"/>
      <c r="D10105"/>
      <c r="E10105"/>
      <c r="F10105"/>
      <c r="N10105" s="44"/>
    </row>
    <row r="10106" spans="1:14" x14ac:dyDescent="0.3">
      <c r="A10106" s="42"/>
      <c r="C10106" s="52"/>
      <c r="D10106"/>
      <c r="E10106"/>
      <c r="F10106"/>
      <c r="N10106" s="44"/>
    </row>
    <row r="10107" spans="1:14" x14ac:dyDescent="0.3">
      <c r="A10107" s="42"/>
      <c r="C10107" s="52"/>
      <c r="D10107"/>
      <c r="E10107"/>
      <c r="F10107"/>
      <c r="N10107" s="44"/>
    </row>
    <row r="10108" spans="1:14" x14ac:dyDescent="0.3">
      <c r="A10108" s="42"/>
      <c r="C10108" s="52"/>
      <c r="D10108"/>
      <c r="E10108"/>
      <c r="F10108"/>
      <c r="N10108" s="44"/>
    </row>
    <row r="10109" spans="1:14" x14ac:dyDescent="0.3">
      <c r="A10109" s="42"/>
      <c r="C10109" s="52"/>
      <c r="D10109"/>
      <c r="E10109"/>
      <c r="F10109"/>
      <c r="N10109" s="44"/>
    </row>
    <row r="10110" spans="1:14" x14ac:dyDescent="0.3">
      <c r="A10110" s="42"/>
      <c r="C10110" s="52"/>
      <c r="D10110"/>
      <c r="E10110"/>
      <c r="F10110"/>
      <c r="N10110" s="44"/>
    </row>
    <row r="10111" spans="1:14" x14ac:dyDescent="0.3">
      <c r="A10111" s="42"/>
      <c r="C10111" s="52"/>
      <c r="D10111"/>
      <c r="E10111"/>
      <c r="F10111"/>
      <c r="N10111" s="44"/>
    </row>
    <row r="10112" spans="1:14" x14ac:dyDescent="0.3">
      <c r="A10112" s="42"/>
      <c r="C10112" s="52"/>
      <c r="D10112"/>
      <c r="E10112"/>
      <c r="F10112"/>
      <c r="N10112" s="44"/>
    </row>
    <row r="10113" spans="1:14" x14ac:dyDescent="0.3">
      <c r="A10113" s="42"/>
      <c r="C10113" s="52"/>
      <c r="D10113"/>
      <c r="E10113"/>
      <c r="F10113"/>
      <c r="N10113" s="44"/>
    </row>
    <row r="10114" spans="1:14" x14ac:dyDescent="0.3">
      <c r="A10114" s="42"/>
      <c r="C10114" s="52"/>
      <c r="D10114"/>
      <c r="E10114"/>
      <c r="F10114"/>
      <c r="N10114" s="44"/>
    </row>
    <row r="10115" spans="1:14" x14ac:dyDescent="0.3">
      <c r="A10115" s="42"/>
      <c r="C10115" s="52"/>
      <c r="D10115"/>
      <c r="E10115"/>
      <c r="F10115"/>
      <c r="N10115" s="44"/>
    </row>
    <row r="10116" spans="1:14" x14ac:dyDescent="0.3">
      <c r="A10116" s="42"/>
      <c r="C10116" s="52"/>
      <c r="D10116"/>
      <c r="E10116"/>
      <c r="F10116"/>
      <c r="N10116" s="44"/>
    </row>
    <row r="10117" spans="1:14" x14ac:dyDescent="0.3">
      <c r="A10117" s="42"/>
      <c r="C10117" s="52"/>
      <c r="D10117"/>
      <c r="E10117"/>
      <c r="F10117"/>
      <c r="N10117" s="44"/>
    </row>
    <row r="10118" spans="1:14" x14ac:dyDescent="0.3">
      <c r="A10118" s="42"/>
      <c r="C10118" s="52"/>
      <c r="D10118"/>
      <c r="E10118"/>
      <c r="F10118"/>
      <c r="N10118" s="44"/>
    </row>
    <row r="10119" spans="1:14" x14ac:dyDescent="0.3">
      <c r="A10119" s="42"/>
      <c r="C10119" s="52"/>
      <c r="D10119"/>
      <c r="E10119"/>
      <c r="F10119"/>
      <c r="N10119" s="44"/>
    </row>
    <row r="10120" spans="1:14" x14ac:dyDescent="0.3">
      <c r="A10120" s="42"/>
      <c r="C10120" s="52"/>
      <c r="D10120"/>
      <c r="E10120"/>
      <c r="F10120"/>
      <c r="N10120" s="44"/>
    </row>
    <row r="10121" spans="1:14" x14ac:dyDescent="0.3">
      <c r="A10121" s="42"/>
      <c r="C10121" s="52"/>
      <c r="D10121"/>
      <c r="E10121"/>
      <c r="F10121"/>
      <c r="N10121" s="44"/>
    </row>
    <row r="10122" spans="1:14" x14ac:dyDescent="0.3">
      <c r="A10122" s="42"/>
      <c r="C10122" s="52"/>
      <c r="D10122"/>
      <c r="E10122"/>
      <c r="F10122"/>
      <c r="N10122" s="44"/>
    </row>
    <row r="10123" spans="1:14" x14ac:dyDescent="0.3">
      <c r="A10123" s="42"/>
      <c r="C10123" s="52"/>
      <c r="D10123"/>
      <c r="E10123"/>
      <c r="F10123"/>
      <c r="N10123" s="44"/>
    </row>
    <row r="10124" spans="1:14" x14ac:dyDescent="0.3">
      <c r="A10124" s="42"/>
      <c r="C10124" s="52"/>
      <c r="D10124"/>
      <c r="E10124"/>
      <c r="F10124"/>
      <c r="N10124" s="44"/>
    </row>
    <row r="10125" spans="1:14" x14ac:dyDescent="0.3">
      <c r="A10125" s="42"/>
      <c r="C10125" s="52"/>
      <c r="D10125"/>
      <c r="E10125"/>
      <c r="F10125"/>
      <c r="N10125" s="44"/>
    </row>
    <row r="10126" spans="1:14" x14ac:dyDescent="0.3">
      <c r="A10126" s="42"/>
      <c r="C10126" s="52"/>
      <c r="D10126"/>
      <c r="E10126"/>
      <c r="F10126"/>
      <c r="N10126" s="44"/>
    </row>
    <row r="10127" spans="1:14" x14ac:dyDescent="0.3">
      <c r="A10127" s="42"/>
      <c r="C10127" s="52"/>
      <c r="D10127"/>
      <c r="E10127"/>
      <c r="F10127"/>
      <c r="N10127" s="44"/>
    </row>
    <row r="10128" spans="1:14" x14ac:dyDescent="0.3">
      <c r="A10128" s="42"/>
      <c r="C10128" s="52"/>
      <c r="D10128"/>
      <c r="E10128"/>
      <c r="F10128"/>
      <c r="N10128" s="44"/>
    </row>
    <row r="10129" spans="1:14" x14ac:dyDescent="0.3">
      <c r="A10129" s="42"/>
      <c r="C10129" s="52"/>
      <c r="D10129"/>
      <c r="E10129"/>
      <c r="F10129"/>
      <c r="N10129" s="44"/>
    </row>
    <row r="10130" spans="1:14" x14ac:dyDescent="0.3">
      <c r="A10130" s="42"/>
      <c r="C10130" s="52"/>
      <c r="D10130"/>
      <c r="E10130"/>
      <c r="F10130"/>
      <c r="N10130" s="44"/>
    </row>
    <row r="10131" spans="1:14" x14ac:dyDescent="0.3">
      <c r="A10131" s="42"/>
      <c r="C10131" s="52"/>
      <c r="D10131"/>
      <c r="E10131"/>
      <c r="F10131"/>
      <c r="N10131" s="44"/>
    </row>
    <row r="10132" spans="1:14" x14ac:dyDescent="0.3">
      <c r="A10132" s="42"/>
      <c r="C10132" s="52"/>
      <c r="D10132"/>
      <c r="E10132"/>
      <c r="F10132"/>
      <c r="N10132" s="44"/>
    </row>
    <row r="10133" spans="1:14" x14ac:dyDescent="0.3">
      <c r="A10133" s="42"/>
      <c r="C10133" s="52"/>
      <c r="D10133"/>
      <c r="E10133"/>
      <c r="F10133"/>
      <c r="N10133" s="44"/>
    </row>
    <row r="10134" spans="1:14" x14ac:dyDescent="0.3">
      <c r="A10134" s="42"/>
      <c r="C10134" s="52"/>
      <c r="D10134"/>
      <c r="E10134"/>
      <c r="F10134"/>
      <c r="N10134" s="44"/>
    </row>
    <row r="10135" spans="1:14" x14ac:dyDescent="0.3">
      <c r="A10135" s="42"/>
      <c r="C10135" s="52"/>
      <c r="D10135"/>
      <c r="E10135"/>
      <c r="F10135"/>
      <c r="N10135" s="44"/>
    </row>
    <row r="10136" spans="1:14" x14ac:dyDescent="0.3">
      <c r="A10136" s="42"/>
      <c r="C10136" s="52"/>
      <c r="D10136"/>
      <c r="E10136"/>
      <c r="F10136"/>
      <c r="N10136" s="44"/>
    </row>
    <row r="10137" spans="1:14" x14ac:dyDescent="0.3">
      <c r="A10137" s="42"/>
      <c r="C10137" s="52"/>
      <c r="D10137"/>
      <c r="E10137"/>
      <c r="F10137"/>
      <c r="N10137" s="44"/>
    </row>
    <row r="10138" spans="1:14" x14ac:dyDescent="0.3">
      <c r="A10138" s="42"/>
      <c r="C10138" s="52"/>
      <c r="D10138"/>
      <c r="E10138"/>
      <c r="F10138"/>
      <c r="M10138" s="45"/>
      <c r="N10138" s="44"/>
    </row>
    <row r="10139" spans="1:14" x14ac:dyDescent="0.3">
      <c r="A10139" s="42"/>
      <c r="C10139" s="52"/>
      <c r="D10139"/>
      <c r="E10139"/>
      <c r="F10139"/>
      <c r="N10139" s="44"/>
    </row>
    <row r="10140" spans="1:14" x14ac:dyDescent="0.3">
      <c r="A10140" s="42"/>
      <c r="C10140" s="52"/>
      <c r="D10140"/>
      <c r="E10140"/>
      <c r="F10140"/>
      <c r="N10140" s="44"/>
    </row>
    <row r="10141" spans="1:14" x14ac:dyDescent="0.3">
      <c r="A10141" s="42"/>
      <c r="C10141" s="52"/>
      <c r="D10141"/>
      <c r="E10141"/>
      <c r="F10141"/>
      <c r="N10141" s="44"/>
    </row>
    <row r="10142" spans="1:14" x14ac:dyDescent="0.3">
      <c r="A10142" s="42"/>
      <c r="C10142" s="52"/>
      <c r="D10142"/>
      <c r="E10142"/>
      <c r="F10142"/>
      <c r="N10142" s="44"/>
    </row>
    <row r="10143" spans="1:14" x14ac:dyDescent="0.3">
      <c r="A10143" s="42"/>
      <c r="C10143" s="52"/>
      <c r="D10143"/>
      <c r="E10143"/>
      <c r="F10143"/>
      <c r="N10143" s="44"/>
    </row>
    <row r="10144" spans="1:14" x14ac:dyDescent="0.3">
      <c r="A10144" s="42"/>
      <c r="C10144" s="52"/>
      <c r="D10144"/>
      <c r="E10144"/>
      <c r="F10144"/>
      <c r="M10144" s="45"/>
      <c r="N10144" s="44"/>
    </row>
    <row r="10145" spans="1:14" x14ac:dyDescent="0.3">
      <c r="A10145" s="42"/>
      <c r="C10145" s="52"/>
      <c r="D10145"/>
      <c r="E10145"/>
      <c r="F10145"/>
      <c r="N10145" s="44"/>
    </row>
    <row r="10146" spans="1:14" x14ac:dyDescent="0.3">
      <c r="A10146" s="42"/>
      <c r="C10146" s="52"/>
      <c r="D10146"/>
      <c r="E10146"/>
      <c r="F10146"/>
      <c r="N10146" s="44"/>
    </row>
    <row r="10147" spans="1:14" x14ac:dyDescent="0.3">
      <c r="A10147" s="42"/>
      <c r="C10147" s="52"/>
      <c r="D10147"/>
      <c r="E10147"/>
      <c r="F10147"/>
      <c r="N10147" s="44"/>
    </row>
    <row r="10148" spans="1:14" x14ac:dyDescent="0.3">
      <c r="A10148" s="42"/>
      <c r="C10148" s="52"/>
      <c r="D10148"/>
      <c r="E10148"/>
      <c r="F10148"/>
      <c r="N10148" s="44"/>
    </row>
    <row r="10149" spans="1:14" x14ac:dyDescent="0.3">
      <c r="A10149" s="42"/>
      <c r="C10149" s="52"/>
      <c r="D10149"/>
      <c r="E10149"/>
      <c r="F10149"/>
      <c r="N10149" s="44"/>
    </row>
    <row r="10150" spans="1:14" x14ac:dyDescent="0.3">
      <c r="A10150" s="42"/>
      <c r="C10150" s="52"/>
      <c r="D10150"/>
      <c r="E10150"/>
      <c r="F10150"/>
      <c r="N10150" s="44"/>
    </row>
    <row r="10151" spans="1:14" x14ac:dyDescent="0.3">
      <c r="A10151" s="42"/>
      <c r="C10151" s="52"/>
      <c r="D10151"/>
      <c r="E10151"/>
      <c r="F10151"/>
      <c r="N10151" s="44"/>
    </row>
    <row r="10152" spans="1:14" x14ac:dyDescent="0.3">
      <c r="A10152" s="42"/>
      <c r="C10152" s="52"/>
      <c r="D10152"/>
      <c r="E10152"/>
      <c r="F10152"/>
      <c r="N10152" s="44"/>
    </row>
    <row r="10153" spans="1:14" x14ac:dyDescent="0.3">
      <c r="A10153" s="42"/>
      <c r="C10153" s="52"/>
      <c r="D10153"/>
      <c r="E10153"/>
      <c r="F10153"/>
      <c r="N10153" s="44"/>
    </row>
    <row r="10154" spans="1:14" x14ac:dyDescent="0.3">
      <c r="A10154" s="42"/>
      <c r="C10154" s="52"/>
      <c r="D10154"/>
      <c r="E10154"/>
      <c r="F10154"/>
      <c r="N10154" s="44"/>
    </row>
    <row r="10155" spans="1:14" x14ac:dyDescent="0.3">
      <c r="A10155" s="42"/>
      <c r="C10155" s="52"/>
      <c r="D10155"/>
      <c r="E10155"/>
      <c r="F10155"/>
      <c r="N10155" s="44"/>
    </row>
    <row r="10156" spans="1:14" x14ac:dyDescent="0.3">
      <c r="A10156" s="42"/>
      <c r="C10156" s="52"/>
      <c r="D10156"/>
      <c r="E10156"/>
      <c r="F10156"/>
      <c r="N10156" s="44"/>
    </row>
    <row r="10157" spans="1:14" x14ac:dyDescent="0.3">
      <c r="A10157" s="42"/>
      <c r="C10157" s="52"/>
      <c r="D10157"/>
      <c r="E10157"/>
      <c r="F10157"/>
      <c r="N10157" s="44"/>
    </row>
    <row r="10158" spans="1:14" x14ac:dyDescent="0.3">
      <c r="A10158" s="42"/>
      <c r="C10158" s="52"/>
      <c r="D10158"/>
      <c r="E10158"/>
      <c r="F10158"/>
      <c r="N10158" s="44"/>
    </row>
    <row r="10159" spans="1:14" x14ac:dyDescent="0.3">
      <c r="A10159" s="42"/>
      <c r="C10159" s="52"/>
      <c r="D10159"/>
      <c r="E10159"/>
      <c r="F10159"/>
      <c r="N10159" s="44"/>
    </row>
    <row r="10160" spans="1:14" x14ac:dyDescent="0.3">
      <c r="A10160" s="42"/>
      <c r="C10160" s="52"/>
      <c r="D10160"/>
      <c r="E10160"/>
      <c r="F10160"/>
      <c r="N10160" s="44"/>
    </row>
    <row r="10161" spans="1:14" x14ac:dyDescent="0.3">
      <c r="A10161" s="42"/>
      <c r="C10161" s="52"/>
      <c r="D10161"/>
      <c r="E10161"/>
      <c r="F10161"/>
      <c r="N10161" s="44"/>
    </row>
    <row r="10162" spans="1:14" x14ac:dyDescent="0.3">
      <c r="A10162" s="42"/>
      <c r="C10162" s="52"/>
      <c r="D10162"/>
      <c r="E10162"/>
      <c r="F10162"/>
      <c r="N10162" s="44"/>
    </row>
    <row r="10163" spans="1:14" x14ac:dyDescent="0.3">
      <c r="A10163" s="42"/>
      <c r="C10163" s="52"/>
      <c r="D10163"/>
      <c r="E10163"/>
      <c r="F10163"/>
      <c r="N10163" s="44"/>
    </row>
    <row r="10164" spans="1:14" x14ac:dyDescent="0.3">
      <c r="A10164" s="42"/>
      <c r="C10164" s="52"/>
      <c r="D10164"/>
      <c r="E10164"/>
      <c r="F10164"/>
      <c r="N10164" s="44"/>
    </row>
    <row r="10165" spans="1:14" x14ac:dyDescent="0.3">
      <c r="A10165" s="42"/>
      <c r="C10165" s="52"/>
      <c r="D10165"/>
      <c r="E10165"/>
      <c r="F10165"/>
      <c r="N10165" s="44"/>
    </row>
    <row r="10166" spans="1:14" x14ac:dyDescent="0.3">
      <c r="A10166" s="42"/>
      <c r="C10166" s="52"/>
      <c r="D10166"/>
      <c r="E10166"/>
      <c r="F10166"/>
      <c r="N10166" s="44"/>
    </row>
    <row r="10167" spans="1:14" x14ac:dyDescent="0.3">
      <c r="A10167" s="42"/>
      <c r="C10167" s="52"/>
      <c r="D10167"/>
      <c r="E10167"/>
      <c r="F10167"/>
      <c r="N10167" s="44"/>
    </row>
    <row r="10168" spans="1:14" x14ac:dyDescent="0.3">
      <c r="A10168" s="42"/>
      <c r="C10168" s="52"/>
      <c r="D10168"/>
      <c r="E10168"/>
      <c r="F10168"/>
      <c r="N10168" s="44"/>
    </row>
    <row r="10169" spans="1:14" x14ac:dyDescent="0.3">
      <c r="A10169" s="42"/>
      <c r="C10169" s="52"/>
      <c r="D10169"/>
      <c r="E10169"/>
      <c r="F10169"/>
      <c r="N10169" s="44"/>
    </row>
    <row r="10170" spans="1:14" x14ac:dyDescent="0.3">
      <c r="A10170" s="42"/>
      <c r="C10170" s="52"/>
      <c r="D10170"/>
      <c r="E10170"/>
      <c r="F10170"/>
      <c r="N10170" s="44"/>
    </row>
    <row r="10171" spans="1:14" x14ac:dyDescent="0.3">
      <c r="A10171" s="42"/>
      <c r="C10171" s="52"/>
      <c r="D10171"/>
      <c r="E10171"/>
      <c r="F10171"/>
      <c r="N10171" s="44"/>
    </row>
    <row r="10172" spans="1:14" x14ac:dyDescent="0.3">
      <c r="A10172" s="42"/>
      <c r="C10172" s="52"/>
      <c r="D10172"/>
      <c r="E10172"/>
      <c r="F10172"/>
      <c r="N10172" s="44"/>
    </row>
    <row r="10173" spans="1:14" x14ac:dyDescent="0.3">
      <c r="A10173" s="42"/>
      <c r="C10173" s="52"/>
      <c r="D10173"/>
      <c r="E10173"/>
      <c r="F10173"/>
      <c r="N10173" s="44"/>
    </row>
    <row r="10174" spans="1:14" x14ac:dyDescent="0.3">
      <c r="A10174" s="42"/>
      <c r="C10174" s="52"/>
      <c r="D10174"/>
      <c r="E10174"/>
      <c r="F10174"/>
      <c r="N10174" s="44"/>
    </row>
    <row r="10175" spans="1:14" x14ac:dyDescent="0.3">
      <c r="A10175" s="42"/>
      <c r="C10175" s="52"/>
      <c r="D10175"/>
      <c r="E10175"/>
      <c r="F10175"/>
      <c r="N10175" s="44"/>
    </row>
    <row r="10176" spans="1:14" x14ac:dyDescent="0.3">
      <c r="A10176" s="42"/>
      <c r="C10176" s="52"/>
      <c r="D10176"/>
      <c r="E10176"/>
      <c r="F10176"/>
      <c r="N10176" s="44"/>
    </row>
    <row r="10177" spans="1:14" x14ac:dyDescent="0.3">
      <c r="A10177" s="42"/>
      <c r="C10177" s="52"/>
      <c r="D10177"/>
      <c r="E10177"/>
      <c r="F10177"/>
      <c r="N10177" s="44"/>
    </row>
    <row r="10178" spans="1:14" x14ac:dyDescent="0.3">
      <c r="A10178" s="42"/>
      <c r="C10178" s="52"/>
      <c r="D10178"/>
      <c r="E10178"/>
      <c r="F10178"/>
      <c r="M10178" s="45"/>
      <c r="N10178" s="44"/>
    </row>
    <row r="10179" spans="1:14" x14ac:dyDescent="0.3">
      <c r="A10179" s="42"/>
      <c r="C10179" s="52"/>
      <c r="D10179"/>
      <c r="E10179"/>
      <c r="F10179"/>
      <c r="N10179" s="44"/>
    </row>
    <row r="10180" spans="1:14" x14ac:dyDescent="0.3">
      <c r="A10180" s="42"/>
      <c r="C10180" s="52"/>
      <c r="D10180"/>
      <c r="E10180"/>
      <c r="F10180"/>
      <c r="N10180" s="44"/>
    </row>
    <row r="10181" spans="1:14" x14ac:dyDescent="0.3">
      <c r="A10181" s="42"/>
      <c r="C10181" s="52"/>
      <c r="D10181"/>
      <c r="E10181"/>
      <c r="F10181"/>
      <c r="N10181" s="44"/>
    </row>
    <row r="10182" spans="1:14" x14ac:dyDescent="0.3">
      <c r="A10182" s="42"/>
      <c r="C10182" s="52"/>
      <c r="D10182"/>
      <c r="E10182"/>
      <c r="F10182"/>
      <c r="N10182" s="44"/>
    </row>
    <row r="10183" spans="1:14" x14ac:dyDescent="0.3">
      <c r="A10183" s="42"/>
      <c r="C10183" s="52"/>
      <c r="D10183"/>
      <c r="E10183"/>
      <c r="F10183"/>
      <c r="N10183" s="44"/>
    </row>
    <row r="10184" spans="1:14" x14ac:dyDescent="0.3">
      <c r="A10184" s="42"/>
      <c r="C10184" s="52"/>
      <c r="D10184"/>
      <c r="E10184"/>
      <c r="F10184"/>
      <c r="N10184" s="44"/>
    </row>
    <row r="10185" spans="1:14" x14ac:dyDescent="0.3">
      <c r="A10185" s="42"/>
      <c r="C10185" s="52"/>
      <c r="D10185"/>
      <c r="E10185"/>
      <c r="F10185"/>
      <c r="N10185" s="44"/>
    </row>
    <row r="10186" spans="1:14" x14ac:dyDescent="0.3">
      <c r="A10186" s="42"/>
      <c r="C10186" s="52"/>
      <c r="D10186"/>
      <c r="E10186"/>
      <c r="F10186"/>
      <c r="N10186" s="44"/>
    </row>
    <row r="10187" spans="1:14" x14ac:dyDescent="0.3">
      <c r="A10187" s="42"/>
      <c r="C10187" s="52"/>
      <c r="D10187"/>
      <c r="E10187"/>
      <c r="F10187"/>
      <c r="N10187" s="44"/>
    </row>
    <row r="10188" spans="1:14" x14ac:dyDescent="0.3">
      <c r="A10188" s="42"/>
      <c r="C10188" s="52"/>
      <c r="D10188"/>
      <c r="E10188"/>
      <c r="F10188"/>
      <c r="N10188" s="44"/>
    </row>
    <row r="10189" spans="1:14" x14ac:dyDescent="0.3">
      <c r="A10189" s="42"/>
      <c r="C10189" s="52"/>
      <c r="D10189"/>
      <c r="E10189"/>
      <c r="F10189"/>
      <c r="N10189" s="44"/>
    </row>
    <row r="10190" spans="1:14" x14ac:dyDescent="0.3">
      <c r="A10190" s="42"/>
      <c r="C10190" s="52"/>
      <c r="D10190"/>
      <c r="E10190"/>
      <c r="F10190"/>
      <c r="N10190" s="44"/>
    </row>
    <row r="10191" spans="1:14" x14ac:dyDescent="0.3">
      <c r="A10191" s="42"/>
      <c r="C10191" s="52"/>
      <c r="D10191"/>
      <c r="E10191"/>
      <c r="F10191"/>
      <c r="N10191" s="44"/>
    </row>
    <row r="10192" spans="1:14" x14ac:dyDescent="0.3">
      <c r="A10192" s="42"/>
      <c r="C10192" s="52"/>
      <c r="D10192"/>
      <c r="E10192"/>
      <c r="F10192"/>
      <c r="N10192" s="44"/>
    </row>
    <row r="10193" spans="1:14" x14ac:dyDescent="0.3">
      <c r="A10193" s="42"/>
      <c r="C10193" s="52"/>
      <c r="D10193"/>
      <c r="E10193"/>
      <c r="F10193"/>
      <c r="N10193" s="44"/>
    </row>
    <row r="10194" spans="1:14" x14ac:dyDescent="0.3">
      <c r="A10194" s="42"/>
      <c r="C10194" s="52"/>
      <c r="D10194"/>
      <c r="E10194"/>
      <c r="F10194"/>
      <c r="N10194" s="44"/>
    </row>
    <row r="10195" spans="1:14" x14ac:dyDescent="0.3">
      <c r="A10195" s="42"/>
      <c r="C10195" s="52"/>
      <c r="D10195"/>
      <c r="E10195"/>
      <c r="F10195"/>
      <c r="N10195" s="44"/>
    </row>
    <row r="10196" spans="1:14" x14ac:dyDescent="0.3">
      <c r="A10196" s="42"/>
      <c r="C10196" s="52"/>
      <c r="D10196"/>
      <c r="E10196"/>
      <c r="F10196"/>
      <c r="N10196" s="44"/>
    </row>
    <row r="10197" spans="1:14" x14ac:dyDescent="0.3">
      <c r="A10197" s="42"/>
      <c r="C10197" s="52"/>
      <c r="D10197"/>
      <c r="E10197"/>
      <c r="F10197"/>
      <c r="N10197" s="44"/>
    </row>
    <row r="10198" spans="1:14" x14ac:dyDescent="0.3">
      <c r="A10198" s="42"/>
      <c r="C10198" s="52"/>
      <c r="D10198"/>
      <c r="E10198"/>
      <c r="F10198"/>
      <c r="N10198" s="44"/>
    </row>
    <row r="10199" spans="1:14" x14ac:dyDescent="0.3">
      <c r="A10199" s="42"/>
      <c r="C10199" s="52"/>
      <c r="D10199"/>
      <c r="E10199"/>
      <c r="F10199"/>
      <c r="N10199" s="44"/>
    </row>
    <row r="10200" spans="1:14" x14ac:dyDescent="0.3">
      <c r="A10200" s="42"/>
      <c r="C10200" s="52"/>
      <c r="D10200"/>
      <c r="E10200"/>
      <c r="F10200"/>
      <c r="N10200" s="44"/>
    </row>
    <row r="10201" spans="1:14" x14ac:dyDescent="0.3">
      <c r="A10201" s="42"/>
      <c r="C10201" s="52"/>
      <c r="D10201"/>
      <c r="E10201"/>
      <c r="F10201"/>
      <c r="N10201" s="44"/>
    </row>
    <row r="10202" spans="1:14" x14ac:dyDescent="0.3">
      <c r="A10202" s="42"/>
      <c r="C10202" s="52"/>
      <c r="D10202"/>
      <c r="E10202"/>
      <c r="F10202"/>
      <c r="N10202" s="44"/>
    </row>
    <row r="10203" spans="1:14" x14ac:dyDescent="0.3">
      <c r="A10203" s="42"/>
      <c r="C10203" s="52"/>
      <c r="D10203"/>
      <c r="E10203"/>
      <c r="F10203"/>
      <c r="N10203" s="44"/>
    </row>
    <row r="10204" spans="1:14" x14ac:dyDescent="0.3">
      <c r="A10204" s="42"/>
      <c r="C10204" s="52"/>
      <c r="D10204"/>
      <c r="E10204"/>
      <c r="F10204"/>
      <c r="N10204" s="44"/>
    </row>
    <row r="10205" spans="1:14" x14ac:dyDescent="0.3">
      <c r="A10205" s="42"/>
      <c r="C10205" s="52"/>
      <c r="D10205"/>
      <c r="E10205"/>
      <c r="F10205"/>
      <c r="N10205" s="44"/>
    </row>
    <row r="10206" spans="1:14" x14ac:dyDescent="0.3">
      <c r="A10206" s="42"/>
      <c r="C10206" s="52"/>
      <c r="D10206"/>
      <c r="E10206"/>
      <c r="F10206"/>
      <c r="N10206" s="44"/>
    </row>
    <row r="10207" spans="1:14" x14ac:dyDescent="0.3">
      <c r="A10207" s="42"/>
      <c r="C10207" s="52"/>
      <c r="D10207"/>
      <c r="E10207"/>
      <c r="F10207"/>
      <c r="N10207" s="44"/>
    </row>
    <row r="10208" spans="1:14" x14ac:dyDescent="0.3">
      <c r="A10208" s="42"/>
      <c r="C10208" s="52"/>
      <c r="D10208"/>
      <c r="E10208"/>
      <c r="F10208"/>
      <c r="N10208" s="44"/>
    </row>
    <row r="10209" spans="1:14" x14ac:dyDescent="0.3">
      <c r="A10209" s="42"/>
      <c r="C10209" s="52"/>
      <c r="D10209"/>
      <c r="E10209"/>
      <c r="F10209"/>
      <c r="N10209" s="44"/>
    </row>
    <row r="10210" spans="1:14" x14ac:dyDescent="0.3">
      <c r="A10210" s="42"/>
      <c r="C10210" s="52"/>
      <c r="D10210"/>
      <c r="E10210"/>
      <c r="F10210"/>
      <c r="N10210" s="44"/>
    </row>
    <row r="10211" spans="1:14" x14ac:dyDescent="0.3">
      <c r="A10211" s="42"/>
      <c r="C10211" s="52"/>
      <c r="D10211"/>
      <c r="E10211"/>
      <c r="F10211"/>
      <c r="N10211" s="44"/>
    </row>
    <row r="10212" spans="1:14" x14ac:dyDescent="0.3">
      <c r="A10212" s="42"/>
      <c r="C10212" s="52"/>
      <c r="D10212"/>
      <c r="E10212"/>
      <c r="F10212"/>
      <c r="N10212" s="44"/>
    </row>
    <row r="10213" spans="1:14" x14ac:dyDescent="0.3">
      <c r="A10213" s="42"/>
      <c r="C10213" s="52"/>
      <c r="D10213"/>
      <c r="E10213"/>
      <c r="F10213"/>
      <c r="N10213" s="44"/>
    </row>
    <row r="10214" spans="1:14" x14ac:dyDescent="0.3">
      <c r="A10214" s="42"/>
      <c r="C10214" s="52"/>
      <c r="D10214"/>
      <c r="E10214"/>
      <c r="F10214"/>
      <c r="N10214" s="44"/>
    </row>
    <row r="10215" spans="1:14" x14ac:dyDescent="0.3">
      <c r="A10215" s="42"/>
      <c r="C10215" s="52"/>
      <c r="D10215"/>
      <c r="E10215"/>
      <c r="F10215"/>
      <c r="N10215" s="44"/>
    </row>
    <row r="10216" spans="1:14" x14ac:dyDescent="0.3">
      <c r="A10216" s="42"/>
      <c r="C10216" s="52"/>
      <c r="D10216"/>
      <c r="E10216"/>
      <c r="F10216"/>
      <c r="N10216" s="44"/>
    </row>
    <row r="10217" spans="1:14" x14ac:dyDescent="0.3">
      <c r="A10217" s="42"/>
      <c r="C10217" s="52"/>
      <c r="D10217"/>
      <c r="E10217"/>
      <c r="F10217"/>
      <c r="N10217" s="44"/>
    </row>
    <row r="10218" spans="1:14" x14ac:dyDescent="0.3">
      <c r="A10218" s="42"/>
      <c r="C10218" s="52"/>
      <c r="D10218"/>
      <c r="E10218"/>
      <c r="F10218"/>
      <c r="N10218" s="44"/>
    </row>
    <row r="10219" spans="1:14" x14ac:dyDescent="0.3">
      <c r="A10219" s="42"/>
      <c r="C10219" s="52"/>
      <c r="D10219"/>
      <c r="E10219"/>
      <c r="F10219"/>
      <c r="N10219" s="44"/>
    </row>
    <row r="10220" spans="1:14" x14ac:dyDescent="0.3">
      <c r="A10220" s="42"/>
      <c r="C10220" s="52"/>
      <c r="D10220"/>
      <c r="E10220"/>
      <c r="F10220"/>
      <c r="N10220" s="44"/>
    </row>
    <row r="10221" spans="1:14" x14ac:dyDescent="0.3">
      <c r="A10221" s="42"/>
      <c r="C10221" s="52"/>
      <c r="D10221"/>
      <c r="E10221"/>
      <c r="F10221"/>
      <c r="N10221" s="44"/>
    </row>
    <row r="10222" spans="1:14" x14ac:dyDescent="0.3">
      <c r="A10222" s="42"/>
      <c r="C10222" s="52"/>
      <c r="D10222"/>
      <c r="E10222"/>
      <c r="F10222"/>
      <c r="N10222" s="44"/>
    </row>
    <row r="10223" spans="1:14" x14ac:dyDescent="0.3">
      <c r="A10223" s="42"/>
      <c r="C10223" s="52"/>
      <c r="D10223"/>
      <c r="E10223"/>
      <c r="F10223"/>
      <c r="N10223" s="44"/>
    </row>
    <row r="10224" spans="1:14" x14ac:dyDescent="0.3">
      <c r="A10224" s="42"/>
      <c r="C10224" s="52"/>
      <c r="D10224"/>
      <c r="E10224"/>
      <c r="F10224"/>
      <c r="N10224" s="44"/>
    </row>
    <row r="10225" spans="1:14" x14ac:dyDescent="0.3">
      <c r="A10225" s="42"/>
      <c r="C10225" s="52"/>
      <c r="D10225"/>
      <c r="E10225"/>
      <c r="F10225"/>
      <c r="N10225" s="44"/>
    </row>
    <row r="10226" spans="1:14" x14ac:dyDescent="0.3">
      <c r="A10226" s="42"/>
      <c r="C10226" s="52"/>
      <c r="D10226"/>
      <c r="E10226"/>
      <c r="F10226"/>
      <c r="N10226" s="44"/>
    </row>
    <row r="10227" spans="1:14" x14ac:dyDescent="0.3">
      <c r="A10227" s="42"/>
      <c r="C10227" s="52"/>
      <c r="D10227"/>
      <c r="E10227"/>
      <c r="F10227"/>
      <c r="N10227" s="44"/>
    </row>
    <row r="10228" spans="1:14" x14ac:dyDescent="0.3">
      <c r="A10228" s="42"/>
      <c r="C10228" s="52"/>
      <c r="D10228"/>
      <c r="E10228"/>
      <c r="F10228"/>
      <c r="N10228" s="44"/>
    </row>
    <row r="10229" spans="1:14" x14ac:dyDescent="0.3">
      <c r="A10229" s="42"/>
      <c r="C10229" s="52"/>
      <c r="D10229"/>
      <c r="E10229"/>
      <c r="F10229"/>
      <c r="N10229" s="44"/>
    </row>
    <row r="10230" spans="1:14" x14ac:dyDescent="0.3">
      <c r="A10230" s="42"/>
      <c r="C10230" s="52"/>
      <c r="D10230"/>
      <c r="E10230"/>
      <c r="F10230"/>
      <c r="N10230" s="44"/>
    </row>
    <row r="10231" spans="1:14" x14ac:dyDescent="0.3">
      <c r="A10231" s="42"/>
      <c r="C10231" s="52"/>
      <c r="D10231"/>
      <c r="E10231"/>
      <c r="F10231"/>
      <c r="N10231" s="44"/>
    </row>
    <row r="10232" spans="1:14" x14ac:dyDescent="0.3">
      <c r="A10232" s="42"/>
      <c r="C10232" s="52"/>
      <c r="D10232"/>
      <c r="E10232"/>
      <c r="F10232"/>
      <c r="N10232" s="44"/>
    </row>
    <row r="10233" spans="1:14" x14ac:dyDescent="0.3">
      <c r="A10233" s="42"/>
      <c r="C10233" s="52"/>
      <c r="D10233"/>
      <c r="E10233"/>
      <c r="F10233"/>
      <c r="M10233" s="45"/>
      <c r="N10233" s="44"/>
    </row>
    <row r="10234" spans="1:14" x14ac:dyDescent="0.3">
      <c r="A10234" s="42"/>
      <c r="C10234" s="52"/>
      <c r="D10234"/>
      <c r="E10234"/>
      <c r="F10234"/>
      <c r="N10234" s="44"/>
    </row>
    <row r="10235" spans="1:14" x14ac:dyDescent="0.3">
      <c r="A10235" s="42"/>
      <c r="C10235" s="52"/>
      <c r="D10235"/>
      <c r="E10235"/>
      <c r="F10235"/>
      <c r="N10235" s="44"/>
    </row>
    <row r="10236" spans="1:14" x14ac:dyDescent="0.3">
      <c r="A10236" s="42"/>
      <c r="C10236" s="52"/>
      <c r="D10236"/>
      <c r="E10236"/>
      <c r="F10236"/>
      <c r="N10236" s="44"/>
    </row>
    <row r="10237" spans="1:14" x14ac:dyDescent="0.3">
      <c r="A10237" s="42"/>
      <c r="C10237" s="52"/>
      <c r="D10237"/>
      <c r="E10237"/>
      <c r="F10237"/>
      <c r="N10237" s="44"/>
    </row>
    <row r="10238" spans="1:14" x14ac:dyDescent="0.3">
      <c r="A10238" s="42"/>
      <c r="C10238" s="52"/>
      <c r="D10238"/>
      <c r="E10238"/>
      <c r="F10238"/>
      <c r="N10238" s="44"/>
    </row>
    <row r="10239" spans="1:14" x14ac:dyDescent="0.3">
      <c r="A10239" s="42"/>
      <c r="C10239" s="52"/>
      <c r="D10239"/>
      <c r="E10239"/>
      <c r="F10239"/>
      <c r="N10239" s="44"/>
    </row>
    <row r="10240" spans="1:14" x14ac:dyDescent="0.3">
      <c r="A10240" s="42"/>
      <c r="C10240" s="52"/>
      <c r="D10240"/>
      <c r="E10240"/>
      <c r="F10240"/>
      <c r="N10240" s="44"/>
    </row>
    <row r="10241" spans="1:14" x14ac:dyDescent="0.3">
      <c r="A10241" s="42"/>
      <c r="C10241" s="52"/>
      <c r="D10241"/>
      <c r="E10241"/>
      <c r="F10241"/>
      <c r="N10241" s="44"/>
    </row>
    <row r="10242" spans="1:14" x14ac:dyDescent="0.3">
      <c r="A10242" s="42"/>
      <c r="C10242" s="52"/>
      <c r="D10242"/>
      <c r="E10242"/>
      <c r="F10242"/>
      <c r="N10242" s="44"/>
    </row>
    <row r="10243" spans="1:14" x14ac:dyDescent="0.3">
      <c r="A10243" s="42"/>
      <c r="C10243" s="52"/>
      <c r="D10243"/>
      <c r="E10243"/>
      <c r="F10243"/>
      <c r="N10243" s="44"/>
    </row>
    <row r="10244" spans="1:14" x14ac:dyDescent="0.3">
      <c r="A10244" s="42"/>
      <c r="C10244" s="52"/>
      <c r="D10244"/>
      <c r="E10244"/>
      <c r="F10244"/>
      <c r="N10244" s="44"/>
    </row>
    <row r="10245" spans="1:14" x14ac:dyDescent="0.3">
      <c r="A10245" s="42"/>
      <c r="C10245" s="52"/>
      <c r="D10245"/>
      <c r="E10245"/>
      <c r="F10245"/>
      <c r="N10245" s="44"/>
    </row>
    <row r="10246" spans="1:14" x14ac:dyDescent="0.3">
      <c r="A10246" s="42"/>
      <c r="C10246" s="52"/>
      <c r="D10246"/>
      <c r="E10246"/>
      <c r="F10246"/>
      <c r="N10246" s="44"/>
    </row>
    <row r="10247" spans="1:14" x14ac:dyDescent="0.3">
      <c r="A10247" s="42"/>
      <c r="C10247" s="52"/>
      <c r="D10247"/>
      <c r="E10247"/>
      <c r="F10247"/>
      <c r="N10247" s="44"/>
    </row>
    <row r="10248" spans="1:14" x14ac:dyDescent="0.3">
      <c r="A10248" s="42"/>
      <c r="C10248" s="52"/>
      <c r="D10248"/>
      <c r="E10248"/>
      <c r="F10248"/>
      <c r="N10248" s="44"/>
    </row>
    <row r="10249" spans="1:14" x14ac:dyDescent="0.3">
      <c r="A10249" s="42"/>
      <c r="C10249" s="52"/>
      <c r="D10249"/>
      <c r="E10249"/>
      <c r="F10249"/>
      <c r="N10249" s="44"/>
    </row>
    <row r="10250" spans="1:14" x14ac:dyDescent="0.3">
      <c r="A10250" s="42"/>
      <c r="C10250" s="52"/>
      <c r="D10250"/>
      <c r="E10250"/>
      <c r="F10250"/>
      <c r="N10250" s="44"/>
    </row>
    <row r="10251" spans="1:14" x14ac:dyDescent="0.3">
      <c r="A10251" s="42"/>
      <c r="C10251" s="52"/>
      <c r="D10251"/>
      <c r="E10251"/>
      <c r="F10251"/>
      <c r="N10251" s="44"/>
    </row>
    <row r="10252" spans="1:14" x14ac:dyDescent="0.3">
      <c r="A10252" s="42"/>
      <c r="C10252" s="52"/>
      <c r="D10252"/>
      <c r="E10252"/>
      <c r="F10252"/>
      <c r="N10252" s="44"/>
    </row>
    <row r="10253" spans="1:14" x14ac:dyDescent="0.3">
      <c r="A10253" s="42"/>
      <c r="C10253" s="52"/>
      <c r="D10253"/>
      <c r="E10253"/>
      <c r="F10253"/>
      <c r="N10253" s="44"/>
    </row>
    <row r="10254" spans="1:14" x14ac:dyDescent="0.3">
      <c r="A10254" s="42"/>
      <c r="C10254" s="52"/>
      <c r="D10254"/>
      <c r="E10254"/>
      <c r="F10254"/>
      <c r="N10254" s="44"/>
    </row>
    <row r="10255" spans="1:14" x14ac:dyDescent="0.3">
      <c r="A10255" s="42"/>
      <c r="C10255" s="52"/>
      <c r="D10255"/>
      <c r="E10255"/>
      <c r="F10255"/>
      <c r="N10255" s="44"/>
    </row>
    <row r="10256" spans="1:14" x14ac:dyDescent="0.3">
      <c r="A10256" s="42"/>
      <c r="C10256" s="52"/>
      <c r="D10256"/>
      <c r="E10256"/>
      <c r="F10256"/>
      <c r="N10256" s="44"/>
    </row>
    <row r="10257" spans="1:14" x14ac:dyDescent="0.3">
      <c r="A10257" s="42"/>
      <c r="C10257" s="52"/>
      <c r="D10257"/>
      <c r="E10257"/>
      <c r="F10257"/>
      <c r="N10257" s="44"/>
    </row>
    <row r="10258" spans="1:14" x14ac:dyDescent="0.3">
      <c r="A10258" s="42"/>
      <c r="C10258" s="52"/>
      <c r="D10258"/>
      <c r="E10258"/>
      <c r="F10258"/>
      <c r="N10258" s="44"/>
    </row>
    <row r="10259" spans="1:14" x14ac:dyDescent="0.3">
      <c r="A10259" s="42"/>
      <c r="C10259" s="52"/>
      <c r="D10259"/>
      <c r="E10259"/>
      <c r="F10259"/>
      <c r="N10259" s="44"/>
    </row>
    <row r="10260" spans="1:14" x14ac:dyDescent="0.3">
      <c r="A10260" s="42"/>
      <c r="C10260" s="52"/>
      <c r="D10260"/>
      <c r="E10260"/>
      <c r="F10260"/>
      <c r="N10260" s="44"/>
    </row>
    <row r="10261" spans="1:14" x14ac:dyDescent="0.3">
      <c r="A10261" s="42"/>
      <c r="C10261" s="52"/>
      <c r="D10261"/>
      <c r="E10261"/>
      <c r="F10261"/>
      <c r="N10261" s="44"/>
    </row>
    <row r="10262" spans="1:14" x14ac:dyDescent="0.3">
      <c r="A10262" s="42"/>
      <c r="C10262" s="52"/>
      <c r="D10262"/>
      <c r="E10262"/>
      <c r="F10262"/>
      <c r="N10262" s="44"/>
    </row>
    <row r="10263" spans="1:14" x14ac:dyDescent="0.3">
      <c r="A10263" s="42"/>
      <c r="C10263" s="52"/>
      <c r="D10263"/>
      <c r="E10263"/>
      <c r="F10263"/>
      <c r="N10263" s="44"/>
    </row>
    <row r="10264" spans="1:14" x14ac:dyDescent="0.3">
      <c r="A10264" s="42"/>
      <c r="C10264" s="52"/>
      <c r="D10264"/>
      <c r="E10264"/>
      <c r="F10264"/>
      <c r="N10264" s="44"/>
    </row>
    <row r="10265" spans="1:14" x14ac:dyDescent="0.3">
      <c r="A10265" s="42"/>
      <c r="C10265" s="52"/>
      <c r="D10265"/>
      <c r="E10265"/>
      <c r="F10265"/>
      <c r="N10265" s="44"/>
    </row>
    <row r="10266" spans="1:14" x14ac:dyDescent="0.3">
      <c r="A10266" s="42"/>
      <c r="C10266" s="52"/>
      <c r="D10266"/>
      <c r="E10266"/>
      <c r="F10266"/>
      <c r="N10266" s="44"/>
    </row>
    <row r="10267" spans="1:14" x14ac:dyDescent="0.3">
      <c r="A10267" s="42"/>
      <c r="C10267" s="52"/>
      <c r="D10267"/>
      <c r="E10267"/>
      <c r="F10267"/>
      <c r="N10267" s="44"/>
    </row>
    <row r="10268" spans="1:14" x14ac:dyDescent="0.3">
      <c r="A10268" s="42"/>
      <c r="C10268" s="52"/>
      <c r="D10268"/>
      <c r="E10268"/>
      <c r="F10268"/>
      <c r="L10268" s="45"/>
      <c r="N10268" s="44"/>
    </row>
    <row r="10269" spans="1:14" x14ac:dyDescent="0.3">
      <c r="A10269" s="42"/>
      <c r="C10269" s="52"/>
      <c r="D10269"/>
      <c r="E10269"/>
      <c r="F10269"/>
      <c r="N10269" s="44"/>
    </row>
    <row r="10270" spans="1:14" x14ac:dyDescent="0.3">
      <c r="A10270" s="42"/>
      <c r="C10270" s="52"/>
      <c r="D10270"/>
      <c r="E10270"/>
      <c r="F10270"/>
      <c r="L10270" s="45"/>
      <c r="N10270" s="44"/>
    </row>
    <row r="10271" spans="1:14" x14ac:dyDescent="0.3">
      <c r="A10271" s="42"/>
      <c r="C10271" s="52"/>
      <c r="D10271"/>
      <c r="E10271"/>
      <c r="F10271"/>
      <c r="L10271" s="45"/>
      <c r="N10271" s="44"/>
    </row>
    <row r="10272" spans="1:14" x14ac:dyDescent="0.3">
      <c r="A10272" s="42"/>
      <c r="C10272" s="52"/>
      <c r="D10272"/>
      <c r="E10272"/>
      <c r="F10272"/>
      <c r="N10272" s="44"/>
    </row>
    <row r="10273" spans="1:14" x14ac:dyDescent="0.3">
      <c r="A10273" s="42"/>
      <c r="C10273" s="52"/>
      <c r="D10273"/>
      <c r="E10273"/>
      <c r="F10273"/>
      <c r="N10273" s="44"/>
    </row>
    <row r="10274" spans="1:14" x14ac:dyDescent="0.3">
      <c r="A10274" s="42"/>
      <c r="C10274" s="52"/>
      <c r="D10274"/>
      <c r="E10274"/>
      <c r="F10274"/>
      <c r="N10274" s="44"/>
    </row>
    <row r="10275" spans="1:14" x14ac:dyDescent="0.3">
      <c r="A10275" s="42"/>
      <c r="C10275" s="52"/>
      <c r="D10275"/>
      <c r="E10275"/>
      <c r="F10275"/>
      <c r="N10275" s="44"/>
    </row>
    <row r="10276" spans="1:14" x14ac:dyDescent="0.3">
      <c r="A10276" s="42"/>
      <c r="C10276" s="52"/>
      <c r="D10276"/>
      <c r="E10276"/>
      <c r="F10276"/>
      <c r="N10276" s="44"/>
    </row>
    <row r="10277" spans="1:14" x14ac:dyDescent="0.3">
      <c r="A10277" s="42"/>
      <c r="C10277" s="52"/>
      <c r="D10277"/>
      <c r="E10277"/>
      <c r="F10277"/>
      <c r="N10277" s="44"/>
    </row>
    <row r="10278" spans="1:14" x14ac:dyDescent="0.3">
      <c r="A10278" s="42"/>
      <c r="C10278" s="52"/>
      <c r="D10278"/>
      <c r="E10278"/>
      <c r="F10278"/>
      <c r="N10278" s="44"/>
    </row>
    <row r="10279" spans="1:14" x14ac:dyDescent="0.3">
      <c r="A10279" s="42"/>
      <c r="C10279" s="52"/>
      <c r="D10279"/>
      <c r="E10279"/>
      <c r="F10279"/>
      <c r="N10279" s="44"/>
    </row>
    <row r="10280" spans="1:14" x14ac:dyDescent="0.3">
      <c r="A10280" s="42"/>
      <c r="C10280" s="52"/>
      <c r="D10280"/>
      <c r="E10280"/>
      <c r="F10280"/>
      <c r="N10280" s="44"/>
    </row>
    <row r="10281" spans="1:14" x14ac:dyDescent="0.3">
      <c r="A10281" s="42"/>
      <c r="C10281" s="52"/>
      <c r="D10281"/>
      <c r="E10281"/>
      <c r="F10281"/>
      <c r="L10281" s="45"/>
      <c r="N10281" s="44"/>
    </row>
    <row r="10282" spans="1:14" x14ac:dyDescent="0.3">
      <c r="A10282" s="42"/>
      <c r="C10282" s="52"/>
      <c r="D10282"/>
      <c r="E10282"/>
      <c r="F10282"/>
      <c r="N10282" s="44"/>
    </row>
    <row r="10283" spans="1:14" x14ac:dyDescent="0.3">
      <c r="A10283" s="42"/>
      <c r="C10283" s="52"/>
      <c r="D10283"/>
      <c r="E10283"/>
      <c r="F10283"/>
      <c r="N10283" s="44"/>
    </row>
    <row r="10284" spans="1:14" x14ac:dyDescent="0.3">
      <c r="A10284" s="42"/>
      <c r="C10284" s="52"/>
      <c r="D10284"/>
      <c r="E10284"/>
      <c r="F10284"/>
      <c r="N10284" s="44"/>
    </row>
    <row r="10285" spans="1:14" x14ac:dyDescent="0.3">
      <c r="A10285" s="42"/>
      <c r="C10285" s="52"/>
      <c r="D10285"/>
      <c r="E10285"/>
      <c r="F10285"/>
      <c r="N10285" s="44"/>
    </row>
    <row r="10286" spans="1:14" x14ac:dyDescent="0.3">
      <c r="A10286" s="42"/>
      <c r="C10286" s="52"/>
      <c r="D10286"/>
      <c r="E10286"/>
      <c r="F10286"/>
      <c r="N10286" s="44"/>
    </row>
    <row r="10287" spans="1:14" x14ac:dyDescent="0.3">
      <c r="A10287" s="42"/>
      <c r="C10287" s="52"/>
      <c r="D10287"/>
      <c r="E10287"/>
      <c r="F10287"/>
      <c r="N10287" s="44"/>
    </row>
    <row r="10288" spans="1:14" x14ac:dyDescent="0.3">
      <c r="A10288" s="42"/>
      <c r="C10288" s="52"/>
      <c r="D10288"/>
      <c r="E10288"/>
      <c r="F10288"/>
      <c r="N10288" s="44"/>
    </row>
    <row r="10289" spans="1:14" x14ac:dyDescent="0.3">
      <c r="A10289" s="42"/>
      <c r="C10289" s="52"/>
      <c r="D10289"/>
      <c r="E10289"/>
      <c r="F10289"/>
      <c r="N10289" s="44"/>
    </row>
    <row r="10290" spans="1:14" x14ac:dyDescent="0.3">
      <c r="A10290" s="42"/>
      <c r="C10290" s="52"/>
      <c r="D10290"/>
      <c r="E10290"/>
      <c r="F10290"/>
      <c r="N10290" s="44"/>
    </row>
    <row r="10291" spans="1:14" x14ac:dyDescent="0.3">
      <c r="A10291" s="42"/>
      <c r="C10291" s="52"/>
      <c r="D10291"/>
      <c r="E10291"/>
      <c r="F10291"/>
      <c r="N10291" s="44"/>
    </row>
    <row r="10292" spans="1:14" x14ac:dyDescent="0.3">
      <c r="A10292" s="42"/>
      <c r="C10292" s="52"/>
      <c r="D10292"/>
      <c r="E10292"/>
      <c r="F10292"/>
      <c r="N10292" s="44"/>
    </row>
    <row r="10293" spans="1:14" x14ac:dyDescent="0.3">
      <c r="A10293" s="42"/>
      <c r="C10293" s="52"/>
      <c r="D10293"/>
      <c r="E10293"/>
      <c r="F10293"/>
      <c r="N10293" s="44"/>
    </row>
    <row r="10294" spans="1:14" x14ac:dyDescent="0.3">
      <c r="A10294" s="42"/>
      <c r="C10294" s="52"/>
      <c r="D10294"/>
      <c r="E10294"/>
      <c r="F10294"/>
      <c r="N10294" s="44"/>
    </row>
    <row r="10295" spans="1:14" x14ac:dyDescent="0.3">
      <c r="A10295" s="42"/>
      <c r="C10295" s="52"/>
      <c r="D10295"/>
      <c r="E10295"/>
      <c r="F10295"/>
      <c r="N10295" s="44"/>
    </row>
    <row r="10296" spans="1:14" x14ac:dyDescent="0.3">
      <c r="A10296" s="42"/>
      <c r="C10296" s="52"/>
      <c r="D10296"/>
      <c r="E10296"/>
      <c r="F10296"/>
      <c r="L10296" s="45"/>
      <c r="N10296" s="44"/>
    </row>
    <row r="10297" spans="1:14" x14ac:dyDescent="0.3">
      <c r="A10297" s="42"/>
      <c r="C10297" s="52"/>
      <c r="D10297"/>
      <c r="E10297"/>
      <c r="F10297"/>
      <c r="N10297" s="44"/>
    </row>
    <row r="10298" spans="1:14" x14ac:dyDescent="0.3">
      <c r="A10298" s="42"/>
      <c r="C10298" s="52"/>
      <c r="D10298"/>
      <c r="E10298"/>
      <c r="F10298"/>
      <c r="N10298" s="44"/>
    </row>
    <row r="10299" spans="1:14" x14ac:dyDescent="0.3">
      <c r="A10299" s="42"/>
      <c r="C10299" s="52"/>
      <c r="D10299"/>
      <c r="E10299"/>
      <c r="F10299"/>
      <c r="N10299" s="44"/>
    </row>
    <row r="10300" spans="1:14" x14ac:dyDescent="0.3">
      <c r="A10300" s="42"/>
      <c r="C10300" s="52"/>
      <c r="D10300"/>
      <c r="E10300"/>
      <c r="F10300"/>
      <c r="N10300" s="44"/>
    </row>
    <row r="10301" spans="1:14" x14ac:dyDescent="0.3">
      <c r="A10301" s="42"/>
      <c r="C10301" s="52"/>
      <c r="D10301"/>
      <c r="E10301"/>
      <c r="F10301"/>
      <c r="N10301" s="44"/>
    </row>
    <row r="10302" spans="1:14" x14ac:dyDescent="0.3">
      <c r="A10302" s="42"/>
      <c r="C10302" s="52"/>
      <c r="D10302"/>
      <c r="E10302"/>
      <c r="F10302"/>
      <c r="L10302" s="45"/>
      <c r="N10302" s="44"/>
    </row>
    <row r="10303" spans="1:14" x14ac:dyDescent="0.3">
      <c r="A10303" s="42"/>
      <c r="C10303" s="52"/>
      <c r="D10303"/>
      <c r="E10303"/>
      <c r="F10303"/>
      <c r="N10303" s="44"/>
    </row>
    <row r="10304" spans="1:14" x14ac:dyDescent="0.3">
      <c r="A10304" s="42"/>
      <c r="C10304" s="52"/>
      <c r="D10304"/>
      <c r="E10304"/>
      <c r="F10304"/>
      <c r="L10304" s="45"/>
      <c r="N10304" s="44"/>
    </row>
    <row r="10305" spans="1:14" x14ac:dyDescent="0.3">
      <c r="A10305" s="42"/>
      <c r="C10305" s="52"/>
      <c r="D10305"/>
      <c r="E10305"/>
      <c r="F10305"/>
      <c r="N10305" s="44"/>
    </row>
    <row r="10306" spans="1:14" x14ac:dyDescent="0.3">
      <c r="A10306" s="42"/>
      <c r="C10306" s="52"/>
      <c r="D10306"/>
      <c r="E10306"/>
      <c r="F10306"/>
      <c r="N10306" s="44"/>
    </row>
    <row r="10307" spans="1:14" x14ac:dyDescent="0.3">
      <c r="A10307" s="42"/>
      <c r="C10307" s="52"/>
      <c r="D10307"/>
      <c r="E10307"/>
      <c r="F10307"/>
      <c r="N10307" s="44"/>
    </row>
    <row r="10308" spans="1:14" x14ac:dyDescent="0.3">
      <c r="A10308" s="42"/>
      <c r="C10308" s="52"/>
      <c r="D10308"/>
      <c r="E10308"/>
      <c r="F10308"/>
      <c r="N10308" s="44"/>
    </row>
    <row r="10309" spans="1:14" x14ac:dyDescent="0.3">
      <c r="A10309" s="42"/>
      <c r="C10309" s="52"/>
      <c r="D10309"/>
      <c r="E10309"/>
      <c r="F10309"/>
      <c r="N10309" s="44"/>
    </row>
    <row r="10310" spans="1:14" x14ac:dyDescent="0.3">
      <c r="A10310" s="42"/>
      <c r="C10310" s="52"/>
      <c r="D10310"/>
      <c r="E10310"/>
      <c r="F10310"/>
      <c r="N10310" s="44"/>
    </row>
    <row r="10311" spans="1:14" x14ac:dyDescent="0.3">
      <c r="A10311" s="42"/>
      <c r="C10311" s="52"/>
      <c r="D10311"/>
      <c r="E10311"/>
      <c r="F10311"/>
      <c r="N10311" s="44"/>
    </row>
    <row r="10312" spans="1:14" x14ac:dyDescent="0.3">
      <c r="A10312" s="42"/>
      <c r="C10312" s="52"/>
      <c r="D10312"/>
      <c r="E10312"/>
      <c r="F10312"/>
      <c r="N10312" s="44"/>
    </row>
    <row r="10313" spans="1:14" x14ac:dyDescent="0.3">
      <c r="A10313" s="42"/>
      <c r="C10313" s="52"/>
      <c r="D10313"/>
      <c r="E10313"/>
      <c r="F10313"/>
      <c r="N10313" s="44"/>
    </row>
    <row r="10314" spans="1:14" x14ac:dyDescent="0.3">
      <c r="A10314" s="42"/>
      <c r="C10314" s="52"/>
      <c r="D10314"/>
      <c r="E10314"/>
      <c r="F10314"/>
      <c r="N10314" s="44"/>
    </row>
    <row r="10315" spans="1:14" x14ac:dyDescent="0.3">
      <c r="A10315" s="42"/>
      <c r="C10315" s="52"/>
      <c r="D10315"/>
      <c r="E10315"/>
      <c r="F10315"/>
      <c r="L10315" s="45"/>
      <c r="N10315" s="44"/>
    </row>
    <row r="10316" spans="1:14" x14ac:dyDescent="0.3">
      <c r="A10316" s="42"/>
      <c r="C10316" s="52"/>
      <c r="D10316"/>
      <c r="E10316"/>
      <c r="F10316"/>
      <c r="N10316" s="44"/>
    </row>
    <row r="10317" spans="1:14" x14ac:dyDescent="0.3">
      <c r="A10317" s="42"/>
      <c r="C10317" s="52"/>
      <c r="D10317"/>
      <c r="E10317"/>
      <c r="F10317"/>
      <c r="L10317" s="45"/>
      <c r="N10317" s="44"/>
    </row>
    <row r="10318" spans="1:14" x14ac:dyDescent="0.3">
      <c r="A10318" s="42"/>
      <c r="C10318" s="52"/>
      <c r="D10318"/>
      <c r="E10318"/>
      <c r="F10318"/>
      <c r="N10318" s="44"/>
    </row>
    <row r="10319" spans="1:14" x14ac:dyDescent="0.3">
      <c r="A10319" s="42"/>
      <c r="C10319" s="52"/>
      <c r="D10319"/>
      <c r="E10319"/>
      <c r="F10319"/>
      <c r="N10319" s="44"/>
    </row>
    <row r="10320" spans="1:14" x14ac:dyDescent="0.3">
      <c r="A10320" s="42"/>
      <c r="C10320" s="52"/>
      <c r="D10320"/>
      <c r="E10320"/>
      <c r="F10320"/>
      <c r="N10320" s="44"/>
    </row>
    <row r="10321" spans="1:14" x14ac:dyDescent="0.3">
      <c r="A10321" s="42"/>
      <c r="C10321" s="52"/>
      <c r="D10321"/>
      <c r="E10321"/>
      <c r="F10321"/>
      <c r="N10321" s="44"/>
    </row>
    <row r="10322" spans="1:14" x14ac:dyDescent="0.3">
      <c r="A10322" s="42"/>
      <c r="C10322" s="52"/>
      <c r="D10322"/>
      <c r="E10322"/>
      <c r="F10322"/>
      <c r="N10322" s="44"/>
    </row>
    <row r="10323" spans="1:14" x14ac:dyDescent="0.3">
      <c r="A10323" s="42"/>
      <c r="C10323" s="52"/>
      <c r="D10323"/>
      <c r="E10323"/>
      <c r="F10323"/>
      <c r="N10323" s="44"/>
    </row>
    <row r="10324" spans="1:14" x14ac:dyDescent="0.3">
      <c r="A10324" s="42"/>
      <c r="C10324" s="52"/>
      <c r="D10324"/>
      <c r="E10324"/>
      <c r="F10324"/>
      <c r="N10324" s="44"/>
    </row>
    <row r="10325" spans="1:14" x14ac:dyDescent="0.3">
      <c r="A10325" s="42"/>
      <c r="C10325" s="52"/>
      <c r="D10325"/>
      <c r="E10325"/>
      <c r="F10325"/>
      <c r="N10325" s="44"/>
    </row>
    <row r="10326" spans="1:14" x14ac:dyDescent="0.3">
      <c r="A10326" s="42"/>
      <c r="C10326" s="52"/>
      <c r="D10326"/>
      <c r="E10326"/>
      <c r="F10326"/>
      <c r="N10326" s="44"/>
    </row>
    <row r="10327" spans="1:14" x14ac:dyDescent="0.3">
      <c r="A10327" s="42"/>
      <c r="C10327" s="52"/>
      <c r="D10327"/>
      <c r="E10327"/>
      <c r="F10327"/>
      <c r="N10327" s="44"/>
    </row>
    <row r="10328" spans="1:14" x14ac:dyDescent="0.3">
      <c r="A10328" s="42"/>
      <c r="C10328" s="52"/>
      <c r="D10328"/>
      <c r="E10328"/>
      <c r="F10328"/>
      <c r="N10328" s="44"/>
    </row>
    <row r="10329" spans="1:14" x14ac:dyDescent="0.3">
      <c r="A10329" s="42"/>
      <c r="C10329" s="52"/>
      <c r="D10329"/>
      <c r="E10329"/>
      <c r="F10329"/>
      <c r="L10329" s="45"/>
      <c r="N10329" s="44"/>
    </row>
    <row r="10330" spans="1:14" x14ac:dyDescent="0.3">
      <c r="A10330" s="42"/>
      <c r="C10330" s="52"/>
      <c r="D10330"/>
      <c r="E10330"/>
      <c r="F10330"/>
      <c r="N10330" s="44"/>
    </row>
    <row r="10331" spans="1:14" x14ac:dyDescent="0.3">
      <c r="A10331" s="42"/>
      <c r="C10331" s="52"/>
      <c r="D10331"/>
      <c r="E10331"/>
      <c r="F10331"/>
      <c r="N10331" s="44"/>
    </row>
    <row r="10332" spans="1:14" x14ac:dyDescent="0.3">
      <c r="A10332" s="42"/>
      <c r="C10332" s="52"/>
      <c r="D10332"/>
      <c r="E10332"/>
      <c r="F10332"/>
      <c r="N10332" s="44"/>
    </row>
    <row r="10333" spans="1:14" x14ac:dyDescent="0.3">
      <c r="A10333" s="42"/>
      <c r="C10333" s="52"/>
      <c r="D10333"/>
      <c r="E10333"/>
      <c r="F10333"/>
      <c r="N10333" s="44"/>
    </row>
    <row r="10334" spans="1:14" x14ac:dyDescent="0.3">
      <c r="A10334" s="42"/>
      <c r="C10334" s="52"/>
      <c r="D10334"/>
      <c r="E10334"/>
      <c r="F10334"/>
      <c r="N10334" s="44"/>
    </row>
    <row r="10335" spans="1:14" x14ac:dyDescent="0.3">
      <c r="A10335" s="42"/>
      <c r="C10335" s="52"/>
      <c r="D10335"/>
      <c r="E10335"/>
      <c r="F10335"/>
      <c r="N10335" s="44"/>
    </row>
    <row r="10336" spans="1:14" x14ac:dyDescent="0.3">
      <c r="A10336" s="42"/>
      <c r="C10336" s="52"/>
      <c r="D10336"/>
      <c r="E10336"/>
      <c r="F10336"/>
      <c r="L10336" s="45"/>
      <c r="N10336" s="44"/>
    </row>
    <row r="10337" spans="1:14" x14ac:dyDescent="0.3">
      <c r="A10337" s="42"/>
      <c r="C10337" s="52"/>
      <c r="D10337"/>
      <c r="E10337"/>
      <c r="F10337"/>
      <c r="N10337" s="44"/>
    </row>
    <row r="10338" spans="1:14" x14ac:dyDescent="0.3">
      <c r="A10338" s="42"/>
      <c r="C10338" s="52"/>
      <c r="D10338"/>
      <c r="E10338"/>
      <c r="F10338"/>
      <c r="L10338" s="45"/>
      <c r="N10338" s="44"/>
    </row>
    <row r="10339" spans="1:14" x14ac:dyDescent="0.3">
      <c r="A10339" s="42"/>
      <c r="C10339" s="52"/>
      <c r="D10339"/>
      <c r="E10339"/>
      <c r="F10339"/>
      <c r="L10339" s="45"/>
      <c r="N10339" s="44"/>
    </row>
    <row r="10340" spans="1:14" x14ac:dyDescent="0.3">
      <c r="A10340" s="42"/>
      <c r="C10340" s="52"/>
      <c r="D10340"/>
      <c r="E10340"/>
      <c r="F10340"/>
      <c r="N10340" s="44"/>
    </row>
    <row r="10341" spans="1:14" x14ac:dyDescent="0.3">
      <c r="A10341" s="42"/>
      <c r="C10341" s="52"/>
      <c r="D10341"/>
      <c r="E10341"/>
      <c r="F10341"/>
      <c r="N10341" s="44"/>
    </row>
    <row r="10342" spans="1:14" x14ac:dyDescent="0.3">
      <c r="A10342" s="42"/>
      <c r="C10342" s="52"/>
      <c r="D10342"/>
      <c r="E10342"/>
      <c r="F10342"/>
      <c r="N10342" s="44"/>
    </row>
    <row r="10343" spans="1:14" x14ac:dyDescent="0.3">
      <c r="A10343" s="42"/>
      <c r="C10343" s="52"/>
      <c r="D10343"/>
      <c r="E10343"/>
      <c r="F10343"/>
      <c r="N10343" s="44"/>
    </row>
    <row r="10344" spans="1:14" x14ac:dyDescent="0.3">
      <c r="A10344" s="42"/>
      <c r="C10344" s="52"/>
      <c r="D10344"/>
      <c r="E10344"/>
      <c r="F10344"/>
      <c r="N10344" s="44"/>
    </row>
    <row r="10345" spans="1:14" x14ac:dyDescent="0.3">
      <c r="A10345" s="42"/>
      <c r="C10345" s="52"/>
      <c r="D10345"/>
      <c r="E10345"/>
      <c r="F10345"/>
      <c r="L10345" s="45"/>
      <c r="N10345" s="44"/>
    </row>
    <row r="10346" spans="1:14" x14ac:dyDescent="0.3">
      <c r="A10346" s="42"/>
      <c r="C10346" s="52"/>
      <c r="D10346"/>
      <c r="E10346"/>
      <c r="F10346"/>
      <c r="N10346" s="44"/>
    </row>
    <row r="10347" spans="1:14" x14ac:dyDescent="0.3">
      <c r="A10347" s="42"/>
      <c r="C10347" s="52"/>
      <c r="D10347"/>
      <c r="E10347"/>
      <c r="F10347"/>
      <c r="N10347" s="44"/>
    </row>
    <row r="10348" spans="1:14" x14ac:dyDescent="0.3">
      <c r="A10348" s="42"/>
      <c r="C10348" s="52"/>
      <c r="D10348"/>
      <c r="E10348"/>
      <c r="F10348"/>
      <c r="N10348" s="44"/>
    </row>
    <row r="10349" spans="1:14" x14ac:dyDescent="0.3">
      <c r="A10349" s="42"/>
      <c r="C10349" s="52"/>
      <c r="D10349"/>
      <c r="E10349"/>
      <c r="F10349"/>
      <c r="N10349" s="44"/>
    </row>
    <row r="10350" spans="1:14" x14ac:dyDescent="0.3">
      <c r="A10350" s="42"/>
      <c r="C10350" s="52"/>
      <c r="D10350"/>
      <c r="E10350"/>
      <c r="F10350"/>
      <c r="N10350" s="44"/>
    </row>
    <row r="10351" spans="1:14" x14ac:dyDescent="0.3">
      <c r="A10351" s="42"/>
      <c r="C10351" s="52"/>
      <c r="D10351"/>
      <c r="E10351"/>
      <c r="F10351"/>
      <c r="L10351" s="45"/>
      <c r="N10351" s="44"/>
    </row>
    <row r="10352" spans="1:14" x14ac:dyDescent="0.3">
      <c r="A10352" s="42"/>
      <c r="C10352" s="52"/>
      <c r="D10352"/>
      <c r="E10352"/>
      <c r="F10352"/>
      <c r="N10352" s="44"/>
    </row>
    <row r="10353" spans="1:14" x14ac:dyDescent="0.3">
      <c r="A10353" s="42"/>
      <c r="C10353" s="52"/>
      <c r="D10353"/>
      <c r="E10353"/>
      <c r="F10353"/>
      <c r="N10353" s="44"/>
    </row>
    <row r="10354" spans="1:14" x14ac:dyDescent="0.3">
      <c r="A10354" s="42"/>
      <c r="C10354" s="52"/>
      <c r="D10354"/>
      <c r="E10354"/>
      <c r="F10354"/>
      <c r="N10354" s="44"/>
    </row>
    <row r="10355" spans="1:14" x14ac:dyDescent="0.3">
      <c r="A10355" s="42"/>
      <c r="C10355" s="52"/>
      <c r="D10355"/>
      <c r="E10355"/>
      <c r="F10355"/>
      <c r="L10355" s="45"/>
      <c r="N10355" s="44"/>
    </row>
    <row r="10356" spans="1:14" x14ac:dyDescent="0.3">
      <c r="A10356" s="42"/>
      <c r="C10356" s="52"/>
      <c r="D10356"/>
      <c r="E10356"/>
      <c r="F10356"/>
      <c r="N10356" s="44"/>
    </row>
    <row r="10357" spans="1:14" x14ac:dyDescent="0.3">
      <c r="A10357" s="42"/>
      <c r="C10357" s="52"/>
      <c r="D10357"/>
      <c r="E10357"/>
      <c r="F10357"/>
      <c r="N10357" s="44"/>
    </row>
    <row r="10358" spans="1:14" x14ac:dyDescent="0.3">
      <c r="A10358" s="42"/>
      <c r="C10358" s="52"/>
      <c r="D10358"/>
      <c r="E10358"/>
      <c r="F10358"/>
      <c r="L10358" s="45"/>
      <c r="N10358" s="44"/>
    </row>
    <row r="10359" spans="1:14" x14ac:dyDescent="0.3">
      <c r="A10359" s="42"/>
      <c r="C10359" s="52"/>
      <c r="D10359"/>
      <c r="E10359"/>
      <c r="F10359"/>
      <c r="N10359" s="44"/>
    </row>
    <row r="10360" spans="1:14" x14ac:dyDescent="0.3">
      <c r="A10360" s="42"/>
      <c r="C10360" s="52"/>
      <c r="D10360"/>
      <c r="E10360"/>
      <c r="F10360"/>
      <c r="N10360" s="44"/>
    </row>
    <row r="10361" spans="1:14" x14ac:dyDescent="0.3">
      <c r="A10361" s="42"/>
      <c r="C10361" s="52"/>
      <c r="D10361"/>
      <c r="E10361"/>
      <c r="F10361"/>
      <c r="N10361" s="44"/>
    </row>
    <row r="10362" spans="1:14" x14ac:dyDescent="0.3">
      <c r="A10362" s="42"/>
      <c r="C10362" s="52"/>
      <c r="D10362"/>
      <c r="E10362"/>
      <c r="F10362"/>
      <c r="N10362" s="44"/>
    </row>
    <row r="10363" spans="1:14" x14ac:dyDescent="0.3">
      <c r="A10363" s="42"/>
      <c r="C10363" s="52"/>
      <c r="D10363"/>
      <c r="E10363"/>
      <c r="F10363"/>
      <c r="N10363" s="44"/>
    </row>
    <row r="10364" spans="1:14" x14ac:dyDescent="0.3">
      <c r="A10364" s="42"/>
      <c r="C10364" s="52"/>
      <c r="D10364"/>
      <c r="E10364"/>
      <c r="F10364"/>
      <c r="N10364" s="44"/>
    </row>
    <row r="10365" spans="1:14" x14ac:dyDescent="0.3">
      <c r="A10365" s="42"/>
      <c r="C10365" s="52"/>
      <c r="D10365"/>
      <c r="E10365"/>
      <c r="F10365"/>
      <c r="N10365" s="44"/>
    </row>
    <row r="10366" spans="1:14" x14ac:dyDescent="0.3">
      <c r="A10366" s="42"/>
      <c r="C10366" s="52"/>
      <c r="D10366"/>
      <c r="E10366"/>
      <c r="F10366"/>
      <c r="N10366" s="44"/>
    </row>
    <row r="10367" spans="1:14" x14ac:dyDescent="0.3">
      <c r="A10367" s="42"/>
      <c r="C10367" s="52"/>
      <c r="D10367"/>
      <c r="E10367"/>
      <c r="F10367"/>
      <c r="N10367" s="44"/>
    </row>
    <row r="10368" spans="1:14" x14ac:dyDescent="0.3">
      <c r="A10368" s="42"/>
      <c r="C10368" s="52"/>
      <c r="D10368"/>
      <c r="E10368"/>
      <c r="F10368"/>
      <c r="L10368" s="45"/>
      <c r="N10368" s="44"/>
    </row>
    <row r="10369" spans="1:14" x14ac:dyDescent="0.3">
      <c r="A10369" s="42"/>
      <c r="C10369" s="52"/>
      <c r="D10369"/>
      <c r="E10369"/>
      <c r="F10369"/>
      <c r="M10369" s="45"/>
      <c r="N10369" s="44"/>
    </row>
    <row r="10370" spans="1:14" x14ac:dyDescent="0.3">
      <c r="A10370" s="42"/>
      <c r="C10370" s="52"/>
      <c r="D10370"/>
      <c r="E10370"/>
      <c r="F10370"/>
      <c r="N10370" s="44"/>
    </row>
    <row r="10371" spans="1:14" x14ac:dyDescent="0.3">
      <c r="A10371" s="42"/>
      <c r="C10371" s="52"/>
      <c r="D10371"/>
      <c r="E10371"/>
      <c r="F10371"/>
      <c r="N10371" s="44"/>
    </row>
    <row r="10372" spans="1:14" x14ac:dyDescent="0.3">
      <c r="A10372" s="42"/>
      <c r="C10372" s="52"/>
      <c r="D10372"/>
      <c r="E10372"/>
      <c r="F10372"/>
      <c r="N10372" s="44"/>
    </row>
    <row r="10373" spans="1:14" x14ac:dyDescent="0.3">
      <c r="A10373" s="42"/>
      <c r="C10373" s="52"/>
      <c r="D10373"/>
      <c r="E10373"/>
      <c r="F10373"/>
      <c r="L10373" s="45"/>
      <c r="N10373" s="44"/>
    </row>
    <row r="10374" spans="1:14" x14ac:dyDescent="0.3">
      <c r="A10374" s="42"/>
      <c r="C10374" s="52"/>
      <c r="D10374"/>
      <c r="E10374"/>
      <c r="F10374"/>
      <c r="N10374" s="44"/>
    </row>
    <row r="10375" spans="1:14" x14ac:dyDescent="0.3">
      <c r="A10375" s="42"/>
      <c r="C10375" s="52"/>
      <c r="D10375"/>
      <c r="E10375"/>
      <c r="F10375"/>
      <c r="N10375" s="44"/>
    </row>
    <row r="10376" spans="1:14" x14ac:dyDescent="0.3">
      <c r="A10376" s="42"/>
      <c r="C10376" s="52"/>
      <c r="D10376"/>
      <c r="E10376"/>
      <c r="F10376"/>
      <c r="L10376" s="45"/>
      <c r="N10376" s="44"/>
    </row>
    <row r="10377" spans="1:14" x14ac:dyDescent="0.3">
      <c r="A10377" s="42"/>
      <c r="C10377" s="52"/>
      <c r="D10377"/>
      <c r="E10377"/>
      <c r="F10377"/>
      <c r="N10377" s="44"/>
    </row>
    <row r="10378" spans="1:14" x14ac:dyDescent="0.3">
      <c r="A10378" s="42"/>
      <c r="C10378" s="52"/>
      <c r="D10378"/>
      <c r="E10378"/>
      <c r="F10378"/>
      <c r="M10378" s="45"/>
      <c r="N10378" s="44"/>
    </row>
    <row r="10379" spans="1:14" x14ac:dyDescent="0.3">
      <c r="A10379" s="42"/>
      <c r="C10379" s="52"/>
      <c r="D10379"/>
      <c r="E10379"/>
      <c r="F10379"/>
      <c r="N10379" s="44"/>
    </row>
    <row r="10380" spans="1:14" x14ac:dyDescent="0.3">
      <c r="A10380" s="42"/>
      <c r="C10380" s="52"/>
      <c r="D10380"/>
      <c r="E10380"/>
      <c r="F10380"/>
      <c r="N10380" s="44"/>
    </row>
    <row r="10381" spans="1:14" x14ac:dyDescent="0.3">
      <c r="A10381" s="42"/>
      <c r="C10381" s="52"/>
      <c r="D10381"/>
      <c r="E10381"/>
      <c r="F10381"/>
      <c r="N10381" s="44"/>
    </row>
    <row r="10382" spans="1:14" x14ac:dyDescent="0.3">
      <c r="A10382" s="42"/>
      <c r="C10382" s="52"/>
      <c r="D10382"/>
      <c r="E10382"/>
      <c r="F10382"/>
      <c r="N10382" s="44"/>
    </row>
    <row r="10383" spans="1:14" x14ac:dyDescent="0.3">
      <c r="A10383" s="42"/>
      <c r="C10383" s="52"/>
      <c r="D10383"/>
      <c r="E10383"/>
      <c r="F10383"/>
      <c r="N10383" s="44"/>
    </row>
    <row r="10384" spans="1:14" x14ac:dyDescent="0.3">
      <c r="A10384" s="42"/>
      <c r="C10384" s="52"/>
      <c r="D10384"/>
      <c r="E10384"/>
      <c r="F10384"/>
      <c r="N10384" s="44"/>
    </row>
    <row r="10385" spans="1:14" x14ac:dyDescent="0.3">
      <c r="A10385" s="42"/>
      <c r="C10385" s="52"/>
      <c r="D10385"/>
      <c r="E10385"/>
      <c r="F10385"/>
      <c r="N10385" s="44"/>
    </row>
    <row r="10386" spans="1:14" x14ac:dyDescent="0.3">
      <c r="A10386" s="42"/>
      <c r="C10386" s="52"/>
      <c r="D10386"/>
      <c r="E10386"/>
      <c r="F10386"/>
      <c r="N10386" s="44"/>
    </row>
    <row r="10387" spans="1:14" x14ac:dyDescent="0.3">
      <c r="A10387" s="42"/>
      <c r="C10387" s="52"/>
      <c r="D10387"/>
      <c r="E10387"/>
      <c r="F10387"/>
      <c r="N10387" s="44"/>
    </row>
    <row r="10388" spans="1:14" x14ac:dyDescent="0.3">
      <c r="A10388" s="42"/>
      <c r="C10388" s="52"/>
      <c r="D10388"/>
      <c r="E10388"/>
      <c r="F10388"/>
      <c r="N10388" s="44"/>
    </row>
    <row r="10389" spans="1:14" x14ac:dyDescent="0.3">
      <c r="A10389" s="42"/>
      <c r="C10389" s="52"/>
      <c r="D10389"/>
      <c r="E10389"/>
      <c r="F10389"/>
      <c r="N10389" s="44"/>
    </row>
    <row r="10390" spans="1:14" x14ac:dyDescent="0.3">
      <c r="A10390" s="42"/>
      <c r="C10390" s="52"/>
      <c r="D10390"/>
      <c r="E10390"/>
      <c r="F10390"/>
      <c r="N10390" s="44"/>
    </row>
    <row r="10391" spans="1:14" x14ac:dyDescent="0.3">
      <c r="A10391" s="42"/>
      <c r="C10391" s="52"/>
      <c r="D10391"/>
      <c r="E10391"/>
      <c r="F10391"/>
      <c r="L10391" s="45"/>
      <c r="N10391" s="44"/>
    </row>
    <row r="10392" spans="1:14" x14ac:dyDescent="0.3">
      <c r="A10392" s="42"/>
      <c r="C10392" s="52"/>
      <c r="D10392"/>
      <c r="E10392"/>
      <c r="F10392"/>
      <c r="N10392" s="44"/>
    </row>
    <row r="10393" spans="1:14" x14ac:dyDescent="0.3">
      <c r="A10393" s="42"/>
      <c r="C10393" s="52"/>
      <c r="D10393"/>
      <c r="E10393"/>
      <c r="F10393"/>
      <c r="N10393" s="44"/>
    </row>
    <row r="10394" spans="1:14" x14ac:dyDescent="0.3">
      <c r="A10394" s="42"/>
      <c r="C10394" s="52"/>
      <c r="D10394"/>
      <c r="E10394"/>
      <c r="F10394"/>
      <c r="N10394" s="44"/>
    </row>
    <row r="10395" spans="1:14" x14ac:dyDescent="0.3">
      <c r="A10395" s="42"/>
      <c r="C10395" s="52"/>
      <c r="D10395"/>
      <c r="E10395"/>
      <c r="F10395"/>
      <c r="N10395" s="44"/>
    </row>
    <row r="10396" spans="1:14" x14ac:dyDescent="0.3">
      <c r="A10396" s="42"/>
      <c r="C10396" s="52"/>
      <c r="D10396"/>
      <c r="E10396"/>
      <c r="F10396"/>
      <c r="N10396" s="44"/>
    </row>
    <row r="10397" spans="1:14" x14ac:dyDescent="0.3">
      <c r="A10397" s="42"/>
      <c r="C10397" s="52"/>
      <c r="D10397"/>
      <c r="E10397"/>
      <c r="F10397"/>
      <c r="N10397" s="44"/>
    </row>
    <row r="10398" spans="1:14" x14ac:dyDescent="0.3">
      <c r="A10398" s="42"/>
      <c r="C10398" s="52"/>
      <c r="D10398"/>
      <c r="E10398"/>
      <c r="F10398"/>
      <c r="N10398" s="44"/>
    </row>
    <row r="10399" spans="1:14" x14ac:dyDescent="0.3">
      <c r="A10399" s="42"/>
      <c r="C10399" s="52"/>
      <c r="D10399"/>
      <c r="E10399"/>
      <c r="F10399"/>
      <c r="N10399" s="44"/>
    </row>
    <row r="10400" spans="1:14" x14ac:dyDescent="0.3">
      <c r="A10400" s="42"/>
      <c r="C10400" s="52"/>
      <c r="D10400"/>
      <c r="E10400"/>
      <c r="F10400"/>
      <c r="N10400" s="44"/>
    </row>
    <row r="10401" spans="1:14" x14ac:dyDescent="0.3">
      <c r="A10401" s="42"/>
      <c r="C10401" s="52"/>
      <c r="D10401"/>
      <c r="E10401"/>
      <c r="F10401"/>
      <c r="N10401" s="44"/>
    </row>
    <row r="10402" spans="1:14" x14ac:dyDescent="0.3">
      <c r="A10402" s="42"/>
      <c r="C10402" s="52"/>
      <c r="D10402"/>
      <c r="E10402"/>
      <c r="F10402"/>
      <c r="N10402" s="44"/>
    </row>
    <row r="10403" spans="1:14" x14ac:dyDescent="0.3">
      <c r="A10403" s="42"/>
      <c r="C10403" s="52"/>
      <c r="D10403"/>
      <c r="E10403"/>
      <c r="F10403"/>
      <c r="N10403" s="44"/>
    </row>
    <row r="10404" spans="1:14" x14ac:dyDescent="0.3">
      <c r="A10404" s="42"/>
      <c r="C10404" s="52"/>
      <c r="D10404"/>
      <c r="E10404"/>
      <c r="F10404"/>
      <c r="N10404" s="44"/>
    </row>
    <row r="10405" spans="1:14" x14ac:dyDescent="0.3">
      <c r="A10405" s="42"/>
      <c r="C10405" s="52"/>
      <c r="D10405"/>
      <c r="E10405"/>
      <c r="F10405"/>
      <c r="N10405" s="44"/>
    </row>
    <row r="10406" spans="1:14" x14ac:dyDescent="0.3">
      <c r="A10406" s="42"/>
      <c r="C10406" s="52"/>
      <c r="D10406"/>
      <c r="E10406"/>
      <c r="F10406"/>
      <c r="N10406" s="44"/>
    </row>
    <row r="10407" spans="1:14" x14ac:dyDescent="0.3">
      <c r="A10407" s="42"/>
      <c r="C10407" s="52"/>
      <c r="D10407"/>
      <c r="E10407"/>
      <c r="F10407"/>
      <c r="N10407" s="44"/>
    </row>
    <row r="10408" spans="1:14" x14ac:dyDescent="0.3">
      <c r="A10408" s="42"/>
      <c r="C10408" s="52"/>
      <c r="D10408"/>
      <c r="E10408"/>
      <c r="F10408"/>
      <c r="N10408" s="44"/>
    </row>
    <row r="10409" spans="1:14" x14ac:dyDescent="0.3">
      <c r="A10409" s="42"/>
      <c r="C10409" s="52"/>
      <c r="D10409"/>
      <c r="E10409"/>
      <c r="F10409"/>
      <c r="N10409" s="44"/>
    </row>
    <row r="10410" spans="1:14" x14ac:dyDescent="0.3">
      <c r="A10410" s="42"/>
      <c r="C10410" s="52"/>
      <c r="D10410"/>
      <c r="E10410"/>
      <c r="F10410"/>
      <c r="N10410" s="44"/>
    </row>
    <row r="10411" spans="1:14" x14ac:dyDescent="0.3">
      <c r="A10411" s="42"/>
      <c r="C10411" s="52"/>
      <c r="D10411"/>
      <c r="E10411"/>
      <c r="F10411"/>
      <c r="N10411" s="44"/>
    </row>
    <row r="10412" spans="1:14" x14ac:dyDescent="0.3">
      <c r="A10412" s="42"/>
      <c r="C10412" s="52"/>
      <c r="D10412"/>
      <c r="E10412"/>
      <c r="F10412"/>
      <c r="N10412" s="44"/>
    </row>
    <row r="10413" spans="1:14" x14ac:dyDescent="0.3">
      <c r="A10413" s="42"/>
      <c r="C10413" s="52"/>
      <c r="D10413"/>
      <c r="E10413"/>
      <c r="F10413"/>
      <c r="M10413" s="1"/>
      <c r="N10413" s="44"/>
    </row>
    <row r="10414" spans="1:14" x14ac:dyDescent="0.3">
      <c r="A10414" s="42"/>
      <c r="C10414" s="52"/>
      <c r="D10414"/>
      <c r="E10414"/>
      <c r="F10414"/>
      <c r="M10414" s="1"/>
      <c r="N10414" s="44"/>
    </row>
    <row r="10415" spans="1:14" x14ac:dyDescent="0.3">
      <c r="A10415" s="42"/>
      <c r="C10415" s="52"/>
      <c r="D10415"/>
      <c r="E10415"/>
      <c r="F10415"/>
      <c r="M10415" s="1"/>
      <c r="N10415" s="44"/>
    </row>
    <row r="10416" spans="1:14" x14ac:dyDescent="0.3">
      <c r="A10416" s="42"/>
      <c r="C10416" s="52"/>
      <c r="D10416"/>
      <c r="E10416"/>
      <c r="F10416"/>
      <c r="L10416" s="45"/>
      <c r="M10416" s="1"/>
      <c r="N10416" s="44"/>
    </row>
    <row r="10417" spans="1:14" x14ac:dyDescent="0.3">
      <c r="A10417" s="42"/>
      <c r="C10417" s="52"/>
      <c r="D10417"/>
      <c r="E10417"/>
      <c r="F10417"/>
      <c r="M10417" s="1"/>
      <c r="N10417" s="44"/>
    </row>
    <row r="10418" spans="1:14" x14ac:dyDescent="0.3">
      <c r="A10418" s="42"/>
      <c r="C10418" s="52"/>
      <c r="D10418"/>
      <c r="E10418"/>
      <c r="F10418"/>
      <c r="M10418" s="1"/>
      <c r="N10418" s="44"/>
    </row>
    <row r="10419" spans="1:14" x14ac:dyDescent="0.3">
      <c r="A10419" s="42"/>
      <c r="C10419" s="52"/>
      <c r="D10419"/>
      <c r="E10419"/>
      <c r="F10419"/>
      <c r="M10419" s="1"/>
      <c r="N10419" s="44"/>
    </row>
    <row r="10420" spans="1:14" x14ac:dyDescent="0.3">
      <c r="A10420" s="42"/>
      <c r="C10420" s="52"/>
      <c r="D10420"/>
      <c r="E10420"/>
      <c r="F10420"/>
      <c r="M10420" s="1"/>
      <c r="N10420" s="44"/>
    </row>
    <row r="10421" spans="1:14" x14ac:dyDescent="0.3">
      <c r="A10421" s="42"/>
      <c r="C10421" s="52"/>
      <c r="D10421"/>
      <c r="E10421"/>
      <c r="F10421"/>
      <c r="L10421" s="45"/>
      <c r="M10421" s="1"/>
      <c r="N10421" s="44"/>
    </row>
    <row r="10422" spans="1:14" x14ac:dyDescent="0.3">
      <c r="A10422" s="42"/>
      <c r="C10422" s="52"/>
      <c r="D10422"/>
      <c r="E10422"/>
      <c r="F10422"/>
      <c r="L10422" s="45"/>
      <c r="M10422" s="1"/>
      <c r="N10422" s="44"/>
    </row>
    <row r="10423" spans="1:14" x14ac:dyDescent="0.3">
      <c r="A10423" s="42"/>
      <c r="C10423" s="52"/>
      <c r="D10423"/>
      <c r="E10423"/>
      <c r="F10423"/>
      <c r="M10423" s="1"/>
      <c r="N10423" s="44"/>
    </row>
    <row r="10424" spans="1:14" x14ac:dyDescent="0.3">
      <c r="A10424" s="42"/>
      <c r="C10424" s="52"/>
      <c r="D10424"/>
      <c r="E10424"/>
      <c r="F10424"/>
      <c r="M10424" s="1"/>
      <c r="N10424" s="44"/>
    </row>
    <row r="10425" spans="1:14" x14ac:dyDescent="0.3">
      <c r="A10425" s="42"/>
      <c r="C10425" s="52"/>
      <c r="D10425"/>
      <c r="E10425"/>
      <c r="F10425"/>
      <c r="M10425" s="1"/>
      <c r="N10425" s="44"/>
    </row>
    <row r="10426" spans="1:14" x14ac:dyDescent="0.3">
      <c r="A10426" s="42"/>
      <c r="C10426" s="52"/>
      <c r="D10426"/>
      <c r="E10426"/>
      <c r="F10426"/>
      <c r="M10426" s="1"/>
      <c r="N10426" s="44"/>
    </row>
    <row r="10427" spans="1:14" x14ac:dyDescent="0.3">
      <c r="A10427" s="42"/>
      <c r="C10427" s="52"/>
      <c r="D10427"/>
      <c r="E10427"/>
      <c r="F10427"/>
      <c r="M10427" s="1"/>
      <c r="N10427" s="44"/>
    </row>
    <row r="10428" spans="1:14" x14ac:dyDescent="0.3">
      <c r="A10428" s="42"/>
      <c r="C10428" s="52"/>
      <c r="D10428"/>
      <c r="E10428"/>
      <c r="F10428"/>
      <c r="L10428" s="45"/>
      <c r="M10428" s="1"/>
      <c r="N10428" s="44"/>
    </row>
    <row r="10429" spans="1:14" x14ac:dyDescent="0.3">
      <c r="A10429" s="42"/>
      <c r="C10429" s="52"/>
      <c r="D10429"/>
      <c r="E10429"/>
      <c r="F10429"/>
      <c r="M10429" s="1"/>
      <c r="N10429" s="44"/>
    </row>
    <row r="10430" spans="1:14" x14ac:dyDescent="0.3">
      <c r="A10430" s="42"/>
      <c r="C10430" s="52"/>
      <c r="D10430"/>
      <c r="E10430"/>
      <c r="F10430"/>
      <c r="M10430" s="1"/>
      <c r="N10430" s="44"/>
    </row>
    <row r="10431" spans="1:14" x14ac:dyDescent="0.3">
      <c r="A10431" s="42"/>
      <c r="C10431" s="52"/>
      <c r="D10431"/>
      <c r="E10431"/>
      <c r="F10431"/>
      <c r="M10431" s="1"/>
      <c r="N10431" s="44"/>
    </row>
    <row r="10432" spans="1:14" x14ac:dyDescent="0.3">
      <c r="A10432" s="42"/>
      <c r="C10432" s="52"/>
      <c r="D10432"/>
      <c r="E10432"/>
      <c r="F10432"/>
      <c r="M10432" s="1"/>
      <c r="N10432" s="44"/>
    </row>
    <row r="10433" spans="1:14" x14ac:dyDescent="0.3">
      <c r="A10433" s="42"/>
      <c r="C10433" s="52"/>
      <c r="D10433"/>
      <c r="E10433"/>
      <c r="F10433"/>
      <c r="M10433" s="1"/>
      <c r="N10433" s="44"/>
    </row>
    <row r="10434" spans="1:14" x14ac:dyDescent="0.3">
      <c r="A10434" s="42"/>
      <c r="C10434" s="52"/>
      <c r="D10434"/>
      <c r="E10434"/>
      <c r="F10434"/>
      <c r="M10434" s="1"/>
      <c r="N10434" s="44"/>
    </row>
    <row r="10435" spans="1:14" x14ac:dyDescent="0.3">
      <c r="A10435" s="42"/>
      <c r="C10435" s="52"/>
      <c r="D10435"/>
      <c r="E10435"/>
      <c r="F10435"/>
      <c r="M10435" s="1"/>
      <c r="N10435" s="44"/>
    </row>
    <row r="10436" spans="1:14" x14ac:dyDescent="0.3">
      <c r="A10436" s="42"/>
      <c r="C10436" s="52"/>
      <c r="D10436"/>
      <c r="E10436"/>
      <c r="F10436"/>
      <c r="M10436" s="1"/>
      <c r="N10436" s="44"/>
    </row>
    <row r="10437" spans="1:14" x14ac:dyDescent="0.3">
      <c r="A10437" s="42"/>
      <c r="C10437" s="52"/>
      <c r="D10437"/>
      <c r="E10437"/>
      <c r="F10437"/>
      <c r="M10437" s="1"/>
      <c r="N10437" s="44"/>
    </row>
    <row r="10438" spans="1:14" x14ac:dyDescent="0.3">
      <c r="A10438" s="42"/>
      <c r="C10438" s="52"/>
      <c r="D10438"/>
      <c r="E10438"/>
      <c r="F10438"/>
      <c r="L10438" s="45"/>
      <c r="M10438" s="1"/>
      <c r="N10438" s="44"/>
    </row>
    <row r="10439" spans="1:14" x14ac:dyDescent="0.3">
      <c r="A10439" s="42"/>
      <c r="C10439" s="52"/>
      <c r="D10439"/>
      <c r="E10439"/>
      <c r="F10439"/>
      <c r="M10439" s="1"/>
      <c r="N10439" s="44"/>
    </row>
    <row r="10440" spans="1:14" x14ac:dyDescent="0.3">
      <c r="A10440" s="42"/>
      <c r="C10440" s="52"/>
      <c r="D10440"/>
      <c r="E10440"/>
      <c r="F10440"/>
      <c r="M10440" s="1"/>
      <c r="N10440" s="44"/>
    </row>
    <row r="10441" spans="1:14" x14ac:dyDescent="0.3">
      <c r="A10441" s="42"/>
      <c r="C10441" s="52"/>
      <c r="D10441"/>
      <c r="E10441"/>
      <c r="F10441"/>
      <c r="L10441" s="45"/>
      <c r="M10441" s="1"/>
      <c r="N10441" s="44"/>
    </row>
    <row r="10442" spans="1:14" x14ac:dyDescent="0.3">
      <c r="A10442" s="42"/>
      <c r="C10442" s="52"/>
      <c r="D10442"/>
      <c r="E10442"/>
      <c r="F10442"/>
      <c r="M10442" s="1"/>
      <c r="N10442" s="44"/>
    </row>
    <row r="10443" spans="1:14" x14ac:dyDescent="0.3">
      <c r="A10443" s="42"/>
      <c r="C10443" s="52"/>
      <c r="D10443"/>
      <c r="E10443"/>
      <c r="F10443"/>
      <c r="M10443" s="1"/>
      <c r="N10443" s="44"/>
    </row>
    <row r="10444" spans="1:14" x14ac:dyDescent="0.3">
      <c r="A10444" s="42"/>
      <c r="C10444" s="52"/>
      <c r="D10444"/>
      <c r="E10444"/>
      <c r="F10444"/>
      <c r="L10444" s="45"/>
      <c r="M10444" s="1"/>
      <c r="N10444" s="44"/>
    </row>
    <row r="10445" spans="1:14" x14ac:dyDescent="0.3">
      <c r="A10445" s="42"/>
      <c r="C10445" s="52"/>
      <c r="D10445"/>
      <c r="E10445"/>
      <c r="F10445"/>
      <c r="L10445" s="45"/>
      <c r="M10445" s="1"/>
      <c r="N10445" s="44"/>
    </row>
    <row r="10446" spans="1:14" x14ac:dyDescent="0.3">
      <c r="A10446" s="42"/>
      <c r="C10446" s="52"/>
      <c r="D10446"/>
      <c r="E10446"/>
      <c r="F10446"/>
      <c r="L10446" s="45"/>
      <c r="M10446" s="1"/>
      <c r="N10446" s="44"/>
    </row>
    <row r="10447" spans="1:14" x14ac:dyDescent="0.3">
      <c r="A10447" s="42"/>
      <c r="C10447" s="52"/>
      <c r="D10447"/>
      <c r="E10447"/>
      <c r="F10447"/>
      <c r="L10447" s="45"/>
      <c r="M10447" s="1"/>
      <c r="N10447" s="44"/>
    </row>
    <row r="10448" spans="1:14" x14ac:dyDescent="0.3">
      <c r="A10448" s="42"/>
      <c r="C10448" s="52"/>
      <c r="D10448"/>
      <c r="E10448"/>
      <c r="F10448"/>
      <c r="L10448" s="45"/>
      <c r="M10448" s="1"/>
      <c r="N10448" s="44"/>
    </row>
    <row r="10449" spans="1:14" x14ac:dyDescent="0.3">
      <c r="A10449" s="42"/>
      <c r="C10449" s="52"/>
      <c r="D10449"/>
      <c r="E10449"/>
      <c r="F10449"/>
      <c r="L10449" s="45"/>
      <c r="M10449" s="1"/>
      <c r="N10449" s="44"/>
    </row>
    <row r="10450" spans="1:14" x14ac:dyDescent="0.3">
      <c r="A10450" s="42"/>
      <c r="C10450" s="52"/>
      <c r="D10450"/>
      <c r="E10450"/>
      <c r="F10450"/>
      <c r="L10450" s="45"/>
      <c r="M10450" s="1"/>
      <c r="N10450" s="44"/>
    </row>
    <row r="10451" spans="1:14" x14ac:dyDescent="0.3">
      <c r="A10451" s="42"/>
      <c r="C10451" s="52"/>
      <c r="D10451"/>
      <c r="E10451"/>
      <c r="F10451"/>
      <c r="L10451" s="45"/>
      <c r="M10451" s="1"/>
      <c r="N10451" s="44"/>
    </row>
    <row r="10452" spans="1:14" x14ac:dyDescent="0.3">
      <c r="A10452" s="42"/>
      <c r="C10452" s="52"/>
      <c r="D10452"/>
      <c r="E10452"/>
      <c r="F10452"/>
      <c r="L10452" s="45"/>
      <c r="M10452" s="1"/>
      <c r="N10452" s="44"/>
    </row>
    <row r="10453" spans="1:14" x14ac:dyDescent="0.3">
      <c r="A10453" s="42"/>
      <c r="C10453" s="52"/>
      <c r="D10453"/>
      <c r="E10453"/>
      <c r="F10453"/>
      <c r="L10453" s="45"/>
      <c r="M10453" s="1"/>
      <c r="N10453" s="44"/>
    </row>
    <row r="10454" spans="1:14" x14ac:dyDescent="0.3">
      <c r="A10454" s="42"/>
      <c r="C10454" s="52"/>
      <c r="D10454"/>
      <c r="E10454"/>
      <c r="F10454"/>
      <c r="L10454" s="45"/>
      <c r="M10454" s="1"/>
      <c r="N10454" s="44"/>
    </row>
    <row r="10455" spans="1:14" x14ac:dyDescent="0.3">
      <c r="A10455" s="42"/>
      <c r="C10455" s="52"/>
      <c r="D10455"/>
      <c r="E10455"/>
      <c r="F10455"/>
      <c r="L10455" s="45"/>
      <c r="M10455" s="1"/>
      <c r="N10455" s="44"/>
    </row>
    <row r="10456" spans="1:14" x14ac:dyDescent="0.3">
      <c r="A10456" s="42"/>
      <c r="C10456" s="52"/>
      <c r="D10456"/>
      <c r="E10456"/>
      <c r="F10456"/>
      <c r="L10456" s="45"/>
      <c r="M10456" s="54"/>
      <c r="N10456" s="44"/>
    </row>
    <row r="10457" spans="1:14" x14ac:dyDescent="0.3">
      <c r="A10457" s="42"/>
      <c r="C10457" s="52"/>
      <c r="D10457"/>
      <c r="E10457"/>
      <c r="F10457"/>
      <c r="L10457" s="45"/>
      <c r="M10457" s="1"/>
      <c r="N10457" s="44"/>
    </row>
    <row r="10458" spans="1:14" x14ac:dyDescent="0.3">
      <c r="A10458" s="42"/>
      <c r="C10458" s="52"/>
      <c r="D10458"/>
      <c r="E10458"/>
      <c r="F10458"/>
      <c r="L10458" s="45"/>
      <c r="M10458" s="1"/>
      <c r="N10458" s="44"/>
    </row>
    <row r="10459" spans="1:14" x14ac:dyDescent="0.3">
      <c r="A10459" s="42"/>
      <c r="C10459" s="52"/>
      <c r="D10459"/>
      <c r="E10459"/>
      <c r="F10459"/>
      <c r="L10459" s="45"/>
      <c r="M10459" s="1"/>
      <c r="N10459" s="44"/>
    </row>
    <row r="10460" spans="1:14" x14ac:dyDescent="0.3">
      <c r="A10460" s="42"/>
      <c r="C10460" s="52"/>
      <c r="D10460"/>
      <c r="E10460"/>
      <c r="F10460"/>
      <c r="L10460" s="45"/>
      <c r="M10460" s="1"/>
      <c r="N10460" s="44"/>
    </row>
    <row r="10461" spans="1:14" x14ac:dyDescent="0.3">
      <c r="A10461" s="42"/>
      <c r="C10461" s="52"/>
      <c r="D10461"/>
      <c r="E10461"/>
      <c r="F10461"/>
      <c r="L10461" s="45"/>
      <c r="M10461" s="1"/>
      <c r="N10461" s="44"/>
    </row>
    <row r="10462" spans="1:14" x14ac:dyDescent="0.3">
      <c r="A10462" s="42"/>
      <c r="C10462" s="52"/>
      <c r="D10462"/>
      <c r="E10462"/>
      <c r="F10462"/>
      <c r="L10462" s="45"/>
      <c r="M10462" s="1"/>
      <c r="N10462" s="44"/>
    </row>
    <row r="10463" spans="1:14" x14ac:dyDescent="0.3">
      <c r="A10463" s="42"/>
      <c r="C10463" s="52"/>
      <c r="D10463"/>
      <c r="E10463"/>
      <c r="F10463"/>
      <c r="M10463" s="1"/>
      <c r="N10463" s="44"/>
    </row>
    <row r="10464" spans="1:14" x14ac:dyDescent="0.3">
      <c r="A10464" s="42"/>
      <c r="C10464" s="52"/>
      <c r="D10464"/>
      <c r="E10464"/>
      <c r="F10464"/>
      <c r="M10464" s="1"/>
      <c r="N10464" s="44"/>
    </row>
    <row r="10465" spans="1:14" x14ac:dyDescent="0.3">
      <c r="A10465" s="42"/>
      <c r="C10465" s="52"/>
      <c r="D10465"/>
      <c r="E10465"/>
      <c r="F10465"/>
      <c r="M10465" s="1"/>
      <c r="N10465" s="44"/>
    </row>
    <row r="10466" spans="1:14" x14ac:dyDescent="0.3">
      <c r="A10466" s="42"/>
      <c r="C10466" s="52"/>
      <c r="D10466"/>
      <c r="E10466"/>
      <c r="F10466"/>
      <c r="M10466" s="1"/>
      <c r="N10466" s="44"/>
    </row>
    <row r="10467" spans="1:14" x14ac:dyDescent="0.3">
      <c r="A10467" s="42"/>
      <c r="C10467" s="52"/>
      <c r="D10467"/>
      <c r="E10467"/>
      <c r="F10467"/>
      <c r="M10467" s="54"/>
      <c r="N10467" s="44"/>
    </row>
    <row r="10468" spans="1:14" x14ac:dyDescent="0.3">
      <c r="A10468" s="42"/>
      <c r="C10468" s="52"/>
      <c r="D10468"/>
      <c r="E10468"/>
      <c r="F10468"/>
      <c r="M10468" s="1"/>
      <c r="N10468" s="44"/>
    </row>
    <row r="10469" spans="1:14" x14ac:dyDescent="0.3">
      <c r="A10469" s="42"/>
      <c r="C10469" s="52"/>
      <c r="D10469"/>
      <c r="E10469"/>
      <c r="F10469"/>
      <c r="M10469" s="1"/>
      <c r="N10469" s="44"/>
    </row>
    <row r="10470" spans="1:14" x14ac:dyDescent="0.3">
      <c r="A10470" s="42"/>
      <c r="C10470" s="52"/>
      <c r="D10470"/>
      <c r="E10470"/>
      <c r="F10470"/>
      <c r="M10470" s="1"/>
      <c r="N10470" s="44"/>
    </row>
    <row r="10471" spans="1:14" x14ac:dyDescent="0.3">
      <c r="A10471" s="42"/>
      <c r="C10471" s="52"/>
      <c r="D10471"/>
      <c r="E10471"/>
      <c r="F10471"/>
      <c r="M10471" s="1"/>
      <c r="N10471" s="44"/>
    </row>
    <row r="10472" spans="1:14" x14ac:dyDescent="0.3">
      <c r="A10472" s="42"/>
      <c r="C10472" s="52"/>
      <c r="D10472"/>
      <c r="E10472"/>
      <c r="F10472"/>
      <c r="L10472" s="45"/>
      <c r="M10472" s="1"/>
      <c r="N10472" s="44"/>
    </row>
    <row r="10473" spans="1:14" x14ac:dyDescent="0.3">
      <c r="A10473" s="42"/>
      <c r="C10473" s="52"/>
      <c r="D10473"/>
      <c r="E10473"/>
      <c r="F10473"/>
      <c r="M10473" s="1"/>
      <c r="N10473" s="44"/>
    </row>
    <row r="10474" spans="1:14" x14ac:dyDescent="0.3">
      <c r="A10474" s="42"/>
      <c r="C10474" s="52"/>
      <c r="D10474"/>
      <c r="E10474"/>
      <c r="F10474"/>
      <c r="M10474" s="1"/>
      <c r="N10474" s="44"/>
    </row>
    <row r="10475" spans="1:14" x14ac:dyDescent="0.3">
      <c r="A10475" s="42"/>
      <c r="C10475" s="52"/>
      <c r="D10475"/>
      <c r="E10475"/>
      <c r="F10475"/>
      <c r="M10475" s="1"/>
      <c r="N10475" s="44"/>
    </row>
    <row r="10476" spans="1:14" x14ac:dyDescent="0.3">
      <c r="A10476" s="42"/>
      <c r="C10476" s="52"/>
      <c r="D10476"/>
      <c r="E10476"/>
      <c r="F10476"/>
      <c r="M10476" s="1"/>
      <c r="N10476" s="44"/>
    </row>
    <row r="10477" spans="1:14" x14ac:dyDescent="0.3">
      <c r="A10477" s="42"/>
      <c r="C10477" s="52"/>
      <c r="D10477"/>
      <c r="E10477"/>
      <c r="F10477"/>
      <c r="N10477" s="44"/>
    </row>
    <row r="10478" spans="1:14" x14ac:dyDescent="0.3">
      <c r="A10478" s="42"/>
      <c r="C10478" s="52"/>
      <c r="D10478"/>
      <c r="E10478"/>
      <c r="F10478"/>
      <c r="N10478" s="44"/>
    </row>
    <row r="10479" spans="1:14" x14ac:dyDescent="0.3">
      <c r="A10479" s="42"/>
      <c r="C10479" s="52"/>
      <c r="D10479"/>
      <c r="E10479"/>
      <c r="F10479"/>
      <c r="N10479" s="44"/>
    </row>
    <row r="10480" spans="1:14" x14ac:dyDescent="0.3">
      <c r="A10480" s="42"/>
      <c r="C10480" s="52"/>
      <c r="D10480"/>
      <c r="E10480"/>
      <c r="F10480"/>
      <c r="N10480" s="44"/>
    </row>
    <row r="10481" spans="1:14" x14ac:dyDescent="0.3">
      <c r="A10481" s="42"/>
      <c r="C10481" s="52"/>
      <c r="D10481"/>
      <c r="E10481"/>
      <c r="F10481"/>
      <c r="N10481" s="44"/>
    </row>
    <row r="10482" spans="1:14" x14ac:dyDescent="0.3">
      <c r="A10482" s="42"/>
      <c r="C10482" s="52"/>
      <c r="D10482"/>
      <c r="E10482"/>
      <c r="F10482"/>
      <c r="N10482" s="44"/>
    </row>
    <row r="10483" spans="1:14" x14ac:dyDescent="0.3">
      <c r="A10483" s="42"/>
      <c r="C10483" s="52"/>
      <c r="D10483"/>
      <c r="E10483"/>
      <c r="F10483"/>
      <c r="N10483" s="44"/>
    </row>
    <row r="10484" spans="1:14" x14ac:dyDescent="0.3">
      <c r="A10484" s="42"/>
      <c r="C10484" s="52"/>
      <c r="D10484"/>
      <c r="E10484"/>
      <c r="F10484"/>
      <c r="N10484" s="44"/>
    </row>
    <row r="10485" spans="1:14" x14ac:dyDescent="0.3">
      <c r="A10485" s="42"/>
      <c r="C10485" s="52"/>
      <c r="D10485"/>
      <c r="E10485"/>
      <c r="F10485"/>
      <c r="N10485" s="44"/>
    </row>
    <row r="10486" spans="1:14" x14ac:dyDescent="0.3">
      <c r="A10486" s="42"/>
      <c r="C10486" s="52"/>
      <c r="D10486"/>
      <c r="E10486"/>
      <c r="F10486"/>
      <c r="N10486" s="44"/>
    </row>
    <row r="10487" spans="1:14" x14ac:dyDescent="0.3">
      <c r="A10487" s="42"/>
      <c r="C10487" s="52"/>
      <c r="D10487"/>
      <c r="E10487"/>
      <c r="F10487"/>
      <c r="N10487" s="44"/>
    </row>
    <row r="10488" spans="1:14" x14ac:dyDescent="0.3">
      <c r="A10488" s="42"/>
      <c r="C10488" s="52"/>
      <c r="D10488"/>
      <c r="E10488"/>
      <c r="F10488"/>
      <c r="N10488" s="44"/>
    </row>
    <row r="10489" spans="1:14" x14ac:dyDescent="0.3">
      <c r="A10489" s="42"/>
      <c r="C10489" s="52"/>
      <c r="D10489"/>
      <c r="E10489"/>
      <c r="F10489"/>
      <c r="N10489" s="44"/>
    </row>
    <row r="10490" spans="1:14" x14ac:dyDescent="0.3">
      <c r="A10490" s="42"/>
      <c r="C10490" s="52"/>
      <c r="D10490"/>
      <c r="E10490"/>
      <c r="F10490"/>
      <c r="N10490" s="44"/>
    </row>
    <row r="10491" spans="1:14" x14ac:dyDescent="0.3">
      <c r="A10491" s="42"/>
      <c r="C10491" s="52"/>
      <c r="D10491"/>
      <c r="E10491"/>
      <c r="F10491"/>
      <c r="N10491" s="44"/>
    </row>
    <row r="10492" spans="1:14" x14ac:dyDescent="0.3">
      <c r="A10492" s="42"/>
      <c r="C10492" s="52"/>
      <c r="D10492"/>
      <c r="E10492"/>
      <c r="F10492"/>
      <c r="N10492" s="44"/>
    </row>
    <row r="10493" spans="1:14" x14ac:dyDescent="0.3">
      <c r="A10493" s="42"/>
      <c r="C10493" s="52"/>
      <c r="D10493"/>
      <c r="E10493"/>
      <c r="F10493"/>
      <c r="N10493" s="44"/>
    </row>
    <row r="10494" spans="1:14" x14ac:dyDescent="0.3">
      <c r="A10494" s="42"/>
      <c r="C10494" s="52"/>
      <c r="D10494"/>
      <c r="E10494"/>
      <c r="F10494"/>
      <c r="N10494" s="44"/>
    </row>
    <row r="10495" spans="1:14" x14ac:dyDescent="0.3">
      <c r="A10495" s="42"/>
      <c r="C10495" s="52"/>
      <c r="D10495"/>
      <c r="E10495"/>
      <c r="F10495"/>
      <c r="N10495" s="44"/>
    </row>
    <row r="10496" spans="1:14" x14ac:dyDescent="0.3">
      <c r="A10496" s="42"/>
      <c r="C10496" s="52"/>
      <c r="D10496"/>
      <c r="E10496"/>
      <c r="F10496"/>
      <c r="N10496" s="44"/>
    </row>
    <row r="10497" spans="1:14" x14ac:dyDescent="0.3">
      <c r="A10497" s="42"/>
      <c r="C10497" s="52"/>
      <c r="D10497"/>
      <c r="E10497"/>
      <c r="F10497"/>
      <c r="N10497" s="44"/>
    </row>
    <row r="10498" spans="1:14" x14ac:dyDescent="0.3">
      <c r="A10498" s="42"/>
      <c r="C10498" s="52"/>
      <c r="D10498"/>
      <c r="E10498"/>
      <c r="F10498"/>
      <c r="N10498" s="44"/>
    </row>
    <row r="10499" spans="1:14" x14ac:dyDescent="0.3">
      <c r="A10499" s="42"/>
      <c r="C10499" s="52"/>
      <c r="D10499"/>
      <c r="E10499"/>
      <c r="F10499"/>
      <c r="N10499" s="44"/>
    </row>
    <row r="10500" spans="1:14" x14ac:dyDescent="0.3">
      <c r="A10500" s="42"/>
      <c r="C10500" s="52"/>
      <c r="D10500"/>
      <c r="E10500"/>
      <c r="F10500"/>
      <c r="N10500" s="44"/>
    </row>
    <row r="10501" spans="1:14" x14ac:dyDescent="0.3">
      <c r="A10501" s="42"/>
      <c r="C10501" s="52"/>
      <c r="D10501"/>
      <c r="E10501"/>
      <c r="F10501"/>
      <c r="N10501" s="44"/>
    </row>
    <row r="10502" spans="1:14" x14ac:dyDescent="0.3">
      <c r="A10502" s="42"/>
      <c r="C10502" s="52"/>
      <c r="D10502"/>
      <c r="E10502"/>
      <c r="F10502"/>
      <c r="N10502" s="44"/>
    </row>
    <row r="10503" spans="1:14" x14ac:dyDescent="0.3">
      <c r="A10503" s="42"/>
      <c r="C10503" s="52"/>
      <c r="D10503"/>
      <c r="E10503"/>
      <c r="F10503"/>
      <c r="N10503" s="44"/>
    </row>
    <row r="10504" spans="1:14" x14ac:dyDescent="0.3">
      <c r="A10504" s="42"/>
      <c r="C10504" s="52"/>
      <c r="D10504"/>
      <c r="E10504"/>
      <c r="F10504"/>
      <c r="N10504" s="44"/>
    </row>
    <row r="10505" spans="1:14" x14ac:dyDescent="0.3">
      <c r="A10505" s="42"/>
      <c r="C10505" s="52"/>
      <c r="D10505"/>
      <c r="E10505"/>
      <c r="F10505"/>
      <c r="N10505" s="44"/>
    </row>
    <row r="10506" spans="1:14" x14ac:dyDescent="0.3">
      <c r="A10506" s="42"/>
      <c r="C10506" s="52"/>
      <c r="D10506"/>
      <c r="E10506"/>
      <c r="F10506"/>
      <c r="N10506" s="44"/>
    </row>
    <row r="10507" spans="1:14" x14ac:dyDescent="0.3">
      <c r="A10507" s="42"/>
      <c r="C10507" s="52"/>
      <c r="D10507"/>
      <c r="E10507"/>
      <c r="F10507"/>
      <c r="N10507" s="44"/>
    </row>
    <row r="10508" spans="1:14" x14ac:dyDescent="0.3">
      <c r="A10508" s="42"/>
      <c r="C10508" s="52"/>
      <c r="D10508"/>
      <c r="E10508"/>
      <c r="F10508"/>
      <c r="N10508" s="44"/>
    </row>
    <row r="10509" spans="1:14" x14ac:dyDescent="0.3">
      <c r="A10509" s="42"/>
      <c r="C10509" s="52"/>
      <c r="D10509"/>
      <c r="E10509"/>
      <c r="F10509"/>
      <c r="N10509" s="44"/>
    </row>
    <row r="10510" spans="1:14" x14ac:dyDescent="0.3">
      <c r="A10510" s="42"/>
      <c r="C10510" s="52"/>
      <c r="D10510"/>
      <c r="E10510"/>
      <c r="F10510"/>
      <c r="N10510" s="44"/>
    </row>
    <row r="10511" spans="1:14" x14ac:dyDescent="0.3">
      <c r="A10511" s="42"/>
      <c r="C10511" s="52"/>
      <c r="D10511"/>
      <c r="E10511"/>
      <c r="F10511"/>
      <c r="N10511" s="44"/>
    </row>
    <row r="10512" spans="1:14" x14ac:dyDescent="0.3">
      <c r="A10512" s="42"/>
      <c r="C10512" s="52"/>
      <c r="D10512"/>
      <c r="E10512"/>
      <c r="F10512"/>
      <c r="N10512" s="44"/>
    </row>
    <row r="10513" spans="1:14" x14ac:dyDescent="0.3">
      <c r="A10513" s="42"/>
      <c r="C10513" s="52"/>
      <c r="D10513"/>
      <c r="E10513"/>
      <c r="F10513"/>
      <c r="N10513" s="44"/>
    </row>
    <row r="10514" spans="1:14" x14ac:dyDescent="0.3">
      <c r="A10514" s="42"/>
      <c r="C10514" s="52"/>
      <c r="D10514"/>
      <c r="E10514"/>
      <c r="F10514"/>
      <c r="N10514" s="44"/>
    </row>
    <row r="10515" spans="1:14" x14ac:dyDescent="0.3">
      <c r="A10515" s="42"/>
      <c r="C10515" s="52"/>
      <c r="D10515"/>
      <c r="E10515"/>
      <c r="F10515"/>
      <c r="N10515" s="44"/>
    </row>
    <row r="10516" spans="1:14" x14ac:dyDescent="0.3">
      <c r="A10516" s="42"/>
      <c r="C10516" s="52"/>
      <c r="D10516"/>
      <c r="E10516"/>
      <c r="F10516"/>
      <c r="N10516" s="44"/>
    </row>
    <row r="10517" spans="1:14" x14ac:dyDescent="0.3">
      <c r="A10517" s="42"/>
      <c r="C10517" s="52"/>
      <c r="D10517"/>
      <c r="E10517"/>
      <c r="F10517"/>
      <c r="N10517" s="44"/>
    </row>
    <row r="10518" spans="1:14" x14ac:dyDescent="0.3">
      <c r="A10518" s="42"/>
      <c r="C10518" s="52"/>
      <c r="D10518"/>
      <c r="E10518"/>
      <c r="F10518"/>
      <c r="N10518" s="44"/>
    </row>
    <row r="10519" spans="1:14" x14ac:dyDescent="0.3">
      <c r="A10519" s="42"/>
      <c r="C10519" s="52"/>
      <c r="D10519"/>
      <c r="E10519"/>
      <c r="F10519"/>
      <c r="N10519" s="44"/>
    </row>
    <row r="10520" spans="1:14" x14ac:dyDescent="0.3">
      <c r="A10520" s="42"/>
      <c r="C10520" s="52"/>
      <c r="D10520"/>
      <c r="E10520"/>
      <c r="F10520"/>
      <c r="N10520" s="44"/>
    </row>
    <row r="10521" spans="1:14" x14ac:dyDescent="0.3">
      <c r="A10521" s="42"/>
      <c r="C10521" s="52"/>
      <c r="D10521"/>
      <c r="E10521"/>
      <c r="F10521"/>
      <c r="N10521" s="44"/>
    </row>
    <row r="10522" spans="1:14" x14ac:dyDescent="0.3">
      <c r="A10522" s="42"/>
      <c r="C10522" s="52"/>
      <c r="D10522"/>
      <c r="E10522"/>
      <c r="F10522"/>
      <c r="N10522" s="44"/>
    </row>
    <row r="10523" spans="1:14" x14ac:dyDescent="0.3">
      <c r="A10523" s="42"/>
      <c r="C10523" s="52"/>
      <c r="D10523"/>
      <c r="E10523"/>
      <c r="F10523"/>
      <c r="N10523" s="44"/>
    </row>
    <row r="10524" spans="1:14" x14ac:dyDescent="0.3">
      <c r="A10524" s="42"/>
      <c r="C10524" s="52"/>
      <c r="D10524"/>
      <c r="E10524"/>
      <c r="F10524"/>
      <c r="N10524" s="44"/>
    </row>
    <row r="10525" spans="1:14" x14ac:dyDescent="0.3">
      <c r="A10525" s="42"/>
      <c r="C10525" s="52"/>
      <c r="D10525"/>
      <c r="E10525"/>
      <c r="F10525"/>
      <c r="N10525" s="44"/>
    </row>
    <row r="10526" spans="1:14" x14ac:dyDescent="0.3">
      <c r="A10526" s="42"/>
      <c r="C10526" s="52"/>
      <c r="D10526"/>
      <c r="E10526"/>
      <c r="F10526"/>
      <c r="N10526" s="44"/>
    </row>
    <row r="10527" spans="1:14" x14ac:dyDescent="0.3">
      <c r="A10527" s="42"/>
      <c r="C10527" s="52"/>
      <c r="D10527"/>
      <c r="E10527"/>
      <c r="F10527"/>
      <c r="N10527" s="44"/>
    </row>
    <row r="10528" spans="1:14" x14ac:dyDescent="0.3">
      <c r="A10528" s="42"/>
      <c r="C10528" s="52"/>
      <c r="D10528"/>
      <c r="E10528"/>
      <c r="F10528"/>
      <c r="N10528" s="44"/>
    </row>
    <row r="10529" spans="1:14" x14ac:dyDescent="0.3">
      <c r="A10529" s="42"/>
      <c r="C10529" s="52"/>
      <c r="D10529"/>
      <c r="E10529"/>
      <c r="F10529"/>
      <c r="N10529" s="44"/>
    </row>
    <row r="10530" spans="1:14" x14ac:dyDescent="0.3">
      <c r="A10530" s="42"/>
      <c r="C10530" s="52"/>
      <c r="D10530"/>
      <c r="E10530"/>
      <c r="F10530"/>
      <c r="N10530" s="44"/>
    </row>
    <row r="10531" spans="1:14" x14ac:dyDescent="0.3">
      <c r="A10531" s="42"/>
      <c r="C10531" s="52"/>
      <c r="D10531"/>
      <c r="E10531"/>
      <c r="F10531"/>
      <c r="N10531" s="44"/>
    </row>
    <row r="10532" spans="1:14" x14ac:dyDescent="0.3">
      <c r="A10532" s="42"/>
      <c r="C10532" s="52"/>
      <c r="D10532"/>
      <c r="E10532"/>
      <c r="F10532"/>
      <c r="N10532" s="44"/>
    </row>
    <row r="10533" spans="1:14" x14ac:dyDescent="0.3">
      <c r="A10533" s="42"/>
      <c r="C10533" s="52"/>
      <c r="D10533"/>
      <c r="E10533"/>
      <c r="F10533"/>
      <c r="N10533" s="44"/>
    </row>
    <row r="10534" spans="1:14" x14ac:dyDescent="0.3">
      <c r="A10534" s="42"/>
      <c r="C10534" s="52"/>
      <c r="D10534"/>
      <c r="E10534"/>
      <c r="F10534"/>
      <c r="N10534" s="44"/>
    </row>
    <row r="10535" spans="1:14" x14ac:dyDescent="0.3">
      <c r="A10535" s="42"/>
      <c r="C10535" s="52"/>
      <c r="D10535"/>
      <c r="E10535"/>
      <c r="F10535"/>
      <c r="N10535" s="44"/>
    </row>
    <row r="10536" spans="1:14" x14ac:dyDescent="0.3">
      <c r="A10536" s="42"/>
      <c r="C10536" s="52"/>
      <c r="D10536"/>
      <c r="E10536"/>
      <c r="F10536"/>
      <c r="N10536" s="44"/>
    </row>
    <row r="10537" spans="1:14" x14ac:dyDescent="0.3">
      <c r="A10537" s="42"/>
      <c r="C10537" s="52"/>
      <c r="D10537"/>
      <c r="E10537"/>
      <c r="F10537"/>
      <c r="N10537" s="44"/>
    </row>
    <row r="10538" spans="1:14" x14ac:dyDescent="0.3">
      <c r="A10538" s="42"/>
      <c r="C10538" s="52"/>
      <c r="D10538"/>
      <c r="E10538"/>
      <c r="F10538"/>
      <c r="N10538" s="44"/>
    </row>
    <row r="10539" spans="1:14" x14ac:dyDescent="0.3">
      <c r="A10539" s="42"/>
      <c r="C10539" s="52"/>
      <c r="D10539"/>
      <c r="E10539"/>
      <c r="F10539"/>
      <c r="N10539" s="44"/>
    </row>
    <row r="10540" spans="1:14" x14ac:dyDescent="0.3">
      <c r="A10540" s="42"/>
      <c r="C10540" s="52"/>
      <c r="D10540"/>
      <c r="E10540"/>
      <c r="F10540"/>
      <c r="N10540" s="44"/>
    </row>
    <row r="10541" spans="1:14" x14ac:dyDescent="0.3">
      <c r="A10541" s="42"/>
      <c r="C10541" s="52"/>
      <c r="D10541"/>
      <c r="E10541"/>
      <c r="F10541"/>
      <c r="N10541" s="44"/>
    </row>
    <row r="10542" spans="1:14" x14ac:dyDescent="0.3">
      <c r="A10542" s="42"/>
      <c r="C10542" s="52"/>
      <c r="D10542"/>
      <c r="E10542"/>
      <c r="F10542"/>
      <c r="N10542" s="44"/>
    </row>
    <row r="10543" spans="1:14" x14ac:dyDescent="0.3">
      <c r="A10543" s="42"/>
      <c r="C10543" s="52"/>
      <c r="D10543"/>
      <c r="E10543"/>
      <c r="F10543"/>
      <c r="N10543" s="44"/>
    </row>
    <row r="10544" spans="1:14" x14ac:dyDescent="0.3">
      <c r="A10544" s="42"/>
      <c r="C10544" s="52"/>
      <c r="D10544"/>
      <c r="E10544"/>
      <c r="F10544"/>
      <c r="N10544" s="44"/>
    </row>
    <row r="10545" spans="1:14" x14ac:dyDescent="0.3">
      <c r="A10545" s="42"/>
      <c r="C10545" s="52"/>
      <c r="D10545"/>
      <c r="E10545"/>
      <c r="F10545"/>
      <c r="N10545" s="44"/>
    </row>
    <row r="10546" spans="1:14" x14ac:dyDescent="0.3">
      <c r="A10546" s="42"/>
      <c r="C10546" s="52"/>
      <c r="D10546"/>
      <c r="E10546"/>
      <c r="F10546"/>
      <c r="N10546" s="44"/>
    </row>
    <row r="10547" spans="1:14" x14ac:dyDescent="0.3">
      <c r="A10547" s="42"/>
      <c r="C10547" s="52"/>
      <c r="D10547"/>
      <c r="E10547"/>
      <c r="F10547"/>
      <c r="N10547" s="44"/>
    </row>
    <row r="10548" spans="1:14" x14ac:dyDescent="0.3">
      <c r="A10548" s="42"/>
      <c r="C10548" s="52"/>
      <c r="D10548"/>
      <c r="E10548"/>
      <c r="F10548"/>
      <c r="N10548" s="44"/>
    </row>
    <row r="10549" spans="1:14" x14ac:dyDescent="0.3">
      <c r="A10549" s="42"/>
      <c r="C10549" s="52"/>
      <c r="D10549"/>
      <c r="E10549"/>
      <c r="F10549"/>
      <c r="N10549" s="44"/>
    </row>
    <row r="10550" spans="1:14" x14ac:dyDescent="0.3">
      <c r="A10550" s="42"/>
      <c r="C10550" s="52"/>
      <c r="D10550"/>
      <c r="E10550"/>
      <c r="F10550"/>
      <c r="N10550" s="44"/>
    </row>
    <row r="10551" spans="1:14" x14ac:dyDescent="0.3">
      <c r="A10551" s="42"/>
      <c r="C10551" s="52"/>
      <c r="D10551"/>
      <c r="E10551"/>
      <c r="F10551"/>
      <c r="N10551" s="44"/>
    </row>
    <row r="10552" spans="1:14" x14ac:dyDescent="0.3">
      <c r="A10552" s="42"/>
      <c r="C10552" s="52"/>
      <c r="D10552"/>
      <c r="E10552"/>
      <c r="F10552"/>
      <c r="N10552" s="44"/>
    </row>
    <row r="10553" spans="1:14" x14ac:dyDescent="0.3">
      <c r="A10553" s="42"/>
      <c r="C10553" s="52"/>
      <c r="D10553"/>
      <c r="E10553"/>
      <c r="F10553"/>
      <c r="N10553" s="44"/>
    </row>
    <row r="10554" spans="1:14" x14ac:dyDescent="0.3">
      <c r="A10554" s="42"/>
      <c r="C10554" s="52"/>
      <c r="D10554"/>
      <c r="E10554"/>
      <c r="F10554"/>
      <c r="N10554" s="44"/>
    </row>
    <row r="10555" spans="1:14" x14ac:dyDescent="0.3">
      <c r="A10555" s="42"/>
      <c r="C10555" s="52"/>
      <c r="D10555"/>
      <c r="E10555"/>
      <c r="F10555"/>
      <c r="N10555" s="44"/>
    </row>
    <row r="10556" spans="1:14" x14ac:dyDescent="0.3">
      <c r="A10556" s="42"/>
      <c r="C10556" s="52"/>
      <c r="D10556"/>
      <c r="E10556"/>
      <c r="F10556"/>
      <c r="N10556" s="44"/>
    </row>
    <row r="10557" spans="1:14" x14ac:dyDescent="0.3">
      <c r="A10557" s="42"/>
      <c r="C10557" s="52"/>
      <c r="D10557"/>
      <c r="E10557"/>
      <c r="F10557"/>
      <c r="N10557" s="44"/>
    </row>
    <row r="10558" spans="1:14" x14ac:dyDescent="0.3">
      <c r="A10558" s="42"/>
      <c r="C10558" s="52"/>
      <c r="D10558"/>
      <c r="E10558"/>
      <c r="F10558"/>
      <c r="N10558" s="44"/>
    </row>
    <row r="10559" spans="1:14" x14ac:dyDescent="0.3">
      <c r="A10559" s="42"/>
      <c r="C10559" s="52"/>
      <c r="D10559"/>
      <c r="E10559"/>
      <c r="F10559"/>
      <c r="N10559" s="44"/>
    </row>
    <row r="10560" spans="1:14" x14ac:dyDescent="0.3">
      <c r="A10560" s="42"/>
      <c r="C10560" s="52"/>
      <c r="D10560"/>
      <c r="E10560"/>
      <c r="F10560"/>
      <c r="N10560" s="44"/>
    </row>
    <row r="10561" spans="1:14" x14ac:dyDescent="0.3">
      <c r="A10561" s="42"/>
      <c r="C10561" s="52"/>
      <c r="D10561"/>
      <c r="E10561"/>
      <c r="F10561"/>
      <c r="N10561" s="44"/>
    </row>
    <row r="10562" spans="1:14" x14ac:dyDescent="0.3">
      <c r="A10562" s="42"/>
      <c r="C10562" s="52"/>
      <c r="D10562"/>
      <c r="E10562"/>
      <c r="F10562"/>
      <c r="N10562" s="44"/>
    </row>
    <row r="10563" spans="1:14" x14ac:dyDescent="0.3">
      <c r="A10563" s="42"/>
      <c r="C10563" s="52"/>
      <c r="D10563"/>
      <c r="E10563"/>
      <c r="F10563"/>
      <c r="N10563" s="44"/>
    </row>
    <row r="10564" spans="1:14" x14ac:dyDescent="0.3">
      <c r="A10564" s="42"/>
      <c r="C10564" s="52"/>
      <c r="D10564"/>
      <c r="E10564"/>
      <c r="F10564"/>
      <c r="N10564" s="44"/>
    </row>
    <row r="10565" spans="1:14" x14ac:dyDescent="0.3">
      <c r="A10565" s="42"/>
      <c r="C10565" s="52"/>
      <c r="D10565"/>
      <c r="E10565"/>
      <c r="F10565"/>
      <c r="N10565" s="44"/>
    </row>
    <row r="10566" spans="1:14" x14ac:dyDescent="0.3">
      <c r="A10566" s="42"/>
      <c r="C10566" s="52"/>
      <c r="D10566"/>
      <c r="E10566"/>
      <c r="F10566"/>
      <c r="N10566" s="44"/>
    </row>
    <row r="10567" spans="1:14" x14ac:dyDescent="0.3">
      <c r="A10567" s="42"/>
      <c r="C10567" s="52"/>
      <c r="D10567"/>
      <c r="E10567"/>
      <c r="F10567"/>
      <c r="N10567" s="44"/>
    </row>
    <row r="10568" spans="1:14" x14ac:dyDescent="0.3">
      <c r="A10568" s="42"/>
      <c r="C10568" s="52"/>
      <c r="D10568"/>
      <c r="E10568"/>
      <c r="F10568"/>
      <c r="N10568" s="44"/>
    </row>
    <row r="10569" spans="1:14" x14ac:dyDescent="0.3">
      <c r="A10569" s="42"/>
      <c r="C10569" s="52"/>
      <c r="D10569"/>
      <c r="E10569"/>
      <c r="F10569"/>
      <c r="N10569" s="44"/>
    </row>
    <row r="10570" spans="1:14" x14ac:dyDescent="0.3">
      <c r="A10570" s="42"/>
      <c r="C10570" s="52"/>
      <c r="D10570"/>
      <c r="E10570"/>
      <c r="F10570"/>
      <c r="N10570" s="44"/>
    </row>
    <row r="10571" spans="1:14" x14ac:dyDescent="0.3">
      <c r="A10571" s="42"/>
      <c r="C10571" s="52"/>
      <c r="D10571"/>
      <c r="E10571"/>
      <c r="F10571"/>
      <c r="N10571" s="44"/>
    </row>
    <row r="10572" spans="1:14" x14ac:dyDescent="0.3">
      <c r="A10572" s="42"/>
      <c r="C10572" s="52"/>
      <c r="D10572"/>
      <c r="E10572"/>
      <c r="F10572"/>
      <c r="N10572" s="44"/>
    </row>
    <row r="10573" spans="1:14" x14ac:dyDescent="0.3">
      <c r="A10573" s="42"/>
      <c r="C10573" s="52"/>
      <c r="D10573"/>
      <c r="E10573"/>
      <c r="F10573"/>
      <c r="N10573" s="44"/>
    </row>
    <row r="10574" spans="1:14" x14ac:dyDescent="0.3">
      <c r="A10574" s="42"/>
      <c r="C10574" s="52"/>
      <c r="D10574"/>
      <c r="E10574"/>
      <c r="F10574"/>
      <c r="N10574" s="44"/>
    </row>
    <row r="10575" spans="1:14" x14ac:dyDescent="0.3">
      <c r="A10575" s="42"/>
      <c r="C10575" s="52"/>
      <c r="D10575"/>
      <c r="E10575"/>
      <c r="F10575"/>
      <c r="N10575" s="44"/>
    </row>
    <row r="10576" spans="1:14" x14ac:dyDescent="0.3">
      <c r="A10576" s="42"/>
      <c r="C10576" s="52"/>
      <c r="D10576"/>
      <c r="E10576"/>
      <c r="F10576"/>
      <c r="N10576" s="44"/>
    </row>
    <row r="10577" spans="1:14" x14ac:dyDescent="0.3">
      <c r="A10577" s="42"/>
      <c r="C10577" s="52"/>
      <c r="D10577"/>
      <c r="E10577"/>
      <c r="F10577"/>
      <c r="N10577" s="44"/>
    </row>
    <row r="10578" spans="1:14" x14ac:dyDescent="0.3">
      <c r="A10578" s="42"/>
      <c r="C10578" s="52"/>
      <c r="D10578"/>
      <c r="E10578"/>
      <c r="F10578"/>
      <c r="N10578" s="44"/>
    </row>
    <row r="10579" spans="1:14" x14ac:dyDescent="0.3">
      <c r="A10579" s="42"/>
      <c r="C10579" s="52"/>
      <c r="D10579"/>
      <c r="E10579"/>
      <c r="F10579"/>
      <c r="N10579" s="44"/>
    </row>
    <row r="10580" spans="1:14" x14ac:dyDescent="0.3">
      <c r="A10580" s="42"/>
      <c r="C10580" s="52"/>
      <c r="D10580"/>
      <c r="E10580"/>
      <c r="F10580"/>
      <c r="N10580" s="44"/>
    </row>
    <row r="10581" spans="1:14" x14ac:dyDescent="0.3">
      <c r="A10581" s="42"/>
      <c r="C10581" s="52"/>
      <c r="D10581"/>
      <c r="E10581"/>
      <c r="F10581"/>
      <c r="N10581" s="44"/>
    </row>
    <row r="10582" spans="1:14" x14ac:dyDescent="0.3">
      <c r="A10582" s="42"/>
      <c r="C10582" s="52"/>
      <c r="D10582"/>
      <c r="E10582"/>
      <c r="F10582"/>
      <c r="N10582" s="44"/>
    </row>
    <row r="10583" spans="1:14" x14ac:dyDescent="0.3">
      <c r="A10583" s="42"/>
      <c r="C10583" s="52"/>
      <c r="D10583"/>
      <c r="E10583"/>
      <c r="F10583"/>
      <c r="N10583" s="44"/>
    </row>
    <row r="10584" spans="1:14" x14ac:dyDescent="0.3">
      <c r="A10584" s="42"/>
      <c r="C10584" s="52"/>
      <c r="D10584"/>
      <c r="E10584"/>
      <c r="F10584"/>
      <c r="N10584" s="44"/>
    </row>
    <row r="10585" spans="1:14" x14ac:dyDescent="0.3">
      <c r="A10585" s="42"/>
      <c r="C10585" s="52"/>
      <c r="D10585"/>
      <c r="E10585"/>
      <c r="F10585"/>
      <c r="N10585" s="44"/>
    </row>
    <row r="10586" spans="1:14" x14ac:dyDescent="0.3">
      <c r="A10586" s="42"/>
      <c r="C10586" s="52"/>
      <c r="D10586"/>
      <c r="E10586"/>
      <c r="F10586"/>
      <c r="N10586" s="44"/>
    </row>
    <row r="10587" spans="1:14" x14ac:dyDescent="0.3">
      <c r="A10587" s="42"/>
      <c r="C10587" s="52"/>
      <c r="D10587"/>
      <c r="E10587"/>
      <c r="F10587"/>
      <c r="N10587" s="44"/>
    </row>
    <row r="10588" spans="1:14" x14ac:dyDescent="0.3">
      <c r="A10588" s="42"/>
      <c r="C10588" s="52"/>
      <c r="D10588"/>
      <c r="E10588"/>
      <c r="F10588"/>
      <c r="N10588" s="44"/>
    </row>
    <row r="10589" spans="1:14" x14ac:dyDescent="0.3">
      <c r="A10589" s="42"/>
      <c r="C10589" s="52"/>
      <c r="D10589"/>
      <c r="E10589"/>
      <c r="F10589"/>
      <c r="N10589" s="44"/>
    </row>
    <row r="10590" spans="1:14" x14ac:dyDescent="0.3">
      <c r="A10590" s="42"/>
      <c r="C10590" s="52"/>
      <c r="D10590"/>
      <c r="E10590"/>
      <c r="F10590"/>
      <c r="N10590" s="44"/>
    </row>
    <row r="10591" spans="1:14" x14ac:dyDescent="0.3">
      <c r="A10591" s="42"/>
      <c r="C10591" s="52"/>
      <c r="D10591"/>
      <c r="E10591"/>
      <c r="F10591"/>
      <c r="N10591" s="44"/>
    </row>
    <row r="10592" spans="1:14" x14ac:dyDescent="0.3">
      <c r="A10592" s="42"/>
      <c r="C10592" s="52"/>
      <c r="D10592"/>
      <c r="E10592"/>
      <c r="F10592"/>
      <c r="N10592" s="44"/>
    </row>
    <row r="10593" spans="1:14" x14ac:dyDescent="0.3">
      <c r="A10593" s="42"/>
      <c r="C10593" s="52"/>
      <c r="D10593"/>
      <c r="E10593"/>
      <c r="F10593"/>
      <c r="N10593" s="44"/>
    </row>
    <row r="10594" spans="1:14" x14ac:dyDescent="0.3">
      <c r="A10594" s="42"/>
      <c r="C10594" s="52"/>
      <c r="D10594"/>
      <c r="E10594"/>
      <c r="F10594"/>
      <c r="N10594" s="44"/>
    </row>
    <row r="10595" spans="1:14" x14ac:dyDescent="0.3">
      <c r="A10595" s="42"/>
      <c r="C10595" s="52"/>
      <c r="D10595"/>
      <c r="E10595"/>
      <c r="F10595"/>
      <c r="N10595" s="44"/>
    </row>
    <row r="10596" spans="1:14" x14ac:dyDescent="0.3">
      <c r="A10596" s="42"/>
      <c r="C10596" s="52"/>
      <c r="D10596"/>
      <c r="E10596"/>
      <c r="F10596"/>
      <c r="M10596" s="45"/>
      <c r="N10596" s="44"/>
    </row>
    <row r="10597" spans="1:14" x14ac:dyDescent="0.3">
      <c r="A10597" s="42"/>
      <c r="C10597" s="52"/>
      <c r="D10597"/>
      <c r="E10597"/>
      <c r="F10597"/>
      <c r="N10597" s="44"/>
    </row>
    <row r="10598" spans="1:14" x14ac:dyDescent="0.3">
      <c r="A10598" s="42"/>
      <c r="C10598" s="52"/>
      <c r="D10598"/>
      <c r="E10598"/>
      <c r="F10598"/>
      <c r="N10598" s="44"/>
    </row>
    <row r="10599" spans="1:14" x14ac:dyDescent="0.3">
      <c r="A10599" s="42"/>
      <c r="C10599" s="52"/>
      <c r="D10599"/>
      <c r="E10599"/>
      <c r="F10599"/>
      <c r="N10599" s="44"/>
    </row>
    <row r="10600" spans="1:14" x14ac:dyDescent="0.3">
      <c r="A10600" s="42"/>
      <c r="C10600" s="52"/>
      <c r="D10600"/>
      <c r="E10600"/>
      <c r="F10600"/>
      <c r="N10600" s="44"/>
    </row>
    <row r="10601" spans="1:14" x14ac:dyDescent="0.3">
      <c r="A10601" s="42"/>
      <c r="C10601" s="52"/>
      <c r="D10601"/>
      <c r="E10601"/>
      <c r="F10601"/>
      <c r="N10601" s="44"/>
    </row>
    <row r="10602" spans="1:14" x14ac:dyDescent="0.3">
      <c r="A10602" s="42"/>
      <c r="C10602" s="52"/>
      <c r="D10602"/>
      <c r="E10602"/>
      <c r="F10602"/>
      <c r="N10602" s="44"/>
    </row>
    <row r="10603" spans="1:14" x14ac:dyDescent="0.3">
      <c r="A10603" s="42"/>
      <c r="C10603" s="52"/>
      <c r="D10603"/>
      <c r="E10603"/>
      <c r="F10603"/>
      <c r="M10603" s="45"/>
      <c r="N10603" s="44"/>
    </row>
    <row r="10604" spans="1:14" x14ac:dyDescent="0.3">
      <c r="A10604" s="42"/>
      <c r="C10604" s="52"/>
      <c r="D10604"/>
      <c r="E10604"/>
      <c r="F10604"/>
      <c r="N10604" s="44"/>
    </row>
    <row r="10605" spans="1:14" x14ac:dyDescent="0.3">
      <c r="A10605" s="42"/>
      <c r="C10605" s="52"/>
      <c r="D10605"/>
      <c r="E10605"/>
      <c r="F10605"/>
      <c r="N10605" s="44"/>
    </row>
    <row r="10606" spans="1:14" x14ac:dyDescent="0.3">
      <c r="A10606" s="42"/>
      <c r="C10606" s="52"/>
      <c r="D10606"/>
      <c r="E10606"/>
      <c r="F10606"/>
      <c r="N10606" s="44"/>
    </row>
    <row r="10607" spans="1:14" x14ac:dyDescent="0.3">
      <c r="A10607" s="42"/>
      <c r="C10607" s="52"/>
      <c r="D10607"/>
      <c r="E10607"/>
      <c r="F10607"/>
      <c r="N10607" s="44"/>
    </row>
    <row r="10608" spans="1:14" x14ac:dyDescent="0.3">
      <c r="A10608" s="42"/>
      <c r="C10608" s="52"/>
      <c r="D10608"/>
      <c r="E10608"/>
      <c r="F10608"/>
      <c r="N10608" s="44"/>
    </row>
    <row r="10609" spans="1:14" x14ac:dyDescent="0.3">
      <c r="A10609" s="42"/>
      <c r="C10609" s="52"/>
      <c r="D10609"/>
      <c r="E10609"/>
      <c r="F10609"/>
      <c r="N10609" s="44"/>
    </row>
    <row r="10610" spans="1:14" x14ac:dyDescent="0.3">
      <c r="A10610" s="42"/>
      <c r="C10610" s="52"/>
      <c r="D10610"/>
      <c r="E10610"/>
      <c r="F10610"/>
      <c r="N10610" s="44"/>
    </row>
    <row r="10611" spans="1:14" x14ac:dyDescent="0.3">
      <c r="A10611" s="42"/>
      <c r="C10611" s="52"/>
      <c r="D10611"/>
      <c r="E10611"/>
      <c r="F10611"/>
      <c r="N10611" s="44"/>
    </row>
    <row r="10612" spans="1:14" x14ac:dyDescent="0.3">
      <c r="A10612" s="42"/>
      <c r="C10612" s="52"/>
      <c r="D10612"/>
      <c r="E10612"/>
      <c r="F10612"/>
      <c r="N10612" s="44"/>
    </row>
    <row r="10613" spans="1:14" x14ac:dyDescent="0.3">
      <c r="A10613" s="42"/>
      <c r="C10613" s="52"/>
      <c r="D10613"/>
      <c r="E10613"/>
      <c r="F10613"/>
      <c r="N10613" s="44"/>
    </row>
    <row r="10614" spans="1:14" x14ac:dyDescent="0.3">
      <c r="A10614" s="42"/>
      <c r="C10614" s="52"/>
      <c r="D10614"/>
      <c r="E10614"/>
      <c r="F10614"/>
      <c r="N10614" s="44"/>
    </row>
    <row r="10615" spans="1:14" x14ac:dyDescent="0.3">
      <c r="A10615" s="42"/>
      <c r="C10615" s="52"/>
      <c r="D10615"/>
      <c r="E10615"/>
      <c r="F10615"/>
      <c r="N10615" s="44"/>
    </row>
    <row r="10616" spans="1:14" x14ac:dyDescent="0.3">
      <c r="A10616" s="42"/>
      <c r="C10616" s="52"/>
      <c r="D10616"/>
      <c r="E10616"/>
      <c r="F10616"/>
      <c r="N10616" s="44"/>
    </row>
    <row r="10617" spans="1:14" x14ac:dyDescent="0.3">
      <c r="A10617" s="42"/>
      <c r="C10617" s="52"/>
      <c r="D10617"/>
      <c r="E10617"/>
      <c r="F10617"/>
      <c r="N10617" s="44"/>
    </row>
    <row r="10618" spans="1:14" x14ac:dyDescent="0.3">
      <c r="A10618" s="42"/>
      <c r="C10618" s="52"/>
      <c r="D10618"/>
      <c r="E10618"/>
      <c r="F10618"/>
      <c r="N10618" s="44"/>
    </row>
    <row r="10619" spans="1:14" x14ac:dyDescent="0.3">
      <c r="A10619" s="42"/>
      <c r="C10619" s="52"/>
      <c r="D10619"/>
      <c r="E10619"/>
      <c r="F10619"/>
      <c r="N10619" s="44"/>
    </row>
    <row r="10620" spans="1:14" x14ac:dyDescent="0.3">
      <c r="A10620" s="42"/>
      <c r="C10620" s="52"/>
      <c r="D10620"/>
      <c r="E10620"/>
      <c r="F10620"/>
      <c r="N10620" s="44"/>
    </row>
    <row r="10621" spans="1:14" x14ac:dyDescent="0.3">
      <c r="A10621" s="42"/>
      <c r="C10621" s="52"/>
      <c r="D10621"/>
      <c r="E10621"/>
      <c r="F10621"/>
      <c r="N10621" s="44"/>
    </row>
    <row r="10622" spans="1:14" x14ac:dyDescent="0.3">
      <c r="A10622" s="42"/>
      <c r="C10622" s="52"/>
      <c r="D10622"/>
      <c r="E10622"/>
      <c r="F10622"/>
      <c r="N10622" s="44"/>
    </row>
    <row r="10623" spans="1:14" x14ac:dyDescent="0.3">
      <c r="A10623" s="42"/>
      <c r="C10623" s="52"/>
      <c r="D10623"/>
      <c r="E10623"/>
      <c r="F10623"/>
      <c r="N10623" s="44"/>
    </row>
    <row r="10624" spans="1:14" x14ac:dyDescent="0.3">
      <c r="A10624" s="42"/>
      <c r="C10624" s="52"/>
      <c r="D10624"/>
      <c r="E10624"/>
      <c r="F10624"/>
      <c r="N10624" s="44"/>
    </row>
    <row r="10625" spans="1:14" x14ac:dyDescent="0.3">
      <c r="A10625" s="42"/>
      <c r="C10625" s="52"/>
      <c r="D10625"/>
      <c r="E10625"/>
      <c r="F10625"/>
      <c r="N10625" s="44"/>
    </row>
    <row r="10626" spans="1:14" x14ac:dyDescent="0.3">
      <c r="A10626" s="42"/>
      <c r="C10626" s="52"/>
      <c r="D10626"/>
      <c r="E10626"/>
      <c r="F10626"/>
      <c r="N10626" s="44"/>
    </row>
    <row r="10627" spans="1:14" x14ac:dyDescent="0.3">
      <c r="A10627" s="42"/>
      <c r="C10627" s="52"/>
      <c r="D10627"/>
      <c r="E10627"/>
      <c r="F10627"/>
      <c r="N10627" s="44"/>
    </row>
    <row r="10628" spans="1:14" x14ac:dyDescent="0.3">
      <c r="A10628" s="42"/>
      <c r="C10628" s="52"/>
      <c r="D10628"/>
      <c r="E10628"/>
      <c r="F10628"/>
      <c r="N10628" s="44"/>
    </row>
    <row r="10629" spans="1:14" x14ac:dyDescent="0.3">
      <c r="A10629" s="42"/>
      <c r="C10629" s="52"/>
      <c r="D10629"/>
      <c r="E10629"/>
      <c r="F10629"/>
      <c r="N10629" s="44"/>
    </row>
    <row r="10630" spans="1:14" x14ac:dyDescent="0.3">
      <c r="A10630" s="42"/>
      <c r="C10630" s="52"/>
      <c r="D10630"/>
      <c r="E10630"/>
      <c r="F10630"/>
      <c r="N10630" s="44"/>
    </row>
    <row r="10631" spans="1:14" x14ac:dyDescent="0.3">
      <c r="A10631" s="42"/>
      <c r="C10631" s="52"/>
      <c r="D10631"/>
      <c r="E10631"/>
      <c r="F10631"/>
      <c r="N10631" s="44"/>
    </row>
    <row r="10632" spans="1:14" x14ac:dyDescent="0.3">
      <c r="A10632" s="42"/>
      <c r="C10632" s="52"/>
      <c r="D10632"/>
      <c r="E10632"/>
      <c r="F10632"/>
      <c r="N10632" s="44"/>
    </row>
    <row r="10633" spans="1:14" x14ac:dyDescent="0.3">
      <c r="A10633" s="42"/>
      <c r="C10633" s="52"/>
      <c r="D10633"/>
      <c r="E10633"/>
      <c r="F10633"/>
      <c r="N10633" s="44"/>
    </row>
    <row r="10634" spans="1:14" x14ac:dyDescent="0.3">
      <c r="A10634" s="42"/>
      <c r="C10634" s="52"/>
      <c r="D10634"/>
      <c r="E10634"/>
      <c r="F10634"/>
      <c r="N10634" s="44"/>
    </row>
    <row r="10635" spans="1:14" x14ac:dyDescent="0.3">
      <c r="A10635" s="42"/>
      <c r="C10635" s="52"/>
      <c r="D10635"/>
      <c r="E10635"/>
      <c r="F10635"/>
      <c r="N10635" s="44"/>
    </row>
    <row r="10636" spans="1:14" x14ac:dyDescent="0.3">
      <c r="A10636" s="42"/>
      <c r="C10636" s="52"/>
      <c r="D10636"/>
      <c r="E10636"/>
      <c r="F10636"/>
      <c r="N10636" s="44"/>
    </row>
    <row r="10637" spans="1:14" x14ac:dyDescent="0.3">
      <c r="A10637" s="42"/>
      <c r="C10637" s="52"/>
      <c r="D10637"/>
      <c r="E10637"/>
      <c r="F10637"/>
      <c r="N10637" s="44"/>
    </row>
    <row r="10638" spans="1:14" x14ac:dyDescent="0.3">
      <c r="A10638" s="42"/>
      <c r="C10638" s="52"/>
      <c r="D10638"/>
      <c r="E10638"/>
      <c r="F10638"/>
      <c r="N10638" s="44"/>
    </row>
    <row r="10639" spans="1:14" x14ac:dyDescent="0.3">
      <c r="A10639" s="42"/>
      <c r="C10639" s="52"/>
      <c r="D10639"/>
      <c r="E10639"/>
      <c r="F10639"/>
      <c r="N10639" s="44"/>
    </row>
    <row r="10640" spans="1:14" x14ac:dyDescent="0.3">
      <c r="A10640" s="42"/>
      <c r="C10640" s="52"/>
      <c r="D10640"/>
      <c r="E10640"/>
      <c r="F10640"/>
      <c r="N10640" s="44"/>
    </row>
    <row r="10641" spans="1:14" x14ac:dyDescent="0.3">
      <c r="A10641" s="42"/>
      <c r="C10641" s="52"/>
      <c r="D10641"/>
      <c r="E10641"/>
      <c r="F10641"/>
      <c r="N10641" s="44"/>
    </row>
    <row r="10642" spans="1:14" x14ac:dyDescent="0.3">
      <c r="A10642" s="42"/>
      <c r="C10642" s="52"/>
      <c r="D10642"/>
      <c r="E10642"/>
      <c r="F10642"/>
      <c r="N10642" s="44"/>
    </row>
    <row r="10643" spans="1:14" x14ac:dyDescent="0.3">
      <c r="A10643" s="42"/>
      <c r="C10643" s="52"/>
      <c r="D10643"/>
      <c r="E10643"/>
      <c r="F10643"/>
      <c r="N10643" s="44"/>
    </row>
    <row r="10644" spans="1:14" x14ac:dyDescent="0.3">
      <c r="A10644" s="42"/>
      <c r="C10644" s="52"/>
      <c r="D10644"/>
      <c r="E10644"/>
      <c r="F10644"/>
      <c r="N10644" s="44"/>
    </row>
    <row r="10645" spans="1:14" x14ac:dyDescent="0.3">
      <c r="A10645" s="42"/>
      <c r="C10645" s="52"/>
      <c r="D10645"/>
      <c r="E10645"/>
      <c r="F10645"/>
      <c r="N10645" s="44"/>
    </row>
    <row r="10646" spans="1:14" x14ac:dyDescent="0.3">
      <c r="A10646" s="42"/>
      <c r="C10646" s="52"/>
      <c r="D10646"/>
      <c r="E10646"/>
      <c r="F10646"/>
      <c r="N10646" s="44"/>
    </row>
    <row r="10647" spans="1:14" x14ac:dyDescent="0.3">
      <c r="A10647" s="42"/>
      <c r="C10647" s="52"/>
      <c r="D10647"/>
      <c r="E10647"/>
      <c r="F10647"/>
      <c r="M10647" s="45"/>
      <c r="N10647" s="44"/>
    </row>
    <row r="10648" spans="1:14" x14ac:dyDescent="0.3">
      <c r="A10648" s="42"/>
      <c r="C10648" s="52"/>
      <c r="D10648"/>
      <c r="E10648"/>
      <c r="F10648"/>
      <c r="N10648" s="44"/>
    </row>
    <row r="10649" spans="1:14" x14ac:dyDescent="0.3">
      <c r="A10649" s="42"/>
      <c r="C10649" s="52"/>
      <c r="D10649"/>
      <c r="E10649"/>
      <c r="F10649"/>
      <c r="N10649" s="44"/>
    </row>
    <row r="10650" spans="1:14" x14ac:dyDescent="0.3">
      <c r="A10650" s="42"/>
      <c r="C10650" s="52"/>
      <c r="D10650"/>
      <c r="E10650"/>
      <c r="F10650"/>
      <c r="N10650" s="44"/>
    </row>
    <row r="10651" spans="1:14" x14ac:dyDescent="0.3">
      <c r="A10651" s="42"/>
      <c r="C10651" s="52"/>
      <c r="D10651"/>
      <c r="E10651"/>
      <c r="F10651"/>
      <c r="N10651" s="44"/>
    </row>
    <row r="10652" spans="1:14" x14ac:dyDescent="0.3">
      <c r="A10652" s="42"/>
      <c r="C10652" s="52"/>
      <c r="D10652"/>
      <c r="E10652"/>
      <c r="F10652"/>
      <c r="N10652" s="44"/>
    </row>
    <row r="10653" spans="1:14" x14ac:dyDescent="0.3">
      <c r="A10653" s="42"/>
      <c r="C10653" s="52"/>
      <c r="D10653"/>
      <c r="E10653"/>
      <c r="F10653"/>
      <c r="N10653" s="44"/>
    </row>
    <row r="10654" spans="1:14" x14ac:dyDescent="0.3">
      <c r="A10654" s="42"/>
      <c r="C10654" s="52"/>
      <c r="D10654"/>
      <c r="E10654"/>
      <c r="F10654"/>
      <c r="N10654" s="44"/>
    </row>
    <row r="10655" spans="1:14" x14ac:dyDescent="0.3">
      <c r="A10655" s="42"/>
      <c r="C10655" s="52"/>
      <c r="D10655"/>
      <c r="E10655"/>
      <c r="F10655"/>
      <c r="N10655" s="44"/>
    </row>
    <row r="10656" spans="1:14" x14ac:dyDescent="0.3">
      <c r="A10656" s="42"/>
      <c r="C10656" s="52"/>
      <c r="D10656"/>
      <c r="E10656"/>
      <c r="F10656"/>
      <c r="N10656" s="44"/>
    </row>
    <row r="10657" spans="1:14" x14ac:dyDescent="0.3">
      <c r="A10657" s="42"/>
      <c r="C10657" s="52"/>
      <c r="D10657"/>
      <c r="E10657"/>
      <c r="F10657"/>
      <c r="N10657" s="44"/>
    </row>
    <row r="10658" spans="1:14" x14ac:dyDescent="0.3">
      <c r="A10658" s="42"/>
      <c r="C10658" s="52"/>
      <c r="D10658"/>
      <c r="E10658"/>
      <c r="F10658"/>
      <c r="N10658" s="44"/>
    </row>
    <row r="10659" spans="1:14" x14ac:dyDescent="0.3">
      <c r="A10659" s="42"/>
      <c r="C10659" s="52"/>
      <c r="D10659"/>
      <c r="E10659"/>
      <c r="F10659"/>
      <c r="N10659" s="44"/>
    </row>
    <row r="10660" spans="1:14" x14ac:dyDescent="0.3">
      <c r="A10660" s="42"/>
      <c r="C10660" s="52"/>
      <c r="D10660"/>
      <c r="E10660"/>
      <c r="F10660"/>
      <c r="N10660" s="44"/>
    </row>
    <row r="10661" spans="1:14" x14ac:dyDescent="0.3">
      <c r="A10661" s="42"/>
      <c r="C10661" s="52"/>
      <c r="D10661"/>
      <c r="E10661"/>
      <c r="F10661"/>
      <c r="N10661" s="44"/>
    </row>
    <row r="10662" spans="1:14" x14ac:dyDescent="0.3">
      <c r="A10662" s="42"/>
      <c r="C10662" s="52"/>
      <c r="D10662"/>
      <c r="E10662"/>
      <c r="F10662"/>
      <c r="N10662" s="44"/>
    </row>
    <row r="10663" spans="1:14" x14ac:dyDescent="0.3">
      <c r="A10663" s="42"/>
      <c r="C10663" s="52"/>
      <c r="D10663"/>
      <c r="E10663"/>
      <c r="F10663"/>
      <c r="N10663" s="44"/>
    </row>
    <row r="10664" spans="1:14" x14ac:dyDescent="0.3">
      <c r="A10664" s="42"/>
      <c r="C10664" s="52"/>
      <c r="D10664"/>
      <c r="E10664"/>
      <c r="F10664"/>
      <c r="N10664" s="44"/>
    </row>
    <row r="10665" spans="1:14" x14ac:dyDescent="0.3">
      <c r="A10665" s="42"/>
      <c r="C10665" s="52"/>
      <c r="D10665"/>
      <c r="E10665"/>
      <c r="F10665"/>
      <c r="N10665" s="44"/>
    </row>
    <row r="10666" spans="1:14" x14ac:dyDescent="0.3">
      <c r="A10666" s="42"/>
      <c r="C10666" s="52"/>
      <c r="D10666"/>
      <c r="E10666"/>
      <c r="F10666"/>
      <c r="N10666" s="44"/>
    </row>
    <row r="10667" spans="1:14" x14ac:dyDescent="0.3">
      <c r="A10667" s="42"/>
      <c r="C10667" s="52"/>
      <c r="D10667"/>
      <c r="E10667"/>
      <c r="F10667"/>
      <c r="N10667" s="44"/>
    </row>
    <row r="10668" spans="1:14" x14ac:dyDescent="0.3">
      <c r="A10668" s="42"/>
      <c r="C10668" s="52"/>
      <c r="D10668"/>
      <c r="E10668"/>
      <c r="F10668"/>
      <c r="N10668" s="44"/>
    </row>
    <row r="10669" spans="1:14" x14ac:dyDescent="0.3">
      <c r="A10669" s="42"/>
      <c r="C10669" s="52"/>
      <c r="D10669"/>
      <c r="E10669"/>
      <c r="F10669"/>
      <c r="N10669" s="44"/>
    </row>
    <row r="10670" spans="1:14" x14ac:dyDescent="0.3">
      <c r="A10670" s="42"/>
      <c r="C10670" s="52"/>
      <c r="D10670"/>
      <c r="E10670"/>
      <c r="F10670"/>
      <c r="N10670" s="44"/>
    </row>
    <row r="10671" spans="1:14" x14ac:dyDescent="0.3">
      <c r="A10671" s="42"/>
      <c r="C10671" s="52"/>
      <c r="D10671"/>
      <c r="E10671"/>
      <c r="F10671"/>
      <c r="N10671" s="44"/>
    </row>
    <row r="10672" spans="1:14" x14ac:dyDescent="0.3">
      <c r="A10672" s="42"/>
      <c r="C10672" s="52"/>
      <c r="D10672"/>
      <c r="E10672"/>
      <c r="F10672"/>
      <c r="N10672" s="44"/>
    </row>
    <row r="10673" spans="1:14" x14ac:dyDescent="0.3">
      <c r="A10673" s="42"/>
      <c r="C10673" s="52"/>
      <c r="D10673"/>
      <c r="E10673"/>
      <c r="F10673"/>
      <c r="N10673" s="44"/>
    </row>
    <row r="10674" spans="1:14" x14ac:dyDescent="0.3">
      <c r="A10674" s="42"/>
      <c r="C10674" s="52"/>
      <c r="D10674"/>
      <c r="E10674"/>
      <c r="F10674"/>
      <c r="N10674" s="44"/>
    </row>
    <row r="10675" spans="1:14" x14ac:dyDescent="0.3">
      <c r="A10675" s="42"/>
      <c r="C10675" s="52"/>
      <c r="D10675"/>
      <c r="E10675"/>
      <c r="F10675"/>
      <c r="N10675" s="44"/>
    </row>
    <row r="10676" spans="1:14" x14ac:dyDescent="0.3">
      <c r="A10676" s="42"/>
      <c r="C10676" s="52"/>
      <c r="D10676"/>
      <c r="E10676"/>
      <c r="F10676"/>
      <c r="N10676" s="44"/>
    </row>
    <row r="10677" spans="1:14" x14ac:dyDescent="0.3">
      <c r="A10677" s="42"/>
      <c r="C10677" s="52"/>
      <c r="D10677"/>
      <c r="E10677"/>
      <c r="F10677"/>
      <c r="N10677" s="44"/>
    </row>
    <row r="10678" spans="1:14" x14ac:dyDescent="0.3">
      <c r="A10678" s="42"/>
      <c r="C10678" s="52"/>
      <c r="D10678"/>
      <c r="E10678"/>
      <c r="F10678"/>
      <c r="N10678" s="44"/>
    </row>
    <row r="10679" spans="1:14" x14ac:dyDescent="0.3">
      <c r="A10679" s="42"/>
      <c r="C10679" s="52"/>
      <c r="D10679"/>
      <c r="E10679"/>
      <c r="F10679"/>
      <c r="N10679" s="44"/>
    </row>
    <row r="10680" spans="1:14" x14ac:dyDescent="0.3">
      <c r="A10680" s="42"/>
      <c r="C10680" s="52"/>
      <c r="D10680"/>
      <c r="E10680"/>
      <c r="F10680"/>
      <c r="N10680" s="44"/>
    </row>
    <row r="10681" spans="1:14" x14ac:dyDescent="0.3">
      <c r="A10681" s="42"/>
      <c r="C10681" s="52"/>
      <c r="D10681"/>
      <c r="E10681"/>
      <c r="F10681"/>
      <c r="N10681" s="44"/>
    </row>
    <row r="10682" spans="1:14" x14ac:dyDescent="0.3">
      <c r="A10682" s="42"/>
      <c r="C10682" s="52"/>
      <c r="D10682"/>
      <c r="E10682"/>
      <c r="F10682"/>
      <c r="N10682" s="44"/>
    </row>
    <row r="10683" spans="1:14" x14ac:dyDescent="0.3">
      <c r="A10683" s="42"/>
      <c r="C10683" s="52"/>
      <c r="D10683"/>
      <c r="E10683"/>
      <c r="F10683"/>
      <c r="N10683" s="44"/>
    </row>
    <row r="10684" spans="1:14" x14ac:dyDescent="0.3">
      <c r="A10684" s="42"/>
      <c r="C10684" s="52"/>
      <c r="D10684"/>
      <c r="E10684"/>
      <c r="F10684"/>
      <c r="N10684" s="44"/>
    </row>
    <row r="10685" spans="1:14" x14ac:dyDescent="0.3">
      <c r="A10685" s="42"/>
      <c r="C10685" s="52"/>
      <c r="D10685"/>
      <c r="E10685"/>
      <c r="F10685"/>
      <c r="N10685" s="44"/>
    </row>
    <row r="10686" spans="1:14" x14ac:dyDescent="0.3">
      <c r="A10686" s="42"/>
      <c r="C10686" s="52"/>
      <c r="D10686"/>
      <c r="E10686"/>
      <c r="F10686"/>
      <c r="N10686" s="44"/>
    </row>
    <row r="10687" spans="1:14" x14ac:dyDescent="0.3">
      <c r="A10687" s="42"/>
      <c r="C10687" s="52"/>
      <c r="D10687"/>
      <c r="E10687"/>
      <c r="F10687"/>
      <c r="N10687" s="44"/>
    </row>
    <row r="10688" spans="1:14" x14ac:dyDescent="0.3">
      <c r="A10688" s="42"/>
      <c r="C10688" s="52"/>
      <c r="D10688"/>
      <c r="E10688"/>
      <c r="F10688"/>
      <c r="N10688" s="44"/>
    </row>
    <row r="10689" spans="1:14" x14ac:dyDescent="0.3">
      <c r="A10689" s="42"/>
      <c r="C10689" s="52"/>
      <c r="D10689"/>
      <c r="E10689"/>
      <c r="F10689"/>
      <c r="N10689" s="44"/>
    </row>
    <row r="10690" spans="1:14" x14ac:dyDescent="0.3">
      <c r="A10690" s="42"/>
      <c r="C10690" s="52"/>
      <c r="D10690"/>
      <c r="E10690"/>
      <c r="F10690"/>
      <c r="N10690" s="44"/>
    </row>
    <row r="10691" spans="1:14" x14ac:dyDescent="0.3">
      <c r="A10691" s="42"/>
      <c r="C10691" s="52"/>
      <c r="D10691"/>
      <c r="E10691"/>
      <c r="F10691"/>
      <c r="N10691" s="44"/>
    </row>
    <row r="10692" spans="1:14" x14ac:dyDescent="0.3">
      <c r="A10692" s="42"/>
      <c r="C10692" s="52"/>
      <c r="D10692"/>
      <c r="E10692"/>
      <c r="F10692"/>
      <c r="N10692" s="44"/>
    </row>
    <row r="10693" spans="1:14" x14ac:dyDescent="0.3">
      <c r="A10693" s="42"/>
      <c r="C10693" s="52"/>
      <c r="D10693"/>
      <c r="E10693"/>
      <c r="F10693"/>
      <c r="N10693" s="44"/>
    </row>
    <row r="10694" spans="1:14" x14ac:dyDescent="0.3">
      <c r="A10694" s="42"/>
      <c r="C10694" s="52"/>
      <c r="D10694"/>
      <c r="E10694"/>
      <c r="F10694"/>
      <c r="N10694" s="44"/>
    </row>
    <row r="10695" spans="1:14" x14ac:dyDescent="0.3">
      <c r="A10695" s="42"/>
      <c r="C10695" s="52"/>
      <c r="D10695"/>
      <c r="E10695"/>
      <c r="F10695"/>
      <c r="N10695" s="44"/>
    </row>
    <row r="10696" spans="1:14" x14ac:dyDescent="0.3">
      <c r="A10696" s="42"/>
      <c r="C10696" s="52"/>
      <c r="D10696"/>
      <c r="E10696"/>
      <c r="F10696"/>
      <c r="N10696" s="44"/>
    </row>
    <row r="10697" spans="1:14" x14ac:dyDescent="0.3">
      <c r="A10697" s="42"/>
      <c r="C10697" s="52"/>
      <c r="D10697"/>
      <c r="E10697"/>
      <c r="F10697"/>
      <c r="N10697" s="44"/>
    </row>
    <row r="10698" spans="1:14" x14ac:dyDescent="0.3">
      <c r="A10698" s="42"/>
      <c r="C10698" s="52"/>
      <c r="D10698"/>
      <c r="E10698"/>
      <c r="F10698"/>
      <c r="N10698" s="44"/>
    </row>
    <row r="10699" spans="1:14" x14ac:dyDescent="0.3">
      <c r="A10699" s="42"/>
      <c r="C10699" s="52"/>
      <c r="D10699"/>
      <c r="E10699"/>
      <c r="F10699"/>
      <c r="N10699" s="44"/>
    </row>
    <row r="10700" spans="1:14" x14ac:dyDescent="0.3">
      <c r="A10700" s="42"/>
      <c r="C10700" s="52"/>
      <c r="D10700"/>
      <c r="E10700"/>
      <c r="F10700"/>
      <c r="N10700" s="44"/>
    </row>
    <row r="10701" spans="1:14" x14ac:dyDescent="0.3">
      <c r="A10701" s="42"/>
      <c r="C10701" s="52"/>
      <c r="D10701"/>
      <c r="E10701"/>
      <c r="F10701"/>
      <c r="N10701" s="44"/>
    </row>
    <row r="10702" spans="1:14" x14ac:dyDescent="0.3">
      <c r="A10702" s="42"/>
      <c r="C10702" s="52"/>
      <c r="D10702"/>
      <c r="E10702"/>
      <c r="F10702"/>
      <c r="N10702" s="44"/>
    </row>
    <row r="10703" spans="1:14" x14ac:dyDescent="0.3">
      <c r="A10703" s="42"/>
      <c r="C10703" s="52"/>
      <c r="D10703"/>
      <c r="E10703"/>
      <c r="F10703"/>
      <c r="N10703" s="44"/>
    </row>
    <row r="10704" spans="1:14" x14ac:dyDescent="0.3">
      <c r="A10704" s="42"/>
      <c r="C10704" s="52"/>
      <c r="D10704"/>
      <c r="E10704"/>
      <c r="F10704"/>
      <c r="N10704" s="44"/>
    </row>
    <row r="10705" spans="1:14" x14ac:dyDescent="0.3">
      <c r="A10705" s="42"/>
      <c r="C10705" s="52"/>
      <c r="D10705"/>
      <c r="E10705"/>
      <c r="F10705"/>
      <c r="N10705" s="44"/>
    </row>
    <row r="10706" spans="1:14" x14ac:dyDescent="0.3">
      <c r="A10706" s="42"/>
      <c r="C10706" s="52"/>
      <c r="D10706"/>
      <c r="E10706"/>
      <c r="F10706"/>
      <c r="N10706" s="44"/>
    </row>
    <row r="10707" spans="1:14" x14ac:dyDescent="0.3">
      <c r="A10707" s="42"/>
      <c r="C10707" s="52"/>
      <c r="D10707"/>
      <c r="E10707"/>
      <c r="F10707"/>
      <c r="N10707" s="44"/>
    </row>
    <row r="10708" spans="1:14" x14ac:dyDescent="0.3">
      <c r="A10708" s="42"/>
      <c r="C10708" s="52"/>
      <c r="D10708"/>
      <c r="E10708"/>
      <c r="F10708"/>
      <c r="N10708" s="44"/>
    </row>
    <row r="10709" spans="1:14" x14ac:dyDescent="0.3">
      <c r="A10709" s="42"/>
      <c r="C10709" s="52"/>
      <c r="D10709"/>
      <c r="E10709"/>
      <c r="F10709"/>
      <c r="N10709" s="44"/>
    </row>
    <row r="10710" spans="1:14" x14ac:dyDescent="0.3">
      <c r="A10710" s="42"/>
      <c r="C10710" s="52"/>
      <c r="D10710"/>
      <c r="E10710"/>
      <c r="F10710"/>
      <c r="N10710" s="44"/>
    </row>
    <row r="10711" spans="1:14" x14ac:dyDescent="0.3">
      <c r="A10711" s="42"/>
      <c r="C10711" s="52"/>
      <c r="D10711"/>
      <c r="E10711"/>
      <c r="F10711"/>
      <c r="N10711" s="44"/>
    </row>
    <row r="10712" spans="1:14" x14ac:dyDescent="0.3">
      <c r="A10712" s="42"/>
      <c r="C10712" s="52"/>
      <c r="D10712"/>
      <c r="E10712"/>
      <c r="F10712"/>
      <c r="N10712" s="44"/>
    </row>
    <row r="10713" spans="1:14" x14ac:dyDescent="0.3">
      <c r="A10713" s="42"/>
      <c r="C10713" s="52"/>
      <c r="D10713"/>
      <c r="E10713"/>
      <c r="F10713"/>
      <c r="N10713" s="44"/>
    </row>
    <row r="10714" spans="1:14" x14ac:dyDescent="0.3">
      <c r="A10714" s="42"/>
      <c r="C10714" s="52"/>
      <c r="D10714"/>
      <c r="E10714"/>
      <c r="F10714"/>
      <c r="N10714" s="44"/>
    </row>
    <row r="10715" spans="1:14" x14ac:dyDescent="0.3">
      <c r="A10715" s="42"/>
      <c r="C10715" s="52"/>
      <c r="D10715"/>
      <c r="E10715"/>
      <c r="F10715"/>
      <c r="N10715" s="44"/>
    </row>
    <row r="10716" spans="1:14" x14ac:dyDescent="0.3">
      <c r="A10716" s="42"/>
      <c r="C10716" s="52"/>
      <c r="D10716"/>
      <c r="E10716"/>
      <c r="F10716"/>
      <c r="N10716" s="44"/>
    </row>
    <row r="10717" spans="1:14" x14ac:dyDescent="0.3">
      <c r="A10717" s="42"/>
      <c r="C10717" s="52"/>
      <c r="D10717"/>
      <c r="E10717"/>
      <c r="F10717"/>
      <c r="N10717" s="44"/>
    </row>
    <row r="10718" spans="1:14" x14ac:dyDescent="0.3">
      <c r="A10718" s="42"/>
      <c r="C10718" s="52"/>
      <c r="D10718"/>
      <c r="E10718"/>
      <c r="F10718"/>
      <c r="N10718" s="44"/>
    </row>
    <row r="10719" spans="1:14" x14ac:dyDescent="0.3">
      <c r="A10719" s="42"/>
      <c r="C10719" s="52"/>
      <c r="D10719"/>
      <c r="E10719"/>
      <c r="F10719"/>
      <c r="N10719" s="44"/>
    </row>
    <row r="10720" spans="1:14" x14ac:dyDescent="0.3">
      <c r="A10720" s="42"/>
      <c r="C10720" s="52"/>
      <c r="D10720"/>
      <c r="E10720"/>
      <c r="F10720"/>
      <c r="N10720" s="44"/>
    </row>
    <row r="10721" spans="1:14" x14ac:dyDescent="0.3">
      <c r="A10721" s="42"/>
      <c r="C10721" s="52"/>
      <c r="D10721"/>
      <c r="E10721"/>
      <c r="F10721"/>
      <c r="N10721" s="44"/>
    </row>
    <row r="10722" spans="1:14" x14ac:dyDescent="0.3">
      <c r="A10722" s="42"/>
      <c r="C10722" s="52"/>
      <c r="D10722"/>
      <c r="E10722"/>
      <c r="F10722"/>
      <c r="N10722" s="44"/>
    </row>
    <row r="10723" spans="1:14" x14ac:dyDescent="0.3">
      <c r="A10723" s="42"/>
      <c r="C10723" s="52"/>
      <c r="D10723"/>
      <c r="E10723"/>
      <c r="F10723"/>
      <c r="N10723" s="44"/>
    </row>
    <row r="10724" spans="1:14" x14ac:dyDescent="0.3">
      <c r="A10724" s="42"/>
      <c r="C10724" s="52"/>
      <c r="D10724"/>
      <c r="E10724"/>
      <c r="F10724"/>
      <c r="N10724" s="44"/>
    </row>
    <row r="10725" spans="1:14" x14ac:dyDescent="0.3">
      <c r="A10725" s="42"/>
      <c r="C10725" s="52"/>
      <c r="D10725"/>
      <c r="E10725"/>
      <c r="F10725"/>
      <c r="N10725" s="44"/>
    </row>
    <row r="10726" spans="1:14" x14ac:dyDescent="0.3">
      <c r="A10726" s="42"/>
      <c r="C10726" s="52"/>
      <c r="D10726"/>
      <c r="E10726"/>
      <c r="F10726"/>
      <c r="N10726" s="44"/>
    </row>
    <row r="10727" spans="1:14" x14ac:dyDescent="0.3">
      <c r="A10727" s="42"/>
      <c r="C10727" s="52"/>
      <c r="D10727"/>
      <c r="E10727"/>
      <c r="F10727"/>
      <c r="N10727" s="44"/>
    </row>
    <row r="10728" spans="1:14" x14ac:dyDescent="0.3">
      <c r="A10728" s="42"/>
      <c r="C10728" s="52"/>
      <c r="D10728"/>
      <c r="E10728"/>
      <c r="F10728"/>
      <c r="N10728" s="44"/>
    </row>
    <row r="10729" spans="1:14" x14ac:dyDescent="0.3">
      <c r="A10729" s="42"/>
      <c r="C10729" s="52"/>
      <c r="D10729"/>
      <c r="E10729"/>
      <c r="F10729"/>
      <c r="N10729" s="44"/>
    </row>
    <row r="10730" spans="1:14" x14ac:dyDescent="0.3">
      <c r="A10730" s="42"/>
      <c r="C10730" s="52"/>
      <c r="D10730"/>
      <c r="E10730"/>
      <c r="F10730"/>
      <c r="M10730" s="45"/>
      <c r="N10730" s="44"/>
    </row>
    <row r="10731" spans="1:14" x14ac:dyDescent="0.3">
      <c r="A10731" s="42"/>
      <c r="C10731" s="52"/>
      <c r="D10731"/>
      <c r="E10731"/>
      <c r="F10731"/>
      <c r="N10731" s="44"/>
    </row>
    <row r="10732" spans="1:14" x14ac:dyDescent="0.3">
      <c r="A10732" s="42"/>
      <c r="C10732" s="52"/>
      <c r="D10732"/>
      <c r="E10732"/>
      <c r="F10732"/>
      <c r="N10732" s="44"/>
    </row>
    <row r="10733" spans="1:14" x14ac:dyDescent="0.3">
      <c r="A10733" s="42"/>
      <c r="C10733" s="52"/>
      <c r="D10733"/>
      <c r="E10733"/>
      <c r="F10733"/>
      <c r="N10733" s="44"/>
    </row>
    <row r="10734" spans="1:14" x14ac:dyDescent="0.3">
      <c r="A10734" s="42"/>
      <c r="C10734" s="52"/>
      <c r="D10734"/>
      <c r="E10734"/>
      <c r="F10734"/>
      <c r="N10734" s="44"/>
    </row>
    <row r="10735" spans="1:14" x14ac:dyDescent="0.3">
      <c r="A10735" s="42"/>
      <c r="C10735" s="52"/>
      <c r="D10735"/>
      <c r="E10735"/>
      <c r="F10735"/>
      <c r="N10735" s="44"/>
    </row>
    <row r="10736" spans="1:14" x14ac:dyDescent="0.3">
      <c r="A10736" s="42"/>
      <c r="C10736" s="52"/>
      <c r="D10736"/>
      <c r="E10736"/>
      <c r="F10736"/>
      <c r="N10736" s="44"/>
    </row>
    <row r="10737" spans="1:14" x14ac:dyDescent="0.3">
      <c r="A10737" s="42"/>
      <c r="C10737" s="52"/>
      <c r="D10737"/>
      <c r="E10737"/>
      <c r="F10737"/>
      <c r="N10737" s="44"/>
    </row>
    <row r="10738" spans="1:14" x14ac:dyDescent="0.3">
      <c r="A10738" s="42"/>
      <c r="C10738" s="52"/>
      <c r="D10738"/>
      <c r="E10738"/>
      <c r="F10738"/>
      <c r="N10738" s="44"/>
    </row>
    <row r="10739" spans="1:14" x14ac:dyDescent="0.3">
      <c r="A10739" s="42"/>
      <c r="C10739" s="52"/>
      <c r="D10739"/>
      <c r="E10739"/>
      <c r="F10739"/>
      <c r="N10739" s="44"/>
    </row>
    <row r="10740" spans="1:14" x14ac:dyDescent="0.3">
      <c r="A10740" s="42"/>
      <c r="C10740" s="52"/>
      <c r="D10740"/>
      <c r="E10740"/>
      <c r="F10740"/>
      <c r="N10740" s="44"/>
    </row>
    <row r="10741" spans="1:14" x14ac:dyDescent="0.3">
      <c r="A10741" s="42"/>
      <c r="C10741" s="52"/>
      <c r="D10741"/>
      <c r="E10741"/>
      <c r="F10741"/>
      <c r="N10741" s="44"/>
    </row>
    <row r="10742" spans="1:14" x14ac:dyDescent="0.3">
      <c r="A10742" s="42"/>
      <c r="C10742" s="52"/>
      <c r="D10742"/>
      <c r="E10742"/>
      <c r="F10742"/>
      <c r="N10742" s="44"/>
    </row>
    <row r="10743" spans="1:14" x14ac:dyDescent="0.3">
      <c r="A10743" s="42"/>
      <c r="C10743" s="52"/>
      <c r="D10743"/>
      <c r="E10743"/>
      <c r="F10743"/>
      <c r="N10743" s="44"/>
    </row>
    <row r="10744" spans="1:14" x14ac:dyDescent="0.3">
      <c r="A10744" s="42"/>
      <c r="C10744" s="52"/>
      <c r="D10744"/>
      <c r="E10744"/>
      <c r="F10744"/>
      <c r="N10744" s="44"/>
    </row>
    <row r="10745" spans="1:14" x14ac:dyDescent="0.3">
      <c r="A10745" s="42"/>
      <c r="C10745" s="52"/>
      <c r="D10745"/>
      <c r="E10745"/>
      <c r="F10745"/>
      <c r="N10745" s="44"/>
    </row>
    <row r="10746" spans="1:14" x14ac:dyDescent="0.3">
      <c r="A10746" s="42"/>
      <c r="C10746" s="52"/>
      <c r="D10746"/>
      <c r="E10746"/>
      <c r="F10746"/>
      <c r="N10746" s="44"/>
    </row>
    <row r="10747" spans="1:14" x14ac:dyDescent="0.3">
      <c r="A10747" s="42"/>
      <c r="C10747" s="52"/>
      <c r="D10747"/>
      <c r="E10747"/>
      <c r="F10747"/>
      <c r="N10747" s="44"/>
    </row>
    <row r="10748" spans="1:14" x14ac:dyDescent="0.3">
      <c r="A10748" s="42"/>
      <c r="C10748" s="52"/>
      <c r="D10748"/>
      <c r="E10748"/>
      <c r="F10748"/>
      <c r="N10748" s="44"/>
    </row>
    <row r="10749" spans="1:14" x14ac:dyDescent="0.3">
      <c r="A10749" s="42"/>
      <c r="C10749" s="52"/>
      <c r="D10749"/>
      <c r="E10749"/>
      <c r="F10749"/>
      <c r="N10749" s="44"/>
    </row>
    <row r="10750" spans="1:14" x14ac:dyDescent="0.3">
      <c r="A10750" s="42"/>
      <c r="C10750" s="52"/>
      <c r="D10750"/>
      <c r="E10750"/>
      <c r="F10750"/>
      <c r="N10750" s="44"/>
    </row>
    <row r="10751" spans="1:14" x14ac:dyDescent="0.3">
      <c r="A10751" s="42"/>
      <c r="C10751" s="52"/>
      <c r="D10751"/>
      <c r="E10751"/>
      <c r="F10751"/>
      <c r="N10751" s="44"/>
    </row>
    <row r="10752" spans="1:14" x14ac:dyDescent="0.3">
      <c r="A10752" s="42"/>
      <c r="C10752" s="52"/>
      <c r="D10752"/>
      <c r="E10752"/>
      <c r="F10752"/>
      <c r="N10752" s="44"/>
    </row>
    <row r="10753" spans="1:14" x14ac:dyDescent="0.3">
      <c r="A10753" s="42"/>
      <c r="C10753" s="52"/>
      <c r="D10753"/>
      <c r="E10753"/>
      <c r="F10753"/>
      <c r="N10753" s="44"/>
    </row>
    <row r="10754" spans="1:14" x14ac:dyDescent="0.3">
      <c r="A10754" s="42"/>
      <c r="C10754" s="52"/>
      <c r="D10754"/>
      <c r="E10754"/>
      <c r="F10754"/>
      <c r="N10754" s="44"/>
    </row>
    <row r="10755" spans="1:14" x14ac:dyDescent="0.3">
      <c r="A10755" s="42"/>
      <c r="C10755" s="52"/>
      <c r="D10755"/>
      <c r="E10755"/>
      <c r="F10755"/>
      <c r="N10755" s="44"/>
    </row>
    <row r="10756" spans="1:14" x14ac:dyDescent="0.3">
      <c r="A10756" s="42"/>
      <c r="C10756" s="52"/>
      <c r="D10756"/>
      <c r="E10756"/>
      <c r="F10756"/>
      <c r="N10756" s="44"/>
    </row>
    <row r="10757" spans="1:14" x14ac:dyDescent="0.3">
      <c r="A10757" s="42"/>
      <c r="C10757" s="52"/>
      <c r="D10757"/>
      <c r="E10757"/>
      <c r="F10757"/>
      <c r="N10757" s="44"/>
    </row>
    <row r="10758" spans="1:14" x14ac:dyDescent="0.3">
      <c r="A10758" s="42"/>
      <c r="C10758" s="52"/>
      <c r="D10758"/>
      <c r="E10758"/>
      <c r="F10758"/>
      <c r="N10758" s="44"/>
    </row>
    <row r="10759" spans="1:14" x14ac:dyDescent="0.3">
      <c r="A10759" s="42"/>
      <c r="C10759" s="52"/>
      <c r="D10759"/>
      <c r="E10759"/>
      <c r="F10759"/>
      <c r="N10759" s="44"/>
    </row>
    <row r="10760" spans="1:14" x14ac:dyDescent="0.3">
      <c r="A10760" s="42"/>
      <c r="C10760" s="52"/>
      <c r="D10760"/>
      <c r="E10760"/>
      <c r="F10760"/>
      <c r="N10760" s="44"/>
    </row>
    <row r="10761" spans="1:14" x14ac:dyDescent="0.3">
      <c r="A10761" s="42"/>
      <c r="C10761" s="52"/>
      <c r="D10761"/>
      <c r="E10761"/>
      <c r="F10761"/>
      <c r="N10761" s="44"/>
    </row>
    <row r="10762" spans="1:14" x14ac:dyDescent="0.3">
      <c r="A10762" s="42"/>
      <c r="C10762" s="52"/>
      <c r="D10762"/>
      <c r="E10762"/>
      <c r="F10762"/>
      <c r="N10762" s="44"/>
    </row>
    <row r="10763" spans="1:14" x14ac:dyDescent="0.3">
      <c r="A10763" s="42"/>
      <c r="C10763" s="52"/>
      <c r="D10763"/>
      <c r="E10763"/>
      <c r="F10763"/>
      <c r="N10763" s="44"/>
    </row>
    <row r="10764" spans="1:14" x14ac:dyDescent="0.3">
      <c r="A10764" s="42"/>
      <c r="C10764" s="52"/>
      <c r="D10764"/>
      <c r="E10764"/>
      <c r="F10764"/>
      <c r="N10764" s="44"/>
    </row>
    <row r="10765" spans="1:14" x14ac:dyDescent="0.3">
      <c r="A10765" s="42"/>
      <c r="C10765" s="52"/>
      <c r="D10765"/>
      <c r="E10765"/>
      <c r="F10765"/>
      <c r="N10765" s="44"/>
    </row>
    <row r="10766" spans="1:14" x14ac:dyDescent="0.3">
      <c r="A10766" s="42"/>
      <c r="C10766" s="52"/>
      <c r="D10766"/>
      <c r="E10766"/>
      <c r="F10766"/>
      <c r="N10766" s="44"/>
    </row>
    <row r="10767" spans="1:14" x14ac:dyDescent="0.3">
      <c r="A10767" s="42"/>
      <c r="C10767" s="52"/>
      <c r="D10767"/>
      <c r="E10767"/>
      <c r="F10767"/>
      <c r="N10767" s="44"/>
    </row>
    <row r="10768" spans="1:14" x14ac:dyDescent="0.3">
      <c r="A10768" s="42"/>
      <c r="C10768" s="52"/>
      <c r="D10768"/>
      <c r="E10768"/>
      <c r="F10768"/>
      <c r="N10768" s="44"/>
    </row>
    <row r="10769" spans="1:14" x14ac:dyDescent="0.3">
      <c r="A10769" s="42"/>
      <c r="C10769" s="52"/>
      <c r="D10769"/>
      <c r="E10769"/>
      <c r="F10769"/>
      <c r="N10769" s="44"/>
    </row>
    <row r="10770" spans="1:14" x14ac:dyDescent="0.3">
      <c r="A10770" s="42"/>
      <c r="C10770" s="52"/>
      <c r="D10770"/>
      <c r="E10770"/>
      <c r="F10770"/>
      <c r="N10770" s="44"/>
    </row>
    <row r="10771" spans="1:14" x14ac:dyDescent="0.3">
      <c r="A10771" s="42"/>
      <c r="C10771" s="52"/>
      <c r="D10771"/>
      <c r="E10771"/>
      <c r="F10771"/>
      <c r="N10771" s="44"/>
    </row>
    <row r="10772" spans="1:14" x14ac:dyDescent="0.3">
      <c r="A10772" s="42"/>
      <c r="C10772" s="52"/>
      <c r="D10772"/>
      <c r="E10772"/>
      <c r="F10772"/>
      <c r="N10772" s="44"/>
    </row>
    <row r="10773" spans="1:14" x14ac:dyDescent="0.3">
      <c r="A10773" s="42"/>
      <c r="C10773" s="52"/>
      <c r="D10773"/>
      <c r="E10773"/>
      <c r="F10773"/>
      <c r="N10773" s="44"/>
    </row>
    <row r="10774" spans="1:14" x14ac:dyDescent="0.3">
      <c r="A10774" s="42"/>
      <c r="C10774" s="52"/>
      <c r="D10774"/>
      <c r="E10774"/>
      <c r="F10774"/>
      <c r="N10774" s="44"/>
    </row>
    <row r="10775" spans="1:14" x14ac:dyDescent="0.3">
      <c r="A10775" s="42"/>
      <c r="C10775" s="52"/>
      <c r="D10775"/>
      <c r="E10775"/>
      <c r="F10775"/>
      <c r="N10775" s="44"/>
    </row>
    <row r="10776" spans="1:14" x14ac:dyDescent="0.3">
      <c r="A10776" s="42"/>
      <c r="C10776" s="52"/>
      <c r="D10776"/>
      <c r="E10776"/>
      <c r="F10776"/>
      <c r="N10776" s="44"/>
    </row>
    <row r="10777" spans="1:14" x14ac:dyDescent="0.3">
      <c r="A10777" s="42"/>
      <c r="C10777" s="52"/>
      <c r="D10777"/>
      <c r="E10777"/>
      <c r="F10777"/>
      <c r="N10777" s="44"/>
    </row>
    <row r="10778" spans="1:14" x14ac:dyDescent="0.3">
      <c r="A10778" s="42"/>
      <c r="C10778" s="52"/>
      <c r="D10778"/>
      <c r="E10778"/>
      <c r="F10778"/>
      <c r="N10778" s="44"/>
    </row>
    <row r="10779" spans="1:14" x14ac:dyDescent="0.3">
      <c r="A10779" s="42"/>
      <c r="C10779" s="52"/>
      <c r="D10779"/>
      <c r="E10779"/>
      <c r="F10779"/>
      <c r="N10779" s="44"/>
    </row>
    <row r="10780" spans="1:14" x14ac:dyDescent="0.3">
      <c r="A10780" s="42"/>
      <c r="C10780" s="52"/>
      <c r="D10780"/>
      <c r="E10780"/>
      <c r="F10780"/>
      <c r="N10780" s="44"/>
    </row>
    <row r="10781" spans="1:14" x14ac:dyDescent="0.3">
      <c r="A10781" s="42"/>
      <c r="C10781" s="52"/>
      <c r="D10781"/>
      <c r="E10781"/>
      <c r="F10781"/>
      <c r="N10781" s="44"/>
    </row>
    <row r="10782" spans="1:14" x14ac:dyDescent="0.3">
      <c r="A10782" s="42"/>
      <c r="C10782" s="52"/>
      <c r="D10782"/>
      <c r="E10782"/>
      <c r="F10782"/>
      <c r="N10782" s="44"/>
    </row>
    <row r="10783" spans="1:14" x14ac:dyDescent="0.3">
      <c r="A10783" s="42"/>
      <c r="C10783" s="52"/>
      <c r="D10783"/>
      <c r="E10783"/>
      <c r="F10783"/>
      <c r="N10783" s="44"/>
    </row>
    <row r="10784" spans="1:14" x14ac:dyDescent="0.3">
      <c r="A10784" s="42"/>
      <c r="C10784" s="52"/>
      <c r="D10784"/>
      <c r="E10784"/>
      <c r="F10784"/>
      <c r="N10784" s="44"/>
    </row>
    <row r="10785" spans="1:14" x14ac:dyDescent="0.3">
      <c r="A10785" s="42"/>
      <c r="C10785" s="52"/>
      <c r="D10785"/>
      <c r="E10785"/>
      <c r="F10785"/>
      <c r="N10785" s="44"/>
    </row>
    <row r="10786" spans="1:14" x14ac:dyDescent="0.3">
      <c r="A10786" s="42"/>
      <c r="C10786" s="52"/>
      <c r="D10786"/>
      <c r="E10786"/>
      <c r="F10786"/>
      <c r="N10786" s="44"/>
    </row>
    <row r="10787" spans="1:14" x14ac:dyDescent="0.3">
      <c r="A10787" s="42"/>
      <c r="C10787" s="52"/>
      <c r="D10787"/>
      <c r="E10787"/>
      <c r="F10787"/>
      <c r="N10787" s="44"/>
    </row>
    <row r="10788" spans="1:14" x14ac:dyDescent="0.3">
      <c r="A10788" s="42"/>
      <c r="C10788" s="52"/>
      <c r="D10788"/>
      <c r="E10788"/>
      <c r="F10788"/>
      <c r="N10788" s="44"/>
    </row>
    <row r="10789" spans="1:14" x14ac:dyDescent="0.3">
      <c r="A10789" s="42"/>
      <c r="C10789" s="52"/>
      <c r="D10789"/>
      <c r="E10789"/>
      <c r="F10789"/>
      <c r="N10789" s="44"/>
    </row>
    <row r="10790" spans="1:14" x14ac:dyDescent="0.3">
      <c r="A10790" s="42"/>
      <c r="C10790" s="52"/>
      <c r="D10790"/>
      <c r="E10790"/>
      <c r="F10790"/>
      <c r="N10790" s="44"/>
    </row>
    <row r="10791" spans="1:14" x14ac:dyDescent="0.3">
      <c r="A10791" s="42"/>
      <c r="C10791" s="52"/>
      <c r="D10791"/>
      <c r="E10791"/>
      <c r="F10791"/>
      <c r="N10791" s="44"/>
    </row>
    <row r="10792" spans="1:14" x14ac:dyDescent="0.3">
      <c r="A10792" s="42"/>
      <c r="C10792" s="52"/>
      <c r="D10792"/>
      <c r="E10792"/>
      <c r="F10792"/>
      <c r="N10792" s="44"/>
    </row>
    <row r="10793" spans="1:14" x14ac:dyDescent="0.3">
      <c r="A10793" s="42"/>
      <c r="C10793" s="52"/>
      <c r="D10793"/>
      <c r="E10793"/>
      <c r="F10793"/>
      <c r="N10793" s="44"/>
    </row>
    <row r="10794" spans="1:14" x14ac:dyDescent="0.3">
      <c r="A10794" s="42"/>
      <c r="C10794" s="52"/>
      <c r="D10794"/>
      <c r="E10794"/>
      <c r="F10794"/>
      <c r="N10794" s="44"/>
    </row>
    <row r="10795" spans="1:14" x14ac:dyDescent="0.3">
      <c r="A10795" s="42"/>
      <c r="C10795" s="52"/>
      <c r="D10795"/>
      <c r="E10795"/>
      <c r="F10795"/>
      <c r="N10795" s="44"/>
    </row>
    <row r="10796" spans="1:14" x14ac:dyDescent="0.3">
      <c r="A10796" s="42"/>
      <c r="C10796" s="52"/>
      <c r="D10796"/>
      <c r="E10796"/>
      <c r="F10796"/>
      <c r="N10796" s="44"/>
    </row>
    <row r="10797" spans="1:14" x14ac:dyDescent="0.3">
      <c r="A10797" s="42"/>
      <c r="C10797" s="52"/>
      <c r="D10797"/>
      <c r="E10797"/>
      <c r="F10797"/>
      <c r="N10797" s="44"/>
    </row>
    <row r="10798" spans="1:14" x14ac:dyDescent="0.3">
      <c r="A10798" s="42"/>
      <c r="C10798" s="52"/>
      <c r="D10798"/>
      <c r="E10798"/>
      <c r="F10798"/>
      <c r="N10798" s="44"/>
    </row>
    <row r="10799" spans="1:14" x14ac:dyDescent="0.3">
      <c r="A10799" s="42"/>
      <c r="C10799" s="52"/>
      <c r="D10799"/>
      <c r="E10799"/>
      <c r="F10799"/>
      <c r="N10799" s="44"/>
    </row>
    <row r="10800" spans="1:14" x14ac:dyDescent="0.3">
      <c r="A10800" s="42"/>
      <c r="C10800" s="52"/>
      <c r="D10800"/>
      <c r="E10800"/>
      <c r="F10800"/>
      <c r="N10800" s="44"/>
    </row>
    <row r="10801" spans="1:14" x14ac:dyDescent="0.3">
      <c r="A10801" s="42"/>
      <c r="C10801" s="52"/>
      <c r="D10801"/>
      <c r="E10801"/>
      <c r="F10801"/>
      <c r="N10801" s="44"/>
    </row>
    <row r="10802" spans="1:14" x14ac:dyDescent="0.3">
      <c r="A10802" s="42"/>
      <c r="C10802" s="52"/>
      <c r="D10802"/>
      <c r="E10802"/>
      <c r="F10802"/>
      <c r="N10802" s="44"/>
    </row>
    <row r="10803" spans="1:14" x14ac:dyDescent="0.3">
      <c r="A10803" s="42"/>
      <c r="C10803" s="52"/>
      <c r="D10803"/>
      <c r="E10803"/>
      <c r="F10803"/>
      <c r="N10803" s="44"/>
    </row>
    <row r="10804" spans="1:14" x14ac:dyDescent="0.3">
      <c r="A10804" s="42"/>
      <c r="C10804" s="52"/>
      <c r="D10804"/>
      <c r="E10804"/>
      <c r="F10804"/>
      <c r="N10804" s="44"/>
    </row>
    <row r="10805" spans="1:14" x14ac:dyDescent="0.3">
      <c r="A10805" s="42"/>
      <c r="C10805" s="52"/>
      <c r="D10805"/>
      <c r="E10805"/>
      <c r="F10805"/>
      <c r="N10805" s="44"/>
    </row>
    <row r="10806" spans="1:14" x14ac:dyDescent="0.3">
      <c r="A10806" s="42"/>
      <c r="C10806" s="52"/>
      <c r="D10806"/>
      <c r="E10806"/>
      <c r="F10806"/>
      <c r="N10806" s="44"/>
    </row>
    <row r="10807" spans="1:14" x14ac:dyDescent="0.3">
      <c r="A10807" s="42"/>
      <c r="C10807" s="52"/>
      <c r="D10807"/>
      <c r="E10807"/>
      <c r="F10807"/>
      <c r="N10807" s="44"/>
    </row>
    <row r="10808" spans="1:14" x14ac:dyDescent="0.3">
      <c r="A10808" s="42"/>
      <c r="C10808" s="52"/>
      <c r="D10808"/>
      <c r="E10808"/>
      <c r="F10808"/>
      <c r="N10808" s="44"/>
    </row>
    <row r="10809" spans="1:14" x14ac:dyDescent="0.3">
      <c r="A10809" s="42"/>
      <c r="C10809" s="52"/>
      <c r="D10809"/>
      <c r="E10809"/>
      <c r="F10809"/>
      <c r="N10809" s="44"/>
    </row>
    <row r="10810" spans="1:14" x14ac:dyDescent="0.3">
      <c r="A10810" s="42"/>
      <c r="C10810" s="52"/>
      <c r="D10810"/>
      <c r="E10810"/>
      <c r="F10810"/>
      <c r="N10810" s="44"/>
    </row>
    <row r="10811" spans="1:14" x14ac:dyDescent="0.3">
      <c r="A10811" s="42"/>
      <c r="C10811" s="52"/>
      <c r="D10811"/>
      <c r="E10811"/>
      <c r="F10811"/>
      <c r="N10811" s="44"/>
    </row>
    <row r="10812" spans="1:14" x14ac:dyDescent="0.3">
      <c r="A10812" s="42"/>
      <c r="C10812" s="52"/>
      <c r="D10812"/>
      <c r="E10812"/>
      <c r="F10812"/>
      <c r="N10812" s="44"/>
    </row>
    <row r="10813" spans="1:14" x14ac:dyDescent="0.3">
      <c r="A10813" s="42"/>
      <c r="C10813" s="52"/>
      <c r="D10813"/>
      <c r="E10813"/>
      <c r="F10813"/>
      <c r="N10813" s="44"/>
    </row>
    <row r="10814" spans="1:14" x14ac:dyDescent="0.3">
      <c r="A10814" s="42"/>
      <c r="C10814" s="52"/>
      <c r="D10814"/>
      <c r="E10814"/>
      <c r="F10814"/>
      <c r="N10814" s="44"/>
    </row>
    <row r="10815" spans="1:14" x14ac:dyDescent="0.3">
      <c r="A10815" s="42"/>
      <c r="C10815" s="52"/>
      <c r="D10815"/>
      <c r="E10815"/>
      <c r="F10815"/>
      <c r="N10815" s="44"/>
    </row>
    <row r="10816" spans="1:14" x14ac:dyDescent="0.3">
      <c r="A10816" s="42"/>
      <c r="C10816" s="52"/>
      <c r="D10816"/>
      <c r="E10816"/>
      <c r="F10816"/>
      <c r="N10816" s="44"/>
    </row>
    <row r="10817" spans="1:14" x14ac:dyDescent="0.3">
      <c r="A10817" s="42"/>
      <c r="C10817" s="52"/>
      <c r="D10817"/>
      <c r="E10817"/>
      <c r="F10817"/>
      <c r="N10817" s="44"/>
    </row>
    <row r="10818" spans="1:14" x14ac:dyDescent="0.3">
      <c r="A10818" s="42"/>
      <c r="C10818" s="52"/>
      <c r="D10818"/>
      <c r="E10818"/>
      <c r="F10818"/>
      <c r="N10818" s="44"/>
    </row>
    <row r="10819" spans="1:14" x14ac:dyDescent="0.3">
      <c r="A10819" s="42"/>
      <c r="C10819" s="52"/>
      <c r="D10819"/>
      <c r="E10819"/>
      <c r="F10819"/>
      <c r="N10819" s="44"/>
    </row>
    <row r="10820" spans="1:14" x14ac:dyDescent="0.3">
      <c r="A10820" s="42"/>
      <c r="C10820" s="52"/>
      <c r="D10820"/>
      <c r="E10820"/>
      <c r="F10820"/>
      <c r="N10820" s="44"/>
    </row>
    <row r="10821" spans="1:14" x14ac:dyDescent="0.3">
      <c r="A10821" s="42"/>
      <c r="C10821" s="52"/>
      <c r="D10821"/>
      <c r="E10821"/>
      <c r="F10821"/>
      <c r="N10821" s="44"/>
    </row>
    <row r="10822" spans="1:14" x14ac:dyDescent="0.3">
      <c r="A10822" s="42"/>
      <c r="C10822" s="52"/>
      <c r="D10822"/>
      <c r="E10822"/>
      <c r="F10822"/>
      <c r="N10822" s="44"/>
    </row>
    <row r="10823" spans="1:14" x14ac:dyDescent="0.3">
      <c r="A10823" s="42"/>
      <c r="C10823" s="52"/>
      <c r="D10823"/>
      <c r="E10823"/>
      <c r="F10823"/>
      <c r="N10823" s="44"/>
    </row>
    <row r="10824" spans="1:14" x14ac:dyDescent="0.3">
      <c r="A10824" s="42"/>
      <c r="C10824" s="52"/>
      <c r="D10824"/>
      <c r="E10824"/>
      <c r="F10824"/>
      <c r="N10824" s="44"/>
    </row>
    <row r="10825" spans="1:14" x14ac:dyDescent="0.3">
      <c r="A10825" s="42"/>
      <c r="C10825" s="52"/>
      <c r="D10825"/>
      <c r="E10825"/>
      <c r="F10825"/>
      <c r="N10825" s="44"/>
    </row>
    <row r="10826" spans="1:14" x14ac:dyDescent="0.3">
      <c r="A10826" s="42"/>
      <c r="C10826" s="52"/>
      <c r="D10826"/>
      <c r="E10826"/>
      <c r="F10826"/>
      <c r="N10826" s="44"/>
    </row>
    <row r="10827" spans="1:14" x14ac:dyDescent="0.3">
      <c r="A10827" s="42"/>
      <c r="C10827" s="52"/>
      <c r="D10827"/>
      <c r="E10827"/>
      <c r="F10827"/>
      <c r="N10827" s="44"/>
    </row>
    <row r="10828" spans="1:14" x14ac:dyDescent="0.3">
      <c r="A10828" s="42"/>
      <c r="C10828" s="52"/>
      <c r="D10828"/>
      <c r="E10828"/>
      <c r="F10828"/>
      <c r="N10828" s="44"/>
    </row>
    <row r="10829" spans="1:14" x14ac:dyDescent="0.3">
      <c r="A10829" s="42"/>
      <c r="C10829" s="52"/>
      <c r="D10829"/>
      <c r="E10829"/>
      <c r="F10829"/>
      <c r="N10829" s="44"/>
    </row>
    <row r="10830" spans="1:14" x14ac:dyDescent="0.3">
      <c r="A10830" s="42"/>
      <c r="C10830" s="52"/>
      <c r="D10830"/>
      <c r="E10830"/>
      <c r="F10830"/>
      <c r="N10830" s="44"/>
    </row>
    <row r="10831" spans="1:14" x14ac:dyDescent="0.3">
      <c r="A10831" s="42"/>
      <c r="C10831" s="52"/>
      <c r="D10831"/>
      <c r="E10831"/>
      <c r="F10831"/>
      <c r="N10831" s="44"/>
    </row>
    <row r="10832" spans="1:14" x14ac:dyDescent="0.3">
      <c r="A10832" s="42"/>
      <c r="C10832" s="52"/>
      <c r="D10832"/>
      <c r="E10832"/>
      <c r="F10832"/>
      <c r="N10832" s="44"/>
    </row>
    <row r="10833" spans="1:14" x14ac:dyDescent="0.3">
      <c r="A10833" s="42"/>
      <c r="C10833" s="52"/>
      <c r="D10833"/>
      <c r="E10833"/>
      <c r="F10833"/>
      <c r="N10833" s="44"/>
    </row>
    <row r="10834" spans="1:14" x14ac:dyDescent="0.3">
      <c r="A10834" s="42"/>
      <c r="C10834" s="52"/>
      <c r="D10834"/>
      <c r="E10834"/>
      <c r="F10834"/>
      <c r="N10834" s="44"/>
    </row>
    <row r="10835" spans="1:14" x14ac:dyDescent="0.3">
      <c r="A10835" s="42"/>
      <c r="C10835" s="52"/>
      <c r="D10835"/>
      <c r="E10835"/>
      <c r="F10835"/>
      <c r="N10835" s="44"/>
    </row>
    <row r="10836" spans="1:14" x14ac:dyDescent="0.3">
      <c r="A10836" s="42"/>
      <c r="C10836" s="52"/>
      <c r="D10836"/>
      <c r="E10836"/>
      <c r="F10836"/>
      <c r="N10836" s="44"/>
    </row>
    <row r="10837" spans="1:14" x14ac:dyDescent="0.3">
      <c r="A10837" s="42"/>
      <c r="C10837" s="52"/>
      <c r="D10837"/>
      <c r="E10837"/>
      <c r="F10837"/>
      <c r="N10837" s="44"/>
    </row>
    <row r="10838" spans="1:14" x14ac:dyDescent="0.3">
      <c r="A10838" s="42"/>
      <c r="C10838" s="52"/>
      <c r="D10838"/>
      <c r="E10838"/>
      <c r="F10838"/>
      <c r="N10838" s="44"/>
    </row>
    <row r="10839" spans="1:14" x14ac:dyDescent="0.3">
      <c r="A10839" s="42"/>
      <c r="C10839" s="52"/>
      <c r="D10839"/>
      <c r="E10839"/>
      <c r="F10839"/>
      <c r="N10839" s="44"/>
    </row>
    <row r="10840" spans="1:14" x14ac:dyDescent="0.3">
      <c r="A10840" s="42"/>
      <c r="C10840" s="52"/>
      <c r="D10840"/>
      <c r="E10840"/>
      <c r="F10840"/>
      <c r="N10840" s="44"/>
    </row>
    <row r="10841" spans="1:14" x14ac:dyDescent="0.3">
      <c r="A10841" s="42"/>
      <c r="C10841" s="52"/>
      <c r="D10841"/>
      <c r="E10841"/>
      <c r="F10841"/>
      <c r="N10841" s="44"/>
    </row>
    <row r="10842" spans="1:14" x14ac:dyDescent="0.3">
      <c r="A10842" s="42"/>
      <c r="C10842" s="52"/>
      <c r="D10842"/>
      <c r="E10842"/>
      <c r="F10842"/>
      <c r="N10842" s="44"/>
    </row>
    <row r="10843" spans="1:14" x14ac:dyDescent="0.3">
      <c r="A10843" s="42"/>
      <c r="C10843" s="52"/>
      <c r="D10843"/>
      <c r="E10843"/>
      <c r="F10843"/>
      <c r="N10843" s="44"/>
    </row>
    <row r="10844" spans="1:14" x14ac:dyDescent="0.3">
      <c r="A10844" s="42"/>
      <c r="C10844" s="52"/>
      <c r="D10844"/>
      <c r="E10844"/>
      <c r="F10844"/>
      <c r="N10844" s="44"/>
    </row>
    <row r="10845" spans="1:14" x14ac:dyDescent="0.3">
      <c r="A10845" s="42"/>
      <c r="C10845" s="52"/>
      <c r="D10845"/>
      <c r="E10845"/>
      <c r="F10845"/>
      <c r="N10845" s="44"/>
    </row>
    <row r="10846" spans="1:14" x14ac:dyDescent="0.3">
      <c r="A10846" s="42"/>
      <c r="C10846" s="52"/>
      <c r="D10846"/>
      <c r="E10846"/>
      <c r="F10846"/>
      <c r="N10846" s="44"/>
    </row>
    <row r="10847" spans="1:14" x14ac:dyDescent="0.3">
      <c r="A10847" s="42"/>
      <c r="C10847" s="52"/>
      <c r="D10847"/>
      <c r="E10847"/>
      <c r="F10847"/>
      <c r="N10847" s="44"/>
    </row>
    <row r="10848" spans="1:14" x14ac:dyDescent="0.3">
      <c r="A10848" s="42"/>
      <c r="C10848" s="52"/>
      <c r="D10848"/>
      <c r="E10848"/>
      <c r="F10848"/>
      <c r="N10848" s="44"/>
    </row>
    <row r="10849" spans="1:14" x14ac:dyDescent="0.3">
      <c r="A10849" s="42"/>
      <c r="C10849" s="52"/>
      <c r="D10849"/>
      <c r="E10849"/>
      <c r="F10849"/>
      <c r="N10849" s="44"/>
    </row>
    <row r="10850" spans="1:14" x14ac:dyDescent="0.3">
      <c r="A10850" s="42"/>
      <c r="C10850" s="52"/>
      <c r="D10850"/>
      <c r="E10850"/>
      <c r="F10850"/>
      <c r="N10850" s="44"/>
    </row>
    <row r="10851" spans="1:14" x14ac:dyDescent="0.3">
      <c r="A10851" s="42"/>
      <c r="C10851" s="52"/>
      <c r="D10851"/>
      <c r="E10851"/>
      <c r="F10851"/>
      <c r="N10851" s="44"/>
    </row>
    <row r="10852" spans="1:14" x14ac:dyDescent="0.3">
      <c r="A10852" s="42"/>
      <c r="C10852" s="52"/>
      <c r="D10852"/>
      <c r="E10852"/>
      <c r="F10852"/>
      <c r="N10852" s="44"/>
    </row>
    <row r="10853" spans="1:14" x14ac:dyDescent="0.3">
      <c r="A10853" s="42"/>
      <c r="C10853" s="52"/>
      <c r="D10853"/>
      <c r="E10853"/>
      <c r="F10853"/>
      <c r="N10853" s="44"/>
    </row>
    <row r="10854" spans="1:14" x14ac:dyDescent="0.3">
      <c r="A10854" s="42"/>
      <c r="C10854" s="52"/>
      <c r="D10854"/>
      <c r="E10854"/>
      <c r="F10854"/>
      <c r="N10854" s="44"/>
    </row>
    <row r="10855" spans="1:14" x14ac:dyDescent="0.3">
      <c r="A10855" s="42"/>
      <c r="C10855" s="52"/>
      <c r="D10855"/>
      <c r="E10855"/>
      <c r="F10855"/>
      <c r="N10855" s="44"/>
    </row>
    <row r="10856" spans="1:14" x14ac:dyDescent="0.3">
      <c r="A10856" s="42"/>
      <c r="C10856" s="52"/>
      <c r="D10856"/>
      <c r="E10856"/>
      <c r="F10856"/>
      <c r="N10856" s="44"/>
    </row>
    <row r="10857" spans="1:14" x14ac:dyDescent="0.3">
      <c r="A10857" s="42"/>
      <c r="C10857" s="52"/>
      <c r="D10857"/>
      <c r="E10857"/>
      <c r="F10857"/>
      <c r="N10857" s="44"/>
    </row>
    <row r="10858" spans="1:14" x14ac:dyDescent="0.3">
      <c r="A10858" s="42"/>
      <c r="C10858" s="52"/>
      <c r="D10858"/>
      <c r="E10858"/>
      <c r="F10858"/>
      <c r="N10858" s="44"/>
    </row>
    <row r="10859" spans="1:14" x14ac:dyDescent="0.3">
      <c r="A10859" s="42"/>
      <c r="C10859" s="52"/>
      <c r="D10859"/>
      <c r="E10859"/>
      <c r="F10859"/>
      <c r="N10859" s="44"/>
    </row>
    <row r="10860" spans="1:14" x14ac:dyDescent="0.3">
      <c r="A10860" s="42"/>
      <c r="C10860" s="52"/>
      <c r="D10860"/>
      <c r="E10860"/>
      <c r="F10860"/>
      <c r="N10860" s="44"/>
    </row>
    <row r="10861" spans="1:14" x14ac:dyDescent="0.3">
      <c r="A10861" s="42"/>
      <c r="C10861" s="52"/>
      <c r="D10861"/>
      <c r="E10861"/>
      <c r="F10861"/>
      <c r="N10861" s="44"/>
    </row>
    <row r="10862" spans="1:14" x14ac:dyDescent="0.3">
      <c r="A10862" s="42"/>
      <c r="C10862" s="52"/>
      <c r="D10862"/>
      <c r="E10862"/>
      <c r="F10862"/>
      <c r="N10862" s="44"/>
    </row>
    <row r="10863" spans="1:14" x14ac:dyDescent="0.3">
      <c r="A10863" s="42"/>
      <c r="C10863" s="52"/>
      <c r="D10863"/>
      <c r="E10863"/>
      <c r="F10863"/>
      <c r="N10863" s="44"/>
    </row>
    <row r="10864" spans="1:14" x14ac:dyDescent="0.3">
      <c r="A10864" s="42"/>
      <c r="C10864" s="52"/>
      <c r="D10864"/>
      <c r="E10864"/>
      <c r="F10864"/>
      <c r="N10864" s="44"/>
    </row>
    <row r="10865" spans="1:14" x14ac:dyDescent="0.3">
      <c r="A10865" s="42"/>
      <c r="C10865" s="52"/>
      <c r="D10865"/>
      <c r="E10865"/>
      <c r="F10865"/>
      <c r="N10865" s="44"/>
    </row>
    <row r="10866" spans="1:14" x14ac:dyDescent="0.3">
      <c r="A10866" s="42"/>
      <c r="C10866" s="52"/>
      <c r="D10866"/>
      <c r="E10866"/>
      <c r="F10866"/>
      <c r="N10866" s="44"/>
    </row>
    <row r="10867" spans="1:14" x14ac:dyDescent="0.3">
      <c r="A10867" s="42"/>
      <c r="C10867" s="52"/>
      <c r="D10867"/>
      <c r="E10867"/>
      <c r="F10867"/>
      <c r="N10867" s="44"/>
    </row>
    <row r="10868" spans="1:14" x14ac:dyDescent="0.3">
      <c r="A10868" s="42"/>
      <c r="C10868" s="52"/>
      <c r="D10868"/>
      <c r="E10868"/>
      <c r="F10868"/>
      <c r="N10868" s="44"/>
    </row>
    <row r="10869" spans="1:14" x14ac:dyDescent="0.3">
      <c r="A10869" s="42"/>
      <c r="C10869" s="52"/>
      <c r="D10869"/>
      <c r="E10869"/>
      <c r="F10869"/>
      <c r="N10869" s="44"/>
    </row>
    <row r="10870" spans="1:14" x14ac:dyDescent="0.3">
      <c r="A10870" s="42"/>
      <c r="C10870" s="52"/>
      <c r="D10870"/>
      <c r="E10870"/>
      <c r="F10870"/>
      <c r="M10870" s="45"/>
      <c r="N10870" s="44"/>
    </row>
    <row r="10871" spans="1:14" x14ac:dyDescent="0.3">
      <c r="A10871" s="42"/>
      <c r="C10871" s="52"/>
      <c r="D10871"/>
      <c r="E10871"/>
      <c r="F10871"/>
      <c r="N10871" s="44"/>
    </row>
    <row r="10872" spans="1:14" x14ac:dyDescent="0.3">
      <c r="A10872" s="42"/>
      <c r="C10872" s="52"/>
      <c r="D10872"/>
      <c r="E10872"/>
      <c r="F10872"/>
      <c r="N10872" s="44"/>
    </row>
    <row r="10873" spans="1:14" x14ac:dyDescent="0.3">
      <c r="A10873" s="42"/>
      <c r="C10873" s="52"/>
      <c r="D10873"/>
      <c r="E10873"/>
      <c r="F10873"/>
      <c r="N10873" s="44"/>
    </row>
    <row r="10874" spans="1:14" x14ac:dyDescent="0.3">
      <c r="A10874" s="42"/>
      <c r="C10874" s="52"/>
      <c r="D10874"/>
      <c r="E10874"/>
      <c r="F10874"/>
      <c r="N10874" s="44"/>
    </row>
    <row r="10875" spans="1:14" x14ac:dyDescent="0.3">
      <c r="A10875" s="42"/>
      <c r="C10875" s="52"/>
      <c r="D10875"/>
      <c r="E10875"/>
      <c r="F10875"/>
      <c r="N10875" s="44"/>
    </row>
    <row r="10876" spans="1:14" x14ac:dyDescent="0.3">
      <c r="A10876" s="42"/>
      <c r="C10876" s="52"/>
      <c r="D10876"/>
      <c r="E10876"/>
      <c r="F10876"/>
      <c r="N10876" s="44"/>
    </row>
    <row r="10877" spans="1:14" x14ac:dyDescent="0.3">
      <c r="A10877" s="42"/>
      <c r="C10877" s="52"/>
      <c r="D10877"/>
      <c r="E10877"/>
      <c r="F10877"/>
      <c r="N10877" s="44"/>
    </row>
    <row r="10878" spans="1:14" x14ac:dyDescent="0.3">
      <c r="A10878" s="42"/>
      <c r="C10878" s="52"/>
      <c r="D10878"/>
      <c r="E10878"/>
      <c r="F10878"/>
      <c r="N10878" s="44"/>
    </row>
    <row r="10879" spans="1:14" x14ac:dyDescent="0.3">
      <c r="A10879" s="42"/>
      <c r="C10879" s="52"/>
      <c r="D10879"/>
      <c r="E10879"/>
      <c r="F10879"/>
      <c r="N10879" s="44"/>
    </row>
    <row r="10880" spans="1:14" x14ac:dyDescent="0.3">
      <c r="A10880" s="42"/>
      <c r="C10880" s="52"/>
      <c r="D10880"/>
      <c r="E10880"/>
      <c r="F10880"/>
      <c r="N10880" s="44"/>
    </row>
    <row r="10881" spans="1:14" x14ac:dyDescent="0.3">
      <c r="A10881" s="42"/>
      <c r="C10881" s="52"/>
      <c r="D10881"/>
      <c r="E10881"/>
      <c r="F10881"/>
      <c r="N10881" s="44"/>
    </row>
    <row r="10882" spans="1:14" x14ac:dyDescent="0.3">
      <c r="A10882" s="42"/>
      <c r="C10882" s="52"/>
      <c r="D10882"/>
      <c r="E10882"/>
      <c r="F10882"/>
      <c r="N10882" s="44"/>
    </row>
    <row r="10883" spans="1:14" x14ac:dyDescent="0.3">
      <c r="A10883" s="42"/>
      <c r="C10883" s="52"/>
      <c r="D10883"/>
      <c r="E10883"/>
      <c r="F10883"/>
      <c r="N10883" s="44"/>
    </row>
    <row r="10884" spans="1:14" x14ac:dyDescent="0.3">
      <c r="A10884" s="42"/>
      <c r="C10884" s="52"/>
      <c r="D10884"/>
      <c r="E10884"/>
      <c r="F10884"/>
      <c r="M10884" s="45"/>
      <c r="N10884" s="44"/>
    </row>
    <row r="10885" spans="1:14" x14ac:dyDescent="0.3">
      <c r="A10885" s="42"/>
      <c r="C10885" s="52"/>
      <c r="D10885"/>
      <c r="E10885"/>
      <c r="F10885"/>
      <c r="N10885" s="44"/>
    </row>
    <row r="10886" spans="1:14" x14ac:dyDescent="0.3">
      <c r="A10886" s="42"/>
      <c r="C10886" s="52"/>
      <c r="D10886"/>
      <c r="E10886"/>
      <c r="F10886"/>
      <c r="N10886" s="44"/>
    </row>
    <row r="10887" spans="1:14" x14ac:dyDescent="0.3">
      <c r="A10887" s="42"/>
      <c r="C10887" s="52"/>
      <c r="D10887"/>
      <c r="E10887"/>
      <c r="F10887"/>
      <c r="N10887" s="44"/>
    </row>
    <row r="10888" spans="1:14" x14ac:dyDescent="0.3">
      <c r="A10888" s="42"/>
      <c r="C10888" s="52"/>
      <c r="D10888"/>
      <c r="E10888"/>
      <c r="F10888"/>
      <c r="N10888" s="44"/>
    </row>
    <row r="10889" spans="1:14" x14ac:dyDescent="0.3">
      <c r="A10889" s="42"/>
      <c r="C10889" s="52"/>
      <c r="D10889"/>
      <c r="E10889"/>
      <c r="F10889"/>
      <c r="N10889" s="44"/>
    </row>
    <row r="10890" spans="1:14" x14ac:dyDescent="0.3">
      <c r="A10890" s="42"/>
      <c r="C10890" s="52"/>
      <c r="D10890"/>
      <c r="E10890"/>
      <c r="F10890"/>
      <c r="N10890" s="44"/>
    </row>
    <row r="10891" spans="1:14" x14ac:dyDescent="0.3">
      <c r="A10891" s="42"/>
      <c r="C10891" s="52"/>
      <c r="D10891"/>
      <c r="E10891"/>
      <c r="F10891"/>
      <c r="N10891" s="44"/>
    </row>
    <row r="10892" spans="1:14" x14ac:dyDescent="0.3">
      <c r="A10892" s="42"/>
      <c r="C10892" s="52"/>
      <c r="D10892"/>
      <c r="E10892"/>
      <c r="F10892"/>
      <c r="N10892" s="44"/>
    </row>
    <row r="10893" spans="1:14" x14ac:dyDescent="0.3">
      <c r="A10893" s="42"/>
      <c r="C10893" s="52"/>
      <c r="D10893"/>
      <c r="E10893"/>
      <c r="F10893"/>
      <c r="N10893" s="44"/>
    </row>
    <row r="10894" spans="1:14" x14ac:dyDescent="0.3">
      <c r="A10894" s="42"/>
      <c r="C10894" s="52"/>
      <c r="D10894"/>
      <c r="E10894"/>
      <c r="F10894"/>
      <c r="N10894" s="44"/>
    </row>
    <row r="10895" spans="1:14" x14ac:dyDescent="0.3">
      <c r="A10895" s="42"/>
      <c r="C10895" s="52"/>
      <c r="D10895"/>
      <c r="E10895"/>
      <c r="F10895"/>
      <c r="N10895" s="44"/>
    </row>
    <row r="10896" spans="1:14" x14ac:dyDescent="0.3">
      <c r="A10896" s="42"/>
      <c r="C10896" s="52"/>
      <c r="D10896"/>
      <c r="E10896"/>
      <c r="F10896"/>
      <c r="N10896" s="44"/>
    </row>
    <row r="10897" spans="1:14" x14ac:dyDescent="0.3">
      <c r="A10897" s="42"/>
      <c r="C10897" s="52"/>
      <c r="D10897"/>
      <c r="E10897"/>
      <c r="F10897"/>
      <c r="N10897" s="44"/>
    </row>
    <row r="10898" spans="1:14" x14ac:dyDescent="0.3">
      <c r="A10898" s="42"/>
      <c r="C10898" s="52"/>
      <c r="D10898"/>
      <c r="E10898"/>
      <c r="F10898"/>
      <c r="N10898" s="44"/>
    </row>
    <row r="10899" spans="1:14" x14ac:dyDescent="0.3">
      <c r="A10899" s="42"/>
      <c r="C10899" s="52"/>
      <c r="D10899"/>
      <c r="E10899"/>
      <c r="F10899"/>
      <c r="N10899" s="44"/>
    </row>
    <row r="10900" spans="1:14" x14ac:dyDescent="0.3">
      <c r="A10900" s="42"/>
      <c r="C10900" s="52"/>
      <c r="D10900"/>
      <c r="E10900"/>
      <c r="F10900"/>
      <c r="N10900" s="44"/>
    </row>
    <row r="10901" spans="1:14" x14ac:dyDescent="0.3">
      <c r="A10901" s="42"/>
      <c r="C10901" s="52"/>
      <c r="D10901"/>
      <c r="E10901"/>
      <c r="F10901"/>
      <c r="N10901" s="44"/>
    </row>
    <row r="10902" spans="1:14" x14ac:dyDescent="0.3">
      <c r="A10902" s="42"/>
      <c r="C10902" s="52"/>
      <c r="D10902"/>
      <c r="E10902"/>
      <c r="F10902"/>
      <c r="N10902" s="44"/>
    </row>
    <row r="10903" spans="1:14" x14ac:dyDescent="0.3">
      <c r="A10903" s="42"/>
      <c r="C10903" s="52"/>
      <c r="D10903"/>
      <c r="E10903"/>
      <c r="F10903"/>
      <c r="N10903" s="44"/>
    </row>
    <row r="10904" spans="1:14" x14ac:dyDescent="0.3">
      <c r="A10904" s="42"/>
      <c r="C10904" s="52"/>
      <c r="D10904"/>
      <c r="E10904"/>
      <c r="F10904"/>
      <c r="N10904" s="44"/>
    </row>
    <row r="10905" spans="1:14" x14ac:dyDescent="0.3">
      <c r="A10905" s="42"/>
      <c r="C10905" s="52"/>
      <c r="D10905"/>
      <c r="E10905"/>
      <c r="F10905"/>
      <c r="N10905" s="44"/>
    </row>
    <row r="10906" spans="1:14" x14ac:dyDescent="0.3">
      <c r="A10906" s="42"/>
      <c r="C10906" s="52"/>
      <c r="D10906"/>
      <c r="E10906"/>
      <c r="F10906"/>
      <c r="N10906" s="44"/>
    </row>
    <row r="10907" spans="1:14" x14ac:dyDescent="0.3">
      <c r="A10907" s="42"/>
      <c r="C10907" s="52"/>
      <c r="D10907"/>
      <c r="E10907"/>
      <c r="F10907"/>
      <c r="N10907" s="44"/>
    </row>
    <row r="10908" spans="1:14" x14ac:dyDescent="0.3">
      <c r="A10908" s="42"/>
      <c r="C10908" s="52"/>
      <c r="D10908"/>
      <c r="E10908"/>
      <c r="F10908"/>
      <c r="N10908" s="44"/>
    </row>
    <row r="10909" spans="1:14" x14ac:dyDescent="0.3">
      <c r="A10909" s="42"/>
      <c r="C10909" s="52"/>
      <c r="D10909"/>
      <c r="E10909"/>
      <c r="F10909"/>
      <c r="N10909" s="44"/>
    </row>
    <row r="10910" spans="1:14" x14ac:dyDescent="0.3">
      <c r="A10910" s="42"/>
      <c r="C10910" s="52"/>
      <c r="D10910"/>
      <c r="E10910"/>
      <c r="F10910"/>
      <c r="N10910" s="44"/>
    </row>
    <row r="10911" spans="1:14" x14ac:dyDescent="0.3">
      <c r="A10911" s="42"/>
      <c r="C10911" s="52"/>
      <c r="D10911"/>
      <c r="E10911"/>
      <c r="F10911"/>
      <c r="N10911" s="44"/>
    </row>
    <row r="10912" spans="1:14" x14ac:dyDescent="0.3">
      <c r="A10912" s="42"/>
      <c r="C10912" s="52"/>
      <c r="D10912"/>
      <c r="E10912"/>
      <c r="F10912"/>
      <c r="N10912" s="44"/>
    </row>
    <row r="10913" spans="1:14" x14ac:dyDescent="0.3">
      <c r="A10913" s="42"/>
      <c r="C10913" s="52"/>
      <c r="D10913"/>
      <c r="E10913"/>
      <c r="F10913"/>
      <c r="N10913" s="44"/>
    </row>
    <row r="10914" spans="1:14" x14ac:dyDescent="0.3">
      <c r="A10914" s="42"/>
      <c r="C10914" s="52"/>
      <c r="D10914"/>
      <c r="E10914"/>
      <c r="F10914"/>
      <c r="M10914" s="45"/>
      <c r="N10914" s="44"/>
    </row>
    <row r="10915" spans="1:14" x14ac:dyDescent="0.3">
      <c r="A10915" s="42"/>
      <c r="C10915" s="52"/>
      <c r="D10915"/>
      <c r="E10915"/>
      <c r="F10915"/>
      <c r="N10915" s="44"/>
    </row>
    <row r="10916" spans="1:14" x14ac:dyDescent="0.3">
      <c r="A10916" s="42"/>
      <c r="C10916" s="52"/>
      <c r="D10916"/>
      <c r="E10916"/>
      <c r="F10916"/>
      <c r="N10916" s="44"/>
    </row>
    <row r="10917" spans="1:14" x14ac:dyDescent="0.3">
      <c r="A10917" s="42"/>
      <c r="C10917" s="52"/>
      <c r="D10917"/>
      <c r="E10917"/>
      <c r="F10917"/>
      <c r="N10917" s="44"/>
    </row>
    <row r="10918" spans="1:14" x14ac:dyDescent="0.3">
      <c r="A10918" s="42"/>
      <c r="C10918" s="52"/>
      <c r="D10918"/>
      <c r="E10918"/>
      <c r="F10918"/>
      <c r="N10918" s="44"/>
    </row>
    <row r="10919" spans="1:14" x14ac:dyDescent="0.3">
      <c r="A10919" s="42"/>
      <c r="C10919" s="52"/>
      <c r="D10919"/>
      <c r="E10919"/>
      <c r="F10919"/>
      <c r="N10919" s="44"/>
    </row>
    <row r="10920" spans="1:14" x14ac:dyDescent="0.3">
      <c r="A10920" s="42"/>
      <c r="C10920" s="52"/>
      <c r="D10920"/>
      <c r="E10920"/>
      <c r="F10920"/>
      <c r="N10920" s="44"/>
    </row>
    <row r="10921" spans="1:14" x14ac:dyDescent="0.3">
      <c r="A10921" s="42"/>
      <c r="C10921" s="52"/>
      <c r="D10921"/>
      <c r="E10921"/>
      <c r="F10921"/>
      <c r="N10921" s="44"/>
    </row>
    <row r="10922" spans="1:14" x14ac:dyDescent="0.3">
      <c r="A10922" s="42"/>
      <c r="C10922" s="52"/>
      <c r="D10922"/>
      <c r="E10922"/>
      <c r="F10922"/>
      <c r="N10922" s="44"/>
    </row>
    <row r="10923" spans="1:14" x14ac:dyDescent="0.3">
      <c r="A10923" s="42"/>
      <c r="C10923" s="52"/>
      <c r="D10923"/>
      <c r="E10923"/>
      <c r="F10923"/>
      <c r="N10923" s="44"/>
    </row>
    <row r="10924" spans="1:14" x14ac:dyDescent="0.3">
      <c r="A10924" s="42"/>
      <c r="C10924" s="52"/>
      <c r="D10924"/>
      <c r="E10924"/>
      <c r="F10924"/>
      <c r="N10924" s="44"/>
    </row>
    <row r="10925" spans="1:14" x14ac:dyDescent="0.3">
      <c r="A10925" s="42"/>
      <c r="C10925" s="52"/>
      <c r="D10925"/>
      <c r="E10925"/>
      <c r="F10925"/>
      <c r="N10925" s="44"/>
    </row>
    <row r="10926" spans="1:14" x14ac:dyDescent="0.3">
      <c r="A10926" s="42"/>
      <c r="C10926" s="52"/>
      <c r="D10926"/>
      <c r="E10926"/>
      <c r="F10926"/>
      <c r="N10926" s="44"/>
    </row>
    <row r="10927" spans="1:14" x14ac:dyDescent="0.3">
      <c r="A10927" s="42"/>
      <c r="C10927" s="52"/>
      <c r="D10927"/>
      <c r="E10927"/>
      <c r="F10927"/>
      <c r="N10927" s="44"/>
    </row>
    <row r="10928" spans="1:14" x14ac:dyDescent="0.3">
      <c r="A10928" s="42"/>
      <c r="C10928" s="52"/>
      <c r="D10928"/>
      <c r="E10928"/>
      <c r="F10928"/>
      <c r="N10928" s="44"/>
    </row>
    <row r="10929" spans="1:14" x14ac:dyDescent="0.3">
      <c r="A10929" s="42"/>
      <c r="C10929" s="52"/>
      <c r="D10929"/>
      <c r="E10929"/>
      <c r="F10929"/>
      <c r="N10929" s="44"/>
    </row>
    <row r="10930" spans="1:14" x14ac:dyDescent="0.3">
      <c r="A10930" s="42"/>
      <c r="C10930" s="52"/>
      <c r="D10930"/>
      <c r="E10930"/>
      <c r="F10930"/>
      <c r="N10930" s="44"/>
    </row>
    <row r="10931" spans="1:14" x14ac:dyDescent="0.3">
      <c r="A10931" s="42"/>
      <c r="C10931" s="52"/>
      <c r="D10931"/>
      <c r="E10931"/>
      <c r="F10931"/>
      <c r="N10931" s="44"/>
    </row>
    <row r="10932" spans="1:14" x14ac:dyDescent="0.3">
      <c r="A10932" s="42"/>
      <c r="C10932" s="52"/>
      <c r="D10932"/>
      <c r="E10932"/>
      <c r="F10932"/>
      <c r="N10932" s="44"/>
    </row>
    <row r="10933" spans="1:14" x14ac:dyDescent="0.3">
      <c r="A10933" s="42"/>
      <c r="C10933" s="52"/>
      <c r="D10933"/>
      <c r="E10933"/>
      <c r="F10933"/>
      <c r="N10933" s="44"/>
    </row>
    <row r="10934" spans="1:14" x14ac:dyDescent="0.3">
      <c r="A10934" s="42"/>
      <c r="C10934" s="52"/>
      <c r="D10934"/>
      <c r="E10934"/>
      <c r="F10934"/>
      <c r="N10934" s="44"/>
    </row>
    <row r="10935" spans="1:14" x14ac:dyDescent="0.3">
      <c r="A10935" s="42"/>
      <c r="C10935" s="52"/>
      <c r="D10935"/>
      <c r="E10935"/>
      <c r="F10935"/>
      <c r="N10935" s="44"/>
    </row>
    <row r="10936" spans="1:14" x14ac:dyDescent="0.3">
      <c r="A10936" s="42"/>
      <c r="C10936" s="52"/>
      <c r="D10936"/>
      <c r="E10936"/>
      <c r="F10936"/>
      <c r="N10936" s="44"/>
    </row>
    <row r="10937" spans="1:14" x14ac:dyDescent="0.3">
      <c r="A10937" s="42"/>
      <c r="C10937" s="52"/>
      <c r="D10937"/>
      <c r="E10937"/>
      <c r="F10937"/>
      <c r="N10937" s="44"/>
    </row>
    <row r="10938" spans="1:14" x14ac:dyDescent="0.3">
      <c r="A10938" s="42"/>
      <c r="C10938" s="52"/>
      <c r="D10938"/>
      <c r="E10938"/>
      <c r="F10938"/>
      <c r="N10938" s="44"/>
    </row>
    <row r="10939" spans="1:14" x14ac:dyDescent="0.3">
      <c r="A10939" s="42"/>
      <c r="C10939" s="52"/>
      <c r="D10939"/>
      <c r="E10939"/>
      <c r="F10939"/>
      <c r="N10939" s="44"/>
    </row>
    <row r="10940" spans="1:14" x14ac:dyDescent="0.3">
      <c r="A10940" s="42"/>
      <c r="C10940" s="52"/>
      <c r="D10940"/>
      <c r="E10940"/>
      <c r="F10940"/>
      <c r="N10940" s="44"/>
    </row>
    <row r="10941" spans="1:14" x14ac:dyDescent="0.3">
      <c r="A10941" s="42"/>
      <c r="C10941" s="52"/>
      <c r="D10941"/>
      <c r="E10941"/>
      <c r="F10941"/>
      <c r="N10941" s="44"/>
    </row>
    <row r="10942" spans="1:14" x14ac:dyDescent="0.3">
      <c r="A10942" s="42"/>
      <c r="C10942" s="52"/>
      <c r="D10942"/>
      <c r="E10942"/>
      <c r="F10942"/>
      <c r="N10942" s="44"/>
    </row>
    <row r="10943" spans="1:14" x14ac:dyDescent="0.3">
      <c r="A10943" s="42"/>
      <c r="C10943" s="52"/>
      <c r="D10943"/>
      <c r="E10943"/>
      <c r="F10943"/>
      <c r="N10943" s="44"/>
    </row>
    <row r="10944" spans="1:14" x14ac:dyDescent="0.3">
      <c r="A10944" s="42"/>
      <c r="C10944" s="52"/>
      <c r="D10944"/>
      <c r="E10944"/>
      <c r="F10944"/>
      <c r="N10944" s="44"/>
    </row>
    <row r="10945" spans="1:14" x14ac:dyDescent="0.3">
      <c r="A10945" s="42"/>
      <c r="C10945" s="52"/>
      <c r="D10945"/>
      <c r="E10945"/>
      <c r="F10945"/>
      <c r="N10945" s="44"/>
    </row>
    <row r="10946" spans="1:14" x14ac:dyDescent="0.3">
      <c r="A10946" s="42"/>
      <c r="C10946" s="52"/>
      <c r="D10946"/>
      <c r="E10946"/>
      <c r="F10946"/>
      <c r="N10946" s="44"/>
    </row>
    <row r="10947" spans="1:14" x14ac:dyDescent="0.3">
      <c r="A10947" s="42"/>
      <c r="C10947" s="52"/>
      <c r="D10947"/>
      <c r="E10947"/>
      <c r="F10947"/>
      <c r="N10947" s="44"/>
    </row>
    <row r="10948" spans="1:14" x14ac:dyDescent="0.3">
      <c r="A10948" s="42"/>
      <c r="C10948" s="52"/>
      <c r="D10948"/>
      <c r="E10948"/>
      <c r="F10948"/>
      <c r="N10948" s="44"/>
    </row>
    <row r="10949" spans="1:14" x14ac:dyDescent="0.3">
      <c r="A10949" s="42"/>
      <c r="C10949" s="52"/>
      <c r="D10949"/>
      <c r="E10949"/>
      <c r="F10949"/>
      <c r="N10949" s="44"/>
    </row>
    <row r="10950" spans="1:14" x14ac:dyDescent="0.3">
      <c r="A10950" s="42"/>
      <c r="C10950" s="52"/>
      <c r="D10950"/>
      <c r="E10950"/>
      <c r="F10950"/>
      <c r="N10950" s="44"/>
    </row>
    <row r="10951" spans="1:14" x14ac:dyDescent="0.3">
      <c r="A10951" s="42"/>
      <c r="C10951" s="52"/>
      <c r="D10951"/>
      <c r="E10951"/>
      <c r="F10951"/>
      <c r="N10951" s="44"/>
    </row>
    <row r="10952" spans="1:14" x14ac:dyDescent="0.3">
      <c r="A10952" s="42"/>
      <c r="C10952" s="52"/>
      <c r="D10952"/>
      <c r="E10952"/>
      <c r="F10952"/>
      <c r="N10952" s="44"/>
    </row>
    <row r="10953" spans="1:14" x14ac:dyDescent="0.3">
      <c r="A10953" s="42"/>
      <c r="C10953" s="52"/>
      <c r="D10953"/>
      <c r="E10953"/>
      <c r="F10953"/>
      <c r="N10953" s="44"/>
    </row>
    <row r="10954" spans="1:14" x14ac:dyDescent="0.3">
      <c r="A10954" s="42"/>
      <c r="C10954" s="52"/>
      <c r="D10954"/>
      <c r="E10954"/>
      <c r="F10954"/>
      <c r="N10954" s="44"/>
    </row>
    <row r="10955" spans="1:14" x14ac:dyDescent="0.3">
      <c r="A10955" s="42"/>
      <c r="C10955" s="52"/>
      <c r="D10955"/>
      <c r="E10955"/>
      <c r="F10955"/>
      <c r="N10955" s="44"/>
    </row>
    <row r="10956" spans="1:14" x14ac:dyDescent="0.3">
      <c r="A10956" s="42"/>
      <c r="C10956" s="52"/>
      <c r="D10956"/>
      <c r="E10956"/>
      <c r="F10956"/>
      <c r="N10956" s="44"/>
    </row>
    <row r="10957" spans="1:14" x14ac:dyDescent="0.3">
      <c r="A10957" s="42"/>
      <c r="C10957" s="52"/>
      <c r="D10957"/>
      <c r="E10957"/>
      <c r="F10957"/>
      <c r="N10957" s="44"/>
    </row>
    <row r="10958" spans="1:14" x14ac:dyDescent="0.3">
      <c r="A10958" s="42"/>
      <c r="C10958" s="52"/>
      <c r="D10958"/>
      <c r="E10958"/>
      <c r="F10958"/>
      <c r="N10958" s="44"/>
    </row>
    <row r="10959" spans="1:14" x14ac:dyDescent="0.3">
      <c r="A10959" s="42"/>
      <c r="C10959" s="52"/>
      <c r="D10959"/>
      <c r="E10959"/>
      <c r="F10959"/>
      <c r="N10959" s="44"/>
    </row>
    <row r="10960" spans="1:14" x14ac:dyDescent="0.3">
      <c r="A10960" s="42"/>
      <c r="C10960" s="52"/>
      <c r="D10960"/>
      <c r="E10960"/>
      <c r="F10960"/>
      <c r="N10960" s="44"/>
    </row>
    <row r="10961" spans="1:14" x14ac:dyDescent="0.3">
      <c r="A10961" s="42"/>
      <c r="C10961" s="52"/>
      <c r="D10961"/>
      <c r="E10961"/>
      <c r="F10961"/>
      <c r="N10961" s="44"/>
    </row>
    <row r="10962" spans="1:14" x14ac:dyDescent="0.3">
      <c r="A10962" s="42"/>
      <c r="C10962" s="52"/>
      <c r="D10962"/>
      <c r="E10962"/>
      <c r="F10962"/>
      <c r="N10962" s="44"/>
    </row>
    <row r="10963" spans="1:14" x14ac:dyDescent="0.3">
      <c r="A10963" s="42"/>
      <c r="C10963" s="52"/>
      <c r="D10963"/>
      <c r="E10963"/>
      <c r="F10963"/>
      <c r="N10963" s="44"/>
    </row>
    <row r="10964" spans="1:14" x14ac:dyDescent="0.3">
      <c r="A10964" s="42"/>
      <c r="C10964" s="52"/>
      <c r="D10964"/>
      <c r="E10964"/>
      <c r="F10964"/>
      <c r="N10964" s="44"/>
    </row>
    <row r="10965" spans="1:14" x14ac:dyDescent="0.3">
      <c r="A10965" s="42"/>
      <c r="C10965" s="52"/>
      <c r="D10965"/>
      <c r="E10965"/>
      <c r="F10965"/>
      <c r="N10965" s="44"/>
    </row>
    <row r="10966" spans="1:14" x14ac:dyDescent="0.3">
      <c r="A10966" s="42"/>
      <c r="C10966" s="52"/>
      <c r="D10966"/>
      <c r="E10966"/>
      <c r="F10966"/>
      <c r="N10966" s="44"/>
    </row>
    <row r="10967" spans="1:14" x14ac:dyDescent="0.3">
      <c r="A10967" s="42"/>
      <c r="C10967" s="52"/>
      <c r="D10967"/>
      <c r="E10967"/>
      <c r="F10967"/>
      <c r="N10967" s="44"/>
    </row>
    <row r="10968" spans="1:14" x14ac:dyDescent="0.3">
      <c r="A10968" s="42"/>
      <c r="C10968" s="52"/>
      <c r="D10968"/>
      <c r="E10968"/>
      <c r="F10968"/>
      <c r="N10968" s="44"/>
    </row>
    <row r="10969" spans="1:14" x14ac:dyDescent="0.3">
      <c r="A10969" s="42"/>
      <c r="C10969" s="52"/>
      <c r="D10969"/>
      <c r="E10969"/>
      <c r="F10969"/>
      <c r="N10969" s="44"/>
    </row>
    <row r="10970" spans="1:14" x14ac:dyDescent="0.3">
      <c r="A10970" s="42"/>
      <c r="C10970" s="52"/>
      <c r="D10970"/>
      <c r="E10970"/>
      <c r="F10970"/>
      <c r="N10970" s="44"/>
    </row>
    <row r="10971" spans="1:14" x14ac:dyDescent="0.3">
      <c r="A10971" s="42"/>
      <c r="C10971" s="52"/>
      <c r="D10971"/>
      <c r="E10971"/>
      <c r="F10971"/>
      <c r="N10971" s="44"/>
    </row>
    <row r="10972" spans="1:14" x14ac:dyDescent="0.3">
      <c r="A10972" s="42"/>
      <c r="C10972" s="52"/>
      <c r="D10972"/>
      <c r="E10972"/>
      <c r="F10972"/>
      <c r="N10972" s="44"/>
    </row>
    <row r="10973" spans="1:14" x14ac:dyDescent="0.3">
      <c r="A10973" s="42"/>
      <c r="C10973" s="52"/>
      <c r="D10973"/>
      <c r="E10973"/>
      <c r="F10973"/>
      <c r="N10973" s="44"/>
    </row>
    <row r="10974" spans="1:14" x14ac:dyDescent="0.3">
      <c r="A10974" s="42"/>
      <c r="C10974" s="52"/>
      <c r="D10974"/>
      <c r="E10974"/>
      <c r="F10974"/>
      <c r="N10974" s="44"/>
    </row>
    <row r="10975" spans="1:14" x14ac:dyDescent="0.3">
      <c r="A10975" s="42"/>
      <c r="C10975" s="52"/>
      <c r="D10975"/>
      <c r="E10975"/>
      <c r="F10975"/>
      <c r="N10975" s="44"/>
    </row>
    <row r="10976" spans="1:14" x14ac:dyDescent="0.3">
      <c r="A10976" s="42"/>
      <c r="C10976" s="52"/>
      <c r="D10976"/>
      <c r="E10976"/>
      <c r="F10976"/>
      <c r="N10976" s="44"/>
    </row>
    <row r="10977" spans="1:14" x14ac:dyDescent="0.3">
      <c r="A10977" s="42"/>
      <c r="C10977" s="52"/>
      <c r="D10977"/>
      <c r="E10977"/>
      <c r="F10977"/>
      <c r="N10977" s="44"/>
    </row>
    <row r="10978" spans="1:14" x14ac:dyDescent="0.3">
      <c r="A10978" s="42"/>
      <c r="C10978" s="52"/>
      <c r="D10978"/>
      <c r="E10978"/>
      <c r="F10978"/>
      <c r="N10978" s="44"/>
    </row>
    <row r="10979" spans="1:14" x14ac:dyDescent="0.3">
      <c r="A10979" s="42"/>
      <c r="C10979" s="52"/>
      <c r="D10979"/>
      <c r="E10979"/>
      <c r="F10979"/>
      <c r="N10979" s="44"/>
    </row>
    <row r="10980" spans="1:14" x14ac:dyDescent="0.3">
      <c r="A10980" s="42"/>
      <c r="C10980" s="52"/>
      <c r="D10980"/>
      <c r="E10980"/>
      <c r="F10980"/>
      <c r="N10980" s="44"/>
    </row>
    <row r="10981" spans="1:14" x14ac:dyDescent="0.3">
      <c r="A10981" s="42"/>
      <c r="C10981" s="52"/>
      <c r="D10981"/>
      <c r="E10981"/>
      <c r="F10981"/>
      <c r="N10981" s="44"/>
    </row>
    <row r="10982" spans="1:14" x14ac:dyDescent="0.3">
      <c r="A10982" s="42"/>
      <c r="C10982" s="52"/>
      <c r="D10982"/>
      <c r="E10982"/>
      <c r="F10982"/>
      <c r="N10982" s="44"/>
    </row>
    <row r="10983" spans="1:14" x14ac:dyDescent="0.3">
      <c r="A10983" s="42"/>
      <c r="C10983" s="52"/>
      <c r="D10983"/>
      <c r="E10983"/>
      <c r="F10983"/>
      <c r="N10983" s="44"/>
    </row>
    <row r="10984" spans="1:14" x14ac:dyDescent="0.3">
      <c r="A10984" s="42"/>
      <c r="C10984" s="52"/>
      <c r="D10984"/>
      <c r="E10984"/>
      <c r="F10984"/>
      <c r="N10984" s="44"/>
    </row>
    <row r="10985" spans="1:14" x14ac:dyDescent="0.3">
      <c r="A10985" s="42"/>
      <c r="C10985" s="52"/>
      <c r="D10985"/>
      <c r="E10985"/>
      <c r="F10985"/>
      <c r="N10985" s="44"/>
    </row>
    <row r="10986" spans="1:14" x14ac:dyDescent="0.3">
      <c r="A10986" s="42"/>
      <c r="C10986" s="52"/>
      <c r="D10986"/>
      <c r="E10986"/>
      <c r="F10986"/>
      <c r="N10986" s="44"/>
    </row>
    <row r="10987" spans="1:14" x14ac:dyDescent="0.3">
      <c r="A10987" s="42"/>
      <c r="C10987" s="52"/>
      <c r="D10987"/>
      <c r="E10987"/>
      <c r="F10987"/>
      <c r="N10987" s="44"/>
    </row>
    <row r="10988" spans="1:14" x14ac:dyDescent="0.3">
      <c r="A10988" s="42"/>
      <c r="C10988" s="52"/>
      <c r="D10988"/>
      <c r="E10988"/>
      <c r="F10988"/>
      <c r="N10988" s="44"/>
    </row>
    <row r="10989" spans="1:14" x14ac:dyDescent="0.3">
      <c r="A10989" s="42"/>
      <c r="C10989" s="52"/>
      <c r="D10989"/>
      <c r="E10989"/>
      <c r="F10989"/>
      <c r="N10989" s="44"/>
    </row>
    <row r="10990" spans="1:14" x14ac:dyDescent="0.3">
      <c r="A10990" s="42"/>
      <c r="C10990" s="52"/>
      <c r="D10990"/>
      <c r="E10990"/>
      <c r="F10990"/>
      <c r="N10990" s="44"/>
    </row>
    <row r="10991" spans="1:14" x14ac:dyDescent="0.3">
      <c r="A10991" s="42"/>
      <c r="C10991" s="52"/>
      <c r="D10991"/>
      <c r="E10991"/>
      <c r="F10991"/>
      <c r="N10991" s="44"/>
    </row>
    <row r="10992" spans="1:14" x14ac:dyDescent="0.3">
      <c r="A10992" s="42"/>
      <c r="C10992" s="52"/>
      <c r="D10992"/>
      <c r="E10992"/>
      <c r="F10992"/>
      <c r="N10992" s="44"/>
    </row>
    <row r="10993" spans="1:14" x14ac:dyDescent="0.3">
      <c r="A10993" s="42"/>
      <c r="C10993" s="52"/>
      <c r="D10993"/>
      <c r="E10993"/>
      <c r="F10993"/>
      <c r="N10993" s="44"/>
    </row>
    <row r="10994" spans="1:14" x14ac:dyDescent="0.3">
      <c r="A10994" s="42"/>
      <c r="C10994" s="52"/>
      <c r="D10994"/>
      <c r="E10994"/>
      <c r="F10994"/>
      <c r="N10994" s="44"/>
    </row>
    <row r="10995" spans="1:14" x14ac:dyDescent="0.3">
      <c r="A10995" s="42"/>
      <c r="C10995" s="52"/>
      <c r="D10995"/>
      <c r="E10995"/>
      <c r="F10995"/>
      <c r="N10995" s="44"/>
    </row>
    <row r="10996" spans="1:14" x14ac:dyDescent="0.3">
      <c r="A10996" s="42"/>
      <c r="C10996" s="52"/>
      <c r="D10996"/>
      <c r="E10996"/>
      <c r="F10996"/>
      <c r="N10996" s="44"/>
    </row>
    <row r="10997" spans="1:14" x14ac:dyDescent="0.3">
      <c r="A10997" s="42"/>
      <c r="C10997" s="52"/>
      <c r="D10997"/>
      <c r="E10997"/>
      <c r="F10997"/>
      <c r="N10997" s="44"/>
    </row>
    <row r="10998" spans="1:14" x14ac:dyDescent="0.3">
      <c r="A10998" s="42"/>
      <c r="C10998" s="52"/>
      <c r="D10998"/>
      <c r="E10998"/>
      <c r="F10998"/>
      <c r="N10998" s="44"/>
    </row>
    <row r="10999" spans="1:14" x14ac:dyDescent="0.3">
      <c r="A10999" s="42"/>
      <c r="C10999" s="52"/>
      <c r="D10999"/>
      <c r="E10999"/>
      <c r="F10999"/>
      <c r="N10999" s="44"/>
    </row>
    <row r="11000" spans="1:14" x14ac:dyDescent="0.3">
      <c r="A11000" s="42"/>
      <c r="C11000" s="52"/>
      <c r="D11000"/>
      <c r="E11000"/>
      <c r="F11000"/>
      <c r="N11000" s="44"/>
    </row>
    <row r="11001" spans="1:14" x14ac:dyDescent="0.3">
      <c r="A11001" s="42"/>
      <c r="C11001" s="52"/>
      <c r="D11001"/>
      <c r="E11001"/>
      <c r="F11001"/>
      <c r="N11001" s="44"/>
    </row>
    <row r="11002" spans="1:14" x14ac:dyDescent="0.3">
      <c r="A11002" s="42"/>
      <c r="C11002" s="52"/>
      <c r="D11002"/>
      <c r="E11002"/>
      <c r="F11002"/>
      <c r="N11002" s="44"/>
    </row>
    <row r="11003" spans="1:14" x14ac:dyDescent="0.3">
      <c r="A11003" s="42"/>
      <c r="C11003" s="52"/>
      <c r="D11003"/>
      <c r="E11003"/>
      <c r="F11003"/>
      <c r="N11003" s="44"/>
    </row>
    <row r="11004" spans="1:14" x14ac:dyDescent="0.3">
      <c r="A11004" s="42"/>
      <c r="C11004" s="52"/>
      <c r="D11004"/>
      <c r="E11004"/>
      <c r="F11004"/>
      <c r="N11004" s="44"/>
    </row>
    <row r="11005" spans="1:14" x14ac:dyDescent="0.3">
      <c r="A11005" s="42"/>
      <c r="C11005" s="52"/>
      <c r="D11005"/>
      <c r="E11005"/>
      <c r="F11005"/>
      <c r="N11005" s="44"/>
    </row>
    <row r="11006" spans="1:14" x14ac:dyDescent="0.3">
      <c r="A11006" s="42"/>
      <c r="C11006" s="52"/>
      <c r="D11006"/>
      <c r="E11006"/>
      <c r="F11006"/>
      <c r="N11006" s="44"/>
    </row>
    <row r="11007" spans="1:14" x14ac:dyDescent="0.3">
      <c r="A11007" s="42"/>
      <c r="C11007" s="52"/>
      <c r="D11007"/>
      <c r="E11007"/>
      <c r="F11007"/>
      <c r="N11007" s="44"/>
    </row>
    <row r="11008" spans="1:14" x14ac:dyDescent="0.3">
      <c r="A11008" s="42"/>
      <c r="C11008" s="52"/>
      <c r="D11008"/>
      <c r="E11008"/>
      <c r="F11008"/>
      <c r="N11008" s="44"/>
    </row>
    <row r="11009" spans="1:14" x14ac:dyDescent="0.3">
      <c r="A11009" s="42"/>
      <c r="C11009" s="52"/>
      <c r="D11009"/>
      <c r="E11009"/>
      <c r="F11009"/>
      <c r="N11009" s="44"/>
    </row>
    <row r="11010" spans="1:14" x14ac:dyDescent="0.3">
      <c r="A11010" s="42"/>
      <c r="C11010" s="52"/>
      <c r="D11010"/>
      <c r="E11010"/>
      <c r="F11010"/>
      <c r="N11010" s="44"/>
    </row>
    <row r="11011" spans="1:14" x14ac:dyDescent="0.3">
      <c r="A11011" s="42"/>
      <c r="C11011" s="52"/>
      <c r="D11011"/>
      <c r="E11011"/>
      <c r="F11011"/>
      <c r="N11011" s="44"/>
    </row>
    <row r="11012" spans="1:14" x14ac:dyDescent="0.3">
      <c r="A11012" s="42"/>
      <c r="C11012" s="52"/>
      <c r="D11012"/>
      <c r="E11012"/>
      <c r="F11012"/>
      <c r="N11012" s="44"/>
    </row>
    <row r="11013" spans="1:14" x14ac:dyDescent="0.3">
      <c r="A11013" s="42"/>
      <c r="C11013" s="52"/>
      <c r="D11013"/>
      <c r="E11013"/>
      <c r="F11013"/>
      <c r="N11013" s="44"/>
    </row>
    <row r="11014" spans="1:14" x14ac:dyDescent="0.3">
      <c r="A11014" s="42"/>
      <c r="C11014" s="52"/>
      <c r="D11014"/>
      <c r="E11014"/>
      <c r="F11014"/>
      <c r="N11014" s="44"/>
    </row>
    <row r="11015" spans="1:14" x14ac:dyDescent="0.3">
      <c r="A11015" s="42"/>
      <c r="C11015" s="52"/>
      <c r="D11015"/>
      <c r="E11015"/>
      <c r="F11015"/>
      <c r="N11015" s="44"/>
    </row>
    <row r="11016" spans="1:14" x14ac:dyDescent="0.3">
      <c r="A11016" s="42"/>
      <c r="C11016" s="52"/>
      <c r="D11016"/>
      <c r="E11016"/>
      <c r="F11016"/>
      <c r="N11016" s="44"/>
    </row>
    <row r="11017" spans="1:14" x14ac:dyDescent="0.3">
      <c r="A11017" s="42"/>
      <c r="C11017" s="52"/>
      <c r="D11017"/>
      <c r="E11017"/>
      <c r="F11017"/>
      <c r="N11017" s="44"/>
    </row>
    <row r="11018" spans="1:14" x14ac:dyDescent="0.3">
      <c r="A11018" s="42"/>
      <c r="C11018" s="52"/>
      <c r="D11018"/>
      <c r="E11018"/>
      <c r="F11018"/>
      <c r="N11018" s="44"/>
    </row>
    <row r="11019" spans="1:14" x14ac:dyDescent="0.3">
      <c r="A11019" s="42"/>
      <c r="C11019" s="52"/>
      <c r="D11019"/>
      <c r="E11019"/>
      <c r="F11019"/>
      <c r="N11019" s="44"/>
    </row>
    <row r="11020" spans="1:14" x14ac:dyDescent="0.3">
      <c r="A11020" s="42"/>
      <c r="C11020" s="52"/>
      <c r="D11020"/>
      <c r="E11020"/>
      <c r="F11020"/>
      <c r="N11020" s="44"/>
    </row>
    <row r="11021" spans="1:14" x14ac:dyDescent="0.3">
      <c r="A11021" s="42"/>
      <c r="C11021" s="52"/>
      <c r="D11021"/>
      <c r="E11021"/>
      <c r="F11021"/>
      <c r="N11021" s="44"/>
    </row>
    <row r="11022" spans="1:14" x14ac:dyDescent="0.3">
      <c r="A11022" s="42"/>
      <c r="C11022" s="52"/>
      <c r="D11022"/>
      <c r="E11022"/>
      <c r="F11022"/>
      <c r="N11022" s="44"/>
    </row>
    <row r="11023" spans="1:14" x14ac:dyDescent="0.3">
      <c r="A11023" s="42"/>
      <c r="C11023" s="52"/>
      <c r="D11023"/>
      <c r="E11023"/>
      <c r="F11023"/>
      <c r="N11023" s="44"/>
    </row>
    <row r="11024" spans="1:14" x14ac:dyDescent="0.3">
      <c r="A11024" s="42"/>
      <c r="C11024" s="52"/>
      <c r="D11024"/>
      <c r="E11024"/>
      <c r="F11024"/>
      <c r="N11024" s="44"/>
    </row>
    <row r="11025" spans="1:14" x14ac:dyDescent="0.3">
      <c r="A11025" s="42"/>
      <c r="C11025" s="52"/>
      <c r="D11025"/>
      <c r="E11025"/>
      <c r="F11025"/>
      <c r="N11025" s="44"/>
    </row>
    <row r="11026" spans="1:14" x14ac:dyDescent="0.3">
      <c r="A11026" s="42"/>
      <c r="C11026" s="52"/>
      <c r="D11026"/>
      <c r="E11026"/>
      <c r="F11026"/>
      <c r="N11026" s="44"/>
    </row>
    <row r="11027" spans="1:14" x14ac:dyDescent="0.3">
      <c r="A11027" s="42"/>
      <c r="C11027" s="52"/>
      <c r="D11027"/>
      <c r="E11027"/>
      <c r="F11027"/>
      <c r="N11027" s="44"/>
    </row>
    <row r="11028" spans="1:14" x14ac:dyDescent="0.3">
      <c r="A11028" s="42"/>
      <c r="C11028" s="52"/>
      <c r="D11028"/>
      <c r="E11028"/>
      <c r="F11028"/>
      <c r="N11028" s="44"/>
    </row>
    <row r="11029" spans="1:14" x14ac:dyDescent="0.3">
      <c r="A11029" s="42"/>
      <c r="C11029" s="52"/>
      <c r="D11029"/>
      <c r="E11029"/>
      <c r="F11029"/>
      <c r="N11029" s="44"/>
    </row>
    <row r="11030" spans="1:14" x14ac:dyDescent="0.3">
      <c r="A11030" s="42"/>
      <c r="C11030" s="52"/>
      <c r="D11030"/>
      <c r="E11030"/>
      <c r="F11030"/>
      <c r="N11030" s="44"/>
    </row>
    <row r="11031" spans="1:14" x14ac:dyDescent="0.3">
      <c r="A11031" s="42"/>
      <c r="C11031" s="52"/>
      <c r="D11031"/>
      <c r="E11031"/>
      <c r="F11031"/>
      <c r="N11031" s="44"/>
    </row>
    <row r="11032" spans="1:14" x14ac:dyDescent="0.3">
      <c r="A11032" s="42"/>
      <c r="C11032" s="52"/>
      <c r="D11032"/>
      <c r="E11032"/>
      <c r="F11032"/>
      <c r="N11032" s="44"/>
    </row>
    <row r="11033" spans="1:14" x14ac:dyDescent="0.3">
      <c r="A11033" s="42"/>
      <c r="C11033" s="52"/>
      <c r="D11033"/>
      <c r="E11033"/>
      <c r="F11033"/>
      <c r="N11033" s="44"/>
    </row>
    <row r="11034" spans="1:14" x14ac:dyDescent="0.3">
      <c r="A11034" s="42"/>
      <c r="C11034" s="52"/>
      <c r="D11034"/>
      <c r="E11034"/>
      <c r="F11034"/>
      <c r="N11034" s="44"/>
    </row>
    <row r="11035" spans="1:14" x14ac:dyDescent="0.3">
      <c r="A11035" s="42"/>
      <c r="C11035" s="52"/>
      <c r="D11035"/>
      <c r="E11035"/>
      <c r="F11035"/>
      <c r="N11035" s="44"/>
    </row>
    <row r="11036" spans="1:14" x14ac:dyDescent="0.3">
      <c r="A11036" s="42"/>
      <c r="C11036" s="52"/>
      <c r="D11036"/>
      <c r="E11036"/>
      <c r="F11036"/>
      <c r="N11036" s="44"/>
    </row>
    <row r="11037" spans="1:14" x14ac:dyDescent="0.3">
      <c r="A11037" s="42"/>
      <c r="C11037" s="52"/>
      <c r="D11037"/>
      <c r="E11037"/>
      <c r="F11037"/>
      <c r="N11037" s="44"/>
    </row>
    <row r="11038" spans="1:14" x14ac:dyDescent="0.3">
      <c r="A11038" s="42"/>
      <c r="C11038" s="52"/>
      <c r="D11038"/>
      <c r="E11038"/>
      <c r="F11038"/>
      <c r="N11038" s="44"/>
    </row>
    <row r="11039" spans="1:14" x14ac:dyDescent="0.3">
      <c r="A11039" s="42"/>
      <c r="C11039" s="52"/>
      <c r="D11039"/>
      <c r="E11039"/>
      <c r="F11039"/>
      <c r="N11039" s="44"/>
    </row>
    <row r="11040" spans="1:14" x14ac:dyDescent="0.3">
      <c r="A11040" s="42"/>
      <c r="C11040" s="52"/>
      <c r="D11040"/>
      <c r="E11040"/>
      <c r="F11040"/>
      <c r="N11040" s="44"/>
    </row>
    <row r="11041" spans="1:14" x14ac:dyDescent="0.3">
      <c r="A11041" s="42"/>
      <c r="C11041" s="52"/>
      <c r="D11041"/>
      <c r="E11041"/>
      <c r="F11041"/>
      <c r="N11041" s="44"/>
    </row>
    <row r="11042" spans="1:14" x14ac:dyDescent="0.3">
      <c r="A11042" s="42"/>
      <c r="C11042" s="52"/>
      <c r="D11042"/>
      <c r="E11042"/>
      <c r="F11042"/>
      <c r="N11042" s="44"/>
    </row>
    <row r="11043" spans="1:14" x14ac:dyDescent="0.3">
      <c r="A11043" s="42"/>
      <c r="C11043" s="52"/>
      <c r="D11043"/>
      <c r="E11043"/>
      <c r="F11043"/>
      <c r="N11043" s="44"/>
    </row>
    <row r="11044" spans="1:14" x14ac:dyDescent="0.3">
      <c r="A11044" s="42"/>
      <c r="C11044" s="52"/>
      <c r="D11044"/>
      <c r="E11044"/>
      <c r="F11044"/>
      <c r="N11044" s="44"/>
    </row>
    <row r="11045" spans="1:14" x14ac:dyDescent="0.3">
      <c r="A11045" s="42"/>
      <c r="C11045" s="52"/>
      <c r="D11045"/>
      <c r="E11045"/>
      <c r="F11045"/>
      <c r="N11045" s="44"/>
    </row>
    <row r="11046" spans="1:14" x14ac:dyDescent="0.3">
      <c r="A11046" s="42"/>
      <c r="C11046" s="52"/>
      <c r="D11046"/>
      <c r="E11046"/>
      <c r="F11046"/>
      <c r="N11046" s="44"/>
    </row>
    <row r="11047" spans="1:14" x14ac:dyDescent="0.3">
      <c r="A11047" s="42"/>
      <c r="C11047" s="52"/>
      <c r="D11047"/>
      <c r="E11047"/>
      <c r="F11047"/>
      <c r="N11047" s="44"/>
    </row>
    <row r="11048" spans="1:14" x14ac:dyDescent="0.3">
      <c r="A11048" s="42"/>
      <c r="C11048" s="52"/>
      <c r="D11048"/>
      <c r="E11048"/>
      <c r="F11048"/>
      <c r="N11048" s="44"/>
    </row>
    <row r="11049" spans="1:14" x14ac:dyDescent="0.3">
      <c r="A11049" s="42"/>
      <c r="C11049" s="52"/>
      <c r="D11049"/>
      <c r="E11049"/>
      <c r="F11049"/>
      <c r="N11049" s="44"/>
    </row>
    <row r="11050" spans="1:14" x14ac:dyDescent="0.3">
      <c r="A11050" s="42"/>
      <c r="C11050" s="52"/>
      <c r="D11050"/>
      <c r="E11050"/>
      <c r="F11050"/>
      <c r="N11050" s="44"/>
    </row>
    <row r="11051" spans="1:14" x14ac:dyDescent="0.3">
      <c r="A11051" s="42"/>
      <c r="C11051" s="52"/>
      <c r="D11051"/>
      <c r="E11051"/>
      <c r="F11051"/>
      <c r="N11051" s="44"/>
    </row>
    <row r="11052" spans="1:14" x14ac:dyDescent="0.3">
      <c r="A11052" s="42"/>
      <c r="C11052" s="52"/>
      <c r="D11052"/>
      <c r="E11052"/>
      <c r="F11052"/>
      <c r="N11052" s="44"/>
    </row>
    <row r="11053" spans="1:14" x14ac:dyDescent="0.3">
      <c r="A11053" s="42"/>
      <c r="C11053" s="52"/>
      <c r="D11053"/>
      <c r="E11053"/>
      <c r="F11053"/>
      <c r="N11053" s="44"/>
    </row>
    <row r="11054" spans="1:14" x14ac:dyDescent="0.3">
      <c r="A11054" s="42"/>
      <c r="C11054" s="52"/>
      <c r="D11054"/>
      <c r="E11054"/>
      <c r="F11054"/>
      <c r="N11054" s="44"/>
    </row>
    <row r="11055" spans="1:14" x14ac:dyDescent="0.3">
      <c r="A11055" s="42"/>
      <c r="C11055" s="52"/>
      <c r="D11055"/>
      <c r="E11055"/>
      <c r="F11055"/>
      <c r="N11055" s="44"/>
    </row>
    <row r="11056" spans="1:14" x14ac:dyDescent="0.3">
      <c r="A11056" s="42"/>
      <c r="C11056" s="52"/>
      <c r="D11056"/>
      <c r="E11056"/>
      <c r="F11056"/>
      <c r="N11056" s="44"/>
    </row>
    <row r="11057" spans="1:14" x14ac:dyDescent="0.3">
      <c r="A11057" s="42"/>
      <c r="C11057" s="52"/>
      <c r="D11057"/>
      <c r="E11057"/>
      <c r="F11057"/>
      <c r="N11057" s="44"/>
    </row>
    <row r="11058" spans="1:14" x14ac:dyDescent="0.3">
      <c r="A11058" s="42"/>
      <c r="C11058" s="52"/>
      <c r="D11058"/>
      <c r="E11058"/>
      <c r="F11058"/>
      <c r="N11058" s="44"/>
    </row>
    <row r="11059" spans="1:14" x14ac:dyDescent="0.3">
      <c r="A11059" s="42"/>
      <c r="C11059" s="52"/>
      <c r="D11059"/>
      <c r="E11059"/>
      <c r="F11059"/>
      <c r="N11059" s="44"/>
    </row>
    <row r="11060" spans="1:14" x14ac:dyDescent="0.3">
      <c r="A11060" s="42"/>
      <c r="C11060" s="52"/>
      <c r="D11060"/>
      <c r="E11060"/>
      <c r="F11060"/>
      <c r="N11060" s="44"/>
    </row>
    <row r="11061" spans="1:14" x14ac:dyDescent="0.3">
      <c r="A11061" s="42"/>
      <c r="C11061" s="52"/>
      <c r="D11061"/>
      <c r="E11061"/>
      <c r="F11061"/>
      <c r="N11061" s="44"/>
    </row>
    <row r="11062" spans="1:14" x14ac:dyDescent="0.3">
      <c r="A11062" s="42"/>
      <c r="C11062" s="52"/>
      <c r="D11062"/>
      <c r="E11062"/>
      <c r="F11062"/>
      <c r="N11062" s="44"/>
    </row>
    <row r="11063" spans="1:14" x14ac:dyDescent="0.3">
      <c r="A11063" s="42"/>
      <c r="C11063" s="52"/>
      <c r="D11063"/>
      <c r="E11063"/>
      <c r="F11063"/>
      <c r="N11063" s="44"/>
    </row>
    <row r="11064" spans="1:14" x14ac:dyDescent="0.3">
      <c r="A11064" s="42"/>
      <c r="C11064" s="52"/>
      <c r="D11064"/>
      <c r="E11064"/>
      <c r="F11064"/>
      <c r="N11064" s="44"/>
    </row>
    <row r="11065" spans="1:14" x14ac:dyDescent="0.3">
      <c r="A11065" s="42"/>
      <c r="C11065" s="52"/>
      <c r="D11065"/>
      <c r="E11065"/>
      <c r="F11065"/>
      <c r="N11065" s="44"/>
    </row>
    <row r="11066" spans="1:14" x14ac:dyDescent="0.3">
      <c r="A11066" s="42"/>
      <c r="C11066" s="52"/>
      <c r="D11066"/>
      <c r="E11066"/>
      <c r="F11066"/>
      <c r="N11066" s="44"/>
    </row>
    <row r="11067" spans="1:14" x14ac:dyDescent="0.3">
      <c r="A11067" s="42"/>
      <c r="C11067" s="52"/>
      <c r="D11067"/>
      <c r="E11067"/>
      <c r="F11067"/>
      <c r="N11067" s="44"/>
    </row>
    <row r="11068" spans="1:14" x14ac:dyDescent="0.3">
      <c r="A11068" s="42"/>
      <c r="C11068" s="52"/>
      <c r="D11068"/>
      <c r="E11068"/>
      <c r="F11068"/>
      <c r="N11068" s="44"/>
    </row>
    <row r="11069" spans="1:14" x14ac:dyDescent="0.3">
      <c r="A11069" s="42"/>
      <c r="C11069" s="52"/>
      <c r="D11069"/>
      <c r="E11069"/>
      <c r="F11069"/>
      <c r="N11069" s="44"/>
    </row>
    <row r="11070" spans="1:14" x14ac:dyDescent="0.3">
      <c r="A11070" s="42"/>
      <c r="C11070" s="52"/>
      <c r="D11070"/>
      <c r="E11070"/>
      <c r="F11070"/>
      <c r="N11070" s="44"/>
    </row>
    <row r="11071" spans="1:14" x14ac:dyDescent="0.3">
      <c r="A11071" s="42"/>
      <c r="C11071" s="52"/>
      <c r="D11071"/>
      <c r="E11071"/>
      <c r="F11071"/>
      <c r="N11071" s="44"/>
    </row>
    <row r="11072" spans="1:14" x14ac:dyDescent="0.3">
      <c r="A11072" s="42"/>
      <c r="C11072" s="52"/>
      <c r="D11072"/>
      <c r="E11072"/>
      <c r="F11072"/>
      <c r="N11072" s="44"/>
    </row>
    <row r="11073" spans="1:14" x14ac:dyDescent="0.3">
      <c r="A11073" s="42"/>
      <c r="C11073" s="52"/>
      <c r="D11073"/>
      <c r="E11073"/>
      <c r="F11073"/>
      <c r="N11073" s="44"/>
    </row>
    <row r="11074" spans="1:14" x14ac:dyDescent="0.3">
      <c r="A11074" s="42"/>
      <c r="C11074" s="52"/>
      <c r="D11074"/>
      <c r="E11074"/>
      <c r="F11074"/>
      <c r="N11074" s="44"/>
    </row>
    <row r="11075" spans="1:14" x14ac:dyDescent="0.3">
      <c r="A11075" s="42"/>
      <c r="C11075" s="52"/>
      <c r="D11075"/>
      <c r="E11075"/>
      <c r="F11075"/>
      <c r="N11075" s="44"/>
    </row>
    <row r="11076" spans="1:14" x14ac:dyDescent="0.3">
      <c r="A11076" s="42"/>
      <c r="C11076" s="52"/>
      <c r="D11076"/>
      <c r="E11076"/>
      <c r="F11076"/>
      <c r="N11076" s="44"/>
    </row>
    <row r="11077" spans="1:14" x14ac:dyDescent="0.3">
      <c r="A11077" s="42"/>
      <c r="C11077" s="52"/>
      <c r="D11077"/>
      <c r="E11077"/>
      <c r="F11077"/>
      <c r="N11077" s="44"/>
    </row>
    <row r="11078" spans="1:14" x14ac:dyDescent="0.3">
      <c r="A11078" s="42"/>
      <c r="C11078" s="52"/>
      <c r="D11078"/>
      <c r="E11078"/>
      <c r="F11078"/>
      <c r="N11078" s="44"/>
    </row>
    <row r="11079" spans="1:14" x14ac:dyDescent="0.3">
      <c r="A11079" s="42"/>
      <c r="C11079" s="52"/>
      <c r="D11079"/>
      <c r="E11079"/>
      <c r="F11079"/>
      <c r="N11079" s="44"/>
    </row>
    <row r="11080" spans="1:14" x14ac:dyDescent="0.3">
      <c r="A11080" s="42"/>
      <c r="C11080" s="52"/>
      <c r="D11080"/>
      <c r="E11080"/>
      <c r="F11080"/>
      <c r="N11080" s="44"/>
    </row>
    <row r="11081" spans="1:14" x14ac:dyDescent="0.3">
      <c r="A11081" s="42"/>
      <c r="C11081" s="52"/>
      <c r="D11081"/>
      <c r="E11081"/>
      <c r="F11081"/>
      <c r="N11081" s="44"/>
    </row>
    <row r="11082" spans="1:14" x14ac:dyDescent="0.3">
      <c r="A11082" s="42"/>
      <c r="C11082" s="52"/>
      <c r="D11082"/>
      <c r="E11082"/>
      <c r="F11082"/>
      <c r="N11082" s="44"/>
    </row>
    <row r="11083" spans="1:14" x14ac:dyDescent="0.3">
      <c r="A11083" s="42"/>
      <c r="C11083" s="52"/>
      <c r="D11083"/>
      <c r="E11083"/>
      <c r="F11083"/>
      <c r="N11083" s="44"/>
    </row>
    <row r="11084" spans="1:14" x14ac:dyDescent="0.3">
      <c r="A11084" s="42"/>
      <c r="C11084" s="52"/>
      <c r="D11084"/>
      <c r="E11084"/>
      <c r="F11084"/>
      <c r="N11084" s="44"/>
    </row>
    <row r="11085" spans="1:14" x14ac:dyDescent="0.3">
      <c r="A11085" s="42"/>
      <c r="C11085" s="52"/>
      <c r="D11085"/>
      <c r="E11085"/>
      <c r="F11085"/>
      <c r="N11085" s="44"/>
    </row>
    <row r="11086" spans="1:14" x14ac:dyDescent="0.3">
      <c r="A11086" s="42"/>
      <c r="C11086" s="52"/>
      <c r="D11086"/>
      <c r="E11086"/>
      <c r="F11086"/>
      <c r="N11086" s="44"/>
    </row>
    <row r="11087" spans="1:14" x14ac:dyDescent="0.3">
      <c r="A11087" s="42"/>
      <c r="C11087" s="52"/>
      <c r="D11087"/>
      <c r="E11087"/>
      <c r="F11087"/>
      <c r="N11087" s="44"/>
    </row>
    <row r="11088" spans="1:14" x14ac:dyDescent="0.3">
      <c r="A11088" s="42"/>
      <c r="C11088" s="52"/>
      <c r="D11088"/>
      <c r="E11088"/>
      <c r="F11088"/>
      <c r="N11088" s="44"/>
    </row>
    <row r="11089" spans="1:14" x14ac:dyDescent="0.3">
      <c r="A11089" s="42"/>
      <c r="C11089" s="52"/>
      <c r="D11089"/>
      <c r="E11089"/>
      <c r="F11089"/>
      <c r="N11089" s="44"/>
    </row>
    <row r="11090" spans="1:14" x14ac:dyDescent="0.3">
      <c r="A11090" s="42"/>
      <c r="C11090" s="52"/>
      <c r="D11090"/>
      <c r="E11090"/>
      <c r="F11090"/>
      <c r="N11090" s="44"/>
    </row>
    <row r="11091" spans="1:14" x14ac:dyDescent="0.3">
      <c r="A11091" s="42"/>
      <c r="C11091" s="52"/>
      <c r="D11091"/>
      <c r="E11091"/>
      <c r="F11091"/>
      <c r="N11091" s="44"/>
    </row>
    <row r="11092" spans="1:14" x14ac:dyDescent="0.3">
      <c r="A11092" s="42"/>
      <c r="C11092" s="52"/>
      <c r="D11092"/>
      <c r="E11092"/>
      <c r="F11092"/>
      <c r="N11092" s="44"/>
    </row>
    <row r="11093" spans="1:14" x14ac:dyDescent="0.3">
      <c r="A11093" s="42"/>
      <c r="C11093" s="52"/>
      <c r="D11093"/>
      <c r="E11093"/>
      <c r="F11093"/>
      <c r="N11093" s="44"/>
    </row>
    <row r="11094" spans="1:14" x14ac:dyDescent="0.3">
      <c r="A11094" s="42"/>
      <c r="C11094" s="52"/>
      <c r="D11094"/>
      <c r="E11094"/>
      <c r="F11094"/>
      <c r="N11094" s="44"/>
    </row>
    <row r="11095" spans="1:14" x14ac:dyDescent="0.3">
      <c r="A11095" s="42"/>
      <c r="C11095" s="52"/>
      <c r="D11095"/>
      <c r="E11095"/>
      <c r="F11095"/>
      <c r="N11095" s="44"/>
    </row>
    <row r="11096" spans="1:14" x14ac:dyDescent="0.3">
      <c r="A11096" s="42"/>
      <c r="C11096" s="52"/>
      <c r="D11096"/>
      <c r="E11096"/>
      <c r="F11096"/>
      <c r="N11096" s="44"/>
    </row>
    <row r="11097" spans="1:14" x14ac:dyDescent="0.3">
      <c r="A11097" s="42"/>
      <c r="C11097" s="52"/>
      <c r="D11097"/>
      <c r="E11097"/>
      <c r="F11097"/>
      <c r="N11097" s="44"/>
    </row>
    <row r="11098" spans="1:14" x14ac:dyDescent="0.3">
      <c r="A11098" s="42"/>
      <c r="C11098" s="52"/>
      <c r="D11098"/>
      <c r="E11098"/>
      <c r="F11098"/>
      <c r="N11098" s="44"/>
    </row>
    <row r="11099" spans="1:14" x14ac:dyDescent="0.3">
      <c r="A11099" s="42"/>
      <c r="C11099" s="52"/>
      <c r="D11099"/>
      <c r="E11099"/>
      <c r="F11099"/>
      <c r="N11099" s="44"/>
    </row>
    <row r="11100" spans="1:14" x14ac:dyDescent="0.3">
      <c r="A11100" s="42"/>
      <c r="C11100" s="52"/>
      <c r="D11100"/>
      <c r="E11100"/>
      <c r="F11100"/>
      <c r="N11100" s="44"/>
    </row>
    <row r="11101" spans="1:14" x14ac:dyDescent="0.3">
      <c r="A11101" s="42"/>
      <c r="C11101" s="52"/>
      <c r="D11101"/>
      <c r="E11101"/>
      <c r="F11101"/>
      <c r="N11101" s="44"/>
    </row>
    <row r="11102" spans="1:14" x14ac:dyDescent="0.3">
      <c r="A11102" s="42"/>
      <c r="C11102" s="52"/>
      <c r="D11102"/>
      <c r="E11102"/>
      <c r="F11102"/>
      <c r="N11102" s="44"/>
    </row>
    <row r="11103" spans="1:14" x14ac:dyDescent="0.3">
      <c r="A11103" s="42"/>
      <c r="C11103" s="52"/>
      <c r="D11103"/>
      <c r="E11103"/>
      <c r="F11103"/>
      <c r="N11103" s="44"/>
    </row>
    <row r="11104" spans="1:14" x14ac:dyDescent="0.3">
      <c r="A11104" s="42"/>
      <c r="C11104" s="52"/>
      <c r="D11104"/>
      <c r="E11104"/>
      <c r="F11104"/>
      <c r="N11104" s="44"/>
    </row>
    <row r="11105" spans="1:14" x14ac:dyDescent="0.3">
      <c r="A11105" s="42"/>
      <c r="C11105" s="52"/>
      <c r="D11105"/>
      <c r="E11105"/>
      <c r="F11105"/>
      <c r="N11105" s="44"/>
    </row>
    <row r="11106" spans="1:14" x14ac:dyDescent="0.3">
      <c r="A11106" s="42"/>
      <c r="C11106" s="52"/>
      <c r="D11106"/>
      <c r="E11106"/>
      <c r="F11106"/>
      <c r="N11106" s="44"/>
    </row>
    <row r="11107" spans="1:14" x14ac:dyDescent="0.3">
      <c r="A11107" s="42"/>
      <c r="C11107" s="52"/>
      <c r="D11107"/>
      <c r="E11107"/>
      <c r="F11107"/>
      <c r="N11107" s="44"/>
    </row>
    <row r="11108" spans="1:14" x14ac:dyDescent="0.3">
      <c r="A11108" s="42"/>
      <c r="C11108" s="52"/>
      <c r="D11108"/>
      <c r="E11108"/>
      <c r="F11108"/>
      <c r="N11108" s="44"/>
    </row>
    <row r="11109" spans="1:14" x14ac:dyDescent="0.3">
      <c r="A11109" s="42"/>
      <c r="C11109" s="52"/>
      <c r="D11109"/>
      <c r="E11109"/>
      <c r="F11109"/>
      <c r="N11109" s="44"/>
    </row>
    <row r="11110" spans="1:14" x14ac:dyDescent="0.3">
      <c r="A11110" s="42"/>
      <c r="C11110" s="52"/>
      <c r="D11110"/>
      <c r="E11110"/>
      <c r="F11110"/>
      <c r="N11110" s="44"/>
    </row>
    <row r="11111" spans="1:14" x14ac:dyDescent="0.3">
      <c r="A11111" s="42"/>
      <c r="C11111" s="52"/>
      <c r="D11111"/>
      <c r="E11111"/>
      <c r="F11111"/>
      <c r="N11111" s="44"/>
    </row>
    <row r="11112" spans="1:14" x14ac:dyDescent="0.3">
      <c r="A11112" s="42"/>
      <c r="C11112" s="52"/>
      <c r="D11112"/>
      <c r="E11112"/>
      <c r="F11112"/>
      <c r="N11112" s="44"/>
    </row>
    <row r="11113" spans="1:14" x14ac:dyDescent="0.3">
      <c r="A11113" s="42"/>
      <c r="C11113" s="52"/>
      <c r="D11113"/>
      <c r="E11113"/>
      <c r="F11113"/>
      <c r="N11113" s="44"/>
    </row>
    <row r="11114" spans="1:14" x14ac:dyDescent="0.3">
      <c r="A11114" s="42"/>
      <c r="C11114" s="52"/>
      <c r="D11114"/>
      <c r="E11114"/>
      <c r="F11114"/>
      <c r="N11114" s="44"/>
    </row>
    <row r="11115" spans="1:14" x14ac:dyDescent="0.3">
      <c r="A11115" s="42"/>
      <c r="C11115" s="52"/>
      <c r="D11115"/>
      <c r="E11115"/>
      <c r="F11115"/>
      <c r="N11115" s="44"/>
    </row>
    <row r="11116" spans="1:14" x14ac:dyDescent="0.3">
      <c r="A11116" s="42"/>
      <c r="C11116" s="52"/>
      <c r="D11116"/>
      <c r="E11116"/>
      <c r="F11116"/>
      <c r="N11116" s="44"/>
    </row>
    <row r="11117" spans="1:14" x14ac:dyDescent="0.3">
      <c r="A11117" s="42"/>
      <c r="C11117" s="52"/>
      <c r="D11117"/>
      <c r="E11117"/>
      <c r="F11117"/>
      <c r="N11117" s="44"/>
    </row>
    <row r="11118" spans="1:14" x14ac:dyDescent="0.3">
      <c r="A11118" s="42"/>
      <c r="C11118" s="52"/>
      <c r="D11118"/>
      <c r="E11118"/>
      <c r="F11118"/>
      <c r="N11118" s="44"/>
    </row>
    <row r="11119" spans="1:14" x14ac:dyDescent="0.3">
      <c r="A11119" s="42"/>
      <c r="C11119" s="52"/>
      <c r="D11119"/>
      <c r="E11119"/>
      <c r="F11119"/>
      <c r="N11119" s="44"/>
    </row>
    <row r="11120" spans="1:14" x14ac:dyDescent="0.3">
      <c r="A11120" s="42"/>
      <c r="C11120" s="52"/>
      <c r="D11120"/>
      <c r="E11120"/>
      <c r="F11120"/>
      <c r="N11120" s="44"/>
    </row>
    <row r="11121" spans="1:14" x14ac:dyDescent="0.3">
      <c r="A11121" s="42"/>
      <c r="C11121" s="52"/>
      <c r="D11121"/>
      <c r="E11121"/>
      <c r="F11121"/>
      <c r="N11121" s="44"/>
    </row>
    <row r="11122" spans="1:14" x14ac:dyDescent="0.3">
      <c r="A11122" s="42"/>
      <c r="C11122" s="52"/>
      <c r="D11122"/>
      <c r="E11122"/>
      <c r="F11122"/>
      <c r="N11122" s="44"/>
    </row>
    <row r="11123" spans="1:14" x14ac:dyDescent="0.3">
      <c r="A11123" s="42"/>
      <c r="C11123" s="52"/>
      <c r="D11123"/>
      <c r="E11123"/>
      <c r="F11123"/>
      <c r="N11123" s="44"/>
    </row>
    <row r="11124" spans="1:14" x14ac:dyDescent="0.3">
      <c r="A11124" s="42"/>
      <c r="C11124" s="52"/>
      <c r="D11124"/>
      <c r="E11124"/>
      <c r="F11124"/>
      <c r="N11124" s="44"/>
    </row>
    <row r="11125" spans="1:14" x14ac:dyDescent="0.3">
      <c r="A11125" s="42"/>
      <c r="C11125" s="52"/>
      <c r="D11125"/>
      <c r="E11125"/>
      <c r="F11125"/>
      <c r="N11125" s="44"/>
    </row>
    <row r="11126" spans="1:14" x14ac:dyDescent="0.3">
      <c r="A11126" s="42"/>
      <c r="C11126" s="52"/>
      <c r="D11126"/>
      <c r="E11126"/>
      <c r="F11126"/>
      <c r="N11126" s="44"/>
    </row>
    <row r="11127" spans="1:14" x14ac:dyDescent="0.3">
      <c r="A11127" s="42"/>
      <c r="C11127" s="52"/>
      <c r="D11127"/>
      <c r="E11127"/>
      <c r="F11127"/>
      <c r="N11127" s="44"/>
    </row>
    <row r="11128" spans="1:14" x14ac:dyDescent="0.3">
      <c r="A11128" s="42"/>
      <c r="C11128" s="52"/>
      <c r="D11128"/>
      <c r="E11128"/>
      <c r="F11128"/>
      <c r="N11128" s="44"/>
    </row>
    <row r="11129" spans="1:14" x14ac:dyDescent="0.3">
      <c r="A11129" s="42"/>
      <c r="C11129" s="52"/>
      <c r="D11129"/>
      <c r="E11129"/>
      <c r="F11129"/>
      <c r="N11129" s="44"/>
    </row>
    <row r="11130" spans="1:14" x14ac:dyDescent="0.3">
      <c r="A11130" s="42"/>
      <c r="C11130" s="52"/>
      <c r="D11130"/>
      <c r="E11130"/>
      <c r="F11130"/>
      <c r="N11130" s="44"/>
    </row>
    <row r="11131" spans="1:14" x14ac:dyDescent="0.3">
      <c r="A11131" s="42"/>
      <c r="C11131" s="52"/>
      <c r="D11131"/>
      <c r="E11131"/>
      <c r="F11131"/>
      <c r="M11131" s="45"/>
      <c r="N11131" s="44"/>
    </row>
    <row r="11132" spans="1:14" x14ac:dyDescent="0.3">
      <c r="A11132" s="42"/>
      <c r="C11132" s="52"/>
      <c r="D11132"/>
      <c r="E11132"/>
      <c r="F11132"/>
      <c r="N11132" s="44"/>
    </row>
    <row r="11133" spans="1:14" x14ac:dyDescent="0.3">
      <c r="A11133" s="42"/>
      <c r="C11133" s="52"/>
      <c r="D11133"/>
      <c r="E11133"/>
      <c r="F11133"/>
      <c r="N11133" s="44"/>
    </row>
    <row r="11134" spans="1:14" x14ac:dyDescent="0.3">
      <c r="A11134" s="42"/>
      <c r="C11134" s="52"/>
      <c r="D11134"/>
      <c r="E11134"/>
      <c r="F11134"/>
      <c r="N11134" s="44"/>
    </row>
    <row r="11135" spans="1:14" x14ac:dyDescent="0.3">
      <c r="A11135" s="42"/>
      <c r="C11135" s="52"/>
      <c r="D11135"/>
      <c r="E11135"/>
      <c r="F11135"/>
      <c r="N11135" s="44"/>
    </row>
    <row r="11136" spans="1:14" x14ac:dyDescent="0.3">
      <c r="A11136" s="42"/>
      <c r="C11136" s="52"/>
      <c r="D11136"/>
      <c r="E11136"/>
      <c r="F11136"/>
      <c r="N11136" s="44"/>
    </row>
    <row r="11137" spans="1:14" x14ac:dyDescent="0.3">
      <c r="A11137" s="42"/>
      <c r="C11137" s="52"/>
      <c r="D11137"/>
      <c r="E11137"/>
      <c r="F11137"/>
      <c r="N11137" s="44"/>
    </row>
    <row r="11138" spans="1:14" x14ac:dyDescent="0.3">
      <c r="A11138" s="42"/>
      <c r="C11138" s="52"/>
      <c r="D11138"/>
      <c r="E11138"/>
      <c r="F11138"/>
      <c r="N11138" s="44"/>
    </row>
    <row r="11139" spans="1:14" x14ac:dyDescent="0.3">
      <c r="A11139" s="42"/>
      <c r="C11139" s="52"/>
      <c r="D11139"/>
      <c r="E11139"/>
      <c r="F11139"/>
      <c r="N11139" s="44"/>
    </row>
    <row r="11140" spans="1:14" x14ac:dyDescent="0.3">
      <c r="A11140" s="42"/>
      <c r="C11140" s="52"/>
      <c r="D11140"/>
      <c r="E11140"/>
      <c r="F11140"/>
      <c r="N11140" s="44"/>
    </row>
    <row r="11141" spans="1:14" x14ac:dyDescent="0.3">
      <c r="A11141" s="42"/>
      <c r="C11141" s="52"/>
      <c r="D11141"/>
      <c r="E11141"/>
      <c r="F11141"/>
      <c r="N11141" s="44"/>
    </row>
    <row r="11142" spans="1:14" x14ac:dyDescent="0.3">
      <c r="A11142" s="42"/>
      <c r="C11142" s="52"/>
      <c r="D11142"/>
      <c r="E11142"/>
      <c r="F11142"/>
      <c r="N11142" s="44"/>
    </row>
    <row r="11143" spans="1:14" x14ac:dyDescent="0.3">
      <c r="A11143" s="42"/>
      <c r="C11143" s="52"/>
      <c r="D11143"/>
      <c r="E11143"/>
      <c r="F11143"/>
      <c r="N11143" s="44"/>
    </row>
    <row r="11144" spans="1:14" x14ac:dyDescent="0.3">
      <c r="A11144" s="42"/>
      <c r="C11144" s="52"/>
      <c r="D11144"/>
      <c r="E11144"/>
      <c r="F11144"/>
      <c r="N11144" s="44"/>
    </row>
    <row r="11145" spans="1:14" x14ac:dyDescent="0.3">
      <c r="A11145" s="42"/>
      <c r="C11145" s="52"/>
      <c r="D11145"/>
      <c r="E11145"/>
      <c r="F11145"/>
      <c r="N11145" s="44"/>
    </row>
    <row r="11146" spans="1:14" x14ac:dyDescent="0.3">
      <c r="A11146" s="42"/>
      <c r="C11146" s="52"/>
      <c r="D11146"/>
      <c r="E11146"/>
      <c r="F11146"/>
      <c r="N11146" s="44"/>
    </row>
    <row r="11147" spans="1:14" x14ac:dyDescent="0.3">
      <c r="A11147" s="42"/>
      <c r="C11147" s="52"/>
      <c r="D11147"/>
      <c r="E11147"/>
      <c r="F11147"/>
      <c r="N11147" s="44"/>
    </row>
    <row r="11148" spans="1:14" x14ac:dyDescent="0.3">
      <c r="A11148" s="42"/>
      <c r="C11148" s="52"/>
      <c r="D11148"/>
      <c r="E11148"/>
      <c r="F11148"/>
      <c r="N11148" s="44"/>
    </row>
    <row r="11149" spans="1:14" x14ac:dyDescent="0.3">
      <c r="A11149" s="42"/>
      <c r="C11149" s="52"/>
      <c r="D11149"/>
      <c r="E11149"/>
      <c r="F11149"/>
      <c r="N11149" s="44"/>
    </row>
    <row r="11150" spans="1:14" x14ac:dyDescent="0.3">
      <c r="A11150" s="42"/>
      <c r="C11150" s="52"/>
      <c r="D11150"/>
      <c r="E11150"/>
      <c r="F11150"/>
      <c r="N11150" s="44"/>
    </row>
    <row r="11151" spans="1:14" x14ac:dyDescent="0.3">
      <c r="A11151" s="42"/>
      <c r="C11151" s="52"/>
      <c r="D11151"/>
      <c r="E11151"/>
      <c r="F11151"/>
      <c r="N11151" s="44"/>
    </row>
    <row r="11152" spans="1:14" x14ac:dyDescent="0.3">
      <c r="A11152" s="42"/>
      <c r="C11152" s="52"/>
      <c r="D11152"/>
      <c r="E11152"/>
      <c r="F11152"/>
      <c r="N11152" s="44"/>
    </row>
    <row r="11153" spans="1:14" x14ac:dyDescent="0.3">
      <c r="A11153" s="42"/>
      <c r="C11153" s="52"/>
      <c r="D11153"/>
      <c r="E11153"/>
      <c r="F11153"/>
      <c r="N11153" s="44"/>
    </row>
    <row r="11154" spans="1:14" x14ac:dyDescent="0.3">
      <c r="A11154" s="42"/>
      <c r="C11154" s="52"/>
      <c r="D11154"/>
      <c r="E11154"/>
      <c r="F11154"/>
      <c r="N11154" s="44"/>
    </row>
    <row r="11155" spans="1:14" x14ac:dyDescent="0.3">
      <c r="A11155" s="42"/>
      <c r="C11155" s="52"/>
      <c r="D11155"/>
      <c r="E11155"/>
      <c r="F11155"/>
      <c r="N11155" s="44"/>
    </row>
    <row r="11156" spans="1:14" x14ac:dyDescent="0.3">
      <c r="A11156" s="42"/>
      <c r="C11156" s="52"/>
      <c r="D11156"/>
      <c r="E11156"/>
      <c r="F11156"/>
      <c r="N11156" s="44"/>
    </row>
    <row r="11157" spans="1:14" x14ac:dyDescent="0.3">
      <c r="A11157" s="42"/>
      <c r="C11157" s="52"/>
      <c r="D11157"/>
      <c r="E11157"/>
      <c r="F11157"/>
      <c r="N11157" s="44"/>
    </row>
    <row r="11158" spans="1:14" x14ac:dyDescent="0.3">
      <c r="A11158" s="42"/>
      <c r="C11158" s="52"/>
      <c r="D11158"/>
      <c r="E11158"/>
      <c r="F11158"/>
      <c r="N11158" s="44"/>
    </row>
    <row r="11159" spans="1:14" x14ac:dyDescent="0.3">
      <c r="A11159" s="42"/>
      <c r="C11159" s="52"/>
      <c r="D11159"/>
      <c r="E11159"/>
      <c r="F11159"/>
      <c r="N11159" s="44"/>
    </row>
    <row r="11160" spans="1:14" x14ac:dyDescent="0.3">
      <c r="A11160" s="42"/>
      <c r="C11160" s="52"/>
      <c r="D11160"/>
      <c r="E11160"/>
      <c r="F11160"/>
      <c r="N11160" s="44"/>
    </row>
    <row r="11161" spans="1:14" x14ac:dyDescent="0.3">
      <c r="A11161" s="42"/>
      <c r="C11161" s="52"/>
      <c r="D11161"/>
      <c r="E11161"/>
      <c r="F11161"/>
      <c r="N11161" s="44"/>
    </row>
    <row r="11162" spans="1:14" x14ac:dyDescent="0.3">
      <c r="A11162" s="42"/>
      <c r="C11162" s="52"/>
      <c r="D11162"/>
      <c r="E11162"/>
      <c r="F11162"/>
      <c r="N11162" s="44"/>
    </row>
    <row r="11163" spans="1:14" x14ac:dyDescent="0.3">
      <c r="A11163" s="42"/>
      <c r="C11163" s="52"/>
      <c r="D11163"/>
      <c r="E11163"/>
      <c r="F11163"/>
      <c r="N11163" s="44"/>
    </row>
    <row r="11164" spans="1:14" x14ac:dyDescent="0.3">
      <c r="A11164" s="42"/>
      <c r="C11164" s="52"/>
      <c r="D11164"/>
      <c r="E11164"/>
      <c r="F11164"/>
      <c r="N11164" s="44"/>
    </row>
    <row r="11165" spans="1:14" x14ac:dyDescent="0.3">
      <c r="A11165" s="42"/>
      <c r="C11165" s="52"/>
      <c r="D11165"/>
      <c r="E11165"/>
      <c r="F11165"/>
      <c r="N11165" s="44"/>
    </row>
    <row r="11166" spans="1:14" x14ac:dyDescent="0.3">
      <c r="A11166" s="42"/>
      <c r="C11166" s="52"/>
      <c r="D11166"/>
      <c r="E11166"/>
      <c r="F11166"/>
      <c r="N11166" s="44"/>
    </row>
    <row r="11167" spans="1:14" x14ac:dyDescent="0.3">
      <c r="A11167" s="42"/>
      <c r="C11167" s="52"/>
      <c r="D11167"/>
      <c r="E11167"/>
      <c r="F11167"/>
      <c r="N11167" s="44"/>
    </row>
    <row r="11168" spans="1:14" x14ac:dyDescent="0.3">
      <c r="A11168" s="42"/>
      <c r="C11168" s="52"/>
      <c r="D11168"/>
      <c r="E11168"/>
      <c r="F11168"/>
      <c r="N11168" s="44"/>
    </row>
    <row r="11169" spans="1:14" x14ac:dyDescent="0.3">
      <c r="A11169" s="42"/>
      <c r="C11169" s="52"/>
      <c r="D11169"/>
      <c r="E11169"/>
      <c r="F11169"/>
      <c r="N11169" s="44"/>
    </row>
    <row r="11170" spans="1:14" x14ac:dyDescent="0.3">
      <c r="A11170" s="42"/>
      <c r="C11170" s="52"/>
      <c r="D11170"/>
      <c r="E11170"/>
      <c r="F11170"/>
      <c r="N11170" s="44"/>
    </row>
    <row r="11171" spans="1:14" x14ac:dyDescent="0.3">
      <c r="A11171" s="42"/>
      <c r="C11171" s="52"/>
      <c r="D11171"/>
      <c r="E11171"/>
      <c r="F11171"/>
      <c r="N11171" s="44"/>
    </row>
    <row r="11172" spans="1:14" x14ac:dyDescent="0.3">
      <c r="A11172" s="42"/>
      <c r="C11172" s="52"/>
      <c r="D11172"/>
      <c r="E11172"/>
      <c r="F11172"/>
      <c r="N11172" s="44"/>
    </row>
    <row r="11173" spans="1:14" x14ac:dyDescent="0.3">
      <c r="A11173" s="42"/>
      <c r="C11173" s="52"/>
      <c r="D11173"/>
      <c r="E11173"/>
      <c r="F11173"/>
      <c r="N11173" s="44"/>
    </row>
    <row r="11174" spans="1:14" x14ac:dyDescent="0.3">
      <c r="A11174" s="42"/>
      <c r="C11174" s="52"/>
      <c r="D11174"/>
      <c r="E11174"/>
      <c r="F11174"/>
      <c r="N11174" s="44"/>
    </row>
    <row r="11175" spans="1:14" x14ac:dyDescent="0.3">
      <c r="A11175" s="42"/>
      <c r="C11175" s="52"/>
      <c r="D11175"/>
      <c r="E11175"/>
      <c r="F11175"/>
      <c r="N11175" s="44"/>
    </row>
    <row r="11176" spans="1:14" x14ac:dyDescent="0.3">
      <c r="A11176" s="42"/>
      <c r="C11176" s="52"/>
      <c r="D11176"/>
      <c r="E11176"/>
      <c r="F11176"/>
      <c r="N11176" s="44"/>
    </row>
    <row r="11177" spans="1:14" x14ac:dyDescent="0.3">
      <c r="A11177" s="42"/>
      <c r="C11177" s="52"/>
      <c r="D11177"/>
      <c r="E11177"/>
      <c r="F11177"/>
      <c r="N11177" s="44"/>
    </row>
    <row r="11178" spans="1:14" x14ac:dyDescent="0.3">
      <c r="A11178" s="42"/>
      <c r="C11178" s="52"/>
      <c r="D11178"/>
      <c r="E11178"/>
      <c r="F11178"/>
      <c r="N11178" s="44"/>
    </row>
    <row r="11179" spans="1:14" x14ac:dyDescent="0.3">
      <c r="A11179" s="42"/>
      <c r="C11179" s="52"/>
      <c r="D11179"/>
      <c r="E11179"/>
      <c r="F11179"/>
      <c r="N11179" s="44"/>
    </row>
    <row r="11180" spans="1:14" x14ac:dyDescent="0.3">
      <c r="A11180" s="42"/>
      <c r="C11180" s="52"/>
      <c r="D11180"/>
      <c r="E11180"/>
      <c r="F11180"/>
      <c r="N11180" s="44"/>
    </row>
    <row r="11181" spans="1:14" x14ac:dyDescent="0.3">
      <c r="A11181" s="42"/>
      <c r="C11181" s="52"/>
      <c r="D11181"/>
      <c r="E11181"/>
      <c r="F11181"/>
      <c r="N11181" s="44"/>
    </row>
    <row r="11182" spans="1:14" x14ac:dyDescent="0.3">
      <c r="A11182" s="42"/>
      <c r="C11182" s="52"/>
      <c r="D11182"/>
      <c r="E11182"/>
      <c r="F11182"/>
      <c r="N11182" s="44"/>
    </row>
    <row r="11183" spans="1:14" x14ac:dyDescent="0.3">
      <c r="A11183" s="42"/>
      <c r="C11183" s="52"/>
      <c r="D11183"/>
      <c r="E11183"/>
      <c r="F11183"/>
      <c r="N11183" s="44"/>
    </row>
    <row r="11184" spans="1:14" x14ac:dyDescent="0.3">
      <c r="A11184" s="42"/>
      <c r="C11184" s="52"/>
      <c r="D11184"/>
      <c r="E11184"/>
      <c r="F11184"/>
      <c r="N11184" s="44"/>
    </row>
    <row r="11185" spans="1:14" x14ac:dyDescent="0.3">
      <c r="A11185" s="42"/>
      <c r="C11185" s="52"/>
      <c r="D11185"/>
      <c r="E11185"/>
      <c r="F11185"/>
      <c r="N11185" s="44"/>
    </row>
    <row r="11186" spans="1:14" x14ac:dyDescent="0.3">
      <c r="A11186" s="42"/>
      <c r="C11186" s="52"/>
      <c r="D11186"/>
      <c r="E11186"/>
      <c r="F11186"/>
      <c r="N11186" s="44"/>
    </row>
    <row r="11187" spans="1:14" x14ac:dyDescent="0.3">
      <c r="A11187" s="42"/>
      <c r="C11187" s="52"/>
      <c r="D11187"/>
      <c r="E11187"/>
      <c r="F11187"/>
      <c r="N11187" s="44"/>
    </row>
    <row r="11188" spans="1:14" x14ac:dyDescent="0.3">
      <c r="A11188" s="42"/>
      <c r="C11188" s="52"/>
      <c r="D11188"/>
      <c r="E11188"/>
      <c r="F11188"/>
      <c r="N11188" s="44"/>
    </row>
    <row r="11189" spans="1:14" x14ac:dyDescent="0.3">
      <c r="A11189" s="42"/>
      <c r="C11189" s="52"/>
      <c r="D11189"/>
      <c r="E11189"/>
      <c r="F11189"/>
      <c r="N11189" s="44"/>
    </row>
    <row r="11190" spans="1:14" x14ac:dyDescent="0.3">
      <c r="A11190" s="42"/>
      <c r="C11190" s="52"/>
      <c r="D11190"/>
      <c r="E11190"/>
      <c r="F11190"/>
      <c r="N11190" s="44"/>
    </row>
    <row r="11191" spans="1:14" x14ac:dyDescent="0.3">
      <c r="A11191" s="42"/>
      <c r="C11191" s="52"/>
      <c r="D11191"/>
      <c r="E11191"/>
      <c r="F11191"/>
      <c r="N11191" s="44"/>
    </row>
    <row r="11192" spans="1:14" x14ac:dyDescent="0.3">
      <c r="A11192" s="42"/>
      <c r="C11192" s="52"/>
      <c r="D11192"/>
      <c r="E11192"/>
      <c r="F11192"/>
      <c r="N11192" s="44"/>
    </row>
    <row r="11193" spans="1:14" x14ac:dyDescent="0.3">
      <c r="A11193" s="42"/>
      <c r="C11193" s="52"/>
      <c r="D11193"/>
      <c r="E11193"/>
      <c r="F11193"/>
      <c r="N11193" s="44"/>
    </row>
    <row r="11194" spans="1:14" x14ac:dyDescent="0.3">
      <c r="A11194" s="42"/>
      <c r="C11194" s="52"/>
      <c r="D11194"/>
      <c r="E11194"/>
      <c r="F11194"/>
      <c r="N11194" s="44"/>
    </row>
    <row r="11195" spans="1:14" x14ac:dyDescent="0.3">
      <c r="A11195" s="42"/>
      <c r="C11195" s="52"/>
      <c r="D11195"/>
      <c r="E11195"/>
      <c r="F11195"/>
      <c r="N11195" s="44"/>
    </row>
    <row r="11196" spans="1:14" x14ac:dyDescent="0.3">
      <c r="A11196" s="42"/>
      <c r="C11196" s="52"/>
      <c r="D11196"/>
      <c r="E11196"/>
      <c r="F11196"/>
      <c r="N11196" s="44"/>
    </row>
    <row r="11197" spans="1:14" x14ac:dyDescent="0.3">
      <c r="A11197" s="42"/>
      <c r="C11197" s="52"/>
      <c r="D11197"/>
      <c r="E11197"/>
      <c r="F11197"/>
      <c r="N11197" s="44"/>
    </row>
    <row r="11198" spans="1:14" x14ac:dyDescent="0.3">
      <c r="A11198" s="42"/>
      <c r="C11198" s="52"/>
      <c r="D11198"/>
      <c r="E11198"/>
      <c r="F11198"/>
      <c r="N11198" s="44"/>
    </row>
    <row r="11199" spans="1:14" x14ac:dyDescent="0.3">
      <c r="A11199" s="42"/>
      <c r="C11199" s="52"/>
      <c r="D11199"/>
      <c r="E11199"/>
      <c r="F11199"/>
      <c r="N11199" s="44"/>
    </row>
    <row r="11200" spans="1:14" x14ac:dyDescent="0.3">
      <c r="A11200" s="42"/>
      <c r="C11200" s="52"/>
      <c r="D11200"/>
      <c r="E11200"/>
      <c r="F11200"/>
      <c r="N11200" s="44"/>
    </row>
    <row r="11201" spans="1:14" x14ac:dyDescent="0.3">
      <c r="A11201" s="42"/>
      <c r="C11201" s="52"/>
      <c r="D11201"/>
      <c r="E11201"/>
      <c r="F11201"/>
      <c r="N11201" s="44"/>
    </row>
    <row r="11202" spans="1:14" x14ac:dyDescent="0.3">
      <c r="A11202" s="42"/>
      <c r="C11202" s="52"/>
      <c r="D11202"/>
      <c r="E11202"/>
      <c r="F11202"/>
      <c r="N11202" s="44"/>
    </row>
    <row r="11203" spans="1:14" x14ac:dyDescent="0.3">
      <c r="A11203" s="42"/>
      <c r="C11203" s="52"/>
      <c r="D11203"/>
      <c r="E11203"/>
      <c r="F11203"/>
      <c r="N11203" s="44"/>
    </row>
    <row r="11204" spans="1:14" x14ac:dyDescent="0.3">
      <c r="A11204" s="42"/>
      <c r="C11204" s="52"/>
      <c r="D11204"/>
      <c r="E11204"/>
      <c r="F11204"/>
      <c r="N11204" s="44"/>
    </row>
    <row r="11205" spans="1:14" x14ac:dyDescent="0.3">
      <c r="A11205" s="42"/>
      <c r="C11205" s="52"/>
      <c r="D11205"/>
      <c r="E11205"/>
      <c r="F11205"/>
      <c r="N11205" s="44"/>
    </row>
    <row r="11206" spans="1:14" x14ac:dyDescent="0.3">
      <c r="A11206" s="42"/>
      <c r="C11206" s="52"/>
      <c r="D11206"/>
      <c r="E11206"/>
      <c r="F11206"/>
      <c r="N11206" s="44"/>
    </row>
    <row r="11207" spans="1:14" x14ac:dyDescent="0.3">
      <c r="A11207" s="42"/>
      <c r="C11207" s="52"/>
      <c r="D11207"/>
      <c r="E11207"/>
      <c r="F11207"/>
      <c r="N11207" s="44"/>
    </row>
    <row r="11208" spans="1:14" x14ac:dyDescent="0.3">
      <c r="A11208" s="42"/>
      <c r="C11208" s="52"/>
      <c r="D11208"/>
      <c r="E11208"/>
      <c r="F11208"/>
      <c r="N11208" s="44"/>
    </row>
    <row r="11209" spans="1:14" x14ac:dyDescent="0.3">
      <c r="A11209" s="42"/>
      <c r="C11209" s="52"/>
      <c r="D11209"/>
      <c r="E11209"/>
      <c r="F11209"/>
      <c r="N11209" s="44"/>
    </row>
    <row r="11210" spans="1:14" x14ac:dyDescent="0.3">
      <c r="A11210" s="42"/>
      <c r="C11210" s="52"/>
      <c r="D11210"/>
      <c r="E11210"/>
      <c r="F11210"/>
      <c r="N11210" s="44"/>
    </row>
    <row r="11211" spans="1:14" x14ac:dyDescent="0.3">
      <c r="A11211" s="42"/>
      <c r="C11211" s="52"/>
      <c r="D11211"/>
      <c r="E11211"/>
      <c r="F11211"/>
      <c r="N11211" s="44"/>
    </row>
    <row r="11212" spans="1:14" x14ac:dyDescent="0.3">
      <c r="A11212" s="42"/>
      <c r="C11212" s="52"/>
      <c r="D11212"/>
      <c r="E11212"/>
      <c r="F11212"/>
      <c r="N11212" s="44"/>
    </row>
    <row r="11213" spans="1:14" x14ac:dyDescent="0.3">
      <c r="A11213" s="42"/>
      <c r="C11213" s="52"/>
      <c r="D11213"/>
      <c r="E11213"/>
      <c r="F11213"/>
      <c r="N11213" s="44"/>
    </row>
    <row r="11214" spans="1:14" x14ac:dyDescent="0.3">
      <c r="A11214" s="42"/>
      <c r="C11214" s="52"/>
      <c r="D11214"/>
      <c r="E11214"/>
      <c r="F11214"/>
      <c r="N11214" s="44"/>
    </row>
    <row r="11215" spans="1:14" x14ac:dyDescent="0.3">
      <c r="A11215" s="42"/>
      <c r="C11215" s="52"/>
      <c r="D11215"/>
      <c r="E11215"/>
      <c r="F11215"/>
      <c r="N11215" s="44"/>
    </row>
    <row r="11216" spans="1:14" x14ac:dyDescent="0.3">
      <c r="A11216" s="42"/>
      <c r="C11216" s="52"/>
      <c r="D11216"/>
      <c r="E11216"/>
      <c r="F11216"/>
      <c r="N11216" s="44"/>
    </row>
    <row r="11217" spans="1:14" x14ac:dyDescent="0.3">
      <c r="A11217" s="42"/>
      <c r="C11217" s="52"/>
      <c r="D11217"/>
      <c r="E11217"/>
      <c r="F11217"/>
      <c r="N11217" s="44"/>
    </row>
    <row r="11218" spans="1:14" x14ac:dyDescent="0.3">
      <c r="A11218" s="42"/>
      <c r="C11218" s="52"/>
      <c r="D11218"/>
      <c r="E11218"/>
      <c r="F11218"/>
      <c r="N11218" s="44"/>
    </row>
    <row r="11219" spans="1:14" x14ac:dyDescent="0.3">
      <c r="A11219" s="42"/>
      <c r="C11219" s="52"/>
      <c r="D11219"/>
      <c r="E11219"/>
      <c r="F11219"/>
      <c r="N11219" s="44"/>
    </row>
    <row r="11220" spans="1:14" x14ac:dyDescent="0.3">
      <c r="A11220" s="42"/>
      <c r="C11220" s="52"/>
      <c r="D11220"/>
      <c r="E11220"/>
      <c r="F11220"/>
      <c r="N11220" s="44"/>
    </row>
    <row r="11221" spans="1:14" x14ac:dyDescent="0.3">
      <c r="A11221" s="42"/>
      <c r="C11221" s="52"/>
      <c r="D11221"/>
      <c r="E11221"/>
      <c r="F11221"/>
      <c r="N11221" s="44"/>
    </row>
    <row r="11222" spans="1:14" x14ac:dyDescent="0.3">
      <c r="A11222" s="42"/>
      <c r="C11222" s="52"/>
      <c r="D11222"/>
      <c r="E11222"/>
      <c r="F11222"/>
      <c r="N11222" s="44"/>
    </row>
    <row r="11223" spans="1:14" x14ac:dyDescent="0.3">
      <c r="A11223" s="42"/>
      <c r="C11223" s="52"/>
      <c r="D11223"/>
      <c r="E11223"/>
      <c r="F11223"/>
      <c r="N11223" s="44"/>
    </row>
    <row r="11224" spans="1:14" x14ac:dyDescent="0.3">
      <c r="A11224" s="42"/>
      <c r="C11224" s="52"/>
      <c r="D11224"/>
      <c r="E11224"/>
      <c r="F11224"/>
      <c r="N11224" s="44"/>
    </row>
    <row r="11225" spans="1:14" x14ac:dyDescent="0.3">
      <c r="A11225" s="42"/>
      <c r="C11225" s="52"/>
      <c r="D11225"/>
      <c r="E11225"/>
      <c r="F11225"/>
      <c r="N11225" s="44"/>
    </row>
    <row r="11226" spans="1:14" x14ac:dyDescent="0.3">
      <c r="A11226" s="42"/>
      <c r="C11226" s="52"/>
      <c r="D11226"/>
      <c r="E11226"/>
      <c r="F11226"/>
      <c r="N11226" s="44"/>
    </row>
    <row r="11227" spans="1:14" x14ac:dyDescent="0.3">
      <c r="A11227" s="42"/>
      <c r="C11227" s="52"/>
      <c r="D11227"/>
      <c r="E11227"/>
      <c r="F11227"/>
      <c r="N11227" s="44"/>
    </row>
    <row r="11228" spans="1:14" x14ac:dyDescent="0.3">
      <c r="A11228" s="42"/>
      <c r="C11228" s="52"/>
      <c r="D11228"/>
      <c r="E11228"/>
      <c r="F11228"/>
      <c r="N11228" s="44"/>
    </row>
    <row r="11229" spans="1:14" x14ac:dyDescent="0.3">
      <c r="A11229" s="42"/>
      <c r="C11229" s="52"/>
      <c r="D11229"/>
      <c r="E11229"/>
      <c r="F11229"/>
      <c r="N11229" s="44"/>
    </row>
    <row r="11230" spans="1:14" x14ac:dyDescent="0.3">
      <c r="A11230" s="42"/>
      <c r="C11230" s="52"/>
      <c r="D11230"/>
      <c r="E11230"/>
      <c r="F11230"/>
      <c r="N11230" s="44"/>
    </row>
    <row r="11231" spans="1:14" x14ac:dyDescent="0.3">
      <c r="A11231" s="42"/>
      <c r="C11231" s="52"/>
      <c r="D11231"/>
      <c r="E11231"/>
      <c r="F11231"/>
      <c r="N11231" s="44"/>
    </row>
    <row r="11232" spans="1:14" x14ac:dyDescent="0.3">
      <c r="A11232" s="42"/>
      <c r="C11232" s="52"/>
      <c r="D11232"/>
      <c r="E11232"/>
      <c r="F11232"/>
      <c r="N11232" s="44"/>
    </row>
    <row r="11233" spans="1:14" x14ac:dyDescent="0.3">
      <c r="A11233" s="42"/>
      <c r="C11233" s="52"/>
      <c r="D11233"/>
      <c r="E11233"/>
      <c r="F11233"/>
      <c r="N11233" s="44"/>
    </row>
    <row r="11234" spans="1:14" x14ac:dyDescent="0.3">
      <c r="A11234" s="42"/>
      <c r="C11234" s="52"/>
      <c r="D11234"/>
      <c r="E11234"/>
      <c r="F11234"/>
      <c r="N11234" s="44"/>
    </row>
    <row r="11235" spans="1:14" x14ac:dyDescent="0.3">
      <c r="A11235" s="42"/>
      <c r="C11235" s="52"/>
      <c r="D11235"/>
      <c r="E11235"/>
      <c r="F11235"/>
      <c r="N11235" s="44"/>
    </row>
    <row r="11236" spans="1:14" x14ac:dyDescent="0.3">
      <c r="A11236" s="42"/>
      <c r="C11236" s="52"/>
      <c r="D11236"/>
      <c r="E11236"/>
      <c r="F11236"/>
      <c r="N11236" s="44"/>
    </row>
    <row r="11237" spans="1:14" x14ac:dyDescent="0.3">
      <c r="A11237" s="42"/>
      <c r="C11237" s="52"/>
      <c r="D11237"/>
      <c r="E11237"/>
      <c r="F11237"/>
      <c r="N11237" s="44"/>
    </row>
    <row r="11238" spans="1:14" x14ac:dyDescent="0.3">
      <c r="A11238" s="42"/>
      <c r="C11238" s="52"/>
      <c r="D11238"/>
      <c r="E11238"/>
      <c r="F11238"/>
      <c r="N11238" s="44"/>
    </row>
    <row r="11239" spans="1:14" x14ac:dyDescent="0.3">
      <c r="A11239" s="42"/>
      <c r="C11239" s="52"/>
      <c r="D11239"/>
      <c r="E11239"/>
      <c r="F11239"/>
      <c r="M11239" s="45"/>
      <c r="N11239" s="44"/>
    </row>
    <row r="11240" spans="1:14" x14ac:dyDescent="0.3">
      <c r="A11240" s="42"/>
      <c r="C11240" s="52"/>
      <c r="D11240"/>
      <c r="E11240"/>
      <c r="F11240"/>
      <c r="N11240" s="44"/>
    </row>
    <row r="11241" spans="1:14" x14ac:dyDescent="0.3">
      <c r="A11241" s="42"/>
      <c r="C11241" s="52"/>
      <c r="D11241"/>
      <c r="E11241"/>
      <c r="F11241"/>
      <c r="N11241" s="44"/>
    </row>
    <row r="11242" spans="1:14" x14ac:dyDescent="0.3">
      <c r="A11242" s="42"/>
      <c r="C11242" s="52"/>
      <c r="D11242"/>
      <c r="E11242"/>
      <c r="F11242"/>
      <c r="N11242" s="44"/>
    </row>
    <row r="11243" spans="1:14" x14ac:dyDescent="0.3">
      <c r="A11243" s="42"/>
      <c r="C11243" s="52"/>
      <c r="D11243"/>
      <c r="E11243"/>
      <c r="F11243"/>
      <c r="N11243" s="44"/>
    </row>
    <row r="11244" spans="1:14" x14ac:dyDescent="0.3">
      <c r="A11244" s="42"/>
      <c r="C11244" s="52"/>
      <c r="D11244"/>
      <c r="E11244"/>
      <c r="F11244"/>
      <c r="N11244" s="44"/>
    </row>
    <row r="11245" spans="1:14" x14ac:dyDescent="0.3">
      <c r="A11245" s="42"/>
      <c r="C11245" s="52"/>
      <c r="D11245"/>
      <c r="E11245"/>
      <c r="F11245"/>
      <c r="N11245" s="44"/>
    </row>
    <row r="11246" spans="1:14" x14ac:dyDescent="0.3">
      <c r="A11246" s="42"/>
      <c r="C11246" s="52"/>
      <c r="D11246"/>
      <c r="E11246"/>
      <c r="F11246"/>
      <c r="N11246" s="44"/>
    </row>
    <row r="11247" spans="1:14" x14ac:dyDescent="0.3">
      <c r="A11247" s="42"/>
      <c r="C11247" s="52"/>
      <c r="D11247"/>
      <c r="E11247"/>
      <c r="F11247"/>
      <c r="N11247" s="44"/>
    </row>
    <row r="11248" spans="1:14" x14ac:dyDescent="0.3">
      <c r="A11248" s="42"/>
      <c r="C11248" s="52"/>
      <c r="D11248"/>
      <c r="E11248"/>
      <c r="F11248"/>
      <c r="N11248" s="44"/>
    </row>
    <row r="11249" spans="1:14" x14ac:dyDescent="0.3">
      <c r="A11249" s="42"/>
      <c r="C11249" s="52"/>
      <c r="D11249"/>
      <c r="E11249"/>
      <c r="F11249"/>
      <c r="N11249" s="44"/>
    </row>
    <row r="11250" spans="1:14" x14ac:dyDescent="0.3">
      <c r="A11250" s="42"/>
      <c r="C11250" s="52"/>
      <c r="D11250"/>
      <c r="E11250"/>
      <c r="F11250"/>
      <c r="N11250" s="44"/>
    </row>
    <row r="11251" spans="1:14" x14ac:dyDescent="0.3">
      <c r="A11251" s="42"/>
      <c r="C11251" s="52"/>
      <c r="D11251"/>
      <c r="E11251"/>
      <c r="F11251"/>
      <c r="N11251" s="44"/>
    </row>
    <row r="11252" spans="1:14" x14ac:dyDescent="0.3">
      <c r="A11252" s="42"/>
      <c r="C11252" s="52"/>
      <c r="D11252"/>
      <c r="E11252"/>
      <c r="F11252"/>
      <c r="N11252" s="44"/>
    </row>
    <row r="11253" spans="1:14" x14ac:dyDescent="0.3">
      <c r="A11253" s="42"/>
      <c r="C11253" s="52"/>
      <c r="D11253"/>
      <c r="E11253"/>
      <c r="F11253"/>
      <c r="N11253" s="44"/>
    </row>
    <row r="11254" spans="1:14" x14ac:dyDescent="0.3">
      <c r="A11254" s="42"/>
      <c r="C11254" s="52"/>
      <c r="D11254"/>
      <c r="E11254"/>
      <c r="F11254"/>
      <c r="N11254" s="44"/>
    </row>
    <row r="11255" spans="1:14" x14ac:dyDescent="0.3">
      <c r="A11255" s="42"/>
      <c r="C11255" s="52"/>
      <c r="D11255"/>
      <c r="E11255"/>
      <c r="F11255"/>
      <c r="N11255" s="44"/>
    </row>
    <row r="11256" spans="1:14" x14ac:dyDescent="0.3">
      <c r="A11256" s="42"/>
      <c r="C11256" s="52"/>
      <c r="D11256"/>
      <c r="E11256"/>
      <c r="F11256"/>
      <c r="N11256" s="44"/>
    </row>
    <row r="11257" spans="1:14" x14ac:dyDescent="0.3">
      <c r="A11257" s="42"/>
      <c r="C11257" s="52"/>
      <c r="D11257"/>
      <c r="E11257"/>
      <c r="F11257"/>
      <c r="N11257" s="44"/>
    </row>
    <row r="11258" spans="1:14" x14ac:dyDescent="0.3">
      <c r="A11258" s="42"/>
      <c r="C11258" s="52"/>
      <c r="D11258"/>
      <c r="E11258"/>
      <c r="F11258"/>
      <c r="N11258" s="44"/>
    </row>
    <row r="11259" spans="1:14" x14ac:dyDescent="0.3">
      <c r="A11259" s="42"/>
      <c r="C11259" s="52"/>
      <c r="D11259"/>
      <c r="E11259"/>
      <c r="F11259"/>
      <c r="N11259" s="44"/>
    </row>
    <row r="11260" spans="1:14" x14ac:dyDescent="0.3">
      <c r="A11260" s="42"/>
      <c r="C11260" s="52"/>
      <c r="D11260"/>
      <c r="E11260"/>
      <c r="F11260"/>
      <c r="N11260" s="44"/>
    </row>
    <row r="11261" spans="1:14" x14ac:dyDescent="0.3">
      <c r="A11261" s="42"/>
      <c r="C11261" s="52"/>
      <c r="D11261"/>
      <c r="E11261"/>
      <c r="F11261"/>
      <c r="N11261" s="44"/>
    </row>
    <row r="11262" spans="1:14" x14ac:dyDescent="0.3">
      <c r="A11262" s="42"/>
      <c r="C11262" s="52"/>
      <c r="D11262"/>
      <c r="E11262"/>
      <c r="F11262"/>
      <c r="N11262" s="44"/>
    </row>
    <row r="11263" spans="1:14" x14ac:dyDescent="0.3">
      <c r="A11263" s="42"/>
      <c r="C11263" s="52"/>
      <c r="D11263"/>
      <c r="E11263"/>
      <c r="F11263"/>
      <c r="N11263" s="44"/>
    </row>
    <row r="11264" spans="1:14" x14ac:dyDescent="0.3">
      <c r="A11264" s="42"/>
      <c r="C11264" s="52"/>
      <c r="D11264"/>
      <c r="E11264"/>
      <c r="F11264"/>
      <c r="N11264" s="44"/>
    </row>
    <row r="11265" spans="1:14" x14ac:dyDescent="0.3">
      <c r="A11265" s="42"/>
      <c r="C11265" s="52"/>
      <c r="D11265"/>
      <c r="E11265"/>
      <c r="F11265"/>
      <c r="N11265" s="44"/>
    </row>
    <row r="11266" spans="1:14" x14ac:dyDescent="0.3">
      <c r="A11266" s="42"/>
      <c r="C11266" s="52"/>
      <c r="D11266"/>
      <c r="E11266"/>
      <c r="F11266"/>
      <c r="N11266" s="44"/>
    </row>
    <row r="11267" spans="1:14" x14ac:dyDescent="0.3">
      <c r="A11267" s="42"/>
      <c r="C11267" s="52"/>
      <c r="D11267"/>
      <c r="E11267"/>
      <c r="F11267"/>
      <c r="N11267" s="44"/>
    </row>
    <row r="11268" spans="1:14" x14ac:dyDescent="0.3">
      <c r="A11268" s="42"/>
      <c r="C11268" s="52"/>
      <c r="D11268"/>
      <c r="E11268"/>
      <c r="F11268"/>
      <c r="N11268" s="44"/>
    </row>
    <row r="11269" spans="1:14" x14ac:dyDescent="0.3">
      <c r="A11269" s="42"/>
      <c r="C11269" s="52"/>
      <c r="D11269"/>
      <c r="E11269"/>
      <c r="F11269"/>
      <c r="N11269" s="44"/>
    </row>
    <row r="11270" spans="1:14" x14ac:dyDescent="0.3">
      <c r="A11270" s="42"/>
      <c r="C11270" s="52"/>
      <c r="D11270"/>
      <c r="E11270"/>
      <c r="F11270"/>
      <c r="N11270" s="44"/>
    </row>
    <row r="11271" spans="1:14" x14ac:dyDescent="0.3">
      <c r="A11271" s="42"/>
      <c r="C11271" s="52"/>
      <c r="D11271"/>
      <c r="E11271"/>
      <c r="F11271"/>
      <c r="N11271" s="44"/>
    </row>
    <row r="11272" spans="1:14" x14ac:dyDescent="0.3">
      <c r="A11272" s="42"/>
      <c r="C11272" s="52"/>
      <c r="D11272"/>
      <c r="E11272"/>
      <c r="F11272"/>
      <c r="N11272" s="44"/>
    </row>
    <row r="11273" spans="1:14" x14ac:dyDescent="0.3">
      <c r="A11273" s="42"/>
      <c r="C11273" s="52"/>
      <c r="D11273"/>
      <c r="E11273"/>
      <c r="F11273"/>
      <c r="N11273" s="44"/>
    </row>
    <row r="11274" spans="1:14" x14ac:dyDescent="0.3">
      <c r="A11274" s="42"/>
      <c r="C11274" s="52"/>
      <c r="D11274"/>
      <c r="E11274"/>
      <c r="F11274"/>
      <c r="N11274" s="44"/>
    </row>
    <row r="11275" spans="1:14" x14ac:dyDescent="0.3">
      <c r="A11275" s="42"/>
      <c r="C11275" s="52"/>
      <c r="D11275"/>
      <c r="E11275"/>
      <c r="F11275"/>
      <c r="N11275" s="44"/>
    </row>
    <row r="11276" spans="1:14" x14ac:dyDescent="0.3">
      <c r="A11276" s="42"/>
      <c r="C11276" s="52"/>
      <c r="D11276"/>
      <c r="E11276"/>
      <c r="F11276"/>
      <c r="N11276" s="44"/>
    </row>
    <row r="11277" spans="1:14" x14ac:dyDescent="0.3">
      <c r="A11277" s="42"/>
      <c r="C11277" s="52"/>
      <c r="D11277"/>
      <c r="E11277"/>
      <c r="F11277"/>
      <c r="N11277" s="44"/>
    </row>
    <row r="11278" spans="1:14" x14ac:dyDescent="0.3">
      <c r="A11278" s="42"/>
      <c r="C11278" s="52"/>
      <c r="D11278"/>
      <c r="E11278"/>
      <c r="F11278"/>
      <c r="N11278" s="44"/>
    </row>
    <row r="11279" spans="1:14" x14ac:dyDescent="0.3">
      <c r="A11279" s="42"/>
      <c r="C11279" s="52"/>
      <c r="D11279"/>
      <c r="E11279"/>
      <c r="F11279"/>
      <c r="N11279" s="44"/>
    </row>
    <row r="11280" spans="1:14" x14ac:dyDescent="0.3">
      <c r="A11280" s="42"/>
      <c r="C11280" s="52"/>
      <c r="D11280"/>
      <c r="E11280"/>
      <c r="F11280"/>
      <c r="N11280" s="44"/>
    </row>
    <row r="11281" spans="1:14" x14ac:dyDescent="0.3">
      <c r="A11281" s="42"/>
      <c r="C11281" s="52"/>
      <c r="D11281"/>
      <c r="E11281"/>
      <c r="F11281"/>
      <c r="N11281" s="44"/>
    </row>
    <row r="11282" spans="1:14" x14ac:dyDescent="0.3">
      <c r="A11282" s="42"/>
      <c r="C11282" s="52"/>
      <c r="D11282"/>
      <c r="E11282"/>
      <c r="F11282"/>
      <c r="N11282" s="44"/>
    </row>
    <row r="11283" spans="1:14" x14ac:dyDescent="0.3">
      <c r="A11283" s="42"/>
      <c r="C11283" s="52"/>
      <c r="D11283"/>
      <c r="E11283"/>
      <c r="F11283"/>
      <c r="N11283" s="44"/>
    </row>
    <row r="11284" spans="1:14" x14ac:dyDescent="0.3">
      <c r="A11284" s="42"/>
      <c r="C11284" s="52"/>
      <c r="D11284"/>
      <c r="E11284"/>
      <c r="F11284"/>
      <c r="N11284" s="44"/>
    </row>
    <row r="11285" spans="1:14" x14ac:dyDescent="0.3">
      <c r="A11285" s="42"/>
      <c r="C11285" s="52"/>
      <c r="D11285"/>
      <c r="E11285"/>
      <c r="F11285"/>
      <c r="N11285" s="44"/>
    </row>
    <row r="11286" spans="1:14" x14ac:dyDescent="0.3">
      <c r="A11286" s="42"/>
      <c r="C11286" s="52"/>
      <c r="D11286"/>
      <c r="E11286"/>
      <c r="F11286"/>
      <c r="N11286" s="44"/>
    </row>
    <row r="11287" spans="1:14" x14ac:dyDescent="0.3">
      <c r="A11287" s="42"/>
      <c r="C11287" s="52"/>
      <c r="D11287"/>
      <c r="E11287"/>
      <c r="F11287"/>
      <c r="N11287" s="44"/>
    </row>
    <row r="11288" spans="1:14" x14ac:dyDescent="0.3">
      <c r="A11288" s="42"/>
      <c r="C11288" s="52"/>
      <c r="D11288"/>
      <c r="E11288"/>
      <c r="F11288"/>
      <c r="N11288" s="44"/>
    </row>
    <row r="11289" spans="1:14" x14ac:dyDescent="0.3">
      <c r="A11289" s="42"/>
      <c r="C11289" s="52"/>
      <c r="D11289"/>
      <c r="E11289"/>
      <c r="F11289"/>
      <c r="N11289" s="44"/>
    </row>
    <row r="11290" spans="1:14" x14ac:dyDescent="0.3">
      <c r="A11290" s="42"/>
      <c r="C11290" s="52"/>
      <c r="D11290"/>
      <c r="E11290"/>
      <c r="F11290"/>
      <c r="N11290" s="44"/>
    </row>
    <row r="11291" spans="1:14" x14ac:dyDescent="0.3">
      <c r="A11291" s="42"/>
      <c r="C11291" s="52"/>
      <c r="D11291"/>
      <c r="E11291"/>
      <c r="F11291"/>
      <c r="N11291" s="44"/>
    </row>
    <row r="11292" spans="1:14" x14ac:dyDescent="0.3">
      <c r="A11292" s="42"/>
      <c r="C11292" s="52"/>
      <c r="D11292"/>
      <c r="E11292"/>
      <c r="F11292"/>
      <c r="N11292" s="44"/>
    </row>
    <row r="11293" spans="1:14" x14ac:dyDescent="0.3">
      <c r="A11293" s="42"/>
      <c r="C11293" s="52"/>
      <c r="D11293"/>
      <c r="E11293"/>
      <c r="F11293"/>
      <c r="N11293" s="44"/>
    </row>
    <row r="11294" spans="1:14" x14ac:dyDescent="0.3">
      <c r="A11294" s="42"/>
      <c r="C11294" s="52"/>
      <c r="D11294"/>
      <c r="E11294"/>
      <c r="F11294"/>
      <c r="N11294" s="44"/>
    </row>
    <row r="11295" spans="1:14" x14ac:dyDescent="0.3">
      <c r="A11295" s="42"/>
      <c r="C11295" s="52"/>
      <c r="D11295"/>
      <c r="E11295"/>
      <c r="F11295"/>
      <c r="N11295" s="44"/>
    </row>
    <row r="11296" spans="1:14" x14ac:dyDescent="0.3">
      <c r="A11296" s="42"/>
      <c r="C11296" s="52"/>
      <c r="D11296"/>
      <c r="E11296"/>
      <c r="F11296"/>
      <c r="N11296" s="44"/>
    </row>
    <row r="11297" spans="1:14" x14ac:dyDescent="0.3">
      <c r="A11297" s="42"/>
      <c r="C11297" s="52"/>
      <c r="D11297"/>
      <c r="E11297"/>
      <c r="F11297"/>
      <c r="N11297" s="44"/>
    </row>
    <row r="11298" spans="1:14" x14ac:dyDescent="0.3">
      <c r="A11298" s="42"/>
      <c r="C11298" s="52"/>
      <c r="D11298"/>
      <c r="E11298"/>
      <c r="F11298"/>
      <c r="N11298" s="44"/>
    </row>
    <row r="11299" spans="1:14" x14ac:dyDescent="0.3">
      <c r="A11299" s="42"/>
      <c r="C11299" s="52"/>
      <c r="D11299"/>
      <c r="E11299"/>
      <c r="F11299"/>
      <c r="N11299" s="44"/>
    </row>
    <row r="11300" spans="1:14" x14ac:dyDescent="0.3">
      <c r="A11300" s="42"/>
      <c r="C11300" s="52"/>
      <c r="D11300"/>
      <c r="E11300"/>
      <c r="F11300"/>
      <c r="N11300" s="44"/>
    </row>
    <row r="11301" spans="1:14" x14ac:dyDescent="0.3">
      <c r="A11301" s="42"/>
      <c r="C11301" s="52"/>
      <c r="D11301"/>
      <c r="E11301"/>
      <c r="F11301"/>
      <c r="N11301" s="44"/>
    </row>
    <row r="11302" spans="1:14" x14ac:dyDescent="0.3">
      <c r="A11302" s="42"/>
      <c r="C11302" s="52"/>
      <c r="D11302"/>
      <c r="E11302"/>
      <c r="F11302"/>
      <c r="N11302" s="44"/>
    </row>
    <row r="11303" spans="1:14" x14ac:dyDescent="0.3">
      <c r="A11303" s="42"/>
      <c r="C11303" s="52"/>
      <c r="D11303"/>
      <c r="E11303"/>
      <c r="F11303"/>
      <c r="N11303" s="44"/>
    </row>
    <row r="11304" spans="1:14" x14ac:dyDescent="0.3">
      <c r="A11304" s="42"/>
      <c r="C11304" s="52"/>
      <c r="D11304"/>
      <c r="E11304"/>
      <c r="F11304"/>
      <c r="N11304" s="44"/>
    </row>
    <row r="11305" spans="1:14" x14ac:dyDescent="0.3">
      <c r="A11305" s="42"/>
      <c r="C11305" s="52"/>
      <c r="D11305"/>
      <c r="E11305"/>
      <c r="F11305"/>
      <c r="N11305" s="44"/>
    </row>
    <row r="11306" spans="1:14" x14ac:dyDescent="0.3">
      <c r="A11306" s="42"/>
      <c r="C11306" s="52"/>
      <c r="D11306"/>
      <c r="E11306"/>
      <c r="F11306"/>
      <c r="N11306" s="44"/>
    </row>
    <row r="11307" spans="1:14" x14ac:dyDescent="0.3">
      <c r="A11307" s="42"/>
      <c r="C11307" s="52"/>
      <c r="D11307"/>
      <c r="E11307"/>
      <c r="F11307"/>
      <c r="N11307" s="44"/>
    </row>
    <row r="11308" spans="1:14" x14ac:dyDescent="0.3">
      <c r="A11308" s="42"/>
      <c r="C11308" s="52"/>
      <c r="D11308"/>
      <c r="E11308"/>
      <c r="F11308"/>
      <c r="N11308" s="44"/>
    </row>
    <row r="11309" spans="1:14" x14ac:dyDescent="0.3">
      <c r="A11309" s="42"/>
      <c r="C11309" s="52"/>
      <c r="D11309"/>
      <c r="E11309"/>
      <c r="F11309"/>
      <c r="N11309" s="44"/>
    </row>
    <row r="11310" spans="1:14" x14ac:dyDescent="0.3">
      <c r="A11310" s="42"/>
      <c r="C11310" s="52"/>
      <c r="D11310"/>
      <c r="E11310"/>
      <c r="F11310"/>
      <c r="N11310" s="44"/>
    </row>
    <row r="11311" spans="1:14" x14ac:dyDescent="0.3">
      <c r="A11311" s="42"/>
      <c r="C11311" s="52"/>
      <c r="D11311"/>
      <c r="E11311"/>
      <c r="F11311"/>
      <c r="N11311" s="44"/>
    </row>
    <row r="11312" spans="1:14" x14ac:dyDescent="0.3">
      <c r="A11312" s="42"/>
      <c r="C11312" s="52"/>
      <c r="D11312"/>
      <c r="E11312"/>
      <c r="F11312"/>
      <c r="N11312" s="44"/>
    </row>
    <row r="11313" spans="1:14" x14ac:dyDescent="0.3">
      <c r="A11313" s="42"/>
      <c r="C11313" s="52"/>
      <c r="D11313"/>
      <c r="E11313"/>
      <c r="F11313"/>
      <c r="N11313" s="44"/>
    </row>
    <row r="11314" spans="1:14" x14ac:dyDescent="0.3">
      <c r="A11314" s="42"/>
      <c r="C11314" s="52"/>
      <c r="D11314"/>
      <c r="E11314"/>
      <c r="F11314"/>
      <c r="N11314" s="44"/>
    </row>
    <row r="11315" spans="1:14" x14ac:dyDescent="0.3">
      <c r="A11315" s="42"/>
      <c r="C11315" s="52"/>
      <c r="D11315"/>
      <c r="E11315"/>
      <c r="F11315"/>
      <c r="N11315" s="44"/>
    </row>
    <row r="11316" spans="1:14" x14ac:dyDescent="0.3">
      <c r="A11316" s="42"/>
      <c r="C11316" s="52"/>
      <c r="D11316"/>
      <c r="E11316"/>
      <c r="F11316"/>
      <c r="N11316" s="44"/>
    </row>
    <row r="11317" spans="1:14" x14ac:dyDescent="0.3">
      <c r="A11317" s="42"/>
      <c r="C11317" s="52"/>
      <c r="D11317"/>
      <c r="E11317"/>
      <c r="F11317"/>
      <c r="N11317" s="44"/>
    </row>
    <row r="11318" spans="1:14" x14ac:dyDescent="0.3">
      <c r="A11318" s="42"/>
      <c r="C11318" s="52"/>
      <c r="D11318"/>
      <c r="E11318"/>
      <c r="F11318"/>
      <c r="N11318" s="44"/>
    </row>
    <row r="11319" spans="1:14" x14ac:dyDescent="0.3">
      <c r="A11319" s="42"/>
      <c r="C11319" s="52"/>
      <c r="D11319"/>
      <c r="E11319"/>
      <c r="F11319"/>
      <c r="N11319" s="44"/>
    </row>
    <row r="11320" spans="1:14" x14ac:dyDescent="0.3">
      <c r="A11320" s="42"/>
      <c r="C11320" s="52"/>
      <c r="D11320"/>
      <c r="E11320"/>
      <c r="F11320"/>
      <c r="N11320" s="44"/>
    </row>
    <row r="11321" spans="1:14" x14ac:dyDescent="0.3">
      <c r="A11321" s="42"/>
      <c r="C11321" s="52"/>
      <c r="D11321"/>
      <c r="E11321"/>
      <c r="F11321"/>
      <c r="N11321" s="44"/>
    </row>
    <row r="11322" spans="1:14" x14ac:dyDescent="0.3">
      <c r="A11322" s="42"/>
      <c r="C11322" s="52"/>
      <c r="D11322"/>
      <c r="E11322"/>
      <c r="F11322"/>
      <c r="N11322" s="44"/>
    </row>
    <row r="11323" spans="1:14" x14ac:dyDescent="0.3">
      <c r="A11323" s="42"/>
      <c r="C11323" s="52"/>
      <c r="D11323"/>
      <c r="E11323"/>
      <c r="F11323"/>
      <c r="N11323" s="44"/>
    </row>
    <row r="11324" spans="1:14" x14ac:dyDescent="0.3">
      <c r="A11324" s="42"/>
      <c r="C11324" s="52"/>
      <c r="D11324"/>
      <c r="E11324"/>
      <c r="F11324"/>
      <c r="N11324" s="44"/>
    </row>
    <row r="11325" spans="1:14" x14ac:dyDescent="0.3">
      <c r="A11325" s="42"/>
      <c r="C11325" s="52"/>
      <c r="D11325"/>
      <c r="E11325"/>
      <c r="F11325"/>
      <c r="N11325" s="44"/>
    </row>
    <row r="11326" spans="1:14" x14ac:dyDescent="0.3">
      <c r="A11326" s="42"/>
      <c r="C11326" s="52"/>
      <c r="D11326"/>
      <c r="E11326"/>
      <c r="F11326"/>
      <c r="N11326" s="44"/>
    </row>
    <row r="11327" spans="1:14" x14ac:dyDescent="0.3">
      <c r="A11327" s="42"/>
      <c r="C11327" s="52"/>
      <c r="D11327"/>
      <c r="E11327"/>
      <c r="F11327"/>
      <c r="N11327" s="44"/>
    </row>
    <row r="11328" spans="1:14" x14ac:dyDescent="0.3">
      <c r="A11328" s="42"/>
      <c r="C11328" s="52"/>
      <c r="D11328"/>
      <c r="E11328"/>
      <c r="F11328"/>
      <c r="N11328" s="44"/>
    </row>
    <row r="11329" spans="1:14" x14ac:dyDescent="0.3">
      <c r="A11329" s="42"/>
      <c r="C11329" s="52"/>
      <c r="D11329"/>
      <c r="E11329"/>
      <c r="F11329"/>
      <c r="N11329" s="44"/>
    </row>
    <row r="11330" spans="1:14" x14ac:dyDescent="0.3">
      <c r="A11330" s="42"/>
      <c r="C11330" s="52"/>
      <c r="D11330"/>
      <c r="E11330"/>
      <c r="F11330"/>
      <c r="N11330" s="44"/>
    </row>
    <row r="11331" spans="1:14" x14ac:dyDescent="0.3">
      <c r="A11331" s="42"/>
      <c r="C11331" s="52"/>
      <c r="D11331"/>
      <c r="E11331"/>
      <c r="F11331"/>
      <c r="N11331" s="44"/>
    </row>
    <row r="11332" spans="1:14" x14ac:dyDescent="0.3">
      <c r="A11332" s="42"/>
      <c r="C11332" s="52"/>
      <c r="D11332"/>
      <c r="E11332"/>
      <c r="F11332"/>
      <c r="N11332" s="44"/>
    </row>
    <row r="11333" spans="1:14" x14ac:dyDescent="0.3">
      <c r="A11333" s="42"/>
      <c r="C11333" s="52"/>
      <c r="D11333"/>
      <c r="E11333"/>
      <c r="F11333"/>
      <c r="N11333" s="44"/>
    </row>
    <row r="11334" spans="1:14" x14ac:dyDescent="0.3">
      <c r="A11334" s="42"/>
      <c r="C11334" s="52"/>
      <c r="D11334"/>
      <c r="E11334"/>
      <c r="F11334"/>
      <c r="N11334" s="44"/>
    </row>
    <row r="11335" spans="1:14" x14ac:dyDescent="0.3">
      <c r="A11335" s="42"/>
      <c r="C11335" s="52"/>
      <c r="D11335"/>
      <c r="E11335"/>
      <c r="F11335"/>
      <c r="N11335" s="44"/>
    </row>
    <row r="11336" spans="1:14" x14ac:dyDescent="0.3">
      <c r="A11336" s="42"/>
      <c r="C11336" s="52"/>
      <c r="D11336"/>
      <c r="E11336"/>
      <c r="F11336"/>
      <c r="N11336" s="44"/>
    </row>
    <row r="11337" spans="1:14" x14ac:dyDescent="0.3">
      <c r="A11337" s="42"/>
      <c r="C11337" s="52"/>
      <c r="D11337"/>
      <c r="E11337"/>
      <c r="F11337"/>
      <c r="N11337" s="44"/>
    </row>
    <row r="11338" spans="1:14" x14ac:dyDescent="0.3">
      <c r="A11338" s="42"/>
      <c r="C11338" s="52"/>
      <c r="D11338"/>
      <c r="E11338"/>
      <c r="F11338"/>
      <c r="N11338" s="44"/>
    </row>
    <row r="11339" spans="1:14" x14ac:dyDescent="0.3">
      <c r="A11339" s="42"/>
      <c r="C11339" s="52"/>
      <c r="D11339"/>
      <c r="E11339"/>
      <c r="F11339"/>
      <c r="N11339" s="44"/>
    </row>
    <row r="11340" spans="1:14" x14ac:dyDescent="0.3">
      <c r="A11340" s="42"/>
      <c r="C11340" s="52"/>
      <c r="D11340"/>
      <c r="E11340"/>
      <c r="F11340"/>
      <c r="N11340" s="44"/>
    </row>
    <row r="11341" spans="1:14" x14ac:dyDescent="0.3">
      <c r="A11341" s="42"/>
      <c r="C11341" s="52"/>
      <c r="D11341"/>
      <c r="E11341"/>
      <c r="F11341"/>
      <c r="N11341" s="44"/>
    </row>
    <row r="11342" spans="1:14" x14ac:dyDescent="0.3">
      <c r="A11342" s="42"/>
      <c r="C11342" s="52"/>
      <c r="D11342"/>
      <c r="E11342"/>
      <c r="F11342"/>
      <c r="N11342" s="44"/>
    </row>
    <row r="11343" spans="1:14" x14ac:dyDescent="0.3">
      <c r="A11343" s="42"/>
      <c r="C11343" s="52"/>
      <c r="D11343"/>
      <c r="E11343"/>
      <c r="F11343"/>
      <c r="N11343" s="44"/>
    </row>
    <row r="11344" spans="1:14" x14ac:dyDescent="0.3">
      <c r="A11344" s="42"/>
      <c r="C11344" s="52"/>
      <c r="D11344"/>
      <c r="E11344"/>
      <c r="F11344"/>
      <c r="N11344" s="44"/>
    </row>
    <row r="11345" spans="1:14" x14ac:dyDescent="0.3">
      <c r="A11345" s="42"/>
      <c r="C11345" s="52"/>
      <c r="D11345"/>
      <c r="E11345"/>
      <c r="F11345"/>
      <c r="N11345" s="44"/>
    </row>
    <row r="11346" spans="1:14" x14ac:dyDescent="0.3">
      <c r="A11346" s="42"/>
      <c r="C11346" s="52"/>
      <c r="D11346"/>
      <c r="E11346"/>
      <c r="F11346"/>
      <c r="N11346" s="44"/>
    </row>
    <row r="11347" spans="1:14" x14ac:dyDescent="0.3">
      <c r="A11347" s="42"/>
      <c r="C11347" s="52"/>
      <c r="D11347"/>
      <c r="E11347"/>
      <c r="F11347"/>
      <c r="N11347" s="44"/>
    </row>
    <row r="11348" spans="1:14" x14ac:dyDescent="0.3">
      <c r="A11348" s="42"/>
      <c r="C11348" s="52"/>
      <c r="D11348"/>
      <c r="E11348"/>
      <c r="F11348"/>
      <c r="N11348" s="44"/>
    </row>
    <row r="11349" spans="1:14" x14ac:dyDescent="0.3">
      <c r="A11349" s="42"/>
      <c r="C11349" s="52"/>
      <c r="D11349"/>
      <c r="E11349"/>
      <c r="F11349"/>
      <c r="N11349" s="44"/>
    </row>
    <row r="11350" spans="1:14" x14ac:dyDescent="0.3">
      <c r="A11350" s="42"/>
      <c r="C11350" s="52"/>
      <c r="D11350"/>
      <c r="E11350"/>
      <c r="F11350"/>
      <c r="N11350" s="44"/>
    </row>
    <row r="11351" spans="1:14" x14ac:dyDescent="0.3">
      <c r="A11351" s="42"/>
      <c r="C11351" s="52"/>
      <c r="D11351"/>
      <c r="E11351"/>
      <c r="F11351"/>
      <c r="N11351" s="44"/>
    </row>
    <row r="11352" spans="1:14" x14ac:dyDescent="0.3">
      <c r="A11352" s="42"/>
      <c r="C11352" s="52"/>
      <c r="D11352"/>
      <c r="E11352"/>
      <c r="F11352"/>
      <c r="N11352" s="44"/>
    </row>
    <row r="11353" spans="1:14" x14ac:dyDescent="0.3">
      <c r="A11353" s="42"/>
      <c r="C11353" s="52"/>
      <c r="D11353"/>
      <c r="E11353"/>
      <c r="F11353"/>
      <c r="N11353" s="44"/>
    </row>
    <row r="11354" spans="1:14" x14ac:dyDescent="0.3">
      <c r="A11354" s="42"/>
      <c r="C11354" s="52"/>
      <c r="D11354"/>
      <c r="E11354"/>
      <c r="F11354"/>
      <c r="N11354" s="44"/>
    </row>
    <row r="11355" spans="1:14" x14ac:dyDescent="0.3">
      <c r="A11355" s="42"/>
      <c r="C11355" s="52"/>
      <c r="D11355"/>
      <c r="E11355"/>
      <c r="F11355"/>
      <c r="N11355" s="44"/>
    </row>
    <row r="11356" spans="1:14" x14ac:dyDescent="0.3">
      <c r="A11356" s="42"/>
      <c r="C11356" s="52"/>
      <c r="D11356"/>
      <c r="E11356"/>
      <c r="F11356"/>
      <c r="N11356" s="44"/>
    </row>
    <row r="11357" spans="1:14" x14ac:dyDescent="0.3">
      <c r="A11357" s="42"/>
      <c r="C11357" s="52"/>
      <c r="D11357"/>
      <c r="E11357"/>
      <c r="F11357"/>
      <c r="N11357" s="44"/>
    </row>
    <row r="11358" spans="1:14" x14ac:dyDescent="0.3">
      <c r="A11358" s="42"/>
      <c r="C11358" s="52"/>
      <c r="D11358"/>
      <c r="E11358"/>
      <c r="F11358"/>
      <c r="N11358" s="44"/>
    </row>
    <row r="11359" spans="1:14" x14ac:dyDescent="0.3">
      <c r="A11359" s="42"/>
      <c r="C11359" s="52"/>
      <c r="D11359"/>
      <c r="E11359"/>
      <c r="F11359"/>
      <c r="N11359" s="44"/>
    </row>
    <row r="11360" spans="1:14" x14ac:dyDescent="0.3">
      <c r="A11360" s="42"/>
      <c r="C11360" s="52"/>
      <c r="D11360"/>
      <c r="E11360"/>
      <c r="F11360"/>
      <c r="N11360" s="44"/>
    </row>
    <row r="11361" spans="1:14" x14ac:dyDescent="0.3">
      <c r="A11361" s="42"/>
      <c r="C11361" s="52"/>
      <c r="D11361"/>
      <c r="E11361"/>
      <c r="F11361"/>
      <c r="N11361" s="44"/>
    </row>
    <row r="11362" spans="1:14" x14ac:dyDescent="0.3">
      <c r="A11362" s="42"/>
      <c r="C11362" s="52"/>
      <c r="D11362"/>
      <c r="E11362"/>
      <c r="F11362"/>
      <c r="N11362" s="44"/>
    </row>
    <row r="11363" spans="1:14" x14ac:dyDescent="0.3">
      <c r="A11363" s="42"/>
      <c r="C11363" s="52"/>
      <c r="D11363"/>
      <c r="E11363"/>
      <c r="F11363"/>
      <c r="N11363" s="44"/>
    </row>
    <row r="11364" spans="1:14" x14ac:dyDescent="0.3">
      <c r="A11364" s="42"/>
      <c r="C11364" s="52"/>
      <c r="D11364"/>
      <c r="E11364"/>
      <c r="F11364"/>
      <c r="N11364" s="44"/>
    </row>
    <row r="11365" spans="1:14" x14ac:dyDescent="0.3">
      <c r="A11365" s="42"/>
      <c r="C11365" s="52"/>
      <c r="D11365"/>
      <c r="E11365"/>
      <c r="F11365"/>
      <c r="N11365" s="44"/>
    </row>
    <row r="11366" spans="1:14" x14ac:dyDescent="0.3">
      <c r="A11366" s="42"/>
      <c r="C11366" s="52"/>
      <c r="D11366"/>
      <c r="E11366"/>
      <c r="F11366"/>
      <c r="N11366" s="44"/>
    </row>
    <row r="11367" spans="1:14" x14ac:dyDescent="0.3">
      <c r="A11367" s="42"/>
      <c r="C11367" s="52"/>
      <c r="D11367"/>
      <c r="E11367"/>
      <c r="F11367"/>
      <c r="N11367" s="44"/>
    </row>
    <row r="11368" spans="1:14" x14ac:dyDescent="0.3">
      <c r="A11368" s="42"/>
      <c r="C11368" s="52"/>
      <c r="D11368"/>
      <c r="E11368"/>
      <c r="F11368"/>
      <c r="N11368" s="44"/>
    </row>
    <row r="11369" spans="1:14" x14ac:dyDescent="0.3">
      <c r="A11369" s="42"/>
      <c r="C11369" s="52"/>
      <c r="D11369"/>
      <c r="E11369"/>
      <c r="F11369"/>
      <c r="N11369" s="44"/>
    </row>
    <row r="11370" spans="1:14" x14ac:dyDescent="0.3">
      <c r="A11370" s="42"/>
      <c r="C11370" s="52"/>
      <c r="D11370"/>
      <c r="E11370"/>
      <c r="F11370"/>
      <c r="N11370" s="44"/>
    </row>
    <row r="11371" spans="1:14" x14ac:dyDescent="0.3">
      <c r="A11371" s="42"/>
      <c r="C11371" s="52"/>
      <c r="D11371"/>
      <c r="E11371"/>
      <c r="F11371"/>
      <c r="N11371" s="44"/>
    </row>
    <row r="11372" spans="1:14" x14ac:dyDescent="0.3">
      <c r="A11372" s="42"/>
      <c r="C11372" s="52"/>
      <c r="D11372"/>
      <c r="E11372"/>
      <c r="F11372"/>
      <c r="N11372" s="44"/>
    </row>
    <row r="11373" spans="1:14" x14ac:dyDescent="0.3">
      <c r="A11373" s="42"/>
      <c r="C11373" s="52"/>
      <c r="D11373"/>
      <c r="E11373"/>
      <c r="F11373"/>
      <c r="N11373" s="44"/>
    </row>
    <row r="11374" spans="1:14" x14ac:dyDescent="0.3">
      <c r="A11374" s="42"/>
      <c r="C11374" s="52"/>
      <c r="D11374"/>
      <c r="E11374"/>
      <c r="F11374"/>
      <c r="N11374" s="44"/>
    </row>
    <row r="11375" spans="1:14" x14ac:dyDescent="0.3">
      <c r="A11375" s="42"/>
      <c r="C11375" s="52"/>
      <c r="D11375"/>
      <c r="E11375"/>
      <c r="F11375"/>
      <c r="N11375" s="44"/>
    </row>
    <row r="11376" spans="1:14" x14ac:dyDescent="0.3">
      <c r="A11376" s="42"/>
      <c r="C11376" s="52"/>
      <c r="D11376"/>
      <c r="E11376"/>
      <c r="F11376"/>
      <c r="N11376" s="44"/>
    </row>
    <row r="11377" spans="1:14" x14ac:dyDescent="0.3">
      <c r="A11377" s="42"/>
      <c r="C11377" s="52"/>
      <c r="D11377"/>
      <c r="E11377"/>
      <c r="F11377"/>
      <c r="N11377" s="44"/>
    </row>
    <row r="11378" spans="1:14" x14ac:dyDescent="0.3">
      <c r="A11378" s="42"/>
      <c r="C11378" s="52"/>
      <c r="D11378"/>
      <c r="E11378"/>
      <c r="F11378"/>
      <c r="N11378" s="44"/>
    </row>
    <row r="11379" spans="1:14" x14ac:dyDescent="0.3">
      <c r="A11379" s="42"/>
      <c r="C11379" s="52"/>
      <c r="D11379"/>
      <c r="E11379"/>
      <c r="F11379"/>
      <c r="N11379" s="44"/>
    </row>
    <row r="11380" spans="1:14" x14ac:dyDescent="0.3">
      <c r="A11380" s="42"/>
      <c r="C11380" s="52"/>
      <c r="D11380"/>
      <c r="E11380"/>
      <c r="F11380"/>
      <c r="N11380" s="44"/>
    </row>
    <row r="11381" spans="1:14" x14ac:dyDescent="0.3">
      <c r="A11381" s="42"/>
      <c r="C11381" s="52"/>
      <c r="D11381"/>
      <c r="E11381"/>
      <c r="F11381"/>
      <c r="N11381" s="44"/>
    </row>
    <row r="11382" spans="1:14" x14ac:dyDescent="0.3">
      <c r="A11382" s="42"/>
      <c r="C11382" s="52"/>
      <c r="D11382"/>
      <c r="E11382"/>
      <c r="F11382"/>
      <c r="N11382" s="44"/>
    </row>
    <row r="11383" spans="1:14" x14ac:dyDescent="0.3">
      <c r="A11383" s="42"/>
      <c r="C11383" s="52"/>
      <c r="D11383"/>
      <c r="E11383"/>
      <c r="F11383"/>
      <c r="N11383" s="44"/>
    </row>
    <row r="11384" spans="1:14" x14ac:dyDescent="0.3">
      <c r="A11384" s="42"/>
      <c r="C11384" s="52"/>
      <c r="D11384"/>
      <c r="E11384"/>
      <c r="F11384"/>
      <c r="N11384" s="44"/>
    </row>
    <row r="11385" spans="1:14" x14ac:dyDescent="0.3">
      <c r="A11385" s="42"/>
      <c r="C11385" s="52"/>
      <c r="D11385"/>
      <c r="E11385"/>
      <c r="F11385"/>
      <c r="N11385" s="44"/>
    </row>
    <row r="11386" spans="1:14" x14ac:dyDescent="0.3">
      <c r="A11386" s="42"/>
      <c r="C11386" s="52"/>
      <c r="D11386"/>
      <c r="E11386"/>
      <c r="F11386"/>
      <c r="N11386" s="44"/>
    </row>
    <row r="11387" spans="1:14" x14ac:dyDescent="0.3">
      <c r="A11387" s="42"/>
      <c r="C11387" s="52"/>
      <c r="D11387"/>
      <c r="E11387"/>
      <c r="F11387"/>
      <c r="N11387" s="44"/>
    </row>
    <row r="11388" spans="1:14" x14ac:dyDescent="0.3">
      <c r="A11388" s="42"/>
      <c r="C11388" s="52"/>
      <c r="D11388"/>
      <c r="E11388"/>
      <c r="F11388"/>
      <c r="N11388" s="44"/>
    </row>
    <row r="11389" spans="1:14" x14ac:dyDescent="0.3">
      <c r="A11389" s="42"/>
      <c r="C11389" s="52"/>
      <c r="D11389"/>
      <c r="E11389"/>
      <c r="F11389"/>
      <c r="N11389" s="44"/>
    </row>
    <row r="11390" spans="1:14" x14ac:dyDescent="0.3">
      <c r="A11390" s="42"/>
      <c r="C11390" s="52"/>
      <c r="D11390"/>
      <c r="E11390"/>
      <c r="F11390"/>
      <c r="M11390" s="45"/>
      <c r="N11390" s="44"/>
    </row>
    <row r="11391" spans="1:14" x14ac:dyDescent="0.3">
      <c r="A11391" s="42"/>
      <c r="C11391" s="52"/>
      <c r="D11391"/>
      <c r="E11391"/>
      <c r="F11391"/>
      <c r="N11391" s="44"/>
    </row>
    <row r="11392" spans="1:14" x14ac:dyDescent="0.3">
      <c r="A11392" s="42"/>
      <c r="C11392" s="52"/>
      <c r="D11392"/>
      <c r="E11392"/>
      <c r="F11392"/>
      <c r="N11392" s="44"/>
    </row>
    <row r="11393" spans="1:14" x14ac:dyDescent="0.3">
      <c r="A11393" s="42"/>
      <c r="C11393" s="52"/>
      <c r="D11393"/>
      <c r="E11393"/>
      <c r="F11393"/>
      <c r="N11393" s="44"/>
    </row>
    <row r="11394" spans="1:14" x14ac:dyDescent="0.3">
      <c r="A11394" s="42"/>
      <c r="C11394" s="52"/>
      <c r="D11394"/>
      <c r="E11394"/>
      <c r="F11394"/>
      <c r="N11394" s="44"/>
    </row>
    <row r="11395" spans="1:14" x14ac:dyDescent="0.3">
      <c r="A11395" s="42"/>
      <c r="C11395" s="52"/>
      <c r="D11395"/>
      <c r="E11395"/>
      <c r="F11395"/>
      <c r="N11395" s="44"/>
    </row>
    <row r="11396" spans="1:14" x14ac:dyDescent="0.3">
      <c r="A11396" s="42"/>
      <c r="C11396" s="52"/>
      <c r="D11396"/>
      <c r="E11396"/>
      <c r="F11396"/>
      <c r="M11396" s="45"/>
      <c r="N11396" s="44"/>
    </row>
    <row r="11397" spans="1:14" x14ac:dyDescent="0.3">
      <c r="A11397" s="42"/>
      <c r="C11397" s="52"/>
      <c r="D11397"/>
      <c r="E11397"/>
      <c r="F11397"/>
      <c r="N11397" s="44"/>
    </row>
    <row r="11398" spans="1:14" x14ac:dyDescent="0.3">
      <c r="A11398" s="42"/>
      <c r="C11398" s="52"/>
      <c r="D11398"/>
      <c r="E11398"/>
      <c r="F11398"/>
      <c r="N11398" s="44"/>
    </row>
    <row r="11399" spans="1:14" x14ac:dyDescent="0.3">
      <c r="A11399" s="42"/>
      <c r="C11399" s="52"/>
      <c r="D11399"/>
      <c r="E11399"/>
      <c r="F11399"/>
      <c r="N11399" s="44"/>
    </row>
    <row r="11400" spans="1:14" x14ac:dyDescent="0.3">
      <c r="A11400" s="42"/>
      <c r="C11400" s="52"/>
      <c r="D11400"/>
      <c r="E11400"/>
      <c r="F11400"/>
      <c r="N11400" s="44"/>
    </row>
    <row r="11401" spans="1:14" x14ac:dyDescent="0.3">
      <c r="A11401" s="42"/>
      <c r="C11401" s="52"/>
      <c r="D11401"/>
      <c r="E11401"/>
      <c r="F11401"/>
      <c r="N11401" s="44"/>
    </row>
    <row r="11402" spans="1:14" x14ac:dyDescent="0.3">
      <c r="A11402" s="42"/>
      <c r="C11402" s="52"/>
      <c r="D11402"/>
      <c r="E11402"/>
      <c r="F11402"/>
      <c r="N11402" s="44"/>
    </row>
    <row r="11403" spans="1:14" x14ac:dyDescent="0.3">
      <c r="A11403" s="42"/>
      <c r="C11403" s="52"/>
      <c r="D11403"/>
      <c r="E11403"/>
      <c r="F11403"/>
      <c r="N11403" s="44"/>
    </row>
    <row r="11404" spans="1:14" x14ac:dyDescent="0.3">
      <c r="A11404" s="42"/>
      <c r="C11404" s="52"/>
      <c r="D11404"/>
      <c r="E11404"/>
      <c r="F11404"/>
      <c r="N11404" s="44"/>
    </row>
    <row r="11405" spans="1:14" x14ac:dyDescent="0.3">
      <c r="A11405" s="42"/>
      <c r="C11405" s="52"/>
      <c r="D11405"/>
      <c r="E11405"/>
      <c r="F11405"/>
      <c r="N11405" s="44"/>
    </row>
    <row r="11406" spans="1:14" x14ac:dyDescent="0.3">
      <c r="A11406" s="42"/>
      <c r="C11406" s="52"/>
      <c r="D11406"/>
      <c r="E11406"/>
      <c r="F11406"/>
      <c r="N11406" s="44"/>
    </row>
    <row r="11407" spans="1:14" x14ac:dyDescent="0.3">
      <c r="A11407" s="42"/>
      <c r="C11407" s="52"/>
      <c r="D11407"/>
      <c r="E11407"/>
      <c r="F11407"/>
      <c r="N11407" s="44"/>
    </row>
    <row r="11408" spans="1:14" x14ac:dyDescent="0.3">
      <c r="A11408" s="42"/>
      <c r="C11408" s="52"/>
      <c r="D11408"/>
      <c r="E11408"/>
      <c r="F11408"/>
      <c r="N11408" s="44"/>
    </row>
    <row r="11409" spans="1:14" x14ac:dyDescent="0.3">
      <c r="A11409" s="42"/>
      <c r="C11409" s="52"/>
      <c r="D11409"/>
      <c r="E11409"/>
      <c r="F11409"/>
      <c r="N11409" s="44"/>
    </row>
    <row r="11410" spans="1:14" x14ac:dyDescent="0.3">
      <c r="A11410" s="42"/>
      <c r="C11410" s="52"/>
      <c r="D11410"/>
      <c r="E11410"/>
      <c r="F11410"/>
      <c r="N11410" s="44"/>
    </row>
    <row r="11411" spans="1:14" x14ac:dyDescent="0.3">
      <c r="A11411" s="42"/>
      <c r="C11411" s="52"/>
      <c r="D11411"/>
      <c r="E11411"/>
      <c r="F11411"/>
      <c r="N11411" s="44"/>
    </row>
    <row r="11412" spans="1:14" x14ac:dyDescent="0.3">
      <c r="A11412" s="42"/>
      <c r="C11412" s="52"/>
      <c r="D11412"/>
      <c r="E11412"/>
      <c r="F11412"/>
      <c r="N11412" s="44"/>
    </row>
    <row r="11413" spans="1:14" x14ac:dyDescent="0.3">
      <c r="A11413" s="42"/>
      <c r="C11413" s="52"/>
      <c r="D11413"/>
      <c r="E11413"/>
      <c r="F11413"/>
      <c r="N11413" s="44"/>
    </row>
    <row r="11414" spans="1:14" x14ac:dyDescent="0.3">
      <c r="A11414" s="42"/>
      <c r="C11414" s="52"/>
      <c r="D11414"/>
      <c r="E11414"/>
      <c r="F11414"/>
      <c r="N11414" s="44"/>
    </row>
    <row r="11415" spans="1:14" x14ac:dyDescent="0.3">
      <c r="A11415" s="42"/>
      <c r="C11415" s="52"/>
      <c r="D11415"/>
      <c r="E11415"/>
      <c r="F11415"/>
      <c r="N11415" s="44"/>
    </row>
    <row r="11416" spans="1:14" x14ac:dyDescent="0.3">
      <c r="A11416" s="42"/>
      <c r="C11416" s="52"/>
      <c r="D11416"/>
      <c r="E11416"/>
      <c r="F11416"/>
      <c r="N11416" s="44"/>
    </row>
    <row r="11417" spans="1:14" x14ac:dyDescent="0.3">
      <c r="A11417" s="42"/>
      <c r="C11417" s="52"/>
      <c r="D11417"/>
      <c r="E11417"/>
      <c r="F11417"/>
      <c r="N11417" s="44"/>
    </row>
    <row r="11418" spans="1:14" x14ac:dyDescent="0.3">
      <c r="A11418" s="42"/>
      <c r="C11418" s="52"/>
      <c r="D11418"/>
      <c r="E11418"/>
      <c r="F11418"/>
      <c r="N11418" s="44"/>
    </row>
    <row r="11419" spans="1:14" x14ac:dyDescent="0.3">
      <c r="A11419" s="42"/>
      <c r="C11419" s="52"/>
      <c r="D11419"/>
      <c r="E11419"/>
      <c r="F11419"/>
      <c r="N11419" s="44"/>
    </row>
    <row r="11420" spans="1:14" x14ac:dyDescent="0.3">
      <c r="A11420" s="42"/>
      <c r="C11420" s="52"/>
      <c r="D11420"/>
      <c r="E11420"/>
      <c r="F11420"/>
      <c r="N11420" s="44"/>
    </row>
    <row r="11421" spans="1:14" x14ac:dyDescent="0.3">
      <c r="A11421" s="42"/>
      <c r="C11421" s="52"/>
      <c r="D11421"/>
      <c r="E11421"/>
      <c r="F11421"/>
      <c r="N11421" s="44"/>
    </row>
    <row r="11422" spans="1:14" x14ac:dyDescent="0.3">
      <c r="A11422" s="42"/>
      <c r="C11422" s="52"/>
      <c r="D11422"/>
      <c r="E11422"/>
      <c r="F11422"/>
      <c r="N11422" s="44"/>
    </row>
    <row r="11423" spans="1:14" x14ac:dyDescent="0.3">
      <c r="A11423" s="42"/>
      <c r="C11423" s="52"/>
      <c r="D11423"/>
      <c r="E11423"/>
      <c r="F11423"/>
      <c r="N11423" s="44"/>
    </row>
    <row r="11424" spans="1:14" x14ac:dyDescent="0.3">
      <c r="A11424" s="42"/>
      <c r="C11424" s="52"/>
      <c r="D11424"/>
      <c r="E11424"/>
      <c r="F11424"/>
      <c r="N11424" s="44"/>
    </row>
    <row r="11425" spans="1:14" x14ac:dyDescent="0.3">
      <c r="A11425" s="42"/>
      <c r="C11425" s="52"/>
      <c r="D11425"/>
      <c r="E11425"/>
      <c r="F11425"/>
      <c r="N11425" s="44"/>
    </row>
    <row r="11426" spans="1:14" x14ac:dyDescent="0.3">
      <c r="A11426" s="42"/>
      <c r="C11426" s="52"/>
      <c r="D11426"/>
      <c r="E11426"/>
      <c r="F11426"/>
      <c r="N11426" s="44"/>
    </row>
    <row r="11427" spans="1:14" x14ac:dyDescent="0.3">
      <c r="A11427" s="42"/>
      <c r="C11427" s="52"/>
      <c r="D11427"/>
      <c r="E11427"/>
      <c r="F11427"/>
      <c r="N11427" s="44"/>
    </row>
    <row r="11428" spans="1:14" x14ac:dyDescent="0.3">
      <c r="A11428" s="42"/>
      <c r="C11428" s="52"/>
      <c r="D11428"/>
      <c r="E11428"/>
      <c r="F11428"/>
      <c r="N11428" s="44"/>
    </row>
    <row r="11429" spans="1:14" x14ac:dyDescent="0.3">
      <c r="A11429" s="42"/>
      <c r="C11429" s="52"/>
      <c r="D11429"/>
      <c r="E11429"/>
      <c r="F11429"/>
      <c r="N11429" s="44"/>
    </row>
    <row r="11430" spans="1:14" x14ac:dyDescent="0.3">
      <c r="A11430" s="42"/>
      <c r="C11430" s="52"/>
      <c r="D11430"/>
      <c r="E11430"/>
      <c r="F11430"/>
      <c r="N11430" s="44"/>
    </row>
    <row r="11431" spans="1:14" x14ac:dyDescent="0.3">
      <c r="A11431" s="42"/>
      <c r="C11431" s="52"/>
      <c r="D11431"/>
      <c r="E11431"/>
      <c r="F11431"/>
      <c r="N11431" s="44"/>
    </row>
    <row r="11432" spans="1:14" x14ac:dyDescent="0.3">
      <c r="A11432" s="42"/>
      <c r="C11432" s="52"/>
      <c r="D11432"/>
      <c r="E11432"/>
      <c r="F11432"/>
      <c r="N11432" s="44"/>
    </row>
    <row r="11433" spans="1:14" x14ac:dyDescent="0.3">
      <c r="A11433" s="42"/>
      <c r="C11433" s="52"/>
      <c r="D11433"/>
      <c r="E11433"/>
      <c r="F11433"/>
      <c r="N11433" s="44"/>
    </row>
    <row r="11434" spans="1:14" x14ac:dyDescent="0.3">
      <c r="A11434" s="42"/>
      <c r="C11434" s="52"/>
      <c r="D11434"/>
      <c r="E11434"/>
      <c r="F11434"/>
      <c r="N11434" s="44"/>
    </row>
    <row r="11435" spans="1:14" x14ac:dyDescent="0.3">
      <c r="A11435" s="42"/>
      <c r="C11435" s="52"/>
      <c r="D11435"/>
      <c r="E11435"/>
      <c r="F11435"/>
      <c r="N11435" s="44"/>
    </row>
    <row r="11436" spans="1:14" x14ac:dyDescent="0.3">
      <c r="A11436" s="42"/>
      <c r="C11436" s="52"/>
      <c r="D11436"/>
      <c r="E11436"/>
      <c r="F11436"/>
      <c r="N11436" s="44"/>
    </row>
    <row r="11437" spans="1:14" x14ac:dyDescent="0.3">
      <c r="A11437" s="42"/>
      <c r="C11437" s="52"/>
      <c r="D11437"/>
      <c r="E11437"/>
      <c r="F11437"/>
      <c r="N11437" s="44"/>
    </row>
    <row r="11438" spans="1:14" x14ac:dyDescent="0.3">
      <c r="A11438" s="42"/>
      <c r="C11438" s="52"/>
      <c r="D11438"/>
      <c r="E11438"/>
      <c r="F11438"/>
      <c r="N11438" s="44"/>
    </row>
    <row r="11439" spans="1:14" x14ac:dyDescent="0.3">
      <c r="A11439" s="42"/>
      <c r="C11439" s="52"/>
      <c r="D11439"/>
      <c r="E11439"/>
      <c r="F11439"/>
      <c r="N11439" s="44"/>
    </row>
    <row r="11440" spans="1:14" x14ac:dyDescent="0.3">
      <c r="A11440" s="42"/>
      <c r="C11440" s="52"/>
      <c r="D11440"/>
      <c r="E11440"/>
      <c r="F11440"/>
      <c r="N11440" s="44"/>
    </row>
    <row r="11441" spans="1:14" x14ac:dyDescent="0.3">
      <c r="A11441" s="42"/>
      <c r="C11441" s="52"/>
      <c r="D11441"/>
      <c r="E11441"/>
      <c r="F11441"/>
      <c r="N11441" s="44"/>
    </row>
    <row r="11442" spans="1:14" x14ac:dyDescent="0.3">
      <c r="A11442" s="42"/>
      <c r="C11442" s="52"/>
      <c r="D11442"/>
      <c r="E11442"/>
      <c r="F11442"/>
      <c r="N11442" s="44"/>
    </row>
    <row r="11443" spans="1:14" x14ac:dyDescent="0.3">
      <c r="A11443" s="42"/>
      <c r="C11443" s="52"/>
      <c r="D11443"/>
      <c r="E11443"/>
      <c r="F11443"/>
      <c r="N11443" s="44"/>
    </row>
    <row r="11444" spans="1:14" x14ac:dyDescent="0.3">
      <c r="A11444" s="42"/>
      <c r="C11444" s="52"/>
      <c r="D11444"/>
      <c r="E11444"/>
      <c r="F11444"/>
      <c r="N11444" s="44"/>
    </row>
    <row r="11445" spans="1:14" x14ac:dyDescent="0.3">
      <c r="A11445" s="42"/>
      <c r="C11445" s="52"/>
      <c r="D11445"/>
      <c r="E11445"/>
      <c r="F11445"/>
      <c r="N11445" s="44"/>
    </row>
    <row r="11446" spans="1:14" x14ac:dyDescent="0.3">
      <c r="A11446" s="42"/>
      <c r="C11446" s="52"/>
      <c r="D11446"/>
      <c r="E11446"/>
      <c r="F11446"/>
      <c r="N11446" s="44"/>
    </row>
    <row r="11447" spans="1:14" x14ac:dyDescent="0.3">
      <c r="A11447" s="42"/>
      <c r="C11447" s="52"/>
      <c r="D11447"/>
      <c r="E11447"/>
      <c r="F11447"/>
      <c r="N11447" s="44"/>
    </row>
    <row r="11448" spans="1:14" x14ac:dyDescent="0.3">
      <c r="A11448" s="42"/>
      <c r="C11448" s="52"/>
      <c r="D11448"/>
      <c r="E11448"/>
      <c r="F11448"/>
      <c r="N11448" s="44"/>
    </row>
    <row r="11449" spans="1:14" x14ac:dyDescent="0.3">
      <c r="A11449" s="42"/>
      <c r="C11449" s="52"/>
      <c r="D11449"/>
      <c r="E11449"/>
      <c r="F11449"/>
      <c r="N11449" s="44"/>
    </row>
    <row r="11450" spans="1:14" x14ac:dyDescent="0.3">
      <c r="A11450" s="42"/>
      <c r="C11450" s="52"/>
      <c r="D11450"/>
      <c r="E11450"/>
      <c r="F11450"/>
      <c r="N11450" s="44"/>
    </row>
    <row r="11451" spans="1:14" x14ac:dyDescent="0.3">
      <c r="A11451" s="42"/>
      <c r="C11451" s="52"/>
      <c r="D11451"/>
      <c r="E11451"/>
      <c r="F11451"/>
      <c r="N11451" s="44"/>
    </row>
    <row r="11452" spans="1:14" x14ac:dyDescent="0.3">
      <c r="A11452" s="42"/>
      <c r="C11452" s="52"/>
      <c r="D11452"/>
      <c r="E11452"/>
      <c r="F11452"/>
      <c r="L11452" s="1"/>
      <c r="N11452" s="44"/>
    </row>
    <row r="11453" spans="1:14" x14ac:dyDescent="0.3">
      <c r="A11453" s="42"/>
      <c r="C11453" s="52"/>
      <c r="D11453"/>
      <c r="E11453"/>
      <c r="F11453"/>
      <c r="L11453" s="1"/>
      <c r="N11453" s="44"/>
    </row>
    <row r="11454" spans="1:14" x14ac:dyDescent="0.3">
      <c r="A11454" s="42"/>
      <c r="C11454" s="52"/>
      <c r="D11454"/>
      <c r="E11454"/>
      <c r="F11454"/>
      <c r="L11454" s="1"/>
      <c r="N11454" s="44"/>
    </row>
    <row r="11455" spans="1:14" x14ac:dyDescent="0.3">
      <c r="A11455" s="42"/>
      <c r="C11455" s="52"/>
      <c r="D11455"/>
      <c r="E11455"/>
      <c r="F11455"/>
      <c r="L11455" s="1"/>
      <c r="N11455" s="44"/>
    </row>
    <row r="11456" spans="1:14" x14ac:dyDescent="0.3">
      <c r="A11456" s="42"/>
      <c r="C11456" s="52"/>
      <c r="D11456"/>
      <c r="E11456"/>
      <c r="F11456"/>
      <c r="L11456" s="1"/>
      <c r="N11456" s="44"/>
    </row>
    <row r="11457" spans="1:14" x14ac:dyDescent="0.3">
      <c r="A11457" s="42"/>
      <c r="C11457" s="52"/>
      <c r="D11457"/>
      <c r="E11457"/>
      <c r="F11457"/>
      <c r="L11457" s="1"/>
      <c r="N11457" s="44"/>
    </row>
    <row r="11458" spans="1:14" x14ac:dyDescent="0.3">
      <c r="A11458" s="42"/>
      <c r="C11458" s="52"/>
      <c r="D11458"/>
      <c r="E11458"/>
      <c r="F11458"/>
      <c r="L11458" s="1"/>
      <c r="N11458" s="44"/>
    </row>
    <row r="11459" spans="1:14" x14ac:dyDescent="0.3">
      <c r="A11459" s="42"/>
      <c r="C11459" s="52"/>
      <c r="D11459"/>
      <c r="E11459"/>
      <c r="F11459"/>
      <c r="L11459" s="1"/>
      <c r="N11459" s="44"/>
    </row>
    <row r="11460" spans="1:14" x14ac:dyDescent="0.3">
      <c r="A11460" s="42"/>
      <c r="C11460" s="52"/>
      <c r="D11460"/>
      <c r="E11460"/>
      <c r="F11460"/>
      <c r="L11460" s="1"/>
      <c r="N11460" s="44"/>
    </row>
    <row r="11461" spans="1:14" x14ac:dyDescent="0.3">
      <c r="A11461" s="42"/>
      <c r="C11461" s="52"/>
      <c r="D11461"/>
      <c r="E11461"/>
      <c r="F11461"/>
      <c r="L11461" s="1"/>
      <c r="M11461" s="45"/>
      <c r="N11461" s="44"/>
    </row>
    <row r="11462" spans="1:14" x14ac:dyDescent="0.3">
      <c r="A11462" s="42"/>
      <c r="C11462" s="52"/>
      <c r="D11462"/>
      <c r="E11462"/>
      <c r="F11462"/>
      <c r="L11462" s="1"/>
      <c r="N11462" s="44"/>
    </row>
    <row r="11463" spans="1:14" x14ac:dyDescent="0.3">
      <c r="A11463" s="42"/>
      <c r="C11463" s="52"/>
      <c r="D11463"/>
      <c r="E11463"/>
      <c r="F11463"/>
      <c r="L11463" s="54"/>
      <c r="N11463" s="44"/>
    </row>
    <row r="11464" spans="1:14" x14ac:dyDescent="0.3">
      <c r="A11464" s="42"/>
      <c r="C11464" s="52"/>
      <c r="D11464"/>
      <c r="E11464"/>
      <c r="F11464"/>
      <c r="L11464" s="54"/>
      <c r="N11464" s="44"/>
    </row>
    <row r="11465" spans="1:14" x14ac:dyDescent="0.3">
      <c r="A11465" s="42"/>
      <c r="C11465" s="52"/>
      <c r="D11465"/>
      <c r="E11465"/>
      <c r="F11465"/>
      <c r="L11465" s="1"/>
      <c r="N11465" s="44"/>
    </row>
    <row r="11466" spans="1:14" x14ac:dyDescent="0.3">
      <c r="A11466" s="42"/>
      <c r="C11466" s="52"/>
      <c r="D11466"/>
      <c r="E11466"/>
      <c r="F11466"/>
      <c r="L11466" s="1"/>
      <c r="N11466" s="44"/>
    </row>
    <row r="11467" spans="1:14" x14ac:dyDescent="0.3">
      <c r="A11467" s="42"/>
      <c r="C11467" s="52"/>
      <c r="D11467"/>
      <c r="E11467"/>
      <c r="F11467"/>
      <c r="L11467" s="1"/>
      <c r="N11467" s="44"/>
    </row>
    <row r="11468" spans="1:14" x14ac:dyDescent="0.3">
      <c r="A11468" s="42"/>
      <c r="C11468" s="52"/>
      <c r="D11468"/>
      <c r="E11468"/>
      <c r="F11468"/>
      <c r="L11468" s="1"/>
      <c r="N11468" s="44"/>
    </row>
    <row r="11469" spans="1:14" x14ac:dyDescent="0.3">
      <c r="A11469" s="42"/>
      <c r="C11469" s="52"/>
      <c r="D11469"/>
      <c r="E11469"/>
      <c r="F11469"/>
      <c r="L11469" s="54"/>
      <c r="N11469" s="44"/>
    </row>
    <row r="11470" spans="1:14" x14ac:dyDescent="0.3">
      <c r="A11470" s="42"/>
      <c r="C11470" s="52"/>
      <c r="D11470"/>
      <c r="E11470"/>
      <c r="F11470"/>
      <c r="L11470" s="1"/>
      <c r="N11470" s="44"/>
    </row>
    <row r="11471" spans="1:14" x14ac:dyDescent="0.3">
      <c r="A11471" s="42"/>
      <c r="C11471" s="52"/>
      <c r="D11471"/>
      <c r="E11471"/>
      <c r="F11471"/>
      <c r="L11471" s="54"/>
      <c r="N11471" s="44"/>
    </row>
    <row r="11472" spans="1:14" x14ac:dyDescent="0.3">
      <c r="A11472" s="42"/>
      <c r="C11472" s="52"/>
      <c r="D11472"/>
      <c r="E11472"/>
      <c r="F11472"/>
      <c r="L11472" s="54"/>
      <c r="N11472" s="44"/>
    </row>
    <row r="11473" spans="1:14" x14ac:dyDescent="0.3">
      <c r="A11473" s="42"/>
      <c r="C11473" s="52"/>
      <c r="D11473"/>
      <c r="E11473"/>
      <c r="F11473"/>
      <c r="L11473" s="1"/>
      <c r="N11473" s="44"/>
    </row>
    <row r="11474" spans="1:14" x14ac:dyDescent="0.3">
      <c r="A11474" s="42"/>
      <c r="C11474" s="52"/>
      <c r="D11474"/>
      <c r="E11474"/>
      <c r="F11474"/>
      <c r="L11474" s="1"/>
      <c r="N11474" s="44"/>
    </row>
    <row r="11475" spans="1:14" x14ac:dyDescent="0.3">
      <c r="A11475" s="42"/>
      <c r="C11475" s="52"/>
      <c r="D11475"/>
      <c r="E11475"/>
      <c r="F11475"/>
      <c r="L11475" s="1"/>
      <c r="N11475" s="44"/>
    </row>
    <row r="11476" spans="1:14" x14ac:dyDescent="0.3">
      <c r="A11476" s="42"/>
      <c r="C11476" s="52"/>
      <c r="D11476"/>
      <c r="E11476"/>
      <c r="F11476"/>
      <c r="L11476" s="1"/>
      <c r="N11476" s="44"/>
    </row>
    <row r="11477" spans="1:14" x14ac:dyDescent="0.3">
      <c r="A11477" s="42"/>
      <c r="C11477" s="52"/>
      <c r="D11477"/>
      <c r="E11477"/>
      <c r="F11477"/>
      <c r="L11477" s="1"/>
      <c r="N11477" s="44"/>
    </row>
    <row r="11478" spans="1:14" x14ac:dyDescent="0.3">
      <c r="A11478" s="42"/>
      <c r="C11478" s="52"/>
      <c r="D11478"/>
      <c r="E11478"/>
      <c r="F11478"/>
      <c r="L11478" s="1"/>
      <c r="N11478" s="44"/>
    </row>
    <row r="11479" spans="1:14" x14ac:dyDescent="0.3">
      <c r="A11479" s="42"/>
      <c r="C11479" s="52"/>
      <c r="D11479"/>
      <c r="E11479"/>
      <c r="F11479"/>
      <c r="L11479" s="1"/>
      <c r="N11479" s="44"/>
    </row>
    <row r="11480" spans="1:14" x14ac:dyDescent="0.3">
      <c r="A11480" s="42"/>
      <c r="C11480" s="52"/>
      <c r="D11480"/>
      <c r="E11480"/>
      <c r="F11480"/>
      <c r="L11480" s="1"/>
      <c r="N11480" s="44"/>
    </row>
    <row r="11481" spans="1:14" x14ac:dyDescent="0.3">
      <c r="A11481" s="42"/>
      <c r="C11481" s="52"/>
      <c r="D11481"/>
      <c r="E11481"/>
      <c r="F11481"/>
      <c r="L11481" s="1"/>
      <c r="N11481" s="44"/>
    </row>
    <row r="11482" spans="1:14" x14ac:dyDescent="0.3">
      <c r="A11482" s="42"/>
      <c r="C11482" s="52"/>
      <c r="D11482"/>
      <c r="E11482"/>
      <c r="F11482"/>
      <c r="L11482" s="1"/>
      <c r="N11482" s="44"/>
    </row>
    <row r="11483" spans="1:14" x14ac:dyDescent="0.3">
      <c r="A11483" s="42"/>
      <c r="C11483" s="52"/>
      <c r="D11483"/>
      <c r="E11483"/>
      <c r="F11483"/>
      <c r="L11483" s="1"/>
      <c r="N11483" s="44"/>
    </row>
    <row r="11484" spans="1:14" x14ac:dyDescent="0.3">
      <c r="A11484" s="42"/>
      <c r="C11484" s="52"/>
      <c r="D11484"/>
      <c r="E11484"/>
      <c r="F11484"/>
      <c r="L11484" s="54"/>
      <c r="N11484" s="44"/>
    </row>
    <row r="11485" spans="1:14" x14ac:dyDescent="0.3">
      <c r="A11485" s="42"/>
      <c r="C11485" s="52"/>
      <c r="D11485"/>
      <c r="E11485"/>
      <c r="F11485"/>
      <c r="L11485" s="54"/>
      <c r="N11485" s="44"/>
    </row>
    <row r="11486" spans="1:14" x14ac:dyDescent="0.3">
      <c r="A11486" s="42"/>
      <c r="C11486" s="52"/>
      <c r="D11486"/>
      <c r="E11486"/>
      <c r="F11486"/>
      <c r="L11486" s="54"/>
      <c r="N11486" s="44"/>
    </row>
    <row r="11487" spans="1:14" x14ac:dyDescent="0.3">
      <c r="A11487" s="42"/>
      <c r="C11487" s="52"/>
      <c r="D11487"/>
      <c r="E11487"/>
      <c r="F11487"/>
      <c r="L11487" s="1"/>
      <c r="N11487" s="44"/>
    </row>
    <row r="11488" spans="1:14" x14ac:dyDescent="0.3">
      <c r="A11488" s="42"/>
      <c r="C11488" s="52"/>
      <c r="D11488"/>
      <c r="E11488"/>
      <c r="F11488"/>
      <c r="L11488" s="1"/>
      <c r="N11488" s="44"/>
    </row>
    <row r="11489" spans="1:14" x14ac:dyDescent="0.3">
      <c r="A11489" s="42"/>
      <c r="C11489" s="52"/>
      <c r="D11489"/>
      <c r="E11489"/>
      <c r="F11489"/>
      <c r="L11489" s="1"/>
      <c r="N11489" s="44"/>
    </row>
    <row r="11490" spans="1:14" x14ac:dyDescent="0.3">
      <c r="A11490" s="42"/>
      <c r="C11490" s="52"/>
      <c r="D11490"/>
      <c r="E11490"/>
      <c r="F11490"/>
      <c r="L11490" s="1"/>
      <c r="N11490" s="44"/>
    </row>
    <row r="11491" spans="1:14" x14ac:dyDescent="0.3">
      <c r="A11491" s="42"/>
      <c r="C11491" s="52"/>
      <c r="D11491"/>
      <c r="E11491"/>
      <c r="F11491"/>
      <c r="L11491" s="1"/>
      <c r="N11491" s="44"/>
    </row>
    <row r="11492" spans="1:14" x14ac:dyDescent="0.3">
      <c r="A11492" s="42"/>
      <c r="C11492" s="52"/>
      <c r="D11492"/>
      <c r="E11492"/>
      <c r="F11492"/>
      <c r="L11492" s="1"/>
      <c r="N11492" s="44"/>
    </row>
    <row r="11493" spans="1:14" x14ac:dyDescent="0.3">
      <c r="A11493" s="42"/>
      <c r="C11493" s="52"/>
      <c r="D11493"/>
      <c r="E11493"/>
      <c r="F11493"/>
      <c r="L11493" s="1"/>
      <c r="N11493" s="44"/>
    </row>
    <row r="11494" spans="1:14" x14ac:dyDescent="0.3">
      <c r="A11494" s="42"/>
      <c r="C11494" s="52"/>
      <c r="D11494"/>
      <c r="E11494"/>
      <c r="F11494"/>
      <c r="L11494" s="54"/>
      <c r="N11494" s="44"/>
    </row>
    <row r="11495" spans="1:14" x14ac:dyDescent="0.3">
      <c r="A11495" s="42"/>
      <c r="C11495" s="52"/>
      <c r="D11495"/>
      <c r="E11495"/>
      <c r="F11495"/>
      <c r="L11495" s="54"/>
      <c r="N11495" s="44"/>
    </row>
    <row r="11496" spans="1:14" x14ac:dyDescent="0.3">
      <c r="A11496" s="42"/>
      <c r="C11496" s="52"/>
      <c r="D11496"/>
      <c r="E11496"/>
      <c r="F11496"/>
      <c r="L11496" s="54"/>
      <c r="N11496" s="44"/>
    </row>
    <row r="11497" spans="1:14" x14ac:dyDescent="0.3">
      <c r="A11497" s="42"/>
      <c r="C11497" s="52"/>
      <c r="D11497"/>
      <c r="E11497"/>
      <c r="F11497"/>
      <c r="L11497" s="54"/>
      <c r="N11497" s="44"/>
    </row>
    <row r="11498" spans="1:14" x14ac:dyDescent="0.3">
      <c r="A11498" s="42"/>
      <c r="C11498" s="52"/>
      <c r="D11498"/>
      <c r="E11498"/>
      <c r="F11498"/>
      <c r="L11498" s="54"/>
      <c r="N11498" s="44"/>
    </row>
    <row r="11499" spans="1:14" x14ac:dyDescent="0.3">
      <c r="A11499" s="42"/>
      <c r="C11499" s="52"/>
      <c r="D11499"/>
      <c r="E11499"/>
      <c r="F11499"/>
      <c r="L11499" s="54"/>
      <c r="N11499" s="44"/>
    </row>
    <row r="11500" spans="1:14" x14ac:dyDescent="0.3">
      <c r="A11500" s="42"/>
      <c r="C11500" s="52"/>
      <c r="D11500"/>
      <c r="E11500"/>
      <c r="F11500"/>
      <c r="L11500" s="54"/>
      <c r="N11500" s="44"/>
    </row>
    <row r="11501" spans="1:14" x14ac:dyDescent="0.3">
      <c r="A11501" s="42"/>
      <c r="C11501" s="52"/>
      <c r="D11501"/>
      <c r="E11501"/>
      <c r="F11501"/>
      <c r="L11501" s="54"/>
      <c r="N11501" s="44"/>
    </row>
    <row r="11502" spans="1:14" x14ac:dyDescent="0.3">
      <c r="A11502" s="42"/>
      <c r="C11502" s="52"/>
      <c r="D11502"/>
      <c r="E11502"/>
      <c r="F11502"/>
      <c r="L11502" s="1"/>
      <c r="N11502" s="44"/>
    </row>
    <row r="11503" spans="1:14" x14ac:dyDescent="0.3">
      <c r="A11503" s="42"/>
      <c r="C11503" s="52"/>
      <c r="D11503"/>
      <c r="E11503"/>
      <c r="F11503"/>
      <c r="L11503" s="1"/>
      <c r="N11503" s="44"/>
    </row>
    <row r="11504" spans="1:14" x14ac:dyDescent="0.3">
      <c r="A11504" s="42"/>
      <c r="C11504" s="52"/>
      <c r="D11504"/>
      <c r="E11504"/>
      <c r="F11504"/>
      <c r="L11504" s="1"/>
      <c r="N11504" s="44"/>
    </row>
    <row r="11505" spans="1:14" x14ac:dyDescent="0.3">
      <c r="A11505" s="42"/>
      <c r="C11505" s="52"/>
      <c r="D11505"/>
      <c r="E11505"/>
      <c r="F11505"/>
      <c r="L11505" s="1"/>
      <c r="N11505" s="44"/>
    </row>
    <row r="11506" spans="1:14" x14ac:dyDescent="0.3">
      <c r="A11506" s="42"/>
      <c r="C11506" s="52"/>
      <c r="D11506"/>
      <c r="E11506"/>
      <c r="F11506"/>
      <c r="L11506" s="54"/>
      <c r="N11506" s="44"/>
    </row>
    <row r="11507" spans="1:14" x14ac:dyDescent="0.3">
      <c r="A11507" s="42"/>
      <c r="C11507" s="52"/>
      <c r="D11507"/>
      <c r="E11507"/>
      <c r="F11507"/>
      <c r="L11507" s="54"/>
      <c r="N11507" s="44"/>
    </row>
    <row r="11508" spans="1:14" x14ac:dyDescent="0.3">
      <c r="A11508" s="42"/>
      <c r="C11508" s="52"/>
      <c r="D11508"/>
      <c r="E11508"/>
      <c r="F11508"/>
      <c r="L11508" s="54"/>
      <c r="N11508" s="44"/>
    </row>
    <row r="11509" spans="1:14" x14ac:dyDescent="0.3">
      <c r="A11509" s="42"/>
      <c r="C11509" s="52"/>
      <c r="D11509"/>
      <c r="E11509"/>
      <c r="F11509"/>
      <c r="L11509" s="54"/>
      <c r="N11509" s="44"/>
    </row>
    <row r="11510" spans="1:14" x14ac:dyDescent="0.3">
      <c r="A11510" s="42"/>
      <c r="C11510" s="52"/>
      <c r="D11510"/>
      <c r="E11510"/>
      <c r="F11510"/>
      <c r="L11510" s="54"/>
      <c r="N11510" s="44"/>
    </row>
    <row r="11511" spans="1:14" x14ac:dyDescent="0.3">
      <c r="A11511" s="42"/>
      <c r="C11511" s="52"/>
      <c r="D11511"/>
      <c r="E11511"/>
      <c r="F11511"/>
      <c r="L11511" s="1"/>
      <c r="N11511" s="44"/>
    </row>
    <row r="11512" spans="1:14" x14ac:dyDescent="0.3">
      <c r="A11512" s="42"/>
      <c r="C11512" s="52"/>
      <c r="D11512"/>
      <c r="E11512"/>
      <c r="F11512"/>
      <c r="L11512" s="54"/>
      <c r="N11512" s="44"/>
    </row>
    <row r="11513" spans="1:14" x14ac:dyDescent="0.3">
      <c r="A11513" s="42"/>
      <c r="C11513" s="52"/>
      <c r="D11513"/>
      <c r="E11513"/>
      <c r="F11513"/>
      <c r="L11513" s="54"/>
      <c r="N11513" s="44"/>
    </row>
    <row r="11514" spans="1:14" x14ac:dyDescent="0.3">
      <c r="A11514" s="42"/>
      <c r="C11514" s="52"/>
      <c r="D11514"/>
      <c r="E11514"/>
      <c r="F11514"/>
      <c r="L11514" s="54"/>
      <c r="N11514" s="44"/>
    </row>
    <row r="11515" spans="1:14" x14ac:dyDescent="0.3">
      <c r="A11515" s="42"/>
      <c r="C11515" s="52"/>
      <c r="D11515"/>
      <c r="E11515"/>
      <c r="F11515"/>
      <c r="L11515" s="54"/>
      <c r="N11515" s="44"/>
    </row>
    <row r="11516" spans="1:14" x14ac:dyDescent="0.3">
      <c r="A11516" s="42"/>
      <c r="C11516" s="52"/>
      <c r="D11516"/>
      <c r="E11516"/>
      <c r="F11516"/>
      <c r="L11516" s="54"/>
      <c r="N11516" s="44"/>
    </row>
    <row r="11517" spans="1:14" x14ac:dyDescent="0.3">
      <c r="A11517" s="42"/>
      <c r="C11517" s="52"/>
      <c r="D11517"/>
      <c r="E11517"/>
      <c r="F11517"/>
      <c r="L11517" s="1"/>
      <c r="N11517" s="44"/>
    </row>
    <row r="11518" spans="1:14" x14ac:dyDescent="0.3">
      <c r="A11518" s="42"/>
      <c r="C11518" s="52"/>
      <c r="D11518"/>
      <c r="E11518"/>
      <c r="F11518"/>
      <c r="L11518" s="1"/>
      <c r="N11518" s="44"/>
    </row>
    <row r="11519" spans="1:14" x14ac:dyDescent="0.3">
      <c r="A11519" s="42"/>
      <c r="C11519" s="52"/>
      <c r="D11519"/>
      <c r="E11519"/>
      <c r="F11519"/>
      <c r="L11519" s="1"/>
      <c r="N11519" s="44"/>
    </row>
    <row r="11520" spans="1:14" x14ac:dyDescent="0.3">
      <c r="A11520" s="42"/>
      <c r="C11520" s="52"/>
      <c r="D11520"/>
      <c r="E11520"/>
      <c r="F11520"/>
      <c r="L11520" s="1"/>
      <c r="N11520" s="44"/>
    </row>
    <row r="11521" spans="1:14" x14ac:dyDescent="0.3">
      <c r="A11521" s="42"/>
      <c r="C11521" s="52"/>
      <c r="D11521"/>
      <c r="E11521"/>
      <c r="F11521"/>
      <c r="L11521" s="1"/>
      <c r="N11521" s="44"/>
    </row>
    <row r="11522" spans="1:14" x14ac:dyDescent="0.3">
      <c r="A11522" s="42"/>
      <c r="C11522" s="52"/>
      <c r="D11522"/>
      <c r="E11522"/>
      <c r="F11522"/>
      <c r="L11522" s="1"/>
      <c r="N11522" s="44"/>
    </row>
    <row r="11523" spans="1:14" x14ac:dyDescent="0.3">
      <c r="A11523" s="42"/>
      <c r="C11523" s="52"/>
      <c r="D11523"/>
      <c r="E11523"/>
      <c r="F11523"/>
      <c r="L11523" s="1"/>
      <c r="N11523" s="44"/>
    </row>
    <row r="11524" spans="1:14" x14ac:dyDescent="0.3">
      <c r="A11524" s="42"/>
      <c r="C11524" s="52"/>
      <c r="D11524"/>
      <c r="E11524"/>
      <c r="F11524"/>
      <c r="L11524" s="1"/>
      <c r="N11524" s="44"/>
    </row>
    <row r="11525" spans="1:14" x14ac:dyDescent="0.3">
      <c r="A11525" s="42"/>
      <c r="C11525" s="52"/>
      <c r="D11525"/>
      <c r="E11525"/>
      <c r="F11525"/>
      <c r="L11525" s="54"/>
      <c r="N11525" s="44"/>
    </row>
    <row r="11526" spans="1:14" x14ac:dyDescent="0.3">
      <c r="A11526" s="42"/>
      <c r="C11526" s="52"/>
      <c r="D11526"/>
      <c r="E11526"/>
      <c r="F11526"/>
      <c r="L11526" s="1"/>
      <c r="N11526" s="44"/>
    </row>
    <row r="11527" spans="1:14" x14ac:dyDescent="0.3">
      <c r="A11527" s="42"/>
      <c r="C11527" s="52"/>
      <c r="D11527"/>
      <c r="E11527"/>
      <c r="F11527"/>
      <c r="L11527" s="1"/>
      <c r="N11527" s="44"/>
    </row>
    <row r="11528" spans="1:14" x14ac:dyDescent="0.3">
      <c r="A11528" s="42"/>
      <c r="C11528" s="52"/>
      <c r="D11528"/>
      <c r="E11528"/>
      <c r="F11528"/>
      <c r="L11528" s="1"/>
      <c r="N11528" s="44"/>
    </row>
    <row r="11529" spans="1:14" x14ac:dyDescent="0.3">
      <c r="A11529" s="42"/>
      <c r="C11529" s="52"/>
      <c r="D11529"/>
      <c r="E11529"/>
      <c r="F11529"/>
      <c r="L11529" s="1"/>
      <c r="N11529" s="44"/>
    </row>
    <row r="11530" spans="1:14" x14ac:dyDescent="0.3">
      <c r="A11530" s="42"/>
      <c r="C11530" s="52"/>
      <c r="D11530"/>
      <c r="E11530"/>
      <c r="F11530"/>
      <c r="L11530" s="1"/>
      <c r="N11530" s="44"/>
    </row>
    <row r="11531" spans="1:14" x14ac:dyDescent="0.3">
      <c r="A11531" s="42"/>
      <c r="C11531" s="52"/>
      <c r="D11531"/>
      <c r="E11531"/>
      <c r="F11531"/>
      <c r="L11531" s="1"/>
      <c r="N11531" s="44"/>
    </row>
    <row r="11532" spans="1:14" x14ac:dyDescent="0.3">
      <c r="A11532" s="42"/>
      <c r="C11532" s="52"/>
      <c r="D11532"/>
      <c r="E11532"/>
      <c r="F11532"/>
      <c r="L11532" s="1"/>
      <c r="N11532" s="44"/>
    </row>
    <row r="11533" spans="1:14" x14ac:dyDescent="0.3">
      <c r="A11533" s="42"/>
      <c r="C11533" s="52"/>
      <c r="D11533"/>
      <c r="E11533"/>
      <c r="F11533"/>
      <c r="L11533" s="54"/>
      <c r="N11533" s="44"/>
    </row>
    <row r="11534" spans="1:14" x14ac:dyDescent="0.3">
      <c r="A11534" s="42"/>
      <c r="C11534" s="52"/>
      <c r="D11534"/>
      <c r="E11534"/>
      <c r="F11534"/>
      <c r="L11534" s="1"/>
      <c r="N11534" s="44"/>
    </row>
    <row r="11535" spans="1:14" x14ac:dyDescent="0.3">
      <c r="A11535" s="42"/>
      <c r="C11535" s="52"/>
      <c r="D11535"/>
      <c r="E11535"/>
      <c r="F11535"/>
      <c r="L11535" s="1"/>
      <c r="N11535" s="44"/>
    </row>
    <row r="11536" spans="1:14" x14ac:dyDescent="0.3">
      <c r="A11536" s="42"/>
      <c r="C11536" s="52"/>
      <c r="D11536"/>
      <c r="E11536"/>
      <c r="F11536"/>
      <c r="L11536" s="1"/>
      <c r="N11536" s="44"/>
    </row>
    <row r="11537" spans="1:14" x14ac:dyDescent="0.3">
      <c r="A11537" s="42"/>
      <c r="C11537" s="52"/>
      <c r="D11537"/>
      <c r="E11537"/>
      <c r="F11537"/>
      <c r="L11537" s="1"/>
      <c r="N11537" s="44"/>
    </row>
    <row r="11538" spans="1:14" x14ac:dyDescent="0.3">
      <c r="A11538" s="42"/>
      <c r="C11538" s="52"/>
      <c r="D11538"/>
      <c r="E11538"/>
      <c r="F11538"/>
      <c r="L11538" s="54"/>
      <c r="N11538" s="44"/>
    </row>
    <row r="11539" spans="1:14" x14ac:dyDescent="0.3">
      <c r="A11539" s="42"/>
      <c r="C11539" s="52"/>
      <c r="D11539"/>
      <c r="E11539"/>
      <c r="F11539"/>
      <c r="L11539" s="1"/>
      <c r="N11539" s="44"/>
    </row>
    <row r="11540" spans="1:14" x14ac:dyDescent="0.3">
      <c r="A11540" s="42"/>
      <c r="C11540" s="52"/>
      <c r="D11540"/>
      <c r="E11540"/>
      <c r="F11540"/>
      <c r="L11540" s="1"/>
      <c r="N11540" s="44"/>
    </row>
    <row r="11541" spans="1:14" x14ac:dyDescent="0.3">
      <c r="A11541" s="42"/>
      <c r="C11541" s="52"/>
      <c r="D11541"/>
      <c r="E11541"/>
      <c r="F11541"/>
      <c r="L11541" s="1"/>
      <c r="N11541" s="44"/>
    </row>
    <row r="11542" spans="1:14" x14ac:dyDescent="0.3">
      <c r="A11542" s="42"/>
      <c r="C11542" s="52"/>
      <c r="D11542"/>
      <c r="E11542"/>
      <c r="F11542"/>
      <c r="L11542" s="54"/>
      <c r="N11542" s="44"/>
    </row>
    <row r="11543" spans="1:14" x14ac:dyDescent="0.3">
      <c r="A11543" s="42"/>
      <c r="C11543" s="52"/>
      <c r="D11543"/>
      <c r="E11543"/>
      <c r="F11543"/>
      <c r="L11543" s="1"/>
      <c r="N11543" s="44"/>
    </row>
    <row r="11544" spans="1:14" x14ac:dyDescent="0.3">
      <c r="A11544" s="42"/>
      <c r="C11544" s="52"/>
      <c r="D11544"/>
      <c r="E11544"/>
      <c r="F11544"/>
      <c r="L11544" s="1"/>
      <c r="N11544" s="44"/>
    </row>
    <row r="11545" spans="1:14" x14ac:dyDescent="0.3">
      <c r="A11545" s="42"/>
      <c r="C11545" s="52"/>
      <c r="D11545"/>
      <c r="E11545"/>
      <c r="F11545"/>
      <c r="L11545" s="1"/>
      <c r="N11545" s="44"/>
    </row>
    <row r="11546" spans="1:14" x14ac:dyDescent="0.3">
      <c r="A11546" s="42"/>
      <c r="C11546" s="52"/>
      <c r="D11546"/>
      <c r="E11546"/>
      <c r="F11546"/>
      <c r="L11546" s="1"/>
      <c r="N11546" s="44"/>
    </row>
    <row r="11547" spans="1:14" x14ac:dyDescent="0.3">
      <c r="A11547" s="42"/>
      <c r="C11547" s="52"/>
      <c r="D11547"/>
      <c r="E11547"/>
      <c r="F11547"/>
      <c r="L11547" s="1"/>
      <c r="N11547" s="44"/>
    </row>
    <row r="11548" spans="1:14" x14ac:dyDescent="0.3">
      <c r="A11548" s="42"/>
      <c r="C11548" s="52"/>
      <c r="D11548"/>
      <c r="E11548"/>
      <c r="F11548"/>
      <c r="L11548" s="1"/>
      <c r="N11548" s="44"/>
    </row>
    <row r="11549" spans="1:14" x14ac:dyDescent="0.3">
      <c r="A11549" s="42"/>
      <c r="C11549" s="52"/>
      <c r="D11549"/>
      <c r="E11549"/>
      <c r="F11549"/>
      <c r="L11549" s="1"/>
      <c r="N11549" s="44"/>
    </row>
    <row r="11550" spans="1:14" x14ac:dyDescent="0.3">
      <c r="A11550" s="42"/>
      <c r="C11550" s="52"/>
      <c r="D11550"/>
      <c r="E11550"/>
      <c r="F11550"/>
      <c r="L11550" s="54"/>
      <c r="N11550" s="44"/>
    </row>
    <row r="11551" spans="1:14" x14ac:dyDescent="0.3">
      <c r="A11551" s="42"/>
      <c r="C11551" s="52"/>
      <c r="D11551"/>
      <c r="E11551"/>
      <c r="F11551"/>
      <c r="L11551" s="1"/>
      <c r="N11551" s="44"/>
    </row>
    <row r="11552" spans="1:14" x14ac:dyDescent="0.3">
      <c r="A11552" s="42"/>
      <c r="C11552" s="52"/>
      <c r="D11552"/>
      <c r="E11552"/>
      <c r="F11552"/>
      <c r="L11552" s="1"/>
      <c r="N11552" s="44"/>
    </row>
    <row r="11553" spans="1:14" x14ac:dyDescent="0.3">
      <c r="A11553" s="42"/>
      <c r="C11553" s="52"/>
      <c r="D11553"/>
      <c r="E11553"/>
      <c r="F11553"/>
      <c r="L11553" s="1"/>
      <c r="N11553" s="44"/>
    </row>
    <row r="11554" spans="1:14" x14ac:dyDescent="0.3">
      <c r="A11554" s="42"/>
      <c r="C11554" s="52"/>
      <c r="D11554"/>
      <c r="E11554"/>
      <c r="F11554"/>
      <c r="L11554" s="1"/>
      <c r="N11554" s="44"/>
    </row>
    <row r="11555" spans="1:14" x14ac:dyDescent="0.3">
      <c r="A11555" s="42"/>
      <c r="C11555" s="52"/>
      <c r="D11555"/>
      <c r="E11555"/>
      <c r="F11555"/>
      <c r="L11555" s="1"/>
      <c r="N11555" s="44"/>
    </row>
    <row r="11556" spans="1:14" x14ac:dyDescent="0.3">
      <c r="A11556" s="42"/>
      <c r="C11556" s="52"/>
      <c r="D11556"/>
      <c r="E11556"/>
      <c r="F11556"/>
      <c r="L11556" s="1"/>
      <c r="N11556" s="44"/>
    </row>
    <row r="11557" spans="1:14" x14ac:dyDescent="0.3">
      <c r="A11557" s="42"/>
      <c r="C11557" s="52"/>
      <c r="D11557"/>
      <c r="E11557"/>
      <c r="F11557"/>
      <c r="L11557" s="1"/>
      <c r="N11557" s="44"/>
    </row>
    <row r="11558" spans="1:14" x14ac:dyDescent="0.3">
      <c r="A11558" s="42"/>
      <c r="C11558" s="52"/>
      <c r="D11558"/>
      <c r="E11558"/>
      <c r="F11558"/>
      <c r="L11558" s="1"/>
      <c r="N11558" s="44"/>
    </row>
    <row r="11559" spans="1:14" x14ac:dyDescent="0.3">
      <c r="A11559" s="42"/>
      <c r="C11559" s="52"/>
      <c r="D11559"/>
      <c r="E11559"/>
      <c r="F11559"/>
      <c r="L11559" s="1"/>
      <c r="N11559" s="44"/>
    </row>
    <row r="11560" spans="1:14" x14ac:dyDescent="0.3">
      <c r="A11560" s="42"/>
      <c r="C11560" s="52"/>
      <c r="D11560"/>
      <c r="E11560"/>
      <c r="F11560"/>
      <c r="L11560" s="1"/>
      <c r="N11560" s="44"/>
    </row>
    <row r="11561" spans="1:14" x14ac:dyDescent="0.3">
      <c r="A11561" s="42"/>
      <c r="C11561" s="52"/>
      <c r="D11561"/>
      <c r="E11561"/>
      <c r="F11561"/>
      <c r="L11561" s="54"/>
      <c r="N11561" s="44"/>
    </row>
    <row r="11562" spans="1:14" x14ac:dyDescent="0.3">
      <c r="A11562" s="42"/>
      <c r="C11562" s="52"/>
      <c r="D11562"/>
      <c r="E11562"/>
      <c r="F11562"/>
      <c r="L11562" s="45"/>
      <c r="M11562" s="1"/>
      <c r="N11562" s="44"/>
    </row>
    <row r="11563" spans="1:14" x14ac:dyDescent="0.3">
      <c r="A11563" s="42"/>
      <c r="C11563" s="52"/>
      <c r="D11563"/>
      <c r="E11563"/>
      <c r="F11563"/>
      <c r="L11563" s="45"/>
      <c r="M11563" s="1"/>
      <c r="N11563" s="44"/>
    </row>
    <row r="11564" spans="1:14" x14ac:dyDescent="0.3">
      <c r="A11564" s="42"/>
      <c r="C11564" s="52"/>
      <c r="D11564"/>
      <c r="E11564"/>
      <c r="F11564"/>
      <c r="M11564" s="1"/>
      <c r="N11564" s="44"/>
    </row>
    <row r="11565" spans="1:14" x14ac:dyDescent="0.3">
      <c r="A11565" s="42"/>
      <c r="C11565" s="52"/>
      <c r="D11565"/>
      <c r="E11565"/>
      <c r="F11565"/>
      <c r="M11565" s="1"/>
      <c r="N11565" s="44"/>
    </row>
    <row r="11566" spans="1:14" x14ac:dyDescent="0.3">
      <c r="A11566" s="42"/>
      <c r="C11566" s="52"/>
      <c r="D11566"/>
      <c r="E11566"/>
      <c r="F11566"/>
      <c r="L11566" s="45"/>
      <c r="M11566" s="1"/>
      <c r="N11566" s="44"/>
    </row>
    <row r="11567" spans="1:14" x14ac:dyDescent="0.3">
      <c r="A11567" s="42"/>
      <c r="C11567" s="52"/>
      <c r="D11567"/>
      <c r="E11567"/>
      <c r="F11567"/>
      <c r="M11567" s="1"/>
      <c r="N11567" s="44"/>
    </row>
    <row r="11568" spans="1:14" x14ac:dyDescent="0.3">
      <c r="A11568" s="42"/>
      <c r="C11568" s="52"/>
      <c r="D11568"/>
      <c r="E11568"/>
      <c r="F11568"/>
      <c r="L11568" s="45"/>
      <c r="M11568" s="1"/>
      <c r="N11568" s="44"/>
    </row>
    <row r="11569" spans="1:14" x14ac:dyDescent="0.3">
      <c r="A11569" s="42"/>
      <c r="C11569" s="52"/>
      <c r="D11569"/>
      <c r="E11569"/>
      <c r="F11569"/>
      <c r="L11569" s="45"/>
      <c r="M11569" s="1"/>
      <c r="N11569" s="44"/>
    </row>
    <row r="11570" spans="1:14" x14ac:dyDescent="0.3">
      <c r="A11570" s="42"/>
      <c r="C11570" s="52"/>
      <c r="D11570"/>
      <c r="E11570"/>
      <c r="F11570"/>
      <c r="M11570" s="1"/>
      <c r="N11570" s="44"/>
    </row>
    <row r="11571" spans="1:14" x14ac:dyDescent="0.3">
      <c r="A11571" s="42"/>
      <c r="C11571" s="52"/>
      <c r="D11571"/>
      <c r="E11571"/>
      <c r="F11571"/>
      <c r="L11571" s="45"/>
      <c r="M11571" s="1"/>
      <c r="N11571" s="44"/>
    </row>
    <row r="11572" spans="1:14" x14ac:dyDescent="0.3">
      <c r="A11572" s="42"/>
      <c r="C11572" s="52"/>
      <c r="D11572"/>
      <c r="E11572"/>
      <c r="F11572"/>
      <c r="L11572" s="45"/>
      <c r="M11572" s="1"/>
      <c r="N11572" s="44"/>
    </row>
    <row r="11573" spans="1:14" x14ac:dyDescent="0.3">
      <c r="A11573" s="42"/>
      <c r="C11573" s="52"/>
      <c r="D11573"/>
      <c r="E11573"/>
      <c r="F11573"/>
      <c r="M11573" s="1"/>
      <c r="N11573" s="44"/>
    </row>
    <row r="11574" spans="1:14" x14ac:dyDescent="0.3">
      <c r="A11574" s="42"/>
      <c r="C11574" s="52"/>
      <c r="D11574"/>
      <c r="E11574"/>
      <c r="F11574"/>
      <c r="L11574" s="45"/>
      <c r="M11574" s="1"/>
      <c r="N11574" s="44"/>
    </row>
    <row r="11575" spans="1:14" x14ac:dyDescent="0.3">
      <c r="A11575" s="42"/>
      <c r="C11575" s="52"/>
      <c r="D11575"/>
      <c r="E11575"/>
      <c r="F11575"/>
      <c r="M11575" s="1"/>
      <c r="N11575" s="44"/>
    </row>
    <row r="11576" spans="1:14" x14ac:dyDescent="0.3">
      <c r="A11576" s="42"/>
      <c r="C11576" s="52"/>
      <c r="D11576"/>
      <c r="E11576"/>
      <c r="F11576"/>
      <c r="M11576" s="1"/>
      <c r="N11576" s="44"/>
    </row>
    <row r="11577" spans="1:14" x14ac:dyDescent="0.3">
      <c r="A11577" s="42"/>
      <c r="C11577" s="52"/>
      <c r="D11577"/>
      <c r="E11577"/>
      <c r="F11577"/>
      <c r="M11577" s="1"/>
      <c r="N11577" s="44"/>
    </row>
    <row r="11578" spans="1:14" x14ac:dyDescent="0.3">
      <c r="A11578" s="42"/>
      <c r="C11578" s="52"/>
      <c r="D11578"/>
      <c r="E11578"/>
      <c r="F11578"/>
      <c r="M11578" s="1"/>
      <c r="N11578" s="44"/>
    </row>
    <row r="11579" spans="1:14" x14ac:dyDescent="0.3">
      <c r="A11579" s="42"/>
      <c r="C11579" s="52"/>
      <c r="D11579"/>
      <c r="E11579"/>
      <c r="F11579"/>
      <c r="M11579" s="1"/>
      <c r="N11579" s="44"/>
    </row>
    <row r="11580" spans="1:14" x14ac:dyDescent="0.3">
      <c r="A11580" s="42"/>
      <c r="C11580" s="52"/>
      <c r="D11580"/>
      <c r="E11580"/>
      <c r="F11580"/>
      <c r="M11580" s="1"/>
      <c r="N11580" s="44"/>
    </row>
    <row r="11581" spans="1:14" x14ac:dyDescent="0.3">
      <c r="A11581" s="42"/>
      <c r="C11581" s="52"/>
      <c r="D11581"/>
      <c r="E11581"/>
      <c r="F11581"/>
      <c r="M11581" s="1"/>
      <c r="N11581" s="44"/>
    </row>
    <row r="11582" spans="1:14" x14ac:dyDescent="0.3">
      <c r="A11582" s="42"/>
      <c r="C11582" s="52"/>
      <c r="D11582"/>
      <c r="E11582"/>
      <c r="F11582"/>
      <c r="M11582" s="1"/>
      <c r="N11582" s="44"/>
    </row>
    <row r="11583" spans="1:14" x14ac:dyDescent="0.3">
      <c r="A11583" s="42"/>
      <c r="C11583" s="52"/>
      <c r="D11583"/>
      <c r="E11583"/>
      <c r="F11583"/>
      <c r="M11583" s="1"/>
      <c r="N11583" s="44"/>
    </row>
    <row r="11584" spans="1:14" x14ac:dyDescent="0.3">
      <c r="A11584" s="42"/>
      <c r="C11584" s="52"/>
      <c r="D11584"/>
      <c r="E11584"/>
      <c r="F11584"/>
      <c r="M11584" s="1"/>
      <c r="N11584" s="44"/>
    </row>
    <row r="11585" spans="1:14" x14ac:dyDescent="0.3">
      <c r="A11585" s="42"/>
      <c r="C11585" s="52"/>
      <c r="D11585"/>
      <c r="E11585"/>
      <c r="F11585"/>
      <c r="M11585" s="1"/>
      <c r="N11585" s="44"/>
    </row>
    <row r="11586" spans="1:14" x14ac:dyDescent="0.3">
      <c r="A11586" s="42"/>
      <c r="C11586" s="52"/>
      <c r="D11586"/>
      <c r="E11586"/>
      <c r="F11586"/>
      <c r="M11586" s="1"/>
      <c r="N11586" s="44"/>
    </row>
    <row r="11587" spans="1:14" x14ac:dyDescent="0.3">
      <c r="A11587" s="42"/>
      <c r="C11587" s="52"/>
      <c r="D11587"/>
      <c r="E11587"/>
      <c r="F11587"/>
      <c r="L11587" s="45"/>
      <c r="M11587" s="1"/>
      <c r="N11587" s="44"/>
    </row>
    <row r="11588" spans="1:14" x14ac:dyDescent="0.3">
      <c r="A11588" s="42"/>
      <c r="C11588" s="52"/>
      <c r="D11588"/>
      <c r="E11588"/>
      <c r="F11588"/>
      <c r="M11588" s="1"/>
      <c r="N11588" s="44"/>
    </row>
    <row r="11589" spans="1:14" x14ac:dyDescent="0.3">
      <c r="A11589" s="42"/>
      <c r="C11589" s="52"/>
      <c r="D11589"/>
      <c r="E11589"/>
      <c r="F11589"/>
      <c r="M11589" s="1"/>
      <c r="N11589" s="44"/>
    </row>
    <row r="11590" spans="1:14" x14ac:dyDescent="0.3">
      <c r="A11590" s="42"/>
      <c r="C11590" s="52"/>
      <c r="D11590"/>
      <c r="E11590"/>
      <c r="F11590"/>
      <c r="M11590" s="1"/>
      <c r="N11590" s="44"/>
    </row>
    <row r="11591" spans="1:14" x14ac:dyDescent="0.3">
      <c r="A11591" s="42"/>
      <c r="C11591" s="52"/>
      <c r="D11591"/>
      <c r="E11591"/>
      <c r="F11591"/>
      <c r="M11591" s="1"/>
      <c r="N11591" s="44"/>
    </row>
    <row r="11592" spans="1:14" x14ac:dyDescent="0.3">
      <c r="A11592" s="42"/>
      <c r="C11592" s="52"/>
      <c r="D11592"/>
      <c r="E11592"/>
      <c r="F11592"/>
      <c r="M11592" s="1"/>
      <c r="N11592" s="44"/>
    </row>
    <row r="11593" spans="1:14" x14ac:dyDescent="0.3">
      <c r="A11593" s="42"/>
      <c r="C11593" s="52"/>
      <c r="D11593"/>
      <c r="E11593"/>
      <c r="F11593"/>
      <c r="L11593" s="45"/>
      <c r="M11593" s="1"/>
      <c r="N11593" s="44"/>
    </row>
    <row r="11594" spans="1:14" x14ac:dyDescent="0.3">
      <c r="A11594" s="42"/>
      <c r="C11594" s="52"/>
      <c r="D11594"/>
      <c r="E11594"/>
      <c r="F11594"/>
      <c r="M11594" s="1"/>
      <c r="N11594" s="44"/>
    </row>
    <row r="11595" spans="1:14" x14ac:dyDescent="0.3">
      <c r="A11595" s="42"/>
      <c r="C11595" s="52"/>
      <c r="D11595"/>
      <c r="E11595"/>
      <c r="F11595"/>
      <c r="M11595" s="1"/>
      <c r="N11595" s="44"/>
    </row>
    <row r="11596" spans="1:14" x14ac:dyDescent="0.3">
      <c r="A11596" s="42"/>
      <c r="C11596" s="52"/>
      <c r="D11596"/>
      <c r="E11596"/>
      <c r="F11596"/>
      <c r="M11596" s="1"/>
      <c r="N11596" s="44"/>
    </row>
    <row r="11597" spans="1:14" x14ac:dyDescent="0.3">
      <c r="A11597" s="42"/>
      <c r="C11597" s="52"/>
      <c r="D11597"/>
      <c r="E11597"/>
      <c r="F11597"/>
      <c r="M11597" s="1"/>
      <c r="N11597" s="44"/>
    </row>
    <row r="11598" spans="1:14" x14ac:dyDescent="0.3">
      <c r="A11598" s="42"/>
      <c r="C11598" s="52"/>
      <c r="D11598"/>
      <c r="E11598"/>
      <c r="F11598"/>
      <c r="M11598" s="1"/>
      <c r="N11598" s="44"/>
    </row>
    <row r="11599" spans="1:14" x14ac:dyDescent="0.3">
      <c r="A11599" s="42"/>
      <c r="C11599" s="52"/>
      <c r="D11599"/>
      <c r="E11599"/>
      <c r="F11599"/>
      <c r="M11599" s="1"/>
      <c r="N11599" s="44"/>
    </row>
    <row r="11600" spans="1:14" x14ac:dyDescent="0.3">
      <c r="A11600" s="42"/>
      <c r="C11600" s="52"/>
      <c r="D11600"/>
      <c r="E11600"/>
      <c r="F11600"/>
      <c r="M11600" s="1"/>
      <c r="N11600" s="44"/>
    </row>
    <row r="11601" spans="1:14" x14ac:dyDescent="0.3">
      <c r="A11601" s="42"/>
      <c r="C11601" s="52"/>
      <c r="D11601"/>
      <c r="E11601"/>
      <c r="F11601"/>
      <c r="M11601" s="1"/>
      <c r="N11601" s="44"/>
    </row>
    <row r="11602" spans="1:14" x14ac:dyDescent="0.3">
      <c r="A11602" s="42"/>
      <c r="C11602" s="52"/>
      <c r="D11602"/>
      <c r="E11602"/>
      <c r="F11602"/>
      <c r="M11602" s="1"/>
      <c r="N11602" s="44"/>
    </row>
    <row r="11603" spans="1:14" x14ac:dyDescent="0.3">
      <c r="A11603" s="42"/>
      <c r="C11603" s="52"/>
      <c r="D11603"/>
      <c r="E11603"/>
      <c r="F11603"/>
      <c r="M11603" s="1"/>
      <c r="N11603" s="44"/>
    </row>
    <row r="11604" spans="1:14" x14ac:dyDescent="0.3">
      <c r="A11604" s="42"/>
      <c r="C11604" s="52"/>
      <c r="D11604"/>
      <c r="E11604"/>
      <c r="F11604"/>
      <c r="M11604" s="1"/>
      <c r="N11604" s="44"/>
    </row>
    <row r="11605" spans="1:14" x14ac:dyDescent="0.3">
      <c r="A11605" s="42"/>
      <c r="C11605" s="52"/>
      <c r="D11605"/>
      <c r="E11605"/>
      <c r="F11605"/>
      <c r="M11605" s="1"/>
      <c r="N11605" s="44"/>
    </row>
    <row r="11606" spans="1:14" x14ac:dyDescent="0.3">
      <c r="A11606" s="42"/>
      <c r="C11606" s="52"/>
      <c r="D11606"/>
      <c r="E11606"/>
      <c r="F11606"/>
      <c r="M11606" s="1"/>
      <c r="N11606" s="44"/>
    </row>
    <row r="11607" spans="1:14" x14ac:dyDescent="0.3">
      <c r="A11607" s="42"/>
      <c r="C11607" s="52"/>
      <c r="D11607"/>
      <c r="E11607"/>
      <c r="F11607"/>
      <c r="M11607" s="1"/>
      <c r="N11607" s="44"/>
    </row>
    <row r="11608" spans="1:14" x14ac:dyDescent="0.3">
      <c r="A11608" s="42"/>
      <c r="C11608" s="52"/>
      <c r="D11608"/>
      <c r="E11608"/>
      <c r="F11608"/>
      <c r="M11608" s="1"/>
      <c r="N11608" s="44"/>
    </row>
    <row r="11609" spans="1:14" x14ac:dyDescent="0.3">
      <c r="A11609" s="42"/>
      <c r="C11609" s="52"/>
      <c r="D11609"/>
      <c r="E11609"/>
      <c r="F11609"/>
      <c r="M11609" s="1"/>
      <c r="N11609" s="44"/>
    </row>
    <row r="11610" spans="1:14" x14ac:dyDescent="0.3">
      <c r="A11610" s="42"/>
      <c r="C11610" s="52"/>
      <c r="D11610"/>
      <c r="E11610"/>
      <c r="F11610"/>
      <c r="M11610" s="1"/>
      <c r="N11610" s="44"/>
    </row>
    <row r="11611" spans="1:14" x14ac:dyDescent="0.3">
      <c r="A11611" s="42"/>
      <c r="C11611" s="52"/>
      <c r="D11611"/>
      <c r="E11611"/>
      <c r="F11611"/>
      <c r="M11611" s="1"/>
      <c r="N11611" s="44"/>
    </row>
    <row r="11612" spans="1:14" x14ac:dyDescent="0.3">
      <c r="A11612" s="42"/>
      <c r="C11612" s="52"/>
      <c r="D11612"/>
      <c r="E11612"/>
      <c r="F11612"/>
      <c r="M11612" s="1"/>
      <c r="N11612" s="44"/>
    </row>
    <row r="11613" spans="1:14" x14ac:dyDescent="0.3">
      <c r="A11613" s="42"/>
      <c r="C11613" s="52"/>
      <c r="D11613"/>
      <c r="E11613"/>
      <c r="F11613"/>
      <c r="M11613" s="1"/>
      <c r="N11613" s="44"/>
    </row>
    <row r="11614" spans="1:14" x14ac:dyDescent="0.3">
      <c r="A11614" s="42"/>
      <c r="C11614" s="52"/>
      <c r="D11614"/>
      <c r="E11614"/>
      <c r="F11614"/>
      <c r="M11614" s="1"/>
      <c r="N11614" s="44"/>
    </row>
    <row r="11615" spans="1:14" x14ac:dyDescent="0.3">
      <c r="A11615" s="42"/>
      <c r="C11615" s="52"/>
      <c r="D11615"/>
      <c r="E11615"/>
      <c r="F11615"/>
      <c r="M11615" s="54"/>
      <c r="N11615" s="44"/>
    </row>
    <row r="11616" spans="1:14" x14ac:dyDescent="0.3">
      <c r="A11616" s="42"/>
      <c r="C11616" s="52"/>
      <c r="D11616"/>
      <c r="E11616"/>
      <c r="F11616"/>
      <c r="M11616" s="1"/>
      <c r="N11616" s="44"/>
    </row>
    <row r="11617" spans="1:14" x14ac:dyDescent="0.3">
      <c r="A11617" s="42"/>
      <c r="C11617" s="52"/>
      <c r="D11617"/>
      <c r="E11617"/>
      <c r="F11617"/>
      <c r="M11617" s="1"/>
      <c r="N11617" s="44"/>
    </row>
    <row r="11618" spans="1:14" x14ac:dyDescent="0.3">
      <c r="A11618" s="42"/>
      <c r="C11618" s="52"/>
      <c r="D11618"/>
      <c r="E11618"/>
      <c r="F11618"/>
      <c r="M11618" s="1"/>
      <c r="N11618" s="44"/>
    </row>
    <row r="11619" spans="1:14" x14ac:dyDescent="0.3">
      <c r="A11619" s="42"/>
      <c r="C11619" s="52"/>
      <c r="D11619"/>
      <c r="E11619"/>
      <c r="F11619"/>
      <c r="M11619" s="54"/>
      <c r="N11619" s="44"/>
    </row>
    <row r="11620" spans="1:14" x14ac:dyDescent="0.3">
      <c r="A11620" s="42"/>
      <c r="C11620" s="52"/>
      <c r="D11620"/>
      <c r="E11620"/>
      <c r="F11620"/>
      <c r="M11620" s="1"/>
      <c r="N11620" s="44"/>
    </row>
    <row r="11621" spans="1:14" x14ac:dyDescent="0.3">
      <c r="A11621" s="42"/>
      <c r="C11621" s="52"/>
      <c r="D11621"/>
      <c r="E11621"/>
      <c r="F11621"/>
      <c r="M11621" s="1"/>
      <c r="N11621" s="44"/>
    </row>
    <row r="11622" spans="1:14" x14ac:dyDescent="0.3">
      <c r="A11622" s="42"/>
      <c r="C11622" s="52"/>
      <c r="D11622"/>
      <c r="E11622"/>
      <c r="F11622"/>
      <c r="M11622" s="1"/>
      <c r="N11622" s="44"/>
    </row>
    <row r="11623" spans="1:14" x14ac:dyDescent="0.3">
      <c r="A11623" s="42"/>
      <c r="C11623" s="52"/>
      <c r="D11623"/>
      <c r="E11623"/>
      <c r="F11623"/>
      <c r="M11623" s="1"/>
      <c r="N11623" s="44"/>
    </row>
    <row r="11624" spans="1:14" x14ac:dyDescent="0.3">
      <c r="A11624" s="42"/>
      <c r="C11624" s="52"/>
      <c r="D11624"/>
      <c r="E11624"/>
      <c r="F11624"/>
      <c r="L11624" s="45"/>
      <c r="M11624" s="1"/>
      <c r="N11624" s="44"/>
    </row>
    <row r="11625" spans="1:14" x14ac:dyDescent="0.3">
      <c r="A11625" s="42"/>
      <c r="C11625" s="52"/>
      <c r="D11625"/>
      <c r="E11625"/>
      <c r="F11625"/>
      <c r="M11625" s="54"/>
      <c r="N11625" s="44"/>
    </row>
    <row r="11626" spans="1:14" x14ac:dyDescent="0.3">
      <c r="A11626" s="42"/>
      <c r="C11626" s="52"/>
      <c r="D11626"/>
      <c r="E11626"/>
      <c r="F11626"/>
      <c r="M11626" s="1"/>
      <c r="N11626" s="44"/>
    </row>
    <row r="11627" spans="1:14" x14ac:dyDescent="0.3">
      <c r="A11627" s="42"/>
      <c r="C11627" s="52"/>
      <c r="D11627"/>
      <c r="E11627"/>
      <c r="F11627"/>
      <c r="M11627" s="1"/>
      <c r="N11627" s="44"/>
    </row>
    <row r="11628" spans="1:14" x14ac:dyDescent="0.3">
      <c r="A11628" s="42"/>
      <c r="C11628" s="52"/>
      <c r="D11628"/>
      <c r="E11628"/>
      <c r="F11628"/>
      <c r="M11628" s="1"/>
      <c r="N11628" s="44"/>
    </row>
    <row r="11629" spans="1:14" x14ac:dyDescent="0.3">
      <c r="A11629" s="42"/>
      <c r="C11629" s="52"/>
      <c r="D11629"/>
      <c r="E11629"/>
      <c r="F11629"/>
      <c r="L11629" s="45"/>
      <c r="M11629" s="1"/>
      <c r="N11629" s="44"/>
    </row>
    <row r="11630" spans="1:14" x14ac:dyDescent="0.3">
      <c r="A11630" s="42"/>
      <c r="C11630" s="52"/>
      <c r="D11630"/>
      <c r="E11630"/>
      <c r="F11630"/>
      <c r="L11630" s="45"/>
      <c r="M11630" s="1"/>
      <c r="N11630" s="44"/>
    </row>
    <row r="11631" spans="1:14" x14ac:dyDescent="0.3">
      <c r="A11631" s="42"/>
      <c r="C11631" s="52"/>
      <c r="D11631"/>
      <c r="E11631"/>
      <c r="F11631"/>
      <c r="M11631" s="1"/>
      <c r="N11631" s="44"/>
    </row>
    <row r="11632" spans="1:14" x14ac:dyDescent="0.3">
      <c r="A11632" s="42"/>
      <c r="C11632" s="52"/>
      <c r="D11632"/>
      <c r="E11632"/>
      <c r="F11632"/>
      <c r="L11632" s="45"/>
      <c r="M11632" s="1"/>
      <c r="N11632" s="44"/>
    </row>
    <row r="11633" spans="1:14" x14ac:dyDescent="0.3">
      <c r="A11633" s="42"/>
      <c r="C11633" s="52"/>
      <c r="D11633"/>
      <c r="E11633"/>
      <c r="F11633"/>
      <c r="L11633" s="45"/>
      <c r="M11633" s="1"/>
      <c r="N11633" s="44"/>
    </row>
    <row r="11634" spans="1:14" x14ac:dyDescent="0.3">
      <c r="A11634" s="42"/>
      <c r="C11634" s="52"/>
      <c r="D11634"/>
      <c r="E11634"/>
      <c r="F11634"/>
      <c r="M11634" s="1"/>
      <c r="N11634" s="44"/>
    </row>
    <row r="11635" spans="1:14" x14ac:dyDescent="0.3">
      <c r="A11635" s="42"/>
      <c r="C11635" s="52"/>
      <c r="D11635"/>
      <c r="E11635"/>
      <c r="F11635"/>
      <c r="M11635" s="1"/>
      <c r="N11635" s="44"/>
    </row>
    <row r="11636" spans="1:14" x14ac:dyDescent="0.3">
      <c r="A11636" s="42"/>
      <c r="C11636" s="52"/>
      <c r="D11636"/>
      <c r="E11636"/>
      <c r="F11636"/>
      <c r="M11636" s="1"/>
      <c r="N11636" s="44"/>
    </row>
    <row r="11637" spans="1:14" x14ac:dyDescent="0.3">
      <c r="A11637" s="42"/>
      <c r="C11637" s="52"/>
      <c r="D11637"/>
      <c r="E11637"/>
      <c r="F11637"/>
      <c r="M11637" s="1"/>
      <c r="N11637" s="44"/>
    </row>
    <row r="11638" spans="1:14" x14ac:dyDescent="0.3">
      <c r="A11638" s="42"/>
      <c r="C11638" s="52"/>
      <c r="D11638"/>
      <c r="E11638"/>
      <c r="F11638"/>
      <c r="M11638" s="1"/>
      <c r="N11638" s="44"/>
    </row>
    <row r="11639" spans="1:14" x14ac:dyDescent="0.3">
      <c r="A11639" s="42"/>
      <c r="C11639" s="52"/>
      <c r="D11639"/>
      <c r="E11639"/>
      <c r="F11639"/>
      <c r="M11639" s="1"/>
      <c r="N11639" s="44"/>
    </row>
    <row r="11640" spans="1:14" x14ac:dyDescent="0.3">
      <c r="A11640" s="42"/>
      <c r="C11640" s="52"/>
      <c r="D11640"/>
      <c r="E11640"/>
      <c r="F11640"/>
      <c r="M11640" s="1"/>
      <c r="N11640" s="44"/>
    </row>
    <row r="11641" spans="1:14" x14ac:dyDescent="0.3">
      <c r="A11641" s="42"/>
      <c r="C11641" s="52"/>
      <c r="D11641"/>
      <c r="E11641"/>
      <c r="F11641"/>
      <c r="M11641" s="1"/>
      <c r="N11641" s="44"/>
    </row>
    <row r="11642" spans="1:14" x14ac:dyDescent="0.3">
      <c r="A11642" s="42"/>
      <c r="C11642" s="52"/>
      <c r="D11642"/>
      <c r="E11642"/>
      <c r="F11642"/>
      <c r="M11642" s="1"/>
      <c r="N11642" s="44"/>
    </row>
    <row r="11643" spans="1:14" x14ac:dyDescent="0.3">
      <c r="A11643" s="42"/>
      <c r="C11643" s="52"/>
      <c r="D11643"/>
      <c r="E11643"/>
      <c r="F11643"/>
      <c r="M11643" s="1"/>
      <c r="N11643" s="44"/>
    </row>
    <row r="11644" spans="1:14" x14ac:dyDescent="0.3">
      <c r="A11644" s="42"/>
      <c r="C11644" s="52"/>
      <c r="D11644"/>
      <c r="E11644"/>
      <c r="F11644"/>
      <c r="M11644" s="1"/>
      <c r="N11644" s="44"/>
    </row>
    <row r="11645" spans="1:14" x14ac:dyDescent="0.3">
      <c r="A11645" s="42"/>
      <c r="C11645" s="52"/>
      <c r="D11645"/>
      <c r="E11645"/>
      <c r="F11645"/>
      <c r="M11645" s="1"/>
      <c r="N11645" s="44"/>
    </row>
    <row r="11646" spans="1:14" x14ac:dyDescent="0.3">
      <c r="A11646" s="42"/>
      <c r="C11646" s="52"/>
      <c r="D11646"/>
      <c r="E11646"/>
      <c r="F11646"/>
      <c r="M11646" s="1"/>
      <c r="N11646" s="44"/>
    </row>
    <row r="11647" spans="1:14" x14ac:dyDescent="0.3">
      <c r="A11647" s="42"/>
      <c r="C11647" s="52"/>
      <c r="D11647"/>
      <c r="E11647"/>
      <c r="F11647"/>
      <c r="M11647" s="1"/>
      <c r="N11647" s="44"/>
    </row>
    <row r="11648" spans="1:14" x14ac:dyDescent="0.3">
      <c r="A11648" s="42"/>
      <c r="C11648" s="52"/>
      <c r="D11648"/>
      <c r="E11648"/>
      <c r="F11648"/>
      <c r="M11648" s="1"/>
      <c r="N11648" s="44"/>
    </row>
    <row r="11649" spans="1:14" x14ac:dyDescent="0.3">
      <c r="A11649" s="42"/>
      <c r="C11649" s="52"/>
      <c r="D11649"/>
      <c r="E11649"/>
      <c r="F11649"/>
      <c r="L11649" s="45"/>
      <c r="M11649" s="1"/>
      <c r="N11649" s="44"/>
    </row>
    <row r="11650" spans="1:14" x14ac:dyDescent="0.3">
      <c r="A11650" s="42"/>
      <c r="C11650" s="52"/>
      <c r="D11650"/>
      <c r="E11650"/>
      <c r="F11650"/>
      <c r="M11650" s="1"/>
      <c r="N11650" s="44"/>
    </row>
    <row r="11651" spans="1:14" x14ac:dyDescent="0.3">
      <c r="A11651" s="42"/>
      <c r="C11651" s="52"/>
      <c r="D11651"/>
      <c r="E11651"/>
      <c r="F11651"/>
      <c r="M11651" s="1"/>
      <c r="N11651" s="44"/>
    </row>
    <row r="11652" spans="1:14" x14ac:dyDescent="0.3">
      <c r="A11652" s="42"/>
      <c r="C11652" s="52"/>
      <c r="D11652"/>
      <c r="E11652"/>
      <c r="F11652"/>
      <c r="M11652" s="1"/>
      <c r="N11652" s="44"/>
    </row>
    <row r="11653" spans="1:14" x14ac:dyDescent="0.3">
      <c r="A11653" s="42"/>
      <c r="C11653" s="52"/>
      <c r="D11653"/>
      <c r="E11653"/>
      <c r="F11653"/>
      <c r="M11653" s="1"/>
      <c r="N11653" s="44"/>
    </row>
    <row r="11654" spans="1:14" x14ac:dyDescent="0.3">
      <c r="A11654" s="42"/>
      <c r="C11654" s="52"/>
      <c r="D11654"/>
      <c r="E11654"/>
      <c r="F11654"/>
      <c r="M11654" s="1"/>
      <c r="N11654" s="44"/>
    </row>
    <row r="11655" spans="1:14" x14ac:dyDescent="0.3">
      <c r="A11655" s="42"/>
      <c r="C11655" s="52"/>
      <c r="D11655"/>
      <c r="E11655"/>
      <c r="F11655"/>
      <c r="L11655" s="45"/>
      <c r="M11655" s="1"/>
      <c r="N11655" s="44"/>
    </row>
    <row r="11656" spans="1:14" x14ac:dyDescent="0.3">
      <c r="A11656" s="42"/>
      <c r="C11656" s="52"/>
      <c r="D11656"/>
      <c r="E11656"/>
      <c r="F11656"/>
      <c r="M11656" s="1"/>
      <c r="N11656" s="44"/>
    </row>
    <row r="11657" spans="1:14" x14ac:dyDescent="0.3">
      <c r="A11657" s="42"/>
      <c r="C11657" s="52"/>
      <c r="D11657"/>
      <c r="E11657"/>
      <c r="F11657"/>
      <c r="M11657" s="1"/>
      <c r="N11657" s="44"/>
    </row>
    <row r="11658" spans="1:14" x14ac:dyDescent="0.3">
      <c r="A11658" s="42"/>
      <c r="C11658" s="52"/>
      <c r="D11658"/>
      <c r="E11658"/>
      <c r="F11658"/>
      <c r="M11658" s="1"/>
      <c r="N11658" s="44"/>
    </row>
    <row r="11659" spans="1:14" x14ac:dyDescent="0.3">
      <c r="A11659" s="42"/>
      <c r="C11659" s="52"/>
      <c r="D11659"/>
      <c r="E11659"/>
      <c r="F11659"/>
      <c r="L11659" s="45"/>
      <c r="M11659" s="1"/>
      <c r="N11659" s="44"/>
    </row>
    <row r="11660" spans="1:14" x14ac:dyDescent="0.3">
      <c r="A11660" s="42"/>
      <c r="C11660" s="52"/>
      <c r="D11660"/>
      <c r="E11660"/>
      <c r="F11660"/>
      <c r="M11660" s="1"/>
      <c r="N11660" s="44"/>
    </row>
    <row r="11661" spans="1:14" x14ac:dyDescent="0.3">
      <c r="A11661" s="42"/>
      <c r="C11661" s="52"/>
      <c r="D11661"/>
      <c r="E11661"/>
      <c r="F11661"/>
      <c r="M11661" s="1"/>
      <c r="N11661" s="44"/>
    </row>
    <row r="11662" spans="1:14" x14ac:dyDescent="0.3">
      <c r="A11662" s="42"/>
      <c r="C11662" s="52"/>
      <c r="D11662"/>
      <c r="E11662"/>
      <c r="F11662"/>
      <c r="M11662" s="1"/>
      <c r="N11662" s="44"/>
    </row>
    <row r="11663" spans="1:14" x14ac:dyDescent="0.3">
      <c r="A11663" s="42"/>
      <c r="C11663" s="52"/>
      <c r="D11663"/>
      <c r="E11663"/>
      <c r="F11663"/>
      <c r="M11663" s="1"/>
      <c r="N11663" s="44"/>
    </row>
    <row r="11664" spans="1:14" x14ac:dyDescent="0.3">
      <c r="A11664" s="42"/>
      <c r="C11664" s="52"/>
      <c r="D11664"/>
      <c r="E11664"/>
      <c r="F11664"/>
      <c r="M11664" s="1"/>
      <c r="N11664" s="44"/>
    </row>
    <row r="11665" spans="1:14" x14ac:dyDescent="0.3">
      <c r="A11665" s="42"/>
      <c r="C11665" s="52"/>
      <c r="D11665"/>
      <c r="E11665"/>
      <c r="F11665"/>
      <c r="M11665" s="1"/>
      <c r="N11665" s="44"/>
    </row>
    <row r="11666" spans="1:14" x14ac:dyDescent="0.3">
      <c r="A11666" s="42"/>
      <c r="C11666" s="52"/>
      <c r="D11666"/>
      <c r="E11666"/>
      <c r="F11666"/>
      <c r="L11666" s="45"/>
      <c r="M11666" s="1"/>
      <c r="N11666" s="44"/>
    </row>
    <row r="11667" spans="1:14" x14ac:dyDescent="0.3">
      <c r="A11667" s="42"/>
      <c r="C11667" s="52"/>
      <c r="D11667"/>
      <c r="E11667"/>
      <c r="F11667"/>
      <c r="M11667" s="1"/>
      <c r="N11667" s="44"/>
    </row>
    <row r="11668" spans="1:14" x14ac:dyDescent="0.3">
      <c r="A11668" s="42"/>
      <c r="C11668" s="52"/>
      <c r="D11668"/>
      <c r="E11668"/>
      <c r="F11668"/>
      <c r="M11668" s="1"/>
      <c r="N11668" s="44"/>
    </row>
    <row r="11669" spans="1:14" x14ac:dyDescent="0.3">
      <c r="A11669" s="42"/>
      <c r="C11669" s="52"/>
      <c r="D11669"/>
      <c r="E11669"/>
      <c r="F11669"/>
      <c r="M11669" s="1"/>
      <c r="N11669" s="44"/>
    </row>
    <row r="11670" spans="1:14" x14ac:dyDescent="0.3">
      <c r="A11670" s="42"/>
      <c r="C11670" s="52"/>
      <c r="D11670"/>
      <c r="E11670"/>
      <c r="F11670"/>
      <c r="M11670" s="1"/>
      <c r="N11670" s="44"/>
    </row>
    <row r="11671" spans="1:14" x14ac:dyDescent="0.3">
      <c r="A11671" s="42"/>
      <c r="C11671" s="52"/>
      <c r="D11671"/>
      <c r="E11671"/>
      <c r="F11671"/>
      <c r="M11671" s="1"/>
      <c r="N11671" s="44"/>
    </row>
    <row r="11672" spans="1:14" x14ac:dyDescent="0.3">
      <c r="A11672" s="42"/>
      <c r="C11672" s="52"/>
      <c r="D11672"/>
      <c r="E11672"/>
      <c r="F11672"/>
      <c r="M11672" s="1"/>
      <c r="N11672" s="44"/>
    </row>
    <row r="11673" spans="1:14" x14ac:dyDescent="0.3">
      <c r="A11673" s="42"/>
      <c r="C11673" s="52"/>
      <c r="D11673"/>
      <c r="E11673"/>
      <c r="F11673"/>
      <c r="M11673" s="1"/>
      <c r="N11673" s="44"/>
    </row>
    <row r="11674" spans="1:14" x14ac:dyDescent="0.3">
      <c r="A11674" s="42"/>
      <c r="C11674" s="52"/>
      <c r="D11674"/>
      <c r="E11674"/>
      <c r="F11674"/>
      <c r="M11674" s="1"/>
      <c r="N11674" s="44"/>
    </row>
    <row r="11675" spans="1:14" x14ac:dyDescent="0.3">
      <c r="A11675" s="42"/>
      <c r="C11675" s="52"/>
      <c r="D11675"/>
      <c r="E11675"/>
      <c r="F11675"/>
      <c r="M11675" s="1"/>
      <c r="N11675" s="44"/>
    </row>
    <row r="11676" spans="1:14" x14ac:dyDescent="0.3">
      <c r="A11676" s="42"/>
      <c r="C11676" s="52"/>
      <c r="D11676"/>
      <c r="E11676"/>
      <c r="F11676"/>
      <c r="M11676" s="1"/>
      <c r="N11676" s="44"/>
    </row>
    <row r="11677" spans="1:14" x14ac:dyDescent="0.3">
      <c r="A11677" s="42"/>
      <c r="C11677" s="52"/>
      <c r="D11677"/>
      <c r="E11677"/>
      <c r="F11677"/>
      <c r="M11677" s="1"/>
      <c r="N11677" s="44"/>
    </row>
    <row r="11678" spans="1:14" x14ac:dyDescent="0.3">
      <c r="A11678" s="42"/>
      <c r="C11678" s="52"/>
      <c r="D11678"/>
      <c r="E11678"/>
      <c r="F11678"/>
      <c r="M11678" s="1"/>
      <c r="N11678" s="44"/>
    </row>
    <row r="11679" spans="1:14" x14ac:dyDescent="0.3">
      <c r="A11679" s="42"/>
      <c r="C11679" s="52"/>
      <c r="D11679"/>
      <c r="E11679"/>
      <c r="F11679"/>
      <c r="M11679" s="1"/>
      <c r="N11679" s="44"/>
    </row>
    <row r="11680" spans="1:14" x14ac:dyDescent="0.3">
      <c r="A11680" s="42"/>
      <c r="C11680" s="52"/>
      <c r="D11680"/>
      <c r="E11680"/>
      <c r="F11680"/>
      <c r="M11680" s="1"/>
      <c r="N11680" s="44"/>
    </row>
    <row r="11681" spans="1:14" x14ac:dyDescent="0.3">
      <c r="A11681" s="42"/>
      <c r="C11681" s="52"/>
      <c r="D11681"/>
      <c r="E11681"/>
      <c r="F11681"/>
      <c r="L11681" s="45"/>
      <c r="M11681" s="1"/>
      <c r="N11681" s="44"/>
    </row>
    <row r="11682" spans="1:14" x14ac:dyDescent="0.3">
      <c r="A11682" s="42"/>
      <c r="C11682" s="52"/>
      <c r="D11682"/>
      <c r="E11682"/>
      <c r="F11682"/>
      <c r="L11682" s="45"/>
      <c r="M11682" s="1"/>
      <c r="N11682" s="44"/>
    </row>
    <row r="11683" spans="1:14" x14ac:dyDescent="0.3">
      <c r="A11683" s="42"/>
      <c r="C11683" s="52"/>
      <c r="D11683"/>
      <c r="E11683"/>
      <c r="F11683"/>
      <c r="M11683" s="1"/>
      <c r="N11683" s="44"/>
    </row>
    <row r="11684" spans="1:14" x14ac:dyDescent="0.3">
      <c r="A11684" s="42"/>
      <c r="C11684" s="52"/>
      <c r="D11684"/>
      <c r="E11684"/>
      <c r="F11684"/>
      <c r="L11684" s="45"/>
      <c r="M11684" s="1"/>
      <c r="N11684" s="44"/>
    </row>
    <row r="11685" spans="1:14" x14ac:dyDescent="0.3">
      <c r="A11685" s="42"/>
      <c r="C11685" s="52"/>
      <c r="D11685"/>
      <c r="E11685"/>
      <c r="F11685"/>
      <c r="L11685" s="45"/>
      <c r="M11685" s="1"/>
      <c r="N11685" s="44"/>
    </row>
    <row r="11686" spans="1:14" x14ac:dyDescent="0.3">
      <c r="A11686" s="42"/>
      <c r="C11686" s="52"/>
      <c r="D11686"/>
      <c r="E11686"/>
      <c r="F11686"/>
      <c r="M11686" s="1"/>
      <c r="N11686" s="44"/>
    </row>
    <row r="11687" spans="1:14" x14ac:dyDescent="0.3">
      <c r="A11687" s="42"/>
      <c r="C11687" s="52"/>
      <c r="D11687"/>
      <c r="E11687"/>
      <c r="F11687"/>
      <c r="M11687" s="1"/>
      <c r="N11687" s="44"/>
    </row>
    <row r="11688" spans="1:14" x14ac:dyDescent="0.3">
      <c r="A11688" s="42"/>
      <c r="C11688" s="52"/>
      <c r="D11688"/>
      <c r="E11688"/>
      <c r="F11688"/>
      <c r="L11688" s="45"/>
      <c r="M11688" s="1"/>
      <c r="N11688" s="44"/>
    </row>
    <row r="11689" spans="1:14" x14ac:dyDescent="0.3">
      <c r="A11689" s="42"/>
      <c r="C11689" s="52"/>
      <c r="D11689"/>
      <c r="E11689"/>
      <c r="F11689"/>
      <c r="M11689" s="54"/>
      <c r="N11689" s="44"/>
    </row>
    <row r="11690" spans="1:14" x14ac:dyDescent="0.3">
      <c r="A11690" s="42"/>
      <c r="C11690" s="52"/>
      <c r="D11690"/>
      <c r="E11690"/>
      <c r="F11690"/>
      <c r="M11690" s="1"/>
      <c r="N11690" s="44"/>
    </row>
    <row r="11691" spans="1:14" x14ac:dyDescent="0.3">
      <c r="A11691" s="42"/>
      <c r="C11691" s="52"/>
      <c r="D11691"/>
      <c r="E11691"/>
      <c r="F11691"/>
      <c r="M11691" s="1"/>
      <c r="N11691" s="44"/>
    </row>
    <row r="11692" spans="1:14" x14ac:dyDescent="0.3">
      <c r="A11692" s="42"/>
      <c r="C11692" s="52"/>
      <c r="D11692"/>
      <c r="E11692"/>
      <c r="F11692"/>
      <c r="M11692" s="1"/>
      <c r="N11692" s="44"/>
    </row>
    <row r="11693" spans="1:14" x14ac:dyDescent="0.3">
      <c r="A11693" s="42"/>
      <c r="C11693" s="52"/>
      <c r="D11693"/>
      <c r="E11693"/>
      <c r="F11693"/>
      <c r="M11693" s="1"/>
      <c r="N11693" s="44"/>
    </row>
    <row r="11694" spans="1:14" x14ac:dyDescent="0.3">
      <c r="A11694" s="42"/>
      <c r="C11694" s="52"/>
      <c r="D11694"/>
      <c r="E11694"/>
      <c r="F11694"/>
      <c r="M11694" s="1"/>
      <c r="N11694" s="44"/>
    </row>
    <row r="11695" spans="1:14" x14ac:dyDescent="0.3">
      <c r="A11695" s="42"/>
      <c r="C11695" s="52"/>
      <c r="D11695"/>
      <c r="E11695"/>
      <c r="F11695"/>
      <c r="M11695" s="1"/>
      <c r="N11695" s="44"/>
    </row>
    <row r="11696" spans="1:14" x14ac:dyDescent="0.3">
      <c r="A11696" s="42"/>
      <c r="C11696" s="52"/>
      <c r="D11696"/>
      <c r="E11696"/>
      <c r="F11696"/>
      <c r="M11696" s="1"/>
      <c r="N11696" s="44"/>
    </row>
    <row r="11697" spans="1:14" x14ac:dyDescent="0.3">
      <c r="A11697" s="42"/>
      <c r="C11697" s="52"/>
      <c r="D11697"/>
      <c r="E11697"/>
      <c r="F11697"/>
      <c r="M11697" s="1"/>
      <c r="N11697" s="44"/>
    </row>
    <row r="11698" spans="1:14" x14ac:dyDescent="0.3">
      <c r="A11698" s="42"/>
      <c r="C11698" s="52"/>
      <c r="D11698"/>
      <c r="E11698"/>
      <c r="F11698"/>
      <c r="M11698" s="1"/>
      <c r="N11698" s="44"/>
    </row>
    <row r="11699" spans="1:14" x14ac:dyDescent="0.3">
      <c r="A11699" s="42"/>
      <c r="C11699" s="52"/>
      <c r="D11699"/>
      <c r="E11699"/>
      <c r="F11699"/>
      <c r="M11699" s="1"/>
      <c r="N11699" s="44"/>
    </row>
    <row r="11700" spans="1:14" x14ac:dyDescent="0.3">
      <c r="A11700" s="42"/>
      <c r="C11700" s="52"/>
      <c r="D11700"/>
      <c r="E11700"/>
      <c r="F11700"/>
      <c r="M11700" s="1"/>
      <c r="N11700" s="44"/>
    </row>
    <row r="11701" spans="1:14" x14ac:dyDescent="0.3">
      <c r="A11701" s="42"/>
      <c r="C11701" s="52"/>
      <c r="D11701"/>
      <c r="E11701"/>
      <c r="F11701"/>
      <c r="M11701" s="1"/>
      <c r="N11701" s="44"/>
    </row>
    <row r="11702" spans="1:14" x14ac:dyDescent="0.3">
      <c r="A11702" s="42"/>
      <c r="C11702" s="52"/>
      <c r="D11702"/>
      <c r="E11702"/>
      <c r="F11702"/>
      <c r="M11702" s="1"/>
      <c r="N11702" s="44"/>
    </row>
    <row r="11703" spans="1:14" x14ac:dyDescent="0.3">
      <c r="A11703" s="42"/>
      <c r="C11703" s="52"/>
      <c r="D11703"/>
      <c r="E11703"/>
      <c r="F11703"/>
      <c r="M11703" s="1"/>
      <c r="N11703" s="44"/>
    </row>
    <row r="11704" spans="1:14" x14ac:dyDescent="0.3">
      <c r="A11704" s="42"/>
      <c r="C11704" s="52"/>
      <c r="D11704"/>
      <c r="E11704"/>
      <c r="F11704"/>
      <c r="M11704" s="1"/>
      <c r="N11704" s="44"/>
    </row>
    <row r="11705" spans="1:14" x14ac:dyDescent="0.3">
      <c r="A11705" s="42"/>
      <c r="C11705" s="52"/>
      <c r="D11705"/>
      <c r="E11705"/>
      <c r="F11705"/>
      <c r="M11705" s="1"/>
      <c r="N11705" s="44"/>
    </row>
    <row r="11706" spans="1:14" x14ac:dyDescent="0.3">
      <c r="A11706" s="42"/>
      <c r="C11706" s="52"/>
      <c r="D11706"/>
      <c r="E11706"/>
      <c r="F11706"/>
      <c r="M11706" s="1"/>
      <c r="N11706" s="44"/>
    </row>
    <row r="11707" spans="1:14" x14ac:dyDescent="0.3">
      <c r="A11707" s="42"/>
      <c r="C11707" s="52"/>
      <c r="D11707"/>
      <c r="E11707"/>
      <c r="F11707"/>
      <c r="M11707" s="1"/>
      <c r="N11707" s="44"/>
    </row>
    <row r="11708" spans="1:14" x14ac:dyDescent="0.3">
      <c r="A11708" s="42"/>
      <c r="C11708" s="52"/>
      <c r="D11708"/>
      <c r="E11708"/>
      <c r="F11708"/>
      <c r="M11708" s="1"/>
      <c r="N11708" s="44"/>
    </row>
    <row r="11709" spans="1:14" x14ac:dyDescent="0.3">
      <c r="A11709" s="42"/>
      <c r="C11709" s="52"/>
      <c r="D11709"/>
      <c r="E11709"/>
      <c r="F11709"/>
      <c r="N11709" s="44"/>
    </row>
    <row r="11710" spans="1:14" x14ac:dyDescent="0.3">
      <c r="A11710" s="42"/>
      <c r="C11710" s="52"/>
      <c r="D11710"/>
      <c r="E11710"/>
      <c r="F11710"/>
      <c r="N11710" s="44"/>
    </row>
    <row r="11711" spans="1:14" x14ac:dyDescent="0.3">
      <c r="A11711" s="42"/>
      <c r="C11711" s="52"/>
      <c r="D11711"/>
      <c r="E11711"/>
      <c r="F11711"/>
      <c r="N11711" s="44"/>
    </row>
    <row r="11712" spans="1:14" x14ac:dyDescent="0.3">
      <c r="A11712" s="42"/>
      <c r="C11712" s="52"/>
      <c r="D11712"/>
      <c r="E11712"/>
      <c r="F11712"/>
      <c r="N11712" s="44"/>
    </row>
    <row r="11713" spans="1:14" x14ac:dyDescent="0.3">
      <c r="A11713" s="42"/>
      <c r="C11713" s="52"/>
      <c r="D11713"/>
      <c r="E11713"/>
      <c r="F11713"/>
      <c r="N11713" s="44"/>
    </row>
    <row r="11714" spans="1:14" x14ac:dyDescent="0.3">
      <c r="A11714" s="42"/>
      <c r="C11714" s="52"/>
      <c r="D11714"/>
      <c r="E11714"/>
      <c r="F11714"/>
      <c r="N11714" s="44"/>
    </row>
    <row r="11715" spans="1:14" x14ac:dyDescent="0.3">
      <c r="A11715" s="42"/>
      <c r="C11715" s="52"/>
      <c r="D11715"/>
      <c r="E11715"/>
      <c r="F11715"/>
      <c r="N11715" s="44"/>
    </row>
    <row r="11716" spans="1:14" x14ac:dyDescent="0.3">
      <c r="A11716" s="42"/>
      <c r="C11716" s="52"/>
      <c r="D11716"/>
      <c r="E11716"/>
      <c r="F11716"/>
      <c r="N11716" s="44"/>
    </row>
    <row r="11717" spans="1:14" x14ac:dyDescent="0.3">
      <c r="A11717" s="42"/>
      <c r="C11717" s="52"/>
      <c r="D11717"/>
      <c r="E11717"/>
      <c r="F11717"/>
      <c r="N11717" s="44"/>
    </row>
    <row r="11718" spans="1:14" x14ac:dyDescent="0.3">
      <c r="A11718" s="42"/>
      <c r="C11718" s="52"/>
      <c r="D11718"/>
      <c r="E11718"/>
      <c r="F11718"/>
      <c r="N11718" s="44"/>
    </row>
    <row r="11719" spans="1:14" x14ac:dyDescent="0.3">
      <c r="A11719" s="42"/>
      <c r="C11719" s="52"/>
      <c r="D11719"/>
      <c r="E11719"/>
      <c r="F11719"/>
      <c r="N11719" s="44"/>
    </row>
    <row r="11720" spans="1:14" x14ac:dyDescent="0.3">
      <c r="A11720" s="42"/>
      <c r="C11720" s="52"/>
      <c r="D11720"/>
      <c r="E11720"/>
      <c r="F11720"/>
      <c r="N11720" s="44"/>
    </row>
    <row r="11721" spans="1:14" x14ac:dyDescent="0.3">
      <c r="A11721" s="42"/>
      <c r="C11721" s="52"/>
      <c r="D11721"/>
      <c r="E11721"/>
      <c r="F11721"/>
      <c r="N11721" s="44"/>
    </row>
    <row r="11722" spans="1:14" x14ac:dyDescent="0.3">
      <c r="A11722" s="42"/>
      <c r="C11722" s="52"/>
      <c r="D11722"/>
      <c r="E11722"/>
      <c r="F11722"/>
      <c r="N11722" s="44"/>
    </row>
    <row r="11723" spans="1:14" x14ac:dyDescent="0.3">
      <c r="A11723" s="42"/>
      <c r="C11723" s="52"/>
      <c r="D11723"/>
      <c r="E11723"/>
      <c r="F11723"/>
      <c r="N11723" s="44"/>
    </row>
    <row r="11724" spans="1:14" x14ac:dyDescent="0.3">
      <c r="A11724" s="42"/>
      <c r="C11724" s="52"/>
      <c r="D11724"/>
      <c r="E11724"/>
      <c r="F11724"/>
      <c r="N11724" s="44"/>
    </row>
    <row r="11725" spans="1:14" x14ac:dyDescent="0.3">
      <c r="A11725" s="42"/>
      <c r="C11725" s="52"/>
      <c r="D11725"/>
      <c r="E11725"/>
      <c r="F11725"/>
      <c r="N11725" s="44"/>
    </row>
    <row r="11726" spans="1:14" x14ac:dyDescent="0.3">
      <c r="A11726" s="42"/>
      <c r="C11726" s="52"/>
      <c r="D11726"/>
      <c r="E11726"/>
      <c r="F11726"/>
      <c r="N11726" s="44"/>
    </row>
    <row r="11727" spans="1:14" x14ac:dyDescent="0.3">
      <c r="A11727" s="42"/>
      <c r="C11727" s="52"/>
      <c r="D11727"/>
      <c r="E11727"/>
      <c r="F11727"/>
      <c r="N11727" s="44"/>
    </row>
    <row r="11728" spans="1:14" x14ac:dyDescent="0.3">
      <c r="A11728" s="42"/>
      <c r="C11728" s="52"/>
      <c r="D11728"/>
      <c r="E11728"/>
      <c r="F11728"/>
      <c r="L11728" s="45"/>
      <c r="N11728" s="44"/>
    </row>
    <row r="11729" spans="1:14" x14ac:dyDescent="0.3">
      <c r="A11729" s="42"/>
      <c r="C11729" s="52"/>
      <c r="D11729"/>
      <c r="E11729"/>
      <c r="F11729"/>
      <c r="L11729" s="45"/>
      <c r="N11729" s="44"/>
    </row>
    <row r="11730" spans="1:14" x14ac:dyDescent="0.3">
      <c r="A11730" s="42"/>
      <c r="C11730" s="52"/>
      <c r="D11730"/>
      <c r="E11730"/>
      <c r="F11730"/>
      <c r="N11730" s="44"/>
    </row>
    <row r="11731" spans="1:14" x14ac:dyDescent="0.3">
      <c r="A11731" s="42"/>
      <c r="C11731" s="52"/>
      <c r="D11731"/>
      <c r="E11731"/>
      <c r="F11731"/>
      <c r="N11731" s="44"/>
    </row>
    <row r="11732" spans="1:14" x14ac:dyDescent="0.3">
      <c r="A11732" s="42"/>
      <c r="C11732" s="52"/>
      <c r="D11732"/>
      <c r="E11732"/>
      <c r="F11732"/>
      <c r="N11732" s="44"/>
    </row>
    <row r="11733" spans="1:14" x14ac:dyDescent="0.3">
      <c r="A11733" s="42"/>
      <c r="C11733" s="52"/>
      <c r="D11733"/>
      <c r="E11733"/>
      <c r="F11733"/>
      <c r="N11733" s="44"/>
    </row>
    <row r="11734" spans="1:14" x14ac:dyDescent="0.3">
      <c r="A11734" s="42"/>
      <c r="C11734" s="52"/>
      <c r="D11734"/>
      <c r="E11734"/>
      <c r="F11734"/>
      <c r="L11734" s="45"/>
      <c r="N11734" s="44"/>
    </row>
    <row r="11735" spans="1:14" x14ac:dyDescent="0.3">
      <c r="A11735" s="42"/>
      <c r="C11735" s="52"/>
      <c r="D11735"/>
      <c r="E11735"/>
      <c r="F11735"/>
      <c r="L11735" s="45"/>
      <c r="N11735" s="44"/>
    </row>
    <row r="11736" spans="1:14" x14ac:dyDescent="0.3">
      <c r="A11736" s="42"/>
      <c r="C11736" s="52"/>
      <c r="D11736"/>
      <c r="E11736"/>
      <c r="F11736"/>
      <c r="N11736" s="44"/>
    </row>
    <row r="11737" spans="1:14" x14ac:dyDescent="0.3">
      <c r="A11737" s="42"/>
      <c r="C11737" s="52"/>
      <c r="D11737"/>
      <c r="E11737"/>
      <c r="F11737"/>
      <c r="N11737" s="44"/>
    </row>
    <row r="11738" spans="1:14" x14ac:dyDescent="0.3">
      <c r="A11738" s="42"/>
      <c r="C11738" s="52"/>
      <c r="D11738"/>
      <c r="E11738"/>
      <c r="F11738"/>
      <c r="N11738" s="44"/>
    </row>
    <row r="11739" spans="1:14" x14ac:dyDescent="0.3">
      <c r="A11739" s="42"/>
      <c r="C11739" s="52"/>
      <c r="D11739"/>
      <c r="E11739"/>
      <c r="F11739"/>
      <c r="N11739" s="44"/>
    </row>
    <row r="11740" spans="1:14" x14ac:dyDescent="0.3">
      <c r="A11740" s="42"/>
      <c r="C11740" s="52"/>
      <c r="D11740"/>
      <c r="E11740"/>
      <c r="F11740"/>
      <c r="N11740" s="44"/>
    </row>
    <row r="11741" spans="1:14" x14ac:dyDescent="0.3">
      <c r="A11741" s="42"/>
      <c r="C11741" s="52"/>
      <c r="D11741"/>
      <c r="E11741"/>
      <c r="F11741"/>
      <c r="N11741" s="44"/>
    </row>
    <row r="11742" spans="1:14" x14ac:dyDescent="0.3">
      <c r="A11742" s="42"/>
      <c r="C11742" s="52"/>
      <c r="D11742"/>
      <c r="E11742"/>
      <c r="F11742"/>
      <c r="N11742" s="44"/>
    </row>
    <row r="11743" spans="1:14" x14ac:dyDescent="0.3">
      <c r="A11743" s="42"/>
      <c r="C11743" s="52"/>
      <c r="D11743"/>
      <c r="E11743"/>
      <c r="F11743"/>
      <c r="N11743" s="44"/>
    </row>
    <row r="11744" spans="1:14" x14ac:dyDescent="0.3">
      <c r="A11744" s="42"/>
      <c r="C11744" s="52"/>
      <c r="D11744"/>
      <c r="E11744"/>
      <c r="F11744"/>
      <c r="L11744" s="45"/>
      <c r="N11744" s="44"/>
    </row>
    <row r="11745" spans="1:14" x14ac:dyDescent="0.3">
      <c r="A11745" s="42"/>
      <c r="C11745" s="52"/>
      <c r="D11745"/>
      <c r="E11745"/>
      <c r="F11745"/>
      <c r="L11745" s="45"/>
      <c r="N11745" s="44"/>
    </row>
    <row r="11746" spans="1:14" x14ac:dyDescent="0.3">
      <c r="A11746" s="42"/>
      <c r="C11746" s="52"/>
      <c r="D11746"/>
      <c r="E11746"/>
      <c r="F11746"/>
      <c r="N11746" s="44"/>
    </row>
    <row r="11747" spans="1:14" x14ac:dyDescent="0.3">
      <c r="A11747" s="42"/>
      <c r="C11747" s="52"/>
      <c r="D11747"/>
      <c r="E11747"/>
      <c r="F11747"/>
      <c r="L11747" s="45"/>
      <c r="N11747" s="44"/>
    </row>
    <row r="11748" spans="1:14" x14ac:dyDescent="0.3">
      <c r="A11748" s="42"/>
      <c r="C11748" s="52"/>
      <c r="D11748"/>
      <c r="E11748"/>
      <c r="F11748"/>
      <c r="L11748" s="45"/>
      <c r="N11748" s="44"/>
    </row>
    <row r="11749" spans="1:14" x14ac:dyDescent="0.3">
      <c r="A11749" s="42"/>
      <c r="C11749" s="52"/>
      <c r="D11749"/>
      <c r="E11749"/>
      <c r="F11749"/>
      <c r="L11749" s="45"/>
      <c r="N11749" s="44"/>
    </row>
    <row r="11750" spans="1:14" x14ac:dyDescent="0.3">
      <c r="A11750" s="42"/>
      <c r="C11750" s="52"/>
      <c r="D11750"/>
      <c r="E11750"/>
      <c r="F11750"/>
      <c r="N11750" s="44"/>
    </row>
    <row r="11751" spans="1:14" x14ac:dyDescent="0.3">
      <c r="A11751" s="42"/>
      <c r="C11751" s="52"/>
      <c r="D11751"/>
      <c r="E11751"/>
      <c r="F11751"/>
      <c r="L11751" s="45"/>
      <c r="N11751" s="44"/>
    </row>
    <row r="11752" spans="1:14" x14ac:dyDescent="0.3">
      <c r="A11752" s="42"/>
      <c r="C11752" s="52"/>
      <c r="D11752"/>
      <c r="E11752"/>
      <c r="F11752"/>
      <c r="L11752" s="45"/>
      <c r="N11752" s="44"/>
    </row>
    <row r="11753" spans="1:14" x14ac:dyDescent="0.3">
      <c r="A11753" s="42"/>
      <c r="C11753" s="52"/>
      <c r="D11753"/>
      <c r="E11753"/>
      <c r="F11753"/>
      <c r="L11753" s="45"/>
      <c r="N11753" s="44"/>
    </row>
    <row r="11754" spans="1:14" x14ac:dyDescent="0.3">
      <c r="A11754" s="42"/>
      <c r="C11754" s="52"/>
      <c r="D11754"/>
      <c r="E11754"/>
      <c r="F11754"/>
      <c r="L11754" s="45"/>
      <c r="N11754" s="44"/>
    </row>
    <row r="11755" spans="1:14" x14ac:dyDescent="0.3">
      <c r="A11755" s="42"/>
      <c r="C11755" s="52"/>
      <c r="D11755"/>
      <c r="E11755"/>
      <c r="F11755"/>
      <c r="L11755" s="45"/>
      <c r="N11755" s="44"/>
    </row>
    <row r="11756" spans="1:14" x14ac:dyDescent="0.3">
      <c r="A11756" s="42"/>
      <c r="C11756" s="52"/>
      <c r="D11756"/>
      <c r="E11756"/>
      <c r="F11756"/>
      <c r="L11756" s="45"/>
      <c r="N11756" s="44"/>
    </row>
    <row r="11757" spans="1:14" x14ac:dyDescent="0.3">
      <c r="A11757" s="42"/>
      <c r="C11757" s="52"/>
      <c r="D11757"/>
      <c r="E11757"/>
      <c r="F11757"/>
      <c r="L11757" s="45"/>
      <c r="N11757" s="44"/>
    </row>
    <row r="11758" spans="1:14" x14ac:dyDescent="0.3">
      <c r="A11758" s="42"/>
      <c r="C11758" s="52"/>
      <c r="D11758"/>
      <c r="E11758"/>
      <c r="F11758"/>
      <c r="L11758" s="45"/>
      <c r="N11758" s="44"/>
    </row>
    <row r="11759" spans="1:14" x14ac:dyDescent="0.3">
      <c r="A11759" s="42"/>
      <c r="C11759" s="52"/>
      <c r="D11759"/>
      <c r="E11759"/>
      <c r="F11759"/>
      <c r="L11759" s="45"/>
      <c r="N11759" s="44"/>
    </row>
    <row r="11760" spans="1:14" x14ac:dyDescent="0.3">
      <c r="A11760" s="42"/>
      <c r="C11760" s="52"/>
      <c r="D11760"/>
      <c r="E11760"/>
      <c r="F11760"/>
      <c r="L11760" s="45"/>
      <c r="N11760" s="44"/>
    </row>
    <row r="11761" spans="1:14" x14ac:dyDescent="0.3">
      <c r="A11761" s="42"/>
      <c r="C11761" s="52"/>
      <c r="D11761"/>
      <c r="E11761"/>
      <c r="F11761"/>
      <c r="L11761" s="45"/>
      <c r="N11761" s="44"/>
    </row>
    <row r="11762" spans="1:14" x14ac:dyDescent="0.3">
      <c r="A11762" s="42"/>
      <c r="C11762" s="52"/>
      <c r="D11762"/>
      <c r="E11762"/>
      <c r="F11762"/>
      <c r="L11762" s="45"/>
      <c r="N11762" s="44"/>
    </row>
    <row r="11763" spans="1:14" x14ac:dyDescent="0.3">
      <c r="A11763" s="42"/>
      <c r="C11763" s="52"/>
      <c r="D11763"/>
      <c r="E11763"/>
      <c r="F11763"/>
      <c r="L11763" s="45"/>
      <c r="N11763" s="44"/>
    </row>
    <row r="11764" spans="1:14" x14ac:dyDescent="0.3">
      <c r="A11764" s="42"/>
      <c r="C11764" s="52"/>
      <c r="D11764"/>
      <c r="E11764"/>
      <c r="F11764"/>
      <c r="L11764" s="45"/>
      <c r="N11764" s="44"/>
    </row>
    <row r="11765" spans="1:14" x14ac:dyDescent="0.3">
      <c r="A11765" s="42"/>
      <c r="C11765" s="52"/>
      <c r="D11765"/>
      <c r="E11765"/>
      <c r="F11765"/>
      <c r="N11765" s="44"/>
    </row>
    <row r="11766" spans="1:14" x14ac:dyDescent="0.3">
      <c r="A11766" s="42"/>
      <c r="C11766" s="52"/>
      <c r="D11766"/>
      <c r="E11766"/>
      <c r="F11766"/>
      <c r="N11766" s="44"/>
    </row>
    <row r="11767" spans="1:14" x14ac:dyDescent="0.3">
      <c r="A11767" s="42"/>
      <c r="C11767" s="52"/>
      <c r="D11767"/>
      <c r="E11767"/>
      <c r="F11767"/>
      <c r="N11767" s="44"/>
    </row>
    <row r="11768" spans="1:14" x14ac:dyDescent="0.3">
      <c r="A11768" s="42"/>
      <c r="C11768" s="52"/>
      <c r="D11768"/>
      <c r="E11768"/>
      <c r="F11768"/>
      <c r="N11768" s="44"/>
    </row>
    <row r="11769" spans="1:14" x14ac:dyDescent="0.3">
      <c r="A11769" s="42"/>
      <c r="C11769" s="52"/>
      <c r="D11769"/>
      <c r="E11769"/>
      <c r="F11769"/>
      <c r="N11769" s="44"/>
    </row>
    <row r="11770" spans="1:14" x14ac:dyDescent="0.3">
      <c r="A11770" s="42"/>
      <c r="C11770" s="52"/>
      <c r="D11770"/>
      <c r="E11770"/>
      <c r="F11770"/>
      <c r="L11770" s="45"/>
      <c r="N11770" s="44"/>
    </row>
    <row r="11771" spans="1:14" x14ac:dyDescent="0.3">
      <c r="A11771" s="42"/>
      <c r="C11771" s="52"/>
      <c r="D11771"/>
      <c r="E11771"/>
      <c r="F11771"/>
      <c r="N11771" s="44"/>
    </row>
    <row r="11772" spans="1:14" x14ac:dyDescent="0.3">
      <c r="A11772" s="42"/>
      <c r="C11772" s="52"/>
      <c r="D11772"/>
      <c r="E11772"/>
      <c r="F11772"/>
      <c r="N11772" s="44"/>
    </row>
    <row r="11773" spans="1:14" x14ac:dyDescent="0.3">
      <c r="A11773" s="42"/>
      <c r="C11773" s="52"/>
      <c r="D11773"/>
      <c r="E11773"/>
      <c r="F11773"/>
      <c r="N11773" s="44"/>
    </row>
    <row r="11774" spans="1:14" x14ac:dyDescent="0.3">
      <c r="A11774" s="42"/>
      <c r="C11774" s="52"/>
      <c r="D11774"/>
      <c r="E11774"/>
      <c r="F11774"/>
      <c r="N11774" s="44"/>
    </row>
    <row r="11775" spans="1:14" x14ac:dyDescent="0.3">
      <c r="A11775" s="42"/>
      <c r="C11775" s="52"/>
      <c r="D11775"/>
      <c r="E11775"/>
      <c r="F11775"/>
      <c r="N11775" s="44"/>
    </row>
    <row r="11776" spans="1:14" x14ac:dyDescent="0.3">
      <c r="A11776" s="42"/>
      <c r="C11776" s="52"/>
      <c r="D11776"/>
      <c r="E11776"/>
      <c r="F11776"/>
      <c r="N11776" s="44"/>
    </row>
    <row r="11777" spans="1:14" x14ac:dyDescent="0.3">
      <c r="A11777" s="42"/>
      <c r="C11777" s="52"/>
      <c r="D11777"/>
      <c r="E11777"/>
      <c r="F11777"/>
      <c r="N11777" s="44"/>
    </row>
    <row r="11778" spans="1:14" x14ac:dyDescent="0.3">
      <c r="A11778" s="42"/>
      <c r="C11778" s="52"/>
      <c r="D11778"/>
      <c r="E11778"/>
      <c r="F11778"/>
      <c r="N11778" s="44"/>
    </row>
    <row r="11779" spans="1:14" x14ac:dyDescent="0.3">
      <c r="A11779" s="42"/>
      <c r="C11779" s="52"/>
      <c r="D11779"/>
      <c r="E11779"/>
      <c r="F11779"/>
      <c r="N11779" s="44"/>
    </row>
    <row r="11780" spans="1:14" x14ac:dyDescent="0.3">
      <c r="A11780" s="42"/>
      <c r="C11780" s="52"/>
      <c r="D11780"/>
      <c r="E11780"/>
      <c r="F11780"/>
      <c r="N11780" s="44"/>
    </row>
    <row r="11781" spans="1:14" x14ac:dyDescent="0.3">
      <c r="A11781" s="42"/>
      <c r="C11781" s="52"/>
      <c r="D11781"/>
      <c r="E11781"/>
      <c r="F11781"/>
      <c r="N11781" s="44"/>
    </row>
    <row r="11782" spans="1:14" x14ac:dyDescent="0.3">
      <c r="A11782" s="42"/>
      <c r="C11782" s="52"/>
      <c r="D11782"/>
      <c r="E11782"/>
      <c r="F11782"/>
      <c r="N11782" s="44"/>
    </row>
    <row r="11783" spans="1:14" x14ac:dyDescent="0.3">
      <c r="A11783" s="42"/>
      <c r="C11783" s="52"/>
      <c r="D11783"/>
      <c r="E11783"/>
      <c r="F11783"/>
      <c r="N11783" s="44"/>
    </row>
    <row r="11784" spans="1:14" x14ac:dyDescent="0.3">
      <c r="A11784" s="42"/>
      <c r="C11784" s="52"/>
      <c r="D11784"/>
      <c r="E11784"/>
      <c r="F11784"/>
      <c r="N11784" s="44"/>
    </row>
    <row r="11785" spans="1:14" x14ac:dyDescent="0.3">
      <c r="A11785" s="42"/>
      <c r="C11785" s="52"/>
      <c r="D11785"/>
      <c r="E11785"/>
      <c r="F11785"/>
      <c r="N11785" s="44"/>
    </row>
    <row r="11786" spans="1:14" x14ac:dyDescent="0.3">
      <c r="A11786" s="42"/>
      <c r="C11786" s="52"/>
      <c r="D11786"/>
      <c r="E11786"/>
      <c r="F11786"/>
      <c r="N11786" s="44"/>
    </row>
    <row r="11787" spans="1:14" x14ac:dyDescent="0.3">
      <c r="A11787" s="42"/>
      <c r="C11787" s="52"/>
      <c r="D11787"/>
      <c r="E11787"/>
      <c r="F11787"/>
      <c r="N11787" s="44"/>
    </row>
    <row r="11788" spans="1:14" x14ac:dyDescent="0.3">
      <c r="A11788" s="42"/>
      <c r="C11788" s="52"/>
      <c r="D11788"/>
      <c r="E11788"/>
      <c r="F11788"/>
      <c r="L11788" s="45"/>
      <c r="N11788" s="44"/>
    </row>
    <row r="11789" spans="1:14" x14ac:dyDescent="0.3">
      <c r="A11789" s="42"/>
      <c r="C11789" s="52"/>
      <c r="D11789"/>
      <c r="E11789"/>
      <c r="F11789"/>
      <c r="N11789" s="44"/>
    </row>
    <row r="11790" spans="1:14" x14ac:dyDescent="0.3">
      <c r="A11790" s="42"/>
      <c r="C11790" s="52"/>
      <c r="D11790"/>
      <c r="E11790"/>
      <c r="F11790"/>
      <c r="N11790" s="44"/>
    </row>
    <row r="11791" spans="1:14" x14ac:dyDescent="0.3">
      <c r="A11791" s="42"/>
      <c r="C11791" s="52"/>
      <c r="D11791"/>
      <c r="E11791"/>
      <c r="F11791"/>
      <c r="N11791" s="44"/>
    </row>
    <row r="11792" spans="1:14" x14ac:dyDescent="0.3">
      <c r="A11792" s="42"/>
      <c r="C11792" s="52"/>
      <c r="D11792"/>
      <c r="E11792"/>
      <c r="F11792"/>
      <c r="N11792" s="44"/>
    </row>
    <row r="11793" spans="1:14" x14ac:dyDescent="0.3">
      <c r="A11793" s="42"/>
      <c r="C11793" s="52"/>
      <c r="D11793"/>
      <c r="E11793"/>
      <c r="F11793"/>
      <c r="N11793" s="44"/>
    </row>
    <row r="11794" spans="1:14" x14ac:dyDescent="0.3">
      <c r="A11794" s="42"/>
      <c r="C11794" s="52"/>
      <c r="D11794"/>
      <c r="E11794"/>
      <c r="F11794"/>
      <c r="N11794" s="44"/>
    </row>
    <row r="11795" spans="1:14" x14ac:dyDescent="0.3">
      <c r="A11795" s="42"/>
      <c r="C11795" s="52"/>
      <c r="D11795"/>
      <c r="E11795"/>
      <c r="F11795"/>
      <c r="N11795" s="44"/>
    </row>
    <row r="11796" spans="1:14" x14ac:dyDescent="0.3">
      <c r="A11796" s="42"/>
      <c r="C11796" s="52"/>
      <c r="D11796"/>
      <c r="E11796"/>
      <c r="F11796"/>
      <c r="L11796" s="45"/>
      <c r="N11796" s="44"/>
    </row>
    <row r="11797" spans="1:14" x14ac:dyDescent="0.3">
      <c r="A11797" s="42"/>
      <c r="C11797" s="52"/>
      <c r="D11797"/>
      <c r="E11797"/>
      <c r="F11797"/>
      <c r="L11797" s="45"/>
      <c r="N11797" s="44"/>
    </row>
    <row r="11798" spans="1:14" x14ac:dyDescent="0.3">
      <c r="A11798" s="42"/>
      <c r="C11798" s="52"/>
      <c r="D11798"/>
      <c r="E11798"/>
      <c r="F11798"/>
      <c r="N11798" s="44"/>
    </row>
    <row r="11799" spans="1:14" x14ac:dyDescent="0.3">
      <c r="A11799" s="42"/>
      <c r="C11799" s="52"/>
      <c r="D11799"/>
      <c r="E11799"/>
      <c r="F11799"/>
      <c r="N11799" s="44"/>
    </row>
    <row r="11800" spans="1:14" x14ac:dyDescent="0.3">
      <c r="A11800" s="42"/>
      <c r="C11800" s="52"/>
      <c r="D11800"/>
      <c r="E11800"/>
      <c r="F11800"/>
      <c r="N11800" s="44"/>
    </row>
    <row r="11801" spans="1:14" x14ac:dyDescent="0.3">
      <c r="A11801" s="42"/>
      <c r="C11801" s="52"/>
      <c r="D11801"/>
      <c r="E11801"/>
      <c r="F11801"/>
      <c r="N11801" s="44"/>
    </row>
    <row r="11802" spans="1:14" x14ac:dyDescent="0.3">
      <c r="A11802" s="42"/>
      <c r="C11802" s="52"/>
      <c r="D11802"/>
      <c r="E11802"/>
      <c r="F11802"/>
      <c r="N11802" s="44"/>
    </row>
    <row r="11803" spans="1:14" x14ac:dyDescent="0.3">
      <c r="A11803" s="42"/>
      <c r="C11803" s="52"/>
      <c r="D11803"/>
      <c r="E11803"/>
      <c r="F11803"/>
      <c r="N11803" s="44"/>
    </row>
    <row r="11804" spans="1:14" x14ac:dyDescent="0.3">
      <c r="A11804" s="42"/>
      <c r="C11804" s="52"/>
      <c r="D11804"/>
      <c r="E11804"/>
      <c r="F11804"/>
      <c r="N11804" s="44"/>
    </row>
    <row r="11805" spans="1:14" x14ac:dyDescent="0.3">
      <c r="A11805" s="42"/>
      <c r="C11805" s="52"/>
      <c r="D11805"/>
      <c r="E11805"/>
      <c r="F11805"/>
      <c r="N11805" s="44"/>
    </row>
    <row r="11806" spans="1:14" x14ac:dyDescent="0.3">
      <c r="A11806" s="42"/>
      <c r="C11806" s="52"/>
      <c r="D11806"/>
      <c r="E11806"/>
      <c r="F11806"/>
      <c r="L11806" s="45"/>
      <c r="N11806" s="44"/>
    </row>
    <row r="11807" spans="1:14" x14ac:dyDescent="0.3">
      <c r="A11807" s="42"/>
      <c r="C11807" s="52"/>
      <c r="D11807"/>
      <c r="E11807"/>
      <c r="F11807"/>
      <c r="N11807" s="44"/>
    </row>
    <row r="11808" spans="1:14" x14ac:dyDescent="0.3">
      <c r="A11808" s="42"/>
      <c r="C11808" s="52"/>
      <c r="D11808"/>
      <c r="E11808"/>
      <c r="F11808"/>
      <c r="N11808" s="44"/>
    </row>
    <row r="11809" spans="1:14" x14ac:dyDescent="0.3">
      <c r="A11809" s="42"/>
      <c r="C11809" s="52"/>
      <c r="D11809"/>
      <c r="E11809"/>
      <c r="F11809"/>
      <c r="N11809" s="44"/>
    </row>
    <row r="11810" spans="1:14" x14ac:dyDescent="0.3">
      <c r="A11810" s="42"/>
      <c r="C11810" s="52"/>
      <c r="D11810"/>
      <c r="E11810"/>
      <c r="F11810"/>
      <c r="N11810" s="44"/>
    </row>
    <row r="11811" spans="1:14" x14ac:dyDescent="0.3">
      <c r="A11811" s="42"/>
      <c r="C11811" s="52"/>
      <c r="D11811"/>
      <c r="E11811"/>
      <c r="F11811"/>
      <c r="N11811" s="44"/>
    </row>
    <row r="11812" spans="1:14" x14ac:dyDescent="0.3">
      <c r="A11812" s="42"/>
      <c r="C11812" s="52"/>
      <c r="D11812"/>
      <c r="E11812"/>
      <c r="F11812"/>
      <c r="N11812" s="44"/>
    </row>
    <row r="11813" spans="1:14" x14ac:dyDescent="0.3">
      <c r="A11813" s="42"/>
      <c r="C11813" s="52"/>
      <c r="D11813"/>
      <c r="E11813"/>
      <c r="F11813"/>
      <c r="N11813" s="44"/>
    </row>
    <row r="11814" spans="1:14" x14ac:dyDescent="0.3">
      <c r="A11814" s="42"/>
      <c r="C11814" s="52"/>
      <c r="D11814"/>
      <c r="E11814"/>
      <c r="F11814"/>
      <c r="N11814" s="44"/>
    </row>
    <row r="11815" spans="1:14" x14ac:dyDescent="0.3">
      <c r="A11815" s="42"/>
      <c r="C11815" s="52"/>
      <c r="D11815"/>
      <c r="E11815"/>
      <c r="F11815"/>
      <c r="N11815" s="44"/>
    </row>
    <row r="11816" spans="1:14" x14ac:dyDescent="0.3">
      <c r="A11816" s="42"/>
      <c r="C11816" s="52"/>
      <c r="D11816"/>
      <c r="E11816"/>
      <c r="F11816"/>
      <c r="N11816" s="44"/>
    </row>
    <row r="11817" spans="1:14" x14ac:dyDescent="0.3">
      <c r="A11817" s="42"/>
      <c r="C11817" s="52"/>
      <c r="D11817"/>
      <c r="E11817"/>
      <c r="F11817"/>
      <c r="N11817" s="44"/>
    </row>
    <row r="11818" spans="1:14" x14ac:dyDescent="0.3">
      <c r="A11818" s="42"/>
      <c r="C11818" s="52"/>
      <c r="D11818"/>
      <c r="E11818"/>
      <c r="F11818"/>
      <c r="L11818" s="45"/>
      <c r="N11818" s="44"/>
    </row>
    <row r="11819" spans="1:14" x14ac:dyDescent="0.3">
      <c r="A11819" s="42"/>
      <c r="C11819" s="52"/>
      <c r="D11819"/>
      <c r="E11819"/>
      <c r="F11819"/>
      <c r="N11819" s="44"/>
    </row>
    <row r="11820" spans="1:14" x14ac:dyDescent="0.3">
      <c r="A11820" s="42"/>
      <c r="C11820" s="52"/>
      <c r="D11820"/>
      <c r="E11820"/>
      <c r="F11820"/>
      <c r="N11820" s="44"/>
    </row>
    <row r="11821" spans="1:14" x14ac:dyDescent="0.3">
      <c r="A11821" s="42"/>
      <c r="C11821" s="52"/>
      <c r="D11821"/>
      <c r="E11821"/>
      <c r="F11821"/>
      <c r="N11821" s="44"/>
    </row>
    <row r="11822" spans="1:14" x14ac:dyDescent="0.3">
      <c r="A11822" s="42"/>
      <c r="C11822" s="52"/>
      <c r="D11822"/>
      <c r="E11822"/>
      <c r="F11822"/>
      <c r="N11822" s="44"/>
    </row>
    <row r="11823" spans="1:14" x14ac:dyDescent="0.3">
      <c r="A11823" s="42"/>
      <c r="C11823" s="52"/>
      <c r="D11823"/>
      <c r="E11823"/>
      <c r="F11823"/>
      <c r="L11823" s="45"/>
      <c r="N11823" s="44"/>
    </row>
    <row r="11824" spans="1:14" x14ac:dyDescent="0.3">
      <c r="A11824" s="42"/>
      <c r="C11824" s="52"/>
      <c r="D11824"/>
      <c r="E11824"/>
      <c r="F11824"/>
      <c r="L11824" s="45"/>
      <c r="N11824" s="44"/>
    </row>
    <row r="11825" spans="1:14" x14ac:dyDescent="0.3">
      <c r="A11825" s="42"/>
      <c r="C11825" s="52"/>
      <c r="D11825"/>
      <c r="E11825"/>
      <c r="F11825"/>
      <c r="N11825" s="44"/>
    </row>
    <row r="11826" spans="1:14" x14ac:dyDescent="0.3">
      <c r="A11826" s="42"/>
      <c r="C11826" s="52"/>
      <c r="D11826"/>
      <c r="E11826"/>
      <c r="F11826"/>
      <c r="N11826" s="44"/>
    </row>
    <row r="11827" spans="1:14" x14ac:dyDescent="0.3">
      <c r="A11827" s="42"/>
      <c r="C11827" s="52"/>
      <c r="D11827"/>
      <c r="E11827"/>
      <c r="F11827"/>
      <c r="N11827" s="44"/>
    </row>
    <row r="11828" spans="1:14" x14ac:dyDescent="0.3">
      <c r="A11828" s="42"/>
      <c r="C11828" s="52"/>
      <c r="D11828"/>
      <c r="E11828"/>
      <c r="F11828"/>
      <c r="N11828" s="44"/>
    </row>
    <row r="11829" spans="1:14" x14ac:dyDescent="0.3">
      <c r="A11829" s="42"/>
      <c r="C11829" s="52"/>
      <c r="D11829"/>
      <c r="E11829"/>
      <c r="F11829"/>
      <c r="N11829" s="44"/>
    </row>
    <row r="11830" spans="1:14" x14ac:dyDescent="0.3">
      <c r="A11830" s="42"/>
      <c r="C11830" s="52"/>
      <c r="D11830"/>
      <c r="E11830"/>
      <c r="F11830"/>
      <c r="N11830" s="44"/>
    </row>
    <row r="11831" spans="1:14" x14ac:dyDescent="0.3">
      <c r="A11831" s="42"/>
      <c r="C11831" s="52"/>
      <c r="D11831"/>
      <c r="E11831"/>
      <c r="F11831"/>
      <c r="N11831" s="44"/>
    </row>
    <row r="11832" spans="1:14" x14ac:dyDescent="0.3">
      <c r="A11832" s="42"/>
      <c r="C11832" s="52"/>
      <c r="D11832"/>
      <c r="E11832"/>
      <c r="F11832"/>
      <c r="N11832" s="44"/>
    </row>
    <row r="11833" spans="1:14" x14ac:dyDescent="0.3">
      <c r="A11833" s="42"/>
      <c r="C11833" s="52"/>
      <c r="D11833"/>
      <c r="E11833"/>
      <c r="F11833"/>
      <c r="N11833" s="44"/>
    </row>
    <row r="11834" spans="1:14" x14ac:dyDescent="0.3">
      <c r="A11834" s="42"/>
      <c r="C11834" s="52"/>
      <c r="D11834"/>
      <c r="E11834"/>
      <c r="F11834"/>
      <c r="N11834" s="44"/>
    </row>
    <row r="11835" spans="1:14" x14ac:dyDescent="0.3">
      <c r="A11835" s="42"/>
      <c r="C11835" s="52"/>
      <c r="D11835"/>
      <c r="E11835"/>
      <c r="F11835"/>
      <c r="N11835" s="44"/>
    </row>
    <row r="11836" spans="1:14" x14ac:dyDescent="0.3">
      <c r="A11836" s="42"/>
      <c r="C11836" s="52"/>
      <c r="D11836"/>
      <c r="E11836"/>
      <c r="F11836"/>
      <c r="M11836" s="45"/>
      <c r="N11836" s="44"/>
    </row>
    <row r="11837" spans="1:14" x14ac:dyDescent="0.3">
      <c r="A11837" s="42"/>
      <c r="C11837" s="52"/>
      <c r="D11837"/>
      <c r="E11837"/>
      <c r="F11837"/>
      <c r="N11837" s="44"/>
    </row>
    <row r="11838" spans="1:14" x14ac:dyDescent="0.3">
      <c r="A11838" s="42"/>
      <c r="C11838" s="52"/>
      <c r="D11838"/>
      <c r="E11838"/>
      <c r="F11838"/>
      <c r="N11838" s="44"/>
    </row>
    <row r="11839" spans="1:14" x14ac:dyDescent="0.3">
      <c r="A11839" s="42"/>
      <c r="C11839" s="52"/>
      <c r="D11839"/>
      <c r="E11839"/>
      <c r="F11839"/>
      <c r="N11839" s="44"/>
    </row>
    <row r="11840" spans="1:14" x14ac:dyDescent="0.3">
      <c r="A11840" s="42"/>
      <c r="C11840" s="52"/>
      <c r="D11840"/>
      <c r="E11840"/>
      <c r="F11840"/>
      <c r="N11840" s="44"/>
    </row>
    <row r="11841" spans="1:14" x14ac:dyDescent="0.3">
      <c r="A11841" s="42"/>
      <c r="C11841" s="52"/>
      <c r="D11841"/>
      <c r="E11841"/>
      <c r="F11841"/>
      <c r="N11841" s="44"/>
    </row>
    <row r="11842" spans="1:14" x14ac:dyDescent="0.3">
      <c r="A11842" s="42"/>
      <c r="C11842" s="52"/>
      <c r="D11842"/>
      <c r="E11842"/>
      <c r="F11842"/>
      <c r="N11842" s="44"/>
    </row>
    <row r="11843" spans="1:14" x14ac:dyDescent="0.3">
      <c r="A11843" s="42"/>
      <c r="C11843" s="52"/>
      <c r="D11843"/>
      <c r="E11843"/>
      <c r="F11843"/>
      <c r="N11843" s="44"/>
    </row>
    <row r="11844" spans="1:14" x14ac:dyDescent="0.3">
      <c r="A11844" s="42"/>
      <c r="C11844" s="52"/>
      <c r="D11844"/>
      <c r="E11844"/>
      <c r="F11844"/>
      <c r="N11844" s="44"/>
    </row>
    <row r="11845" spans="1:14" x14ac:dyDescent="0.3">
      <c r="A11845" s="42"/>
      <c r="C11845" s="52"/>
      <c r="D11845"/>
      <c r="E11845"/>
      <c r="F11845"/>
      <c r="N11845" s="44"/>
    </row>
    <row r="11846" spans="1:14" x14ac:dyDescent="0.3">
      <c r="A11846" s="42"/>
      <c r="C11846" s="52"/>
      <c r="D11846"/>
      <c r="E11846"/>
      <c r="F11846"/>
      <c r="N11846" s="44"/>
    </row>
    <row r="11847" spans="1:14" x14ac:dyDescent="0.3">
      <c r="A11847" s="42"/>
      <c r="C11847" s="52"/>
      <c r="D11847"/>
      <c r="E11847"/>
      <c r="F11847"/>
      <c r="N11847" s="44"/>
    </row>
    <row r="11848" spans="1:14" x14ac:dyDescent="0.3">
      <c r="A11848" s="42"/>
      <c r="C11848" s="52"/>
      <c r="D11848"/>
      <c r="E11848"/>
      <c r="F11848"/>
      <c r="N11848" s="44"/>
    </row>
    <row r="11849" spans="1:14" x14ac:dyDescent="0.3">
      <c r="A11849" s="42"/>
      <c r="C11849" s="52"/>
      <c r="D11849"/>
      <c r="E11849"/>
      <c r="F11849"/>
      <c r="N11849" s="44"/>
    </row>
    <row r="11850" spans="1:14" x14ac:dyDescent="0.3">
      <c r="A11850" s="42"/>
      <c r="C11850" s="52"/>
      <c r="D11850"/>
      <c r="E11850"/>
      <c r="F11850"/>
      <c r="N11850" s="44"/>
    </row>
    <row r="11851" spans="1:14" x14ac:dyDescent="0.3">
      <c r="A11851" s="42"/>
      <c r="C11851" s="52"/>
      <c r="D11851"/>
      <c r="E11851"/>
      <c r="F11851"/>
      <c r="N11851" s="44"/>
    </row>
    <row r="11852" spans="1:14" x14ac:dyDescent="0.3">
      <c r="A11852" s="42"/>
      <c r="C11852" s="52"/>
      <c r="D11852"/>
      <c r="E11852"/>
      <c r="F11852"/>
      <c r="N11852" s="44"/>
    </row>
    <row r="11853" spans="1:14" x14ac:dyDescent="0.3">
      <c r="A11853" s="42"/>
      <c r="C11853" s="52"/>
      <c r="D11853"/>
      <c r="E11853"/>
      <c r="F11853"/>
      <c r="N11853" s="44"/>
    </row>
    <row r="11854" spans="1:14" x14ac:dyDescent="0.3">
      <c r="A11854" s="42"/>
      <c r="C11854" s="52"/>
      <c r="D11854"/>
      <c r="E11854"/>
      <c r="F11854"/>
      <c r="N11854" s="44"/>
    </row>
    <row r="11855" spans="1:14" x14ac:dyDescent="0.3">
      <c r="A11855" s="42"/>
      <c r="C11855" s="52"/>
      <c r="D11855"/>
      <c r="E11855"/>
      <c r="F11855"/>
      <c r="N11855" s="44"/>
    </row>
    <row r="11856" spans="1:14" x14ac:dyDescent="0.3">
      <c r="A11856" s="42"/>
      <c r="C11856" s="52"/>
      <c r="D11856"/>
      <c r="E11856"/>
      <c r="F11856"/>
      <c r="N11856" s="44"/>
    </row>
    <row r="11857" spans="1:14" x14ac:dyDescent="0.3">
      <c r="A11857" s="42"/>
      <c r="C11857" s="52"/>
      <c r="D11857"/>
      <c r="E11857"/>
      <c r="F11857"/>
      <c r="N11857" s="44"/>
    </row>
    <row r="11858" spans="1:14" x14ac:dyDescent="0.3">
      <c r="A11858" s="42"/>
      <c r="C11858" s="52"/>
      <c r="D11858"/>
      <c r="E11858"/>
      <c r="F11858"/>
      <c r="N11858" s="44"/>
    </row>
    <row r="11859" spans="1:14" x14ac:dyDescent="0.3">
      <c r="A11859" s="42"/>
      <c r="C11859" s="52"/>
      <c r="D11859"/>
      <c r="E11859"/>
      <c r="F11859"/>
      <c r="N11859" s="44"/>
    </row>
    <row r="11860" spans="1:14" x14ac:dyDescent="0.3">
      <c r="A11860" s="42"/>
      <c r="C11860" s="52"/>
      <c r="D11860"/>
      <c r="E11860"/>
      <c r="F11860"/>
      <c r="N11860" s="44"/>
    </row>
    <row r="11861" spans="1:14" x14ac:dyDescent="0.3">
      <c r="A11861" s="42"/>
      <c r="C11861" s="52"/>
      <c r="D11861"/>
      <c r="E11861"/>
      <c r="F11861"/>
      <c r="N11861" s="44"/>
    </row>
    <row r="11862" spans="1:14" x14ac:dyDescent="0.3">
      <c r="A11862" s="42"/>
      <c r="C11862" s="52"/>
      <c r="D11862"/>
      <c r="E11862"/>
      <c r="F11862"/>
      <c r="M11862" s="45"/>
      <c r="N11862" s="44"/>
    </row>
    <row r="11863" spans="1:14" x14ac:dyDescent="0.3">
      <c r="A11863" s="42"/>
      <c r="C11863" s="52"/>
      <c r="D11863"/>
      <c r="E11863"/>
      <c r="F11863"/>
      <c r="N11863" s="44"/>
    </row>
    <row r="11864" spans="1:14" x14ac:dyDescent="0.3">
      <c r="A11864" s="42"/>
      <c r="C11864" s="52"/>
      <c r="D11864"/>
      <c r="E11864"/>
      <c r="F11864"/>
      <c r="N11864" s="44"/>
    </row>
    <row r="11865" spans="1:14" x14ac:dyDescent="0.3">
      <c r="A11865" s="42"/>
      <c r="C11865" s="52"/>
      <c r="D11865"/>
      <c r="E11865"/>
      <c r="F11865"/>
      <c r="N11865" s="44"/>
    </row>
    <row r="11866" spans="1:14" x14ac:dyDescent="0.3">
      <c r="A11866" s="42"/>
      <c r="C11866" s="52"/>
      <c r="D11866"/>
      <c r="E11866"/>
      <c r="F11866"/>
      <c r="N11866" s="44"/>
    </row>
    <row r="11867" spans="1:14" x14ac:dyDescent="0.3">
      <c r="A11867" s="42"/>
      <c r="C11867" s="52"/>
      <c r="D11867"/>
      <c r="E11867"/>
      <c r="F11867"/>
      <c r="N11867" s="44"/>
    </row>
    <row r="11868" spans="1:14" x14ac:dyDescent="0.3">
      <c r="A11868" s="42"/>
      <c r="C11868" s="52"/>
      <c r="D11868"/>
      <c r="E11868"/>
      <c r="F11868"/>
      <c r="N11868" s="44"/>
    </row>
    <row r="11869" spans="1:14" x14ac:dyDescent="0.3">
      <c r="A11869" s="42"/>
      <c r="C11869" s="52"/>
      <c r="D11869"/>
      <c r="E11869"/>
      <c r="F11869"/>
      <c r="N11869" s="44"/>
    </row>
    <row r="11870" spans="1:14" x14ac:dyDescent="0.3">
      <c r="A11870" s="42"/>
      <c r="C11870" s="52"/>
      <c r="D11870"/>
      <c r="E11870"/>
      <c r="F11870"/>
      <c r="N11870" s="44"/>
    </row>
    <row r="11871" spans="1:14" x14ac:dyDescent="0.3">
      <c r="A11871" s="42"/>
      <c r="C11871" s="52"/>
      <c r="D11871"/>
      <c r="E11871"/>
      <c r="F11871"/>
      <c r="N11871" s="44"/>
    </row>
    <row r="11872" spans="1:14" x14ac:dyDescent="0.3">
      <c r="A11872" s="42"/>
      <c r="C11872" s="52"/>
      <c r="D11872"/>
      <c r="E11872"/>
      <c r="F11872"/>
      <c r="N11872" s="44"/>
    </row>
    <row r="11873" spans="1:14" x14ac:dyDescent="0.3">
      <c r="A11873" s="42"/>
      <c r="C11873" s="52"/>
      <c r="D11873"/>
      <c r="E11873"/>
      <c r="F11873"/>
      <c r="N11873" s="44"/>
    </row>
    <row r="11874" spans="1:14" x14ac:dyDescent="0.3">
      <c r="A11874" s="42"/>
      <c r="C11874" s="52"/>
      <c r="D11874"/>
      <c r="E11874"/>
      <c r="F11874"/>
      <c r="N11874" s="44"/>
    </row>
    <row r="11875" spans="1:14" x14ac:dyDescent="0.3">
      <c r="A11875" s="42"/>
      <c r="C11875" s="52"/>
      <c r="D11875"/>
      <c r="E11875"/>
      <c r="F11875"/>
      <c r="N11875" s="44"/>
    </row>
    <row r="11876" spans="1:14" x14ac:dyDescent="0.3">
      <c r="A11876" s="42"/>
      <c r="C11876" s="52"/>
      <c r="D11876"/>
      <c r="E11876"/>
      <c r="F11876"/>
      <c r="N11876" s="44"/>
    </row>
    <row r="11877" spans="1:14" x14ac:dyDescent="0.3">
      <c r="A11877" s="42"/>
      <c r="C11877" s="52"/>
      <c r="D11877"/>
      <c r="E11877"/>
      <c r="F11877"/>
      <c r="N11877" s="44"/>
    </row>
    <row r="11878" spans="1:14" x14ac:dyDescent="0.3">
      <c r="A11878" s="42"/>
      <c r="C11878" s="52"/>
      <c r="D11878"/>
      <c r="E11878"/>
      <c r="F11878"/>
      <c r="N11878" s="44"/>
    </row>
    <row r="11879" spans="1:14" x14ac:dyDescent="0.3">
      <c r="A11879" s="42"/>
      <c r="C11879" s="52"/>
      <c r="D11879"/>
      <c r="E11879"/>
      <c r="F11879"/>
      <c r="N11879" s="44"/>
    </row>
    <row r="11880" spans="1:14" x14ac:dyDescent="0.3">
      <c r="A11880" s="42"/>
      <c r="C11880" s="52"/>
      <c r="D11880"/>
      <c r="E11880"/>
      <c r="F11880"/>
      <c r="N11880" s="44"/>
    </row>
    <row r="11881" spans="1:14" x14ac:dyDescent="0.3">
      <c r="A11881" s="42"/>
      <c r="C11881" s="52"/>
      <c r="D11881"/>
      <c r="E11881"/>
      <c r="F11881"/>
      <c r="N11881" s="44"/>
    </row>
    <row r="11882" spans="1:14" x14ac:dyDescent="0.3">
      <c r="A11882" s="42"/>
      <c r="C11882" s="52"/>
      <c r="D11882"/>
      <c r="E11882"/>
      <c r="F11882"/>
      <c r="N11882" s="44"/>
    </row>
    <row r="11883" spans="1:14" x14ac:dyDescent="0.3">
      <c r="A11883" s="42"/>
      <c r="C11883" s="52"/>
      <c r="D11883"/>
      <c r="E11883"/>
      <c r="F11883"/>
      <c r="N11883" s="44"/>
    </row>
    <row r="11884" spans="1:14" x14ac:dyDescent="0.3">
      <c r="A11884" s="42"/>
      <c r="C11884" s="52"/>
      <c r="D11884"/>
      <c r="E11884"/>
      <c r="F11884"/>
      <c r="N11884" s="44"/>
    </row>
    <row r="11885" spans="1:14" x14ac:dyDescent="0.3">
      <c r="A11885" s="42"/>
      <c r="C11885" s="52"/>
      <c r="D11885"/>
      <c r="E11885"/>
      <c r="F11885"/>
      <c r="N11885" s="44"/>
    </row>
    <row r="11886" spans="1:14" x14ac:dyDescent="0.3">
      <c r="A11886" s="42"/>
      <c r="C11886" s="52"/>
      <c r="D11886"/>
      <c r="E11886"/>
      <c r="F11886"/>
      <c r="N11886" s="44"/>
    </row>
    <row r="11887" spans="1:14" x14ac:dyDescent="0.3">
      <c r="A11887" s="42"/>
      <c r="C11887" s="52"/>
      <c r="D11887"/>
      <c r="E11887"/>
      <c r="F11887"/>
      <c r="N11887" s="44"/>
    </row>
    <row r="11888" spans="1:14" x14ac:dyDescent="0.3">
      <c r="A11888" s="42"/>
      <c r="C11888" s="52"/>
      <c r="D11888"/>
      <c r="E11888"/>
      <c r="F11888"/>
      <c r="N11888" s="44"/>
    </row>
    <row r="11889" spans="1:14" x14ac:dyDescent="0.3">
      <c r="A11889" s="42"/>
      <c r="C11889" s="52"/>
      <c r="D11889"/>
      <c r="E11889"/>
      <c r="F11889"/>
      <c r="N11889" s="44"/>
    </row>
    <row r="11890" spans="1:14" x14ac:dyDescent="0.3">
      <c r="A11890" s="42"/>
      <c r="C11890" s="52"/>
      <c r="D11890"/>
      <c r="E11890"/>
      <c r="F11890"/>
      <c r="N11890" s="44"/>
    </row>
    <row r="11891" spans="1:14" x14ac:dyDescent="0.3">
      <c r="A11891" s="42"/>
      <c r="C11891" s="52"/>
      <c r="D11891"/>
      <c r="E11891"/>
      <c r="F11891"/>
      <c r="N11891" s="44"/>
    </row>
    <row r="11892" spans="1:14" x14ac:dyDescent="0.3">
      <c r="A11892" s="42"/>
      <c r="C11892" s="52"/>
      <c r="D11892"/>
      <c r="E11892"/>
      <c r="F11892"/>
      <c r="N11892" s="44"/>
    </row>
    <row r="11893" spans="1:14" x14ac:dyDescent="0.3">
      <c r="A11893" s="42"/>
      <c r="C11893" s="52"/>
      <c r="D11893"/>
      <c r="E11893"/>
      <c r="F11893"/>
      <c r="N11893" s="44"/>
    </row>
    <row r="11894" spans="1:14" x14ac:dyDescent="0.3">
      <c r="A11894" s="42"/>
      <c r="C11894" s="52"/>
      <c r="D11894"/>
      <c r="E11894"/>
      <c r="F11894"/>
      <c r="N11894" s="44"/>
    </row>
    <row r="11895" spans="1:14" x14ac:dyDescent="0.3">
      <c r="A11895" s="42"/>
      <c r="C11895" s="52"/>
      <c r="D11895"/>
      <c r="E11895"/>
      <c r="F11895"/>
      <c r="N11895" s="44"/>
    </row>
    <row r="11896" spans="1:14" x14ac:dyDescent="0.3">
      <c r="A11896" s="42"/>
      <c r="C11896" s="52"/>
      <c r="D11896"/>
      <c r="E11896"/>
      <c r="F11896"/>
      <c r="N11896" s="44"/>
    </row>
    <row r="11897" spans="1:14" x14ac:dyDescent="0.3">
      <c r="A11897" s="42"/>
      <c r="C11897" s="52"/>
      <c r="D11897"/>
      <c r="E11897"/>
      <c r="F11897"/>
      <c r="N11897" s="44"/>
    </row>
    <row r="11898" spans="1:14" x14ac:dyDescent="0.3">
      <c r="A11898" s="42"/>
      <c r="C11898" s="52"/>
      <c r="D11898"/>
      <c r="E11898"/>
      <c r="F11898"/>
      <c r="N11898" s="44"/>
    </row>
    <row r="11899" spans="1:14" x14ac:dyDescent="0.3">
      <c r="A11899" s="42"/>
      <c r="C11899" s="52"/>
      <c r="D11899"/>
      <c r="E11899"/>
      <c r="F11899"/>
      <c r="N11899" s="44"/>
    </row>
    <row r="11900" spans="1:14" x14ac:dyDescent="0.3">
      <c r="A11900" s="42"/>
      <c r="C11900" s="52"/>
      <c r="D11900"/>
      <c r="E11900"/>
      <c r="F11900"/>
      <c r="N11900" s="44"/>
    </row>
    <row r="11901" spans="1:14" x14ac:dyDescent="0.3">
      <c r="A11901" s="42"/>
      <c r="C11901" s="52"/>
      <c r="D11901"/>
      <c r="E11901"/>
      <c r="F11901"/>
      <c r="N11901" s="44"/>
    </row>
    <row r="11902" spans="1:14" x14ac:dyDescent="0.3">
      <c r="A11902" s="42"/>
      <c r="C11902" s="52"/>
      <c r="D11902"/>
      <c r="E11902"/>
      <c r="F11902"/>
      <c r="N11902" s="44"/>
    </row>
    <row r="11903" spans="1:14" x14ac:dyDescent="0.3">
      <c r="A11903" s="42"/>
      <c r="C11903" s="52"/>
      <c r="D11903"/>
      <c r="E11903"/>
      <c r="F11903"/>
      <c r="N11903" s="44"/>
    </row>
    <row r="11904" spans="1:14" x14ac:dyDescent="0.3">
      <c r="A11904" s="42"/>
      <c r="C11904" s="52"/>
      <c r="D11904"/>
      <c r="E11904"/>
      <c r="F11904"/>
      <c r="N11904" s="44"/>
    </row>
    <row r="11905" spans="1:14" x14ac:dyDescent="0.3">
      <c r="A11905" s="42"/>
      <c r="C11905" s="52"/>
      <c r="D11905"/>
      <c r="E11905"/>
      <c r="F11905"/>
      <c r="N11905" s="44"/>
    </row>
    <row r="11906" spans="1:14" x14ac:dyDescent="0.3">
      <c r="A11906" s="42"/>
      <c r="C11906" s="52"/>
      <c r="D11906"/>
      <c r="E11906"/>
      <c r="F11906"/>
      <c r="N11906" s="44"/>
    </row>
    <row r="11907" spans="1:14" x14ac:dyDescent="0.3">
      <c r="A11907" s="42"/>
      <c r="C11907" s="52"/>
      <c r="D11907"/>
      <c r="E11907"/>
      <c r="F11907"/>
      <c r="N11907" s="44"/>
    </row>
    <row r="11908" spans="1:14" x14ac:dyDescent="0.3">
      <c r="A11908" s="42"/>
      <c r="C11908" s="52"/>
      <c r="D11908"/>
      <c r="E11908"/>
      <c r="F11908"/>
      <c r="N11908" s="44"/>
    </row>
    <row r="11909" spans="1:14" x14ac:dyDescent="0.3">
      <c r="A11909" s="42"/>
      <c r="C11909" s="52"/>
      <c r="D11909"/>
      <c r="E11909"/>
      <c r="F11909"/>
      <c r="N11909" s="44"/>
    </row>
    <row r="11910" spans="1:14" x14ac:dyDescent="0.3">
      <c r="A11910" s="42"/>
      <c r="C11910" s="52"/>
      <c r="D11910"/>
      <c r="E11910"/>
      <c r="F11910"/>
      <c r="N11910" s="44"/>
    </row>
    <row r="11911" spans="1:14" x14ac:dyDescent="0.3">
      <c r="A11911" s="42"/>
      <c r="C11911" s="52"/>
      <c r="D11911"/>
      <c r="E11911"/>
      <c r="F11911"/>
      <c r="N11911" s="44"/>
    </row>
    <row r="11912" spans="1:14" x14ac:dyDescent="0.3">
      <c r="A11912" s="42"/>
      <c r="C11912" s="52"/>
      <c r="D11912"/>
      <c r="E11912"/>
      <c r="F11912"/>
      <c r="N11912" s="44"/>
    </row>
    <row r="11913" spans="1:14" x14ac:dyDescent="0.3">
      <c r="A11913" s="42"/>
      <c r="C11913" s="52"/>
      <c r="D11913"/>
      <c r="E11913"/>
      <c r="F11913"/>
      <c r="N11913" s="44"/>
    </row>
    <row r="11914" spans="1:14" x14ac:dyDescent="0.3">
      <c r="A11914" s="42"/>
      <c r="C11914" s="52"/>
      <c r="D11914"/>
      <c r="E11914"/>
      <c r="F11914"/>
      <c r="N11914" s="44"/>
    </row>
    <row r="11915" spans="1:14" x14ac:dyDescent="0.3">
      <c r="A11915" s="42"/>
      <c r="C11915" s="52"/>
      <c r="D11915"/>
      <c r="E11915"/>
      <c r="F11915"/>
      <c r="N11915" s="44"/>
    </row>
    <row r="11916" spans="1:14" x14ac:dyDescent="0.3">
      <c r="A11916" s="42"/>
      <c r="C11916" s="52"/>
      <c r="D11916"/>
      <c r="E11916"/>
      <c r="F11916"/>
      <c r="N11916" s="44"/>
    </row>
    <row r="11917" spans="1:14" x14ac:dyDescent="0.3">
      <c r="A11917" s="42"/>
      <c r="C11917" s="52"/>
      <c r="D11917"/>
      <c r="E11917"/>
      <c r="F11917"/>
      <c r="N11917" s="44"/>
    </row>
    <row r="11918" spans="1:14" x14ac:dyDescent="0.3">
      <c r="A11918" s="42"/>
      <c r="C11918" s="52"/>
      <c r="D11918"/>
      <c r="E11918"/>
      <c r="F11918"/>
      <c r="N11918" s="44"/>
    </row>
    <row r="11919" spans="1:14" x14ac:dyDescent="0.3">
      <c r="A11919" s="42"/>
      <c r="C11919" s="52"/>
      <c r="D11919"/>
      <c r="E11919"/>
      <c r="F11919"/>
      <c r="N11919" s="44"/>
    </row>
    <row r="11920" spans="1:14" x14ac:dyDescent="0.3">
      <c r="A11920" s="42"/>
      <c r="C11920" s="52"/>
      <c r="D11920"/>
      <c r="E11920"/>
      <c r="F11920"/>
      <c r="N11920" s="44"/>
    </row>
    <row r="11921" spans="1:14" x14ac:dyDescent="0.3">
      <c r="A11921" s="42"/>
      <c r="C11921" s="52"/>
      <c r="D11921"/>
      <c r="E11921"/>
      <c r="F11921"/>
      <c r="N11921" s="44"/>
    </row>
    <row r="11922" spans="1:14" x14ac:dyDescent="0.3">
      <c r="A11922" s="42"/>
      <c r="C11922" s="52"/>
      <c r="D11922"/>
      <c r="E11922"/>
      <c r="F11922"/>
      <c r="N11922" s="44"/>
    </row>
    <row r="11923" spans="1:14" x14ac:dyDescent="0.3">
      <c r="A11923" s="42"/>
      <c r="C11923" s="52"/>
      <c r="D11923"/>
      <c r="E11923"/>
      <c r="F11923"/>
      <c r="N11923" s="44"/>
    </row>
    <row r="11924" spans="1:14" x14ac:dyDescent="0.3">
      <c r="A11924" s="42"/>
      <c r="C11924" s="52"/>
      <c r="D11924"/>
      <c r="E11924"/>
      <c r="F11924"/>
      <c r="N11924" s="44"/>
    </row>
    <row r="11925" spans="1:14" x14ac:dyDescent="0.3">
      <c r="A11925" s="42"/>
      <c r="C11925" s="52"/>
      <c r="D11925"/>
      <c r="E11925"/>
      <c r="F11925"/>
      <c r="N11925" s="44"/>
    </row>
    <row r="11926" spans="1:14" x14ac:dyDescent="0.3">
      <c r="A11926" s="42"/>
      <c r="C11926" s="52"/>
      <c r="D11926"/>
      <c r="E11926"/>
      <c r="F11926"/>
      <c r="N11926" s="44"/>
    </row>
    <row r="11927" spans="1:14" x14ac:dyDescent="0.3">
      <c r="A11927" s="42"/>
      <c r="C11927" s="52"/>
      <c r="D11927"/>
      <c r="E11927"/>
      <c r="F11927"/>
      <c r="N11927" s="44"/>
    </row>
    <row r="11928" spans="1:14" x14ac:dyDescent="0.3">
      <c r="A11928" s="42"/>
      <c r="C11928" s="52"/>
      <c r="D11928"/>
      <c r="E11928"/>
      <c r="F11928"/>
      <c r="N11928" s="44"/>
    </row>
    <row r="11929" spans="1:14" x14ac:dyDescent="0.3">
      <c r="A11929" s="42"/>
      <c r="C11929" s="52"/>
      <c r="D11929"/>
      <c r="E11929"/>
      <c r="F11929"/>
      <c r="N11929" s="44"/>
    </row>
    <row r="11930" spans="1:14" x14ac:dyDescent="0.3">
      <c r="A11930" s="42"/>
      <c r="C11930" s="52"/>
      <c r="D11930"/>
      <c r="E11930"/>
      <c r="F11930"/>
      <c r="N11930" s="44"/>
    </row>
    <row r="11931" spans="1:14" x14ac:dyDescent="0.3">
      <c r="A11931" s="42"/>
      <c r="C11931" s="52"/>
      <c r="D11931"/>
      <c r="E11931"/>
      <c r="F11931"/>
      <c r="N11931" s="44"/>
    </row>
    <row r="11932" spans="1:14" x14ac:dyDescent="0.3">
      <c r="A11932" s="42"/>
      <c r="C11932" s="52"/>
      <c r="D11932"/>
      <c r="E11932"/>
      <c r="F11932"/>
      <c r="N11932" s="44"/>
    </row>
    <row r="11933" spans="1:14" x14ac:dyDescent="0.3">
      <c r="A11933" s="42"/>
      <c r="C11933" s="52"/>
      <c r="D11933"/>
      <c r="E11933"/>
      <c r="F11933"/>
      <c r="N11933" s="44"/>
    </row>
    <row r="11934" spans="1:14" x14ac:dyDescent="0.3">
      <c r="A11934" s="42"/>
      <c r="C11934" s="52"/>
      <c r="D11934"/>
      <c r="E11934"/>
      <c r="F11934"/>
      <c r="N11934" s="44"/>
    </row>
    <row r="11935" spans="1:14" x14ac:dyDescent="0.3">
      <c r="A11935" s="42"/>
      <c r="C11935" s="52"/>
      <c r="D11935"/>
      <c r="E11935"/>
      <c r="F11935"/>
      <c r="N11935" s="44"/>
    </row>
    <row r="11936" spans="1:14" x14ac:dyDescent="0.3">
      <c r="A11936" s="42"/>
      <c r="C11936" s="52"/>
      <c r="D11936"/>
      <c r="E11936"/>
      <c r="F11936"/>
      <c r="N11936" s="44"/>
    </row>
    <row r="11937" spans="1:14" x14ac:dyDescent="0.3">
      <c r="A11937" s="42"/>
      <c r="C11937" s="52"/>
      <c r="D11937"/>
      <c r="E11937"/>
      <c r="F11937"/>
      <c r="N11937" s="44"/>
    </row>
    <row r="11938" spans="1:14" x14ac:dyDescent="0.3">
      <c r="A11938" s="42"/>
      <c r="C11938" s="52"/>
      <c r="D11938"/>
      <c r="E11938"/>
      <c r="F11938"/>
      <c r="N11938" s="44"/>
    </row>
    <row r="11939" spans="1:14" x14ac:dyDescent="0.3">
      <c r="A11939" s="42"/>
      <c r="C11939" s="52"/>
      <c r="D11939"/>
      <c r="E11939"/>
      <c r="F11939"/>
      <c r="N11939" s="44"/>
    </row>
    <row r="11940" spans="1:14" x14ac:dyDescent="0.3">
      <c r="A11940" s="42"/>
      <c r="C11940" s="52"/>
      <c r="D11940"/>
      <c r="E11940"/>
      <c r="F11940"/>
      <c r="N11940" s="44"/>
    </row>
    <row r="11941" spans="1:14" x14ac:dyDescent="0.3">
      <c r="A11941" s="42"/>
      <c r="C11941" s="52"/>
      <c r="D11941"/>
      <c r="E11941"/>
      <c r="F11941"/>
      <c r="N11941" s="44"/>
    </row>
    <row r="11942" spans="1:14" x14ac:dyDescent="0.3">
      <c r="A11942" s="42"/>
      <c r="C11942" s="52"/>
      <c r="D11942"/>
      <c r="E11942"/>
      <c r="F11942"/>
      <c r="N11942" s="44"/>
    </row>
    <row r="11943" spans="1:14" x14ac:dyDescent="0.3">
      <c r="A11943" s="42"/>
      <c r="C11943" s="52"/>
      <c r="D11943"/>
      <c r="E11943"/>
      <c r="F11943"/>
      <c r="N11943" s="44"/>
    </row>
    <row r="11944" spans="1:14" x14ac:dyDescent="0.3">
      <c r="A11944" s="42"/>
      <c r="C11944" s="52"/>
      <c r="D11944"/>
      <c r="E11944"/>
      <c r="F11944"/>
      <c r="N11944" s="44"/>
    </row>
    <row r="11945" spans="1:14" x14ac:dyDescent="0.3">
      <c r="A11945" s="42"/>
      <c r="C11945" s="52"/>
      <c r="D11945"/>
      <c r="E11945"/>
      <c r="F11945"/>
      <c r="N11945" s="44"/>
    </row>
    <row r="11946" spans="1:14" x14ac:dyDescent="0.3">
      <c r="A11946" s="42"/>
      <c r="C11946" s="52"/>
      <c r="D11946"/>
      <c r="E11946"/>
      <c r="F11946"/>
      <c r="N11946" s="44"/>
    </row>
    <row r="11947" spans="1:14" x14ac:dyDescent="0.3">
      <c r="A11947" s="42"/>
      <c r="C11947" s="52"/>
      <c r="D11947"/>
      <c r="E11947"/>
      <c r="F11947"/>
      <c r="N11947" s="44"/>
    </row>
    <row r="11948" spans="1:14" x14ac:dyDescent="0.3">
      <c r="A11948" s="42"/>
      <c r="C11948" s="52"/>
      <c r="D11948"/>
      <c r="E11948"/>
      <c r="F11948"/>
      <c r="N11948" s="44"/>
    </row>
    <row r="11949" spans="1:14" x14ac:dyDescent="0.3">
      <c r="A11949" s="42"/>
      <c r="C11949" s="52"/>
      <c r="D11949"/>
      <c r="E11949"/>
      <c r="F11949"/>
      <c r="N11949" s="44"/>
    </row>
    <row r="11950" spans="1:14" x14ac:dyDescent="0.3">
      <c r="A11950" s="42"/>
      <c r="C11950" s="52"/>
      <c r="D11950"/>
      <c r="E11950"/>
      <c r="F11950"/>
      <c r="N11950" s="44"/>
    </row>
    <row r="11951" spans="1:14" x14ac:dyDescent="0.3">
      <c r="A11951" s="42"/>
      <c r="C11951" s="52"/>
      <c r="D11951"/>
      <c r="E11951"/>
      <c r="F11951"/>
      <c r="N11951" s="44"/>
    </row>
    <row r="11952" spans="1:14" x14ac:dyDescent="0.3">
      <c r="A11952" s="42"/>
      <c r="C11952" s="52"/>
      <c r="D11952"/>
      <c r="E11952"/>
      <c r="F11952"/>
      <c r="N11952" s="44"/>
    </row>
    <row r="11953" spans="1:14" x14ac:dyDescent="0.3">
      <c r="A11953" s="42"/>
      <c r="C11953" s="52"/>
      <c r="D11953"/>
      <c r="E11953"/>
      <c r="F11953"/>
      <c r="N11953" s="44"/>
    </row>
    <row r="11954" spans="1:14" x14ac:dyDescent="0.3">
      <c r="A11954" s="42"/>
      <c r="C11954" s="52"/>
      <c r="D11954"/>
      <c r="E11954"/>
      <c r="F11954"/>
      <c r="N11954" s="44"/>
    </row>
    <row r="11955" spans="1:14" x14ac:dyDescent="0.3">
      <c r="A11955" s="42"/>
      <c r="C11955" s="52"/>
      <c r="D11955"/>
      <c r="E11955"/>
      <c r="F11955"/>
      <c r="N11955" s="44"/>
    </row>
    <row r="11956" spans="1:14" x14ac:dyDescent="0.3">
      <c r="A11956" s="42"/>
      <c r="C11956" s="52"/>
      <c r="D11956"/>
      <c r="E11956"/>
      <c r="F11956"/>
      <c r="N11956" s="44"/>
    </row>
    <row r="11957" spans="1:14" x14ac:dyDescent="0.3">
      <c r="A11957" s="42"/>
      <c r="C11957" s="52"/>
      <c r="D11957"/>
      <c r="E11957"/>
      <c r="F11957"/>
      <c r="N11957" s="44"/>
    </row>
    <row r="11958" spans="1:14" x14ac:dyDescent="0.3">
      <c r="A11958" s="42"/>
      <c r="C11958" s="52"/>
      <c r="D11958"/>
      <c r="E11958"/>
      <c r="F11958"/>
      <c r="N11958" s="44"/>
    </row>
    <row r="11959" spans="1:14" x14ac:dyDescent="0.3">
      <c r="A11959" s="42"/>
      <c r="C11959" s="52"/>
      <c r="D11959"/>
      <c r="E11959"/>
      <c r="F11959"/>
      <c r="N11959" s="44"/>
    </row>
    <row r="11960" spans="1:14" x14ac:dyDescent="0.3">
      <c r="A11960" s="42"/>
      <c r="C11960" s="52"/>
      <c r="D11960"/>
      <c r="E11960"/>
      <c r="F11960"/>
      <c r="N11960" s="44"/>
    </row>
    <row r="11961" spans="1:14" x14ac:dyDescent="0.3">
      <c r="A11961" s="42"/>
      <c r="C11961" s="52"/>
      <c r="D11961"/>
      <c r="E11961"/>
      <c r="F11961"/>
      <c r="N11961" s="44"/>
    </row>
    <row r="11962" spans="1:14" x14ac:dyDescent="0.3">
      <c r="A11962" s="42"/>
      <c r="C11962" s="52"/>
      <c r="D11962"/>
      <c r="E11962"/>
      <c r="F11962"/>
      <c r="N11962" s="44"/>
    </row>
    <row r="11963" spans="1:14" x14ac:dyDescent="0.3">
      <c r="A11963" s="42"/>
      <c r="C11963" s="52"/>
      <c r="D11963"/>
      <c r="E11963"/>
      <c r="F11963"/>
      <c r="N11963" s="44"/>
    </row>
    <row r="11964" spans="1:14" x14ac:dyDescent="0.3">
      <c r="A11964" s="42"/>
      <c r="C11964" s="52"/>
      <c r="D11964"/>
      <c r="E11964"/>
      <c r="F11964"/>
      <c r="N11964" s="44"/>
    </row>
    <row r="11965" spans="1:14" x14ac:dyDescent="0.3">
      <c r="A11965" s="42"/>
      <c r="C11965" s="52"/>
      <c r="D11965"/>
      <c r="E11965"/>
      <c r="F11965"/>
      <c r="N11965" s="44"/>
    </row>
    <row r="11966" spans="1:14" x14ac:dyDescent="0.3">
      <c r="A11966" s="42"/>
      <c r="C11966" s="52"/>
      <c r="D11966"/>
      <c r="E11966"/>
      <c r="F11966"/>
      <c r="N11966" s="44"/>
    </row>
    <row r="11967" spans="1:14" x14ac:dyDescent="0.3">
      <c r="A11967" s="42"/>
      <c r="C11967" s="52"/>
      <c r="D11967"/>
      <c r="E11967"/>
      <c r="F11967"/>
      <c r="N11967" s="44"/>
    </row>
    <row r="11968" spans="1:14" x14ac:dyDescent="0.3">
      <c r="A11968" s="42"/>
      <c r="C11968" s="52"/>
      <c r="D11968"/>
      <c r="E11968"/>
      <c r="F11968"/>
      <c r="N11968" s="44"/>
    </row>
    <row r="11969" spans="1:14" x14ac:dyDescent="0.3">
      <c r="A11969" s="42"/>
      <c r="C11969" s="52"/>
      <c r="D11969"/>
      <c r="E11969"/>
      <c r="F11969"/>
      <c r="N11969" s="44"/>
    </row>
    <row r="11970" spans="1:14" x14ac:dyDescent="0.3">
      <c r="A11970" s="42"/>
      <c r="C11970" s="52"/>
      <c r="D11970"/>
      <c r="E11970"/>
      <c r="F11970"/>
      <c r="N11970" s="44"/>
    </row>
    <row r="11971" spans="1:14" x14ac:dyDescent="0.3">
      <c r="A11971" s="42"/>
      <c r="C11971" s="52"/>
      <c r="D11971"/>
      <c r="E11971"/>
      <c r="F11971"/>
      <c r="N11971" s="44"/>
    </row>
    <row r="11972" spans="1:14" x14ac:dyDescent="0.3">
      <c r="A11972" s="42"/>
      <c r="C11972" s="52"/>
      <c r="D11972"/>
      <c r="E11972"/>
      <c r="F11972"/>
      <c r="N11972" s="44"/>
    </row>
    <row r="11973" spans="1:14" x14ac:dyDescent="0.3">
      <c r="A11973" s="42"/>
      <c r="C11973" s="52"/>
      <c r="D11973"/>
      <c r="E11973"/>
      <c r="F11973"/>
      <c r="N11973" s="44"/>
    </row>
    <row r="11974" spans="1:14" x14ac:dyDescent="0.3">
      <c r="A11974" s="42"/>
      <c r="C11974" s="52"/>
      <c r="D11974"/>
      <c r="E11974"/>
      <c r="F11974"/>
      <c r="N11974" s="44"/>
    </row>
    <row r="11975" spans="1:14" x14ac:dyDescent="0.3">
      <c r="A11975" s="42"/>
      <c r="C11975" s="52"/>
      <c r="D11975"/>
      <c r="E11975"/>
      <c r="F11975"/>
      <c r="N11975" s="44"/>
    </row>
    <row r="11976" spans="1:14" x14ac:dyDescent="0.3">
      <c r="A11976" s="42"/>
      <c r="C11976" s="52"/>
      <c r="D11976"/>
      <c r="E11976"/>
      <c r="F11976"/>
      <c r="N11976" s="44"/>
    </row>
    <row r="11977" spans="1:14" x14ac:dyDescent="0.3">
      <c r="A11977" s="42"/>
      <c r="C11977" s="52"/>
      <c r="D11977"/>
      <c r="E11977"/>
      <c r="F11977"/>
      <c r="N11977" s="44"/>
    </row>
    <row r="11978" spans="1:14" x14ac:dyDescent="0.3">
      <c r="A11978" s="42"/>
      <c r="C11978" s="52"/>
      <c r="D11978"/>
      <c r="E11978"/>
      <c r="F11978"/>
      <c r="N11978" s="44"/>
    </row>
    <row r="11979" spans="1:14" x14ac:dyDescent="0.3">
      <c r="A11979" s="42"/>
      <c r="C11979" s="52"/>
      <c r="D11979"/>
      <c r="E11979"/>
      <c r="F11979"/>
      <c r="N11979" s="44"/>
    </row>
    <row r="11980" spans="1:14" x14ac:dyDescent="0.3">
      <c r="A11980" s="42"/>
      <c r="C11980" s="52"/>
      <c r="D11980"/>
      <c r="E11980"/>
      <c r="F11980"/>
      <c r="N11980" s="44"/>
    </row>
    <row r="11981" spans="1:14" x14ac:dyDescent="0.3">
      <c r="A11981" s="42"/>
      <c r="C11981" s="52"/>
      <c r="D11981"/>
      <c r="E11981"/>
      <c r="F11981"/>
      <c r="N11981" s="44"/>
    </row>
    <row r="11982" spans="1:14" x14ac:dyDescent="0.3">
      <c r="A11982" s="42"/>
      <c r="C11982" s="52"/>
      <c r="D11982"/>
      <c r="E11982"/>
      <c r="F11982"/>
      <c r="N11982" s="44"/>
    </row>
    <row r="11983" spans="1:14" x14ac:dyDescent="0.3">
      <c r="A11983" s="42"/>
      <c r="C11983" s="52"/>
      <c r="D11983"/>
      <c r="E11983"/>
      <c r="F11983"/>
      <c r="N11983" s="44"/>
    </row>
    <row r="11984" spans="1:14" x14ac:dyDescent="0.3">
      <c r="A11984" s="42"/>
      <c r="C11984" s="52"/>
      <c r="D11984"/>
      <c r="E11984"/>
      <c r="F11984"/>
      <c r="N11984" s="44"/>
    </row>
    <row r="11985" spans="1:14" x14ac:dyDescent="0.3">
      <c r="A11985" s="42"/>
      <c r="C11985" s="52"/>
      <c r="D11985"/>
      <c r="E11985"/>
      <c r="F11985"/>
      <c r="N11985" s="44"/>
    </row>
    <row r="11986" spans="1:14" x14ac:dyDescent="0.3">
      <c r="A11986" s="42"/>
      <c r="C11986" s="52"/>
      <c r="D11986"/>
      <c r="E11986"/>
      <c r="F11986"/>
      <c r="N11986" s="44"/>
    </row>
    <row r="11987" spans="1:14" x14ac:dyDescent="0.3">
      <c r="A11987" s="42"/>
      <c r="C11987" s="52"/>
      <c r="D11987"/>
      <c r="E11987"/>
      <c r="F11987"/>
      <c r="N11987" s="44"/>
    </row>
    <row r="11988" spans="1:14" x14ac:dyDescent="0.3">
      <c r="A11988" s="42"/>
      <c r="C11988" s="52"/>
      <c r="D11988"/>
      <c r="E11988"/>
      <c r="F11988"/>
      <c r="N11988" s="44"/>
    </row>
    <row r="11989" spans="1:14" x14ac:dyDescent="0.3">
      <c r="A11989" s="42"/>
      <c r="C11989" s="52"/>
      <c r="D11989"/>
      <c r="E11989"/>
      <c r="F11989"/>
      <c r="N11989" s="44"/>
    </row>
    <row r="11990" spans="1:14" x14ac:dyDescent="0.3">
      <c r="A11990" s="42"/>
      <c r="C11990" s="52"/>
      <c r="D11990"/>
      <c r="E11990"/>
      <c r="F11990"/>
      <c r="N11990" s="44"/>
    </row>
    <row r="11991" spans="1:14" x14ac:dyDescent="0.3">
      <c r="A11991" s="42"/>
      <c r="C11991" s="52"/>
      <c r="D11991"/>
      <c r="E11991"/>
      <c r="F11991"/>
      <c r="N11991" s="44"/>
    </row>
    <row r="11992" spans="1:14" x14ac:dyDescent="0.3">
      <c r="A11992" s="42"/>
      <c r="C11992" s="52"/>
      <c r="D11992"/>
      <c r="E11992"/>
      <c r="F11992"/>
      <c r="N11992" s="44"/>
    </row>
    <row r="11993" spans="1:14" x14ac:dyDescent="0.3">
      <c r="A11993" s="42"/>
      <c r="C11993" s="52"/>
      <c r="D11993"/>
      <c r="E11993"/>
      <c r="F11993"/>
      <c r="N11993" s="44"/>
    </row>
    <row r="11994" spans="1:14" x14ac:dyDescent="0.3">
      <c r="A11994" s="42"/>
      <c r="C11994" s="52"/>
      <c r="D11994"/>
      <c r="E11994"/>
      <c r="F11994"/>
      <c r="N11994" s="44"/>
    </row>
    <row r="11995" spans="1:14" x14ac:dyDescent="0.3">
      <c r="A11995" s="42"/>
      <c r="C11995" s="52"/>
      <c r="D11995"/>
      <c r="E11995"/>
      <c r="F11995"/>
      <c r="N11995" s="44"/>
    </row>
    <row r="11996" spans="1:14" x14ac:dyDescent="0.3">
      <c r="A11996" s="42"/>
      <c r="C11996" s="52"/>
      <c r="D11996"/>
      <c r="E11996"/>
      <c r="F11996"/>
      <c r="N11996" s="44"/>
    </row>
    <row r="11997" spans="1:14" x14ac:dyDescent="0.3">
      <c r="A11997" s="42"/>
      <c r="C11997" s="52"/>
      <c r="D11997"/>
      <c r="E11997"/>
      <c r="F11997"/>
      <c r="N11997" s="44"/>
    </row>
    <row r="11998" spans="1:14" x14ac:dyDescent="0.3">
      <c r="A11998" s="42"/>
      <c r="C11998" s="52"/>
      <c r="D11998"/>
      <c r="E11998"/>
      <c r="F11998"/>
      <c r="N11998" s="44"/>
    </row>
    <row r="11999" spans="1:14" x14ac:dyDescent="0.3">
      <c r="A11999" s="42"/>
      <c r="C11999" s="52"/>
      <c r="D11999"/>
      <c r="E11999"/>
      <c r="F11999"/>
      <c r="N11999" s="44"/>
    </row>
    <row r="12000" spans="1:14" x14ac:dyDescent="0.3">
      <c r="A12000" s="42"/>
      <c r="C12000" s="52"/>
      <c r="D12000"/>
      <c r="E12000"/>
      <c r="F12000"/>
      <c r="N12000" s="44"/>
    </row>
    <row r="12001" spans="1:14" x14ac:dyDescent="0.3">
      <c r="A12001" s="42"/>
      <c r="C12001" s="52"/>
      <c r="D12001"/>
      <c r="E12001"/>
      <c r="F12001"/>
      <c r="N12001" s="44"/>
    </row>
    <row r="12002" spans="1:14" x14ac:dyDescent="0.3">
      <c r="A12002" s="42"/>
      <c r="C12002" s="52"/>
      <c r="D12002"/>
      <c r="E12002"/>
      <c r="F12002"/>
      <c r="N12002" s="44"/>
    </row>
    <row r="12003" spans="1:14" x14ac:dyDescent="0.3">
      <c r="A12003" s="42"/>
      <c r="C12003" s="52"/>
      <c r="D12003"/>
      <c r="E12003"/>
      <c r="F12003"/>
      <c r="M12003" s="45"/>
      <c r="N12003" s="44"/>
    </row>
    <row r="12004" spans="1:14" x14ac:dyDescent="0.3">
      <c r="A12004" s="42"/>
      <c r="C12004" s="52"/>
      <c r="D12004"/>
      <c r="E12004"/>
      <c r="F12004"/>
      <c r="N12004" s="44"/>
    </row>
    <row r="12005" spans="1:14" x14ac:dyDescent="0.3">
      <c r="A12005" s="42"/>
      <c r="C12005" s="52"/>
      <c r="D12005"/>
      <c r="E12005"/>
      <c r="F12005"/>
      <c r="N12005" s="44"/>
    </row>
    <row r="12006" spans="1:14" x14ac:dyDescent="0.3">
      <c r="A12006" s="42"/>
      <c r="C12006" s="52"/>
      <c r="D12006"/>
      <c r="E12006"/>
      <c r="F12006"/>
      <c r="N12006" s="44"/>
    </row>
    <row r="12007" spans="1:14" x14ac:dyDescent="0.3">
      <c r="A12007" s="42"/>
      <c r="C12007" s="52"/>
      <c r="D12007"/>
      <c r="E12007"/>
      <c r="F12007"/>
      <c r="N12007" s="44"/>
    </row>
    <row r="12008" spans="1:14" x14ac:dyDescent="0.3">
      <c r="A12008" s="42"/>
      <c r="C12008" s="52"/>
      <c r="D12008"/>
      <c r="E12008"/>
      <c r="F12008"/>
      <c r="N12008" s="44"/>
    </row>
    <row r="12009" spans="1:14" x14ac:dyDescent="0.3">
      <c r="A12009" s="42"/>
      <c r="C12009" s="52"/>
      <c r="D12009"/>
      <c r="E12009"/>
      <c r="F12009"/>
      <c r="N12009" s="44"/>
    </row>
    <row r="12010" spans="1:14" x14ac:dyDescent="0.3">
      <c r="A12010" s="42"/>
      <c r="C12010" s="52"/>
      <c r="D12010"/>
      <c r="E12010"/>
      <c r="F12010"/>
      <c r="N12010" s="44"/>
    </row>
    <row r="12011" spans="1:14" x14ac:dyDescent="0.3">
      <c r="A12011" s="42"/>
      <c r="C12011" s="52"/>
      <c r="D12011"/>
      <c r="E12011"/>
      <c r="F12011"/>
      <c r="N12011" s="44"/>
    </row>
    <row r="12012" spans="1:14" x14ac:dyDescent="0.3">
      <c r="A12012" s="42"/>
      <c r="C12012" s="52"/>
      <c r="D12012"/>
      <c r="E12012"/>
      <c r="F12012"/>
      <c r="N12012" s="44"/>
    </row>
    <row r="12013" spans="1:14" x14ac:dyDescent="0.3">
      <c r="A12013" s="42"/>
      <c r="C12013" s="52"/>
      <c r="D12013"/>
      <c r="E12013"/>
      <c r="F12013"/>
      <c r="N12013" s="44"/>
    </row>
    <row r="12014" spans="1:14" x14ac:dyDescent="0.3">
      <c r="A12014" s="42"/>
      <c r="C12014" s="52"/>
      <c r="D12014"/>
      <c r="E12014"/>
      <c r="F12014"/>
      <c r="N12014" s="44"/>
    </row>
    <row r="12015" spans="1:14" x14ac:dyDescent="0.3">
      <c r="A12015" s="42"/>
      <c r="C12015" s="52"/>
      <c r="D12015"/>
      <c r="E12015"/>
      <c r="F12015"/>
      <c r="N12015" s="44"/>
    </row>
    <row r="12016" spans="1:14" x14ac:dyDescent="0.3">
      <c r="A12016" s="42"/>
      <c r="C12016" s="52"/>
      <c r="D12016"/>
      <c r="E12016"/>
      <c r="F12016"/>
      <c r="N12016" s="44"/>
    </row>
    <row r="12017" spans="1:14" x14ac:dyDescent="0.3">
      <c r="A12017" s="42"/>
      <c r="C12017" s="52"/>
      <c r="D12017"/>
      <c r="E12017"/>
      <c r="F12017"/>
      <c r="N12017" s="44"/>
    </row>
    <row r="12018" spans="1:14" x14ac:dyDescent="0.3">
      <c r="A12018" s="42"/>
      <c r="C12018" s="52"/>
      <c r="D12018"/>
      <c r="E12018"/>
      <c r="F12018"/>
      <c r="N12018" s="44"/>
    </row>
    <row r="12019" spans="1:14" x14ac:dyDescent="0.3">
      <c r="A12019" s="42"/>
      <c r="C12019" s="52"/>
      <c r="D12019"/>
      <c r="E12019"/>
      <c r="F12019"/>
      <c r="N12019" s="44"/>
    </row>
    <row r="12020" spans="1:14" x14ac:dyDescent="0.3">
      <c r="A12020" s="42"/>
      <c r="C12020" s="52"/>
      <c r="D12020"/>
      <c r="E12020"/>
      <c r="F12020"/>
      <c r="N12020" s="44"/>
    </row>
    <row r="12021" spans="1:14" x14ac:dyDescent="0.3">
      <c r="A12021" s="42"/>
      <c r="C12021" s="52"/>
      <c r="D12021"/>
      <c r="E12021"/>
      <c r="F12021"/>
      <c r="N12021" s="44"/>
    </row>
    <row r="12022" spans="1:14" x14ac:dyDescent="0.3">
      <c r="A12022" s="42"/>
      <c r="C12022" s="52"/>
      <c r="D12022"/>
      <c r="E12022"/>
      <c r="F12022"/>
      <c r="N12022" s="44"/>
    </row>
    <row r="12023" spans="1:14" x14ac:dyDescent="0.3">
      <c r="A12023" s="42"/>
      <c r="C12023" s="52"/>
      <c r="D12023"/>
      <c r="E12023"/>
      <c r="F12023"/>
      <c r="N12023" s="44"/>
    </row>
    <row r="12024" spans="1:14" x14ac:dyDescent="0.3">
      <c r="A12024" s="42"/>
      <c r="C12024" s="52"/>
      <c r="D12024"/>
      <c r="E12024"/>
      <c r="F12024"/>
      <c r="N12024" s="44"/>
    </row>
    <row r="12025" spans="1:14" x14ac:dyDescent="0.3">
      <c r="A12025" s="42"/>
      <c r="C12025" s="52"/>
      <c r="D12025"/>
      <c r="E12025"/>
      <c r="F12025"/>
      <c r="N12025" s="44"/>
    </row>
    <row r="12026" spans="1:14" x14ac:dyDescent="0.3">
      <c r="A12026" s="42"/>
      <c r="C12026" s="52"/>
      <c r="D12026"/>
      <c r="E12026"/>
      <c r="F12026"/>
      <c r="N12026" s="44"/>
    </row>
    <row r="12027" spans="1:14" x14ac:dyDescent="0.3">
      <c r="A12027" s="42"/>
      <c r="C12027" s="52"/>
      <c r="D12027"/>
      <c r="E12027"/>
      <c r="F12027"/>
      <c r="N12027" s="44"/>
    </row>
    <row r="12028" spans="1:14" x14ac:dyDescent="0.3">
      <c r="A12028" s="42"/>
      <c r="C12028" s="52"/>
      <c r="D12028"/>
      <c r="E12028"/>
      <c r="F12028"/>
      <c r="N12028" s="44"/>
    </row>
    <row r="12029" spans="1:14" x14ac:dyDescent="0.3">
      <c r="A12029" s="42"/>
      <c r="C12029" s="52"/>
      <c r="D12029"/>
      <c r="E12029"/>
      <c r="F12029"/>
      <c r="N12029" s="44"/>
    </row>
    <row r="12030" spans="1:14" x14ac:dyDescent="0.3">
      <c r="A12030" s="42"/>
      <c r="C12030" s="52"/>
      <c r="D12030"/>
      <c r="E12030"/>
      <c r="F12030"/>
      <c r="N12030" s="44"/>
    </row>
    <row r="12031" spans="1:14" x14ac:dyDescent="0.3">
      <c r="A12031" s="42"/>
      <c r="C12031" s="52"/>
      <c r="D12031"/>
      <c r="E12031"/>
      <c r="F12031"/>
      <c r="N12031" s="44"/>
    </row>
    <row r="12032" spans="1:14" x14ac:dyDescent="0.3">
      <c r="A12032" s="42"/>
      <c r="C12032" s="52"/>
      <c r="D12032"/>
      <c r="E12032"/>
      <c r="F12032"/>
      <c r="N12032" s="44"/>
    </row>
    <row r="12033" spans="1:14" x14ac:dyDescent="0.3">
      <c r="A12033" s="42"/>
      <c r="C12033" s="52"/>
      <c r="D12033"/>
      <c r="E12033"/>
      <c r="F12033"/>
      <c r="N12033" s="44"/>
    </row>
    <row r="12034" spans="1:14" x14ac:dyDescent="0.3">
      <c r="A12034" s="42"/>
      <c r="C12034" s="52"/>
      <c r="D12034"/>
      <c r="E12034"/>
      <c r="F12034"/>
      <c r="N12034" s="44"/>
    </row>
    <row r="12035" spans="1:14" x14ac:dyDescent="0.3">
      <c r="A12035" s="42"/>
      <c r="C12035" s="52"/>
      <c r="D12035"/>
      <c r="E12035"/>
      <c r="F12035"/>
      <c r="N12035" s="44"/>
    </row>
    <row r="12036" spans="1:14" x14ac:dyDescent="0.3">
      <c r="A12036" s="42"/>
      <c r="C12036" s="52"/>
      <c r="D12036"/>
      <c r="E12036"/>
      <c r="F12036"/>
      <c r="N12036" s="44"/>
    </row>
    <row r="12037" spans="1:14" x14ac:dyDescent="0.3">
      <c r="A12037" s="42"/>
      <c r="C12037" s="52"/>
      <c r="D12037"/>
      <c r="E12037"/>
      <c r="F12037"/>
      <c r="N12037" s="44"/>
    </row>
    <row r="12038" spans="1:14" x14ac:dyDescent="0.3">
      <c r="A12038" s="42"/>
      <c r="C12038" s="52"/>
      <c r="D12038"/>
      <c r="E12038"/>
      <c r="F12038"/>
      <c r="N12038" s="44"/>
    </row>
    <row r="12039" spans="1:14" x14ac:dyDescent="0.3">
      <c r="A12039" s="42"/>
      <c r="C12039" s="52"/>
      <c r="D12039"/>
      <c r="E12039"/>
      <c r="F12039"/>
      <c r="N12039" s="44"/>
    </row>
    <row r="12040" spans="1:14" x14ac:dyDescent="0.3">
      <c r="A12040" s="42"/>
      <c r="C12040" s="52"/>
      <c r="D12040"/>
      <c r="E12040"/>
      <c r="F12040"/>
      <c r="M12040" s="45"/>
      <c r="N12040" s="44"/>
    </row>
    <row r="12041" spans="1:14" x14ac:dyDescent="0.3">
      <c r="A12041" s="42"/>
      <c r="C12041" s="52"/>
      <c r="D12041"/>
      <c r="E12041"/>
      <c r="F12041"/>
      <c r="N12041" s="44"/>
    </row>
    <row r="12042" spans="1:14" x14ac:dyDescent="0.3">
      <c r="A12042" s="42"/>
      <c r="C12042" s="52"/>
      <c r="D12042"/>
      <c r="E12042"/>
      <c r="F12042"/>
      <c r="N12042" s="44"/>
    </row>
    <row r="12043" spans="1:14" x14ac:dyDescent="0.3">
      <c r="A12043" s="42"/>
      <c r="C12043" s="52"/>
      <c r="D12043"/>
      <c r="E12043"/>
      <c r="F12043"/>
      <c r="N12043" s="44"/>
    </row>
    <row r="12044" spans="1:14" x14ac:dyDescent="0.3">
      <c r="A12044" s="42"/>
      <c r="C12044" s="52"/>
      <c r="D12044"/>
      <c r="E12044"/>
      <c r="F12044"/>
      <c r="N12044" s="44"/>
    </row>
    <row r="12045" spans="1:14" x14ac:dyDescent="0.3">
      <c r="A12045" s="42"/>
      <c r="C12045" s="52"/>
      <c r="D12045"/>
      <c r="E12045"/>
      <c r="F12045"/>
      <c r="N12045" s="44"/>
    </row>
    <row r="12046" spans="1:14" x14ac:dyDescent="0.3">
      <c r="A12046" s="42"/>
      <c r="C12046" s="52"/>
      <c r="D12046"/>
      <c r="E12046"/>
      <c r="F12046"/>
      <c r="N12046" s="44"/>
    </row>
    <row r="12047" spans="1:14" x14ac:dyDescent="0.3">
      <c r="A12047" s="42"/>
      <c r="C12047" s="52"/>
      <c r="D12047"/>
      <c r="E12047"/>
      <c r="F12047"/>
      <c r="N12047" s="44"/>
    </row>
    <row r="12048" spans="1:14" x14ac:dyDescent="0.3">
      <c r="A12048" s="42"/>
      <c r="C12048" s="52"/>
      <c r="D12048"/>
      <c r="E12048"/>
      <c r="F12048"/>
      <c r="N12048" s="44"/>
    </row>
    <row r="12049" spans="1:14" x14ac:dyDescent="0.3">
      <c r="A12049" s="42"/>
      <c r="C12049" s="52"/>
      <c r="D12049"/>
      <c r="E12049"/>
      <c r="F12049"/>
      <c r="N12049" s="44"/>
    </row>
    <row r="12050" spans="1:14" x14ac:dyDescent="0.3">
      <c r="A12050" s="42"/>
      <c r="C12050" s="52"/>
      <c r="D12050"/>
      <c r="E12050"/>
      <c r="F12050"/>
      <c r="N12050" s="44"/>
    </row>
    <row r="12051" spans="1:14" x14ac:dyDescent="0.3">
      <c r="A12051" s="42"/>
      <c r="C12051" s="52"/>
      <c r="D12051"/>
      <c r="E12051"/>
      <c r="F12051"/>
      <c r="N12051" s="44"/>
    </row>
    <row r="12052" spans="1:14" x14ac:dyDescent="0.3">
      <c r="A12052" s="42"/>
      <c r="C12052" s="52"/>
      <c r="D12052"/>
      <c r="E12052"/>
      <c r="F12052"/>
      <c r="N12052" s="44"/>
    </row>
    <row r="12053" spans="1:14" x14ac:dyDescent="0.3">
      <c r="A12053" s="42"/>
      <c r="C12053" s="52"/>
      <c r="D12053"/>
      <c r="E12053"/>
      <c r="F12053"/>
      <c r="N12053" s="44"/>
    </row>
    <row r="12054" spans="1:14" x14ac:dyDescent="0.3">
      <c r="A12054" s="42"/>
      <c r="C12054" s="52"/>
      <c r="D12054"/>
      <c r="E12054"/>
      <c r="F12054"/>
      <c r="N12054" s="44"/>
    </row>
    <row r="12055" spans="1:14" x14ac:dyDescent="0.3">
      <c r="A12055" s="42"/>
      <c r="C12055" s="52"/>
      <c r="D12055"/>
      <c r="E12055"/>
      <c r="F12055"/>
      <c r="N12055" s="44"/>
    </row>
    <row r="12056" spans="1:14" x14ac:dyDescent="0.3">
      <c r="A12056" s="42"/>
      <c r="C12056" s="52"/>
      <c r="D12056"/>
      <c r="E12056"/>
      <c r="F12056"/>
      <c r="N12056" s="44"/>
    </row>
    <row r="12057" spans="1:14" x14ac:dyDescent="0.3">
      <c r="A12057" s="42"/>
      <c r="C12057" s="52"/>
      <c r="D12057"/>
      <c r="E12057"/>
      <c r="F12057"/>
      <c r="N12057" s="44"/>
    </row>
    <row r="12058" spans="1:14" x14ac:dyDescent="0.3">
      <c r="A12058" s="42"/>
      <c r="C12058" s="52"/>
      <c r="D12058"/>
      <c r="E12058"/>
      <c r="F12058"/>
      <c r="N12058" s="44"/>
    </row>
    <row r="12059" spans="1:14" x14ac:dyDescent="0.3">
      <c r="A12059" s="42"/>
      <c r="C12059" s="52"/>
      <c r="D12059"/>
      <c r="E12059"/>
      <c r="F12059"/>
      <c r="N12059" s="44"/>
    </row>
    <row r="12060" spans="1:14" x14ac:dyDescent="0.3">
      <c r="A12060" s="42"/>
      <c r="C12060" s="52"/>
      <c r="D12060"/>
      <c r="E12060"/>
      <c r="F12060"/>
      <c r="N12060" s="44"/>
    </row>
    <row r="12061" spans="1:14" x14ac:dyDescent="0.3">
      <c r="A12061" s="42"/>
      <c r="C12061" s="52"/>
      <c r="D12061"/>
      <c r="E12061"/>
      <c r="F12061"/>
      <c r="N12061" s="44"/>
    </row>
    <row r="12062" spans="1:14" x14ac:dyDescent="0.3">
      <c r="A12062" s="42"/>
      <c r="C12062" s="52"/>
      <c r="D12062"/>
      <c r="E12062"/>
      <c r="F12062"/>
      <c r="N12062" s="44"/>
    </row>
    <row r="12063" spans="1:14" x14ac:dyDescent="0.3">
      <c r="A12063" s="42"/>
      <c r="C12063" s="52"/>
      <c r="D12063"/>
      <c r="E12063"/>
      <c r="F12063"/>
      <c r="N12063" s="44"/>
    </row>
    <row r="12064" spans="1:14" x14ac:dyDescent="0.3">
      <c r="A12064" s="42"/>
      <c r="C12064" s="52"/>
      <c r="D12064"/>
      <c r="E12064"/>
      <c r="F12064"/>
      <c r="N12064" s="44"/>
    </row>
    <row r="12065" spans="1:14" x14ac:dyDescent="0.3">
      <c r="A12065" s="42"/>
      <c r="C12065" s="52"/>
      <c r="D12065"/>
      <c r="E12065"/>
      <c r="F12065"/>
      <c r="N12065" s="44"/>
    </row>
    <row r="12066" spans="1:14" x14ac:dyDescent="0.3">
      <c r="A12066" s="42"/>
      <c r="C12066" s="52"/>
      <c r="D12066"/>
      <c r="E12066"/>
      <c r="F12066"/>
      <c r="N12066" s="44"/>
    </row>
    <row r="12067" spans="1:14" x14ac:dyDescent="0.3">
      <c r="A12067" s="42"/>
      <c r="C12067" s="52"/>
      <c r="D12067"/>
      <c r="E12067"/>
      <c r="F12067"/>
      <c r="N12067" s="44"/>
    </row>
    <row r="12068" spans="1:14" x14ac:dyDescent="0.3">
      <c r="A12068" s="42"/>
      <c r="C12068" s="52"/>
      <c r="D12068"/>
      <c r="E12068"/>
      <c r="F12068"/>
      <c r="N12068" s="44"/>
    </row>
    <row r="12069" spans="1:14" x14ac:dyDescent="0.3">
      <c r="A12069" s="42"/>
      <c r="C12069" s="52"/>
      <c r="D12069"/>
      <c r="E12069"/>
      <c r="F12069"/>
      <c r="N12069" s="44"/>
    </row>
    <row r="12070" spans="1:14" x14ac:dyDescent="0.3">
      <c r="A12070" s="42"/>
      <c r="C12070" s="52"/>
      <c r="D12070"/>
      <c r="E12070"/>
      <c r="F12070"/>
      <c r="N12070" s="44"/>
    </row>
    <row r="12071" spans="1:14" x14ac:dyDescent="0.3">
      <c r="A12071" s="42"/>
      <c r="C12071" s="52"/>
      <c r="D12071"/>
      <c r="E12071"/>
      <c r="F12071"/>
      <c r="N12071" s="44"/>
    </row>
    <row r="12072" spans="1:14" x14ac:dyDescent="0.3">
      <c r="A12072" s="42"/>
      <c r="C12072" s="52"/>
      <c r="D12072"/>
      <c r="E12072"/>
      <c r="F12072"/>
      <c r="N12072" s="44"/>
    </row>
    <row r="12073" spans="1:14" x14ac:dyDescent="0.3">
      <c r="A12073" s="42"/>
      <c r="C12073" s="52"/>
      <c r="D12073"/>
      <c r="E12073"/>
      <c r="F12073"/>
      <c r="M12073" s="45"/>
      <c r="N12073" s="44"/>
    </row>
    <row r="12074" spans="1:14" x14ac:dyDescent="0.3">
      <c r="A12074" s="42"/>
      <c r="C12074" s="52"/>
      <c r="D12074"/>
      <c r="E12074"/>
      <c r="F12074"/>
      <c r="N12074" s="44"/>
    </row>
    <row r="12075" spans="1:14" x14ac:dyDescent="0.3">
      <c r="A12075" s="42"/>
      <c r="C12075" s="52"/>
      <c r="D12075"/>
      <c r="E12075"/>
      <c r="F12075"/>
      <c r="N12075" s="44"/>
    </row>
    <row r="12076" spans="1:14" x14ac:dyDescent="0.3">
      <c r="A12076" s="42"/>
      <c r="C12076" s="52"/>
      <c r="D12076"/>
      <c r="E12076"/>
      <c r="F12076"/>
      <c r="N12076" s="44"/>
    </row>
    <row r="12077" spans="1:14" x14ac:dyDescent="0.3">
      <c r="A12077" s="42"/>
      <c r="C12077" s="52"/>
      <c r="D12077"/>
      <c r="E12077"/>
      <c r="F12077"/>
      <c r="N12077" s="44"/>
    </row>
    <row r="12078" spans="1:14" x14ac:dyDescent="0.3">
      <c r="A12078" s="42"/>
      <c r="C12078" s="52"/>
      <c r="D12078"/>
      <c r="E12078"/>
      <c r="F12078"/>
      <c r="N12078" s="44"/>
    </row>
    <row r="12079" spans="1:14" x14ac:dyDescent="0.3">
      <c r="A12079" s="42"/>
      <c r="C12079" s="52"/>
      <c r="D12079"/>
      <c r="E12079"/>
      <c r="F12079"/>
      <c r="N12079" s="44"/>
    </row>
    <row r="12080" spans="1:14" x14ac:dyDescent="0.3">
      <c r="A12080" s="42"/>
      <c r="C12080" s="52"/>
      <c r="D12080"/>
      <c r="E12080"/>
      <c r="F12080"/>
      <c r="N12080" s="44"/>
    </row>
    <row r="12081" spans="1:14" x14ac:dyDescent="0.3">
      <c r="A12081" s="42"/>
      <c r="C12081" s="52"/>
      <c r="D12081"/>
      <c r="E12081"/>
      <c r="F12081"/>
      <c r="N12081" s="44"/>
    </row>
    <row r="12082" spans="1:14" x14ac:dyDescent="0.3">
      <c r="A12082" s="42"/>
      <c r="C12082" s="52"/>
      <c r="D12082"/>
      <c r="E12082"/>
      <c r="F12082"/>
      <c r="N12082" s="44"/>
    </row>
    <row r="12083" spans="1:14" x14ac:dyDescent="0.3">
      <c r="A12083" s="42"/>
      <c r="C12083" s="52"/>
      <c r="D12083"/>
      <c r="E12083"/>
      <c r="F12083"/>
      <c r="N12083" s="44"/>
    </row>
    <row r="12084" spans="1:14" x14ac:dyDescent="0.3">
      <c r="A12084" s="42"/>
      <c r="C12084" s="52"/>
      <c r="D12084"/>
      <c r="E12084"/>
      <c r="F12084"/>
      <c r="N12084" s="44"/>
    </row>
    <row r="12085" spans="1:14" x14ac:dyDescent="0.3">
      <c r="A12085" s="42"/>
      <c r="C12085" s="52"/>
      <c r="D12085"/>
      <c r="E12085"/>
      <c r="F12085"/>
      <c r="N12085" s="44"/>
    </row>
    <row r="12086" spans="1:14" x14ac:dyDescent="0.3">
      <c r="A12086" s="42"/>
      <c r="C12086" s="52"/>
      <c r="D12086"/>
      <c r="E12086"/>
      <c r="F12086"/>
      <c r="N12086" s="44"/>
    </row>
    <row r="12087" spans="1:14" x14ac:dyDescent="0.3">
      <c r="A12087" s="42"/>
      <c r="C12087" s="52"/>
      <c r="D12087"/>
      <c r="E12087"/>
      <c r="F12087"/>
      <c r="N12087" s="44"/>
    </row>
    <row r="12088" spans="1:14" x14ac:dyDescent="0.3">
      <c r="A12088" s="42"/>
      <c r="C12088" s="52"/>
      <c r="D12088"/>
      <c r="E12088"/>
      <c r="F12088"/>
      <c r="N12088" s="44"/>
    </row>
    <row r="12089" spans="1:14" x14ac:dyDescent="0.3">
      <c r="A12089" s="42"/>
      <c r="C12089" s="52"/>
      <c r="D12089"/>
      <c r="E12089"/>
      <c r="F12089"/>
      <c r="N12089" s="44"/>
    </row>
    <row r="12090" spans="1:14" x14ac:dyDescent="0.3">
      <c r="A12090" s="42"/>
      <c r="C12090" s="52"/>
      <c r="D12090"/>
      <c r="E12090"/>
      <c r="F12090"/>
      <c r="N12090" s="44"/>
    </row>
    <row r="12091" spans="1:14" x14ac:dyDescent="0.3">
      <c r="A12091" s="42"/>
      <c r="C12091" s="52"/>
      <c r="D12091"/>
      <c r="E12091"/>
      <c r="F12091"/>
      <c r="N12091" s="44"/>
    </row>
    <row r="12092" spans="1:14" x14ac:dyDescent="0.3">
      <c r="A12092" s="42"/>
      <c r="C12092" s="52"/>
      <c r="D12092"/>
      <c r="E12092"/>
      <c r="F12092"/>
      <c r="N12092" s="44"/>
    </row>
    <row r="12093" spans="1:14" x14ac:dyDescent="0.3">
      <c r="A12093" s="42"/>
      <c r="C12093" s="52"/>
      <c r="D12093"/>
      <c r="E12093"/>
      <c r="F12093"/>
      <c r="N12093" s="44"/>
    </row>
    <row r="12094" spans="1:14" x14ac:dyDescent="0.3">
      <c r="A12094" s="42"/>
      <c r="C12094" s="52"/>
      <c r="D12094"/>
      <c r="E12094"/>
      <c r="F12094"/>
      <c r="N12094" s="44"/>
    </row>
    <row r="12095" spans="1:14" x14ac:dyDescent="0.3">
      <c r="A12095" s="42"/>
      <c r="C12095" s="52"/>
      <c r="D12095"/>
      <c r="E12095"/>
      <c r="F12095"/>
      <c r="N12095" s="44"/>
    </row>
    <row r="12096" spans="1:14" x14ac:dyDescent="0.3">
      <c r="A12096" s="42"/>
      <c r="C12096" s="52"/>
      <c r="D12096"/>
      <c r="E12096"/>
      <c r="F12096"/>
      <c r="N12096" s="44"/>
    </row>
    <row r="12097" spans="1:14" x14ac:dyDescent="0.3">
      <c r="A12097" s="42"/>
      <c r="C12097" s="52"/>
      <c r="D12097"/>
      <c r="E12097"/>
      <c r="F12097"/>
      <c r="N12097" s="44"/>
    </row>
    <row r="12098" spans="1:14" x14ac:dyDescent="0.3">
      <c r="A12098" s="42"/>
      <c r="C12098" s="52"/>
      <c r="D12098"/>
      <c r="E12098"/>
      <c r="F12098"/>
      <c r="N12098" s="44"/>
    </row>
    <row r="12099" spans="1:14" x14ac:dyDescent="0.3">
      <c r="A12099" s="42"/>
      <c r="C12099" s="52"/>
      <c r="D12099"/>
      <c r="E12099"/>
      <c r="F12099"/>
      <c r="N12099" s="44"/>
    </row>
    <row r="12100" spans="1:14" x14ac:dyDescent="0.3">
      <c r="A12100" s="42"/>
      <c r="C12100" s="52"/>
      <c r="D12100"/>
      <c r="E12100"/>
      <c r="F12100"/>
      <c r="N12100" s="44"/>
    </row>
    <row r="12101" spans="1:14" x14ac:dyDescent="0.3">
      <c r="A12101" s="42"/>
      <c r="C12101" s="52"/>
      <c r="D12101"/>
      <c r="E12101"/>
      <c r="F12101"/>
      <c r="N12101" s="44"/>
    </row>
    <row r="12102" spans="1:14" x14ac:dyDescent="0.3">
      <c r="A12102" s="42"/>
      <c r="C12102" s="52"/>
      <c r="D12102"/>
      <c r="E12102"/>
      <c r="F12102"/>
      <c r="N12102" s="44"/>
    </row>
    <row r="12103" spans="1:14" x14ac:dyDescent="0.3">
      <c r="A12103" s="42"/>
      <c r="C12103" s="52"/>
      <c r="D12103"/>
      <c r="E12103"/>
      <c r="F12103"/>
      <c r="N12103" s="44"/>
    </row>
    <row r="12104" spans="1:14" x14ac:dyDescent="0.3">
      <c r="A12104" s="42"/>
      <c r="C12104" s="52"/>
      <c r="D12104"/>
      <c r="E12104"/>
      <c r="F12104"/>
      <c r="N12104" s="44"/>
    </row>
    <row r="12105" spans="1:14" x14ac:dyDescent="0.3">
      <c r="A12105" s="42"/>
      <c r="C12105" s="52"/>
      <c r="D12105"/>
      <c r="E12105"/>
      <c r="F12105"/>
      <c r="N12105" s="44"/>
    </row>
    <row r="12106" spans="1:14" x14ac:dyDescent="0.3">
      <c r="A12106" s="42"/>
      <c r="C12106" s="52"/>
      <c r="D12106"/>
      <c r="E12106"/>
      <c r="F12106"/>
      <c r="N12106" s="44"/>
    </row>
    <row r="12107" spans="1:14" x14ac:dyDescent="0.3">
      <c r="A12107" s="42"/>
      <c r="C12107" s="52"/>
      <c r="D12107"/>
      <c r="E12107"/>
      <c r="F12107"/>
      <c r="N12107" s="44"/>
    </row>
    <row r="12108" spans="1:14" x14ac:dyDescent="0.3">
      <c r="A12108" s="42"/>
      <c r="C12108" s="52"/>
      <c r="D12108"/>
      <c r="E12108"/>
      <c r="F12108"/>
      <c r="N12108" s="44"/>
    </row>
    <row r="12109" spans="1:14" x14ac:dyDescent="0.3">
      <c r="A12109" s="42"/>
      <c r="C12109" s="52"/>
      <c r="D12109"/>
      <c r="E12109"/>
      <c r="F12109"/>
      <c r="N12109" s="44"/>
    </row>
    <row r="12110" spans="1:14" x14ac:dyDescent="0.3">
      <c r="A12110" s="42"/>
      <c r="C12110" s="52"/>
      <c r="D12110"/>
      <c r="E12110"/>
      <c r="F12110"/>
      <c r="N12110" s="44"/>
    </row>
    <row r="12111" spans="1:14" x14ac:dyDescent="0.3">
      <c r="A12111" s="42"/>
      <c r="C12111" s="52"/>
      <c r="D12111"/>
      <c r="E12111"/>
      <c r="F12111"/>
      <c r="N12111" s="44"/>
    </row>
    <row r="12112" spans="1:14" x14ac:dyDescent="0.3">
      <c r="A12112" s="42"/>
      <c r="C12112" s="52"/>
      <c r="D12112"/>
      <c r="E12112"/>
      <c r="F12112"/>
      <c r="N12112" s="44"/>
    </row>
    <row r="12113" spans="1:14" x14ac:dyDescent="0.3">
      <c r="A12113" s="42"/>
      <c r="C12113" s="52"/>
      <c r="D12113"/>
      <c r="E12113"/>
      <c r="F12113"/>
      <c r="N12113" s="44"/>
    </row>
    <row r="12114" spans="1:14" x14ac:dyDescent="0.3">
      <c r="A12114" s="42"/>
      <c r="C12114" s="52"/>
      <c r="D12114"/>
      <c r="E12114"/>
      <c r="F12114"/>
      <c r="N12114" s="44"/>
    </row>
    <row r="12115" spans="1:14" x14ac:dyDescent="0.3">
      <c r="A12115" s="42"/>
      <c r="C12115" s="52"/>
      <c r="D12115"/>
      <c r="E12115"/>
      <c r="F12115"/>
      <c r="N12115" s="44"/>
    </row>
    <row r="12116" spans="1:14" x14ac:dyDescent="0.3">
      <c r="A12116" s="42"/>
      <c r="C12116" s="52"/>
      <c r="D12116"/>
      <c r="E12116"/>
      <c r="F12116"/>
      <c r="M12116" s="45"/>
      <c r="N12116" s="44"/>
    </row>
    <row r="12117" spans="1:14" x14ac:dyDescent="0.3">
      <c r="A12117" s="42"/>
      <c r="C12117" s="52"/>
      <c r="D12117"/>
      <c r="E12117"/>
      <c r="F12117"/>
      <c r="N12117" s="44"/>
    </row>
    <row r="12118" spans="1:14" x14ac:dyDescent="0.3">
      <c r="A12118" s="42"/>
      <c r="C12118" s="52"/>
      <c r="D12118"/>
      <c r="E12118"/>
      <c r="F12118"/>
      <c r="N12118" s="44"/>
    </row>
    <row r="12119" spans="1:14" x14ac:dyDescent="0.3">
      <c r="A12119" s="42"/>
      <c r="C12119" s="52"/>
      <c r="D12119"/>
      <c r="E12119"/>
      <c r="F12119"/>
      <c r="N12119" s="44"/>
    </row>
    <row r="12120" spans="1:14" x14ac:dyDescent="0.3">
      <c r="A12120" s="42"/>
      <c r="C12120" s="52"/>
      <c r="D12120"/>
      <c r="E12120"/>
      <c r="F12120"/>
      <c r="N12120" s="44"/>
    </row>
    <row r="12121" spans="1:14" x14ac:dyDescent="0.3">
      <c r="A12121" s="42"/>
      <c r="C12121" s="52"/>
      <c r="D12121"/>
      <c r="E12121"/>
      <c r="F12121"/>
      <c r="N12121" s="44"/>
    </row>
    <row r="12122" spans="1:14" x14ac:dyDescent="0.3">
      <c r="A12122" s="42"/>
      <c r="C12122" s="52"/>
      <c r="D12122"/>
      <c r="E12122"/>
      <c r="F12122"/>
      <c r="N12122" s="44"/>
    </row>
    <row r="12123" spans="1:14" x14ac:dyDescent="0.3">
      <c r="A12123" s="42"/>
      <c r="C12123" s="52"/>
      <c r="D12123"/>
      <c r="E12123"/>
      <c r="F12123"/>
      <c r="N12123" s="44"/>
    </row>
    <row r="12124" spans="1:14" x14ac:dyDescent="0.3">
      <c r="A12124" s="42"/>
      <c r="C12124" s="52"/>
      <c r="D12124"/>
      <c r="E12124"/>
      <c r="F12124"/>
      <c r="N12124" s="44"/>
    </row>
    <row r="12125" spans="1:14" x14ac:dyDescent="0.3">
      <c r="A12125" s="42"/>
      <c r="C12125" s="52"/>
      <c r="D12125"/>
      <c r="E12125"/>
      <c r="F12125"/>
      <c r="N12125" s="44"/>
    </row>
    <row r="12126" spans="1:14" x14ac:dyDescent="0.3">
      <c r="A12126" s="42"/>
      <c r="C12126" s="52"/>
      <c r="D12126"/>
      <c r="E12126"/>
      <c r="F12126"/>
      <c r="M12126" s="45"/>
      <c r="N12126" s="44"/>
    </row>
    <row r="12127" spans="1:14" x14ac:dyDescent="0.3">
      <c r="A12127" s="42"/>
      <c r="C12127" s="52"/>
      <c r="D12127"/>
      <c r="E12127"/>
      <c r="F12127"/>
      <c r="N12127" s="44"/>
    </row>
    <row r="12128" spans="1:14" x14ac:dyDescent="0.3">
      <c r="A12128" s="42"/>
      <c r="C12128" s="52"/>
      <c r="D12128"/>
      <c r="E12128"/>
      <c r="F12128"/>
      <c r="N12128" s="44"/>
    </row>
    <row r="12129" spans="1:14" x14ac:dyDescent="0.3">
      <c r="A12129" s="42"/>
      <c r="C12129" s="52"/>
      <c r="D12129"/>
      <c r="E12129"/>
      <c r="F12129"/>
      <c r="N12129" s="44"/>
    </row>
    <row r="12130" spans="1:14" x14ac:dyDescent="0.3">
      <c r="A12130" s="42"/>
      <c r="C12130" s="52"/>
      <c r="D12130"/>
      <c r="E12130"/>
      <c r="F12130"/>
      <c r="N12130" s="44"/>
    </row>
    <row r="12131" spans="1:14" x14ac:dyDescent="0.3">
      <c r="A12131" s="42"/>
      <c r="C12131" s="52"/>
      <c r="D12131"/>
      <c r="E12131"/>
      <c r="F12131"/>
      <c r="N12131" s="44"/>
    </row>
    <row r="12132" spans="1:14" x14ac:dyDescent="0.3">
      <c r="A12132" s="42"/>
      <c r="C12132" s="52"/>
      <c r="D12132"/>
      <c r="E12132"/>
      <c r="F12132"/>
      <c r="N12132" s="44"/>
    </row>
    <row r="12133" spans="1:14" x14ac:dyDescent="0.3">
      <c r="A12133" s="42"/>
      <c r="C12133" s="52"/>
      <c r="D12133"/>
      <c r="E12133"/>
      <c r="F12133"/>
      <c r="N12133" s="44"/>
    </row>
    <row r="12134" spans="1:14" x14ac:dyDescent="0.3">
      <c r="A12134" s="42"/>
      <c r="C12134" s="52"/>
      <c r="D12134"/>
      <c r="E12134"/>
      <c r="F12134"/>
      <c r="N12134" s="44"/>
    </row>
    <row r="12135" spans="1:14" x14ac:dyDescent="0.3">
      <c r="A12135" s="42"/>
      <c r="C12135" s="52"/>
      <c r="D12135"/>
      <c r="E12135"/>
      <c r="F12135"/>
      <c r="N12135" s="44"/>
    </row>
    <row r="12136" spans="1:14" x14ac:dyDescent="0.3">
      <c r="A12136" s="42"/>
      <c r="C12136" s="52"/>
      <c r="D12136"/>
      <c r="E12136"/>
      <c r="F12136"/>
      <c r="N12136" s="44"/>
    </row>
    <row r="12137" spans="1:14" x14ac:dyDescent="0.3">
      <c r="A12137" s="42"/>
      <c r="C12137" s="52"/>
      <c r="D12137"/>
      <c r="E12137"/>
      <c r="F12137"/>
      <c r="N12137" s="44"/>
    </row>
    <row r="12138" spans="1:14" x14ac:dyDescent="0.3">
      <c r="A12138" s="42"/>
      <c r="C12138" s="52"/>
      <c r="D12138"/>
      <c r="E12138"/>
      <c r="F12138"/>
      <c r="N12138" s="44"/>
    </row>
    <row r="12139" spans="1:14" x14ac:dyDescent="0.3">
      <c r="A12139" s="42"/>
      <c r="C12139" s="52"/>
      <c r="D12139"/>
      <c r="E12139"/>
      <c r="F12139"/>
      <c r="N12139" s="44"/>
    </row>
    <row r="12140" spans="1:14" x14ac:dyDescent="0.3">
      <c r="A12140" s="42"/>
      <c r="C12140" s="52"/>
      <c r="D12140"/>
      <c r="E12140"/>
      <c r="F12140"/>
      <c r="N12140" s="44"/>
    </row>
    <row r="12141" spans="1:14" x14ac:dyDescent="0.3">
      <c r="A12141" s="42"/>
      <c r="C12141" s="52"/>
      <c r="D12141"/>
      <c r="E12141"/>
      <c r="F12141"/>
      <c r="N12141" s="44"/>
    </row>
    <row r="12142" spans="1:14" x14ac:dyDescent="0.3">
      <c r="A12142" s="42"/>
      <c r="C12142" s="52"/>
      <c r="D12142"/>
      <c r="E12142"/>
      <c r="F12142"/>
      <c r="N12142" s="44"/>
    </row>
    <row r="12143" spans="1:14" x14ac:dyDescent="0.3">
      <c r="A12143" s="42"/>
      <c r="C12143" s="52"/>
      <c r="D12143"/>
      <c r="E12143"/>
      <c r="F12143"/>
      <c r="N12143" s="44"/>
    </row>
    <row r="12144" spans="1:14" x14ac:dyDescent="0.3">
      <c r="A12144" s="42"/>
      <c r="C12144" s="52"/>
      <c r="D12144"/>
      <c r="E12144"/>
      <c r="F12144"/>
      <c r="N12144" s="44"/>
    </row>
    <row r="12145" spans="1:14" x14ac:dyDescent="0.3">
      <c r="A12145" s="42"/>
      <c r="C12145" s="52"/>
      <c r="D12145"/>
      <c r="E12145"/>
      <c r="F12145"/>
      <c r="N12145" s="44"/>
    </row>
    <row r="12146" spans="1:14" x14ac:dyDescent="0.3">
      <c r="A12146" s="42"/>
      <c r="C12146" s="52"/>
      <c r="D12146"/>
      <c r="E12146"/>
      <c r="F12146"/>
      <c r="N12146" s="44"/>
    </row>
    <row r="12147" spans="1:14" x14ac:dyDescent="0.3">
      <c r="A12147" s="42"/>
      <c r="C12147" s="52"/>
      <c r="D12147"/>
      <c r="E12147"/>
      <c r="F12147"/>
      <c r="N12147" s="44"/>
    </row>
    <row r="12148" spans="1:14" x14ac:dyDescent="0.3">
      <c r="A12148" s="42"/>
      <c r="C12148" s="52"/>
      <c r="D12148"/>
      <c r="E12148"/>
      <c r="F12148"/>
      <c r="N12148" s="44"/>
    </row>
    <row r="12149" spans="1:14" x14ac:dyDescent="0.3">
      <c r="A12149" s="42"/>
      <c r="C12149" s="52"/>
      <c r="D12149"/>
      <c r="E12149"/>
      <c r="F12149"/>
      <c r="N12149" s="44"/>
    </row>
    <row r="12150" spans="1:14" x14ac:dyDescent="0.3">
      <c r="A12150" s="42"/>
      <c r="C12150" s="52"/>
      <c r="D12150"/>
      <c r="E12150"/>
      <c r="F12150"/>
      <c r="N12150" s="44"/>
    </row>
    <row r="12151" spans="1:14" x14ac:dyDescent="0.3">
      <c r="A12151" s="42"/>
      <c r="C12151" s="52"/>
      <c r="D12151"/>
      <c r="E12151"/>
      <c r="F12151"/>
      <c r="N12151" s="44"/>
    </row>
    <row r="12152" spans="1:14" x14ac:dyDescent="0.3">
      <c r="A12152" s="42"/>
      <c r="C12152" s="52"/>
      <c r="D12152"/>
      <c r="E12152"/>
      <c r="F12152"/>
      <c r="N12152" s="44"/>
    </row>
    <row r="12153" spans="1:14" x14ac:dyDescent="0.3">
      <c r="A12153" s="42"/>
      <c r="C12153" s="52"/>
      <c r="D12153"/>
      <c r="E12153"/>
      <c r="F12153"/>
      <c r="N12153" s="44"/>
    </row>
    <row r="12154" spans="1:14" x14ac:dyDescent="0.3">
      <c r="A12154" s="42"/>
      <c r="C12154" s="52"/>
      <c r="D12154"/>
      <c r="E12154"/>
      <c r="F12154"/>
      <c r="N12154" s="44"/>
    </row>
    <row r="12155" spans="1:14" x14ac:dyDescent="0.3">
      <c r="A12155" s="42"/>
      <c r="C12155" s="52"/>
      <c r="D12155"/>
      <c r="E12155"/>
      <c r="F12155"/>
      <c r="N12155" s="44"/>
    </row>
    <row r="12156" spans="1:14" x14ac:dyDescent="0.3">
      <c r="A12156" s="42"/>
      <c r="C12156" s="52"/>
      <c r="D12156"/>
      <c r="E12156"/>
      <c r="F12156"/>
      <c r="N12156" s="44"/>
    </row>
    <row r="12157" spans="1:14" x14ac:dyDescent="0.3">
      <c r="A12157" s="42"/>
      <c r="C12157" s="52"/>
      <c r="D12157"/>
      <c r="E12157"/>
      <c r="F12157"/>
      <c r="N12157" s="44"/>
    </row>
    <row r="12158" spans="1:14" x14ac:dyDescent="0.3">
      <c r="A12158" s="42"/>
      <c r="C12158" s="52"/>
      <c r="D12158"/>
      <c r="E12158"/>
      <c r="F12158"/>
      <c r="N12158" s="44"/>
    </row>
    <row r="12159" spans="1:14" x14ac:dyDescent="0.3">
      <c r="A12159" s="42"/>
      <c r="C12159" s="52"/>
      <c r="D12159"/>
      <c r="E12159"/>
      <c r="F12159"/>
      <c r="N12159" s="44"/>
    </row>
    <row r="12160" spans="1:14" x14ac:dyDescent="0.3">
      <c r="A12160" s="42"/>
      <c r="C12160" s="52"/>
      <c r="D12160"/>
      <c r="E12160"/>
      <c r="F12160"/>
      <c r="N12160" s="44"/>
    </row>
    <row r="12161" spans="1:14" x14ac:dyDescent="0.3">
      <c r="A12161" s="42"/>
      <c r="C12161" s="52"/>
      <c r="D12161"/>
      <c r="E12161"/>
      <c r="F12161"/>
      <c r="N12161" s="44"/>
    </row>
    <row r="12162" spans="1:14" x14ac:dyDescent="0.3">
      <c r="A12162" s="42"/>
      <c r="C12162" s="52"/>
      <c r="D12162"/>
      <c r="E12162"/>
      <c r="F12162"/>
      <c r="N12162" s="44"/>
    </row>
    <row r="12163" spans="1:14" x14ac:dyDescent="0.3">
      <c r="A12163" s="42"/>
      <c r="C12163" s="52"/>
      <c r="D12163"/>
      <c r="E12163"/>
      <c r="F12163"/>
      <c r="N12163" s="44"/>
    </row>
    <row r="12164" spans="1:14" x14ac:dyDescent="0.3">
      <c r="A12164" s="42"/>
      <c r="C12164" s="52"/>
      <c r="D12164"/>
      <c r="E12164"/>
      <c r="F12164"/>
      <c r="N12164" s="44"/>
    </row>
    <row r="12165" spans="1:14" x14ac:dyDescent="0.3">
      <c r="A12165" s="42"/>
      <c r="C12165" s="52"/>
      <c r="D12165"/>
      <c r="E12165"/>
      <c r="F12165"/>
      <c r="N12165" s="44"/>
    </row>
    <row r="12166" spans="1:14" x14ac:dyDescent="0.3">
      <c r="A12166" s="42"/>
      <c r="C12166" s="52"/>
      <c r="D12166"/>
      <c r="E12166"/>
      <c r="F12166"/>
      <c r="N12166" s="44"/>
    </row>
    <row r="12167" spans="1:14" x14ac:dyDescent="0.3">
      <c r="A12167" s="42"/>
      <c r="C12167" s="52"/>
      <c r="D12167"/>
      <c r="E12167"/>
      <c r="F12167"/>
      <c r="N12167" s="44"/>
    </row>
    <row r="12168" spans="1:14" x14ac:dyDescent="0.3">
      <c r="A12168" s="42"/>
      <c r="C12168" s="52"/>
      <c r="D12168"/>
      <c r="E12168"/>
      <c r="F12168"/>
      <c r="N12168" s="44"/>
    </row>
    <row r="12169" spans="1:14" x14ac:dyDescent="0.3">
      <c r="A12169" s="42"/>
      <c r="C12169" s="52"/>
      <c r="D12169"/>
      <c r="E12169"/>
      <c r="F12169"/>
      <c r="N12169" s="44"/>
    </row>
    <row r="12170" spans="1:14" x14ac:dyDescent="0.3">
      <c r="A12170" s="42"/>
      <c r="C12170" s="52"/>
      <c r="D12170"/>
      <c r="E12170"/>
      <c r="F12170"/>
      <c r="N12170" s="44"/>
    </row>
    <row r="12171" spans="1:14" x14ac:dyDescent="0.3">
      <c r="A12171" s="42"/>
      <c r="C12171" s="52"/>
      <c r="D12171"/>
      <c r="E12171"/>
      <c r="F12171"/>
      <c r="N12171" s="44"/>
    </row>
    <row r="12172" spans="1:14" x14ac:dyDescent="0.3">
      <c r="A12172" s="42"/>
      <c r="C12172" s="52"/>
      <c r="D12172"/>
      <c r="E12172"/>
      <c r="F12172"/>
      <c r="N12172" s="44"/>
    </row>
    <row r="12173" spans="1:14" x14ac:dyDescent="0.3">
      <c r="A12173" s="42"/>
      <c r="C12173" s="52"/>
      <c r="D12173"/>
      <c r="E12173"/>
      <c r="F12173"/>
      <c r="N12173" s="44"/>
    </row>
    <row r="12174" spans="1:14" x14ac:dyDescent="0.3">
      <c r="A12174" s="42"/>
      <c r="C12174" s="52"/>
      <c r="D12174"/>
      <c r="E12174"/>
      <c r="F12174"/>
      <c r="N12174" s="44"/>
    </row>
    <row r="12175" spans="1:14" x14ac:dyDescent="0.3">
      <c r="A12175" s="42"/>
      <c r="C12175" s="52"/>
      <c r="D12175"/>
      <c r="E12175"/>
      <c r="F12175"/>
      <c r="N12175" s="44"/>
    </row>
    <row r="12176" spans="1:14" x14ac:dyDescent="0.3">
      <c r="A12176" s="42"/>
      <c r="C12176" s="52"/>
      <c r="D12176"/>
      <c r="E12176"/>
      <c r="F12176"/>
      <c r="N12176" s="44"/>
    </row>
    <row r="12177" spans="1:14" x14ac:dyDescent="0.3">
      <c r="A12177" s="42"/>
      <c r="C12177" s="52"/>
      <c r="D12177"/>
      <c r="E12177"/>
      <c r="F12177"/>
      <c r="N12177" s="44"/>
    </row>
    <row r="12178" spans="1:14" x14ac:dyDescent="0.3">
      <c r="A12178" s="42"/>
      <c r="C12178" s="52"/>
      <c r="D12178"/>
      <c r="E12178"/>
      <c r="F12178"/>
      <c r="N12178" s="44"/>
    </row>
    <row r="12179" spans="1:14" x14ac:dyDescent="0.3">
      <c r="A12179" s="42"/>
      <c r="C12179" s="52"/>
      <c r="D12179"/>
      <c r="E12179"/>
      <c r="F12179"/>
      <c r="N12179" s="44"/>
    </row>
    <row r="12180" spans="1:14" x14ac:dyDescent="0.3">
      <c r="A12180" s="42"/>
      <c r="C12180" s="52"/>
      <c r="D12180"/>
      <c r="E12180"/>
      <c r="F12180"/>
      <c r="N12180" s="44"/>
    </row>
    <row r="12181" spans="1:14" x14ac:dyDescent="0.3">
      <c r="A12181" s="42"/>
      <c r="C12181" s="52"/>
      <c r="D12181"/>
      <c r="E12181"/>
      <c r="F12181"/>
      <c r="N12181" s="44"/>
    </row>
    <row r="12182" spans="1:14" x14ac:dyDescent="0.3">
      <c r="A12182" s="42"/>
      <c r="C12182" s="52"/>
      <c r="D12182"/>
      <c r="E12182"/>
      <c r="F12182"/>
      <c r="N12182" s="44"/>
    </row>
    <row r="12183" spans="1:14" x14ac:dyDescent="0.3">
      <c r="A12183" s="42"/>
      <c r="C12183" s="52"/>
      <c r="D12183"/>
      <c r="E12183"/>
      <c r="F12183"/>
      <c r="N12183" s="44"/>
    </row>
    <row r="12184" spans="1:14" x14ac:dyDescent="0.3">
      <c r="A12184" s="42"/>
      <c r="C12184" s="52"/>
      <c r="D12184"/>
      <c r="E12184"/>
      <c r="F12184"/>
      <c r="N12184" s="44"/>
    </row>
    <row r="12185" spans="1:14" x14ac:dyDescent="0.3">
      <c r="A12185" s="42"/>
      <c r="C12185" s="52"/>
      <c r="D12185"/>
      <c r="E12185"/>
      <c r="F12185"/>
      <c r="N12185" s="44"/>
    </row>
    <row r="12186" spans="1:14" x14ac:dyDescent="0.3">
      <c r="A12186" s="42"/>
      <c r="C12186" s="52"/>
      <c r="D12186"/>
      <c r="E12186"/>
      <c r="F12186"/>
      <c r="N12186" s="44"/>
    </row>
    <row r="12187" spans="1:14" x14ac:dyDescent="0.3">
      <c r="A12187" s="42"/>
      <c r="C12187" s="52"/>
      <c r="D12187"/>
      <c r="E12187"/>
      <c r="F12187"/>
      <c r="N12187" s="44"/>
    </row>
    <row r="12188" spans="1:14" x14ac:dyDescent="0.3">
      <c r="A12188" s="42"/>
      <c r="C12188" s="52"/>
      <c r="D12188"/>
      <c r="E12188"/>
      <c r="F12188"/>
      <c r="N12188" s="44"/>
    </row>
    <row r="12189" spans="1:14" x14ac:dyDescent="0.3">
      <c r="A12189" s="42"/>
      <c r="C12189" s="52"/>
      <c r="D12189"/>
      <c r="E12189"/>
      <c r="F12189"/>
      <c r="N12189" s="44"/>
    </row>
    <row r="12190" spans="1:14" x14ac:dyDescent="0.3">
      <c r="A12190" s="42"/>
      <c r="C12190" s="52"/>
      <c r="D12190"/>
      <c r="E12190"/>
      <c r="F12190"/>
      <c r="N12190" s="44"/>
    </row>
    <row r="12191" spans="1:14" x14ac:dyDescent="0.3">
      <c r="A12191" s="42"/>
      <c r="C12191" s="52"/>
      <c r="D12191"/>
      <c r="E12191"/>
      <c r="F12191"/>
      <c r="N12191" s="44"/>
    </row>
    <row r="12192" spans="1:14" x14ac:dyDescent="0.3">
      <c r="A12192" s="42"/>
      <c r="C12192" s="52"/>
      <c r="D12192"/>
      <c r="E12192"/>
      <c r="F12192"/>
      <c r="N12192" s="44"/>
    </row>
    <row r="12193" spans="1:14" x14ac:dyDescent="0.3">
      <c r="A12193" s="42"/>
      <c r="C12193" s="52"/>
      <c r="D12193"/>
      <c r="E12193"/>
      <c r="F12193"/>
      <c r="N12193" s="44"/>
    </row>
    <row r="12194" spans="1:14" x14ac:dyDescent="0.3">
      <c r="A12194" s="42"/>
      <c r="C12194" s="52"/>
      <c r="D12194"/>
      <c r="E12194"/>
      <c r="F12194"/>
      <c r="N12194" s="44"/>
    </row>
    <row r="12195" spans="1:14" x14ac:dyDescent="0.3">
      <c r="A12195" s="42"/>
      <c r="C12195" s="52"/>
      <c r="D12195"/>
      <c r="E12195"/>
      <c r="F12195"/>
      <c r="N12195" s="44"/>
    </row>
    <row r="12196" spans="1:14" x14ac:dyDescent="0.3">
      <c r="A12196" s="42"/>
      <c r="C12196" s="52"/>
      <c r="D12196"/>
      <c r="E12196"/>
      <c r="F12196"/>
      <c r="N12196" s="44"/>
    </row>
    <row r="12197" spans="1:14" x14ac:dyDescent="0.3">
      <c r="A12197" s="42"/>
      <c r="C12197" s="52"/>
      <c r="D12197"/>
      <c r="E12197"/>
      <c r="F12197"/>
      <c r="N12197" s="44"/>
    </row>
    <row r="12198" spans="1:14" x14ac:dyDescent="0.3">
      <c r="A12198" s="42"/>
      <c r="C12198" s="52"/>
      <c r="D12198"/>
      <c r="E12198"/>
      <c r="F12198"/>
      <c r="N12198" s="44"/>
    </row>
    <row r="12199" spans="1:14" x14ac:dyDescent="0.3">
      <c r="A12199" s="42"/>
      <c r="C12199" s="52"/>
      <c r="D12199"/>
      <c r="E12199"/>
      <c r="F12199"/>
      <c r="N12199" s="44"/>
    </row>
    <row r="12200" spans="1:14" x14ac:dyDescent="0.3">
      <c r="A12200" s="42"/>
      <c r="C12200" s="52"/>
      <c r="D12200"/>
      <c r="E12200"/>
      <c r="F12200"/>
      <c r="N12200" s="44"/>
    </row>
    <row r="12201" spans="1:14" x14ac:dyDescent="0.3">
      <c r="A12201" s="42"/>
      <c r="C12201" s="52"/>
      <c r="D12201"/>
      <c r="E12201"/>
      <c r="F12201"/>
      <c r="N12201" s="44"/>
    </row>
    <row r="12202" spans="1:14" x14ac:dyDescent="0.3">
      <c r="A12202" s="42"/>
      <c r="C12202" s="52"/>
      <c r="D12202"/>
      <c r="E12202"/>
      <c r="F12202"/>
      <c r="N12202" s="44"/>
    </row>
    <row r="12203" spans="1:14" x14ac:dyDescent="0.3">
      <c r="A12203" s="42"/>
      <c r="C12203" s="52"/>
      <c r="D12203"/>
      <c r="E12203"/>
      <c r="F12203"/>
      <c r="N12203" s="44"/>
    </row>
    <row r="12204" spans="1:14" x14ac:dyDescent="0.3">
      <c r="A12204" s="42"/>
      <c r="C12204" s="52"/>
      <c r="D12204"/>
      <c r="E12204"/>
      <c r="F12204"/>
      <c r="N12204" s="44"/>
    </row>
    <row r="12205" spans="1:14" x14ac:dyDescent="0.3">
      <c r="A12205" s="42"/>
      <c r="C12205" s="52"/>
      <c r="D12205"/>
      <c r="E12205"/>
      <c r="F12205"/>
      <c r="N12205" s="44"/>
    </row>
    <row r="12206" spans="1:14" x14ac:dyDescent="0.3">
      <c r="A12206" s="42"/>
      <c r="C12206" s="52"/>
      <c r="D12206"/>
      <c r="E12206"/>
      <c r="F12206"/>
      <c r="N12206" s="44"/>
    </row>
    <row r="12207" spans="1:14" x14ac:dyDescent="0.3">
      <c r="A12207" s="42"/>
      <c r="C12207" s="52"/>
      <c r="D12207"/>
      <c r="E12207"/>
      <c r="F12207"/>
      <c r="N12207" s="44"/>
    </row>
    <row r="12208" spans="1:14" x14ac:dyDescent="0.3">
      <c r="A12208" s="42"/>
      <c r="C12208" s="52"/>
      <c r="D12208"/>
      <c r="E12208"/>
      <c r="F12208"/>
      <c r="N12208" s="44"/>
    </row>
    <row r="12209" spans="1:14" x14ac:dyDescent="0.3">
      <c r="A12209" s="42"/>
      <c r="C12209" s="52"/>
      <c r="D12209"/>
      <c r="E12209"/>
      <c r="F12209"/>
      <c r="N12209" s="44"/>
    </row>
    <row r="12210" spans="1:14" x14ac:dyDescent="0.3">
      <c r="A12210" s="42"/>
      <c r="C12210" s="52"/>
      <c r="D12210"/>
      <c r="E12210"/>
      <c r="F12210"/>
      <c r="N12210" s="44"/>
    </row>
    <row r="12211" spans="1:14" x14ac:dyDescent="0.3">
      <c r="A12211" s="42"/>
      <c r="C12211" s="52"/>
      <c r="D12211"/>
      <c r="E12211"/>
      <c r="F12211"/>
      <c r="N12211" s="44"/>
    </row>
    <row r="12212" spans="1:14" x14ac:dyDescent="0.3">
      <c r="A12212" s="42"/>
      <c r="C12212" s="52"/>
      <c r="D12212"/>
      <c r="E12212"/>
      <c r="F12212"/>
      <c r="N12212" s="44"/>
    </row>
    <row r="12213" spans="1:14" x14ac:dyDescent="0.3">
      <c r="A12213" s="42"/>
      <c r="C12213" s="52"/>
      <c r="D12213"/>
      <c r="E12213"/>
      <c r="F12213"/>
      <c r="N12213" s="44"/>
    </row>
    <row r="12214" spans="1:14" x14ac:dyDescent="0.3">
      <c r="A12214" s="42"/>
      <c r="C12214" s="52"/>
      <c r="D12214"/>
      <c r="E12214"/>
      <c r="F12214"/>
      <c r="N12214" s="44"/>
    </row>
    <row r="12215" spans="1:14" x14ac:dyDescent="0.3">
      <c r="A12215" s="42"/>
      <c r="C12215" s="52"/>
      <c r="D12215"/>
      <c r="E12215"/>
      <c r="F12215"/>
      <c r="N12215" s="44"/>
    </row>
    <row r="12216" spans="1:14" x14ac:dyDescent="0.3">
      <c r="A12216" s="42"/>
      <c r="C12216" s="52"/>
      <c r="D12216"/>
      <c r="E12216"/>
      <c r="F12216"/>
      <c r="N12216" s="44"/>
    </row>
    <row r="12217" spans="1:14" x14ac:dyDescent="0.3">
      <c r="A12217" s="42"/>
      <c r="C12217" s="52"/>
      <c r="D12217"/>
      <c r="E12217"/>
      <c r="F12217"/>
      <c r="N12217" s="44"/>
    </row>
    <row r="12218" spans="1:14" x14ac:dyDescent="0.3">
      <c r="A12218" s="42"/>
      <c r="C12218" s="52"/>
      <c r="D12218"/>
      <c r="E12218"/>
      <c r="F12218"/>
      <c r="N12218" s="44"/>
    </row>
    <row r="12219" spans="1:14" x14ac:dyDescent="0.3">
      <c r="A12219" s="42"/>
      <c r="C12219" s="52"/>
      <c r="D12219"/>
      <c r="E12219"/>
      <c r="F12219"/>
      <c r="N12219" s="44"/>
    </row>
    <row r="12220" spans="1:14" x14ac:dyDescent="0.3">
      <c r="A12220" s="42"/>
      <c r="C12220" s="52"/>
      <c r="D12220"/>
      <c r="E12220"/>
      <c r="F12220"/>
      <c r="N12220" s="44"/>
    </row>
    <row r="12221" spans="1:14" x14ac:dyDescent="0.3">
      <c r="A12221" s="42"/>
      <c r="C12221" s="52"/>
      <c r="D12221"/>
      <c r="E12221"/>
      <c r="F12221"/>
      <c r="N12221" s="44"/>
    </row>
    <row r="12222" spans="1:14" x14ac:dyDescent="0.3">
      <c r="A12222" s="42"/>
      <c r="C12222" s="52"/>
      <c r="D12222"/>
      <c r="E12222"/>
      <c r="F12222"/>
      <c r="N12222" s="44"/>
    </row>
    <row r="12223" spans="1:14" x14ac:dyDescent="0.3">
      <c r="A12223" s="42"/>
      <c r="C12223" s="52"/>
      <c r="D12223"/>
      <c r="E12223"/>
      <c r="F12223"/>
      <c r="N12223" s="44"/>
    </row>
    <row r="12224" spans="1:14" x14ac:dyDescent="0.3">
      <c r="A12224" s="42"/>
      <c r="C12224" s="52"/>
      <c r="D12224"/>
      <c r="E12224"/>
      <c r="F12224"/>
      <c r="N12224" s="44"/>
    </row>
    <row r="12225" spans="1:14" x14ac:dyDescent="0.3">
      <c r="A12225" s="42"/>
      <c r="C12225" s="52"/>
      <c r="D12225"/>
      <c r="E12225"/>
      <c r="F12225"/>
      <c r="N12225" s="44"/>
    </row>
    <row r="12226" spans="1:14" x14ac:dyDescent="0.3">
      <c r="A12226" s="42"/>
      <c r="C12226" s="52"/>
      <c r="D12226"/>
      <c r="E12226"/>
      <c r="F12226"/>
      <c r="N12226" s="44"/>
    </row>
    <row r="12227" spans="1:14" x14ac:dyDescent="0.3">
      <c r="A12227" s="42"/>
      <c r="C12227" s="52"/>
      <c r="D12227"/>
      <c r="E12227"/>
      <c r="F12227"/>
      <c r="N12227" s="44"/>
    </row>
    <row r="12228" spans="1:14" x14ac:dyDescent="0.3">
      <c r="A12228" s="42"/>
      <c r="C12228" s="52"/>
      <c r="D12228"/>
      <c r="E12228"/>
      <c r="F12228"/>
      <c r="N12228" s="44"/>
    </row>
    <row r="12229" spans="1:14" x14ac:dyDescent="0.3">
      <c r="A12229" s="42"/>
      <c r="C12229" s="52"/>
      <c r="D12229"/>
      <c r="E12229"/>
      <c r="F12229"/>
      <c r="N12229" s="44"/>
    </row>
    <row r="12230" spans="1:14" x14ac:dyDescent="0.3">
      <c r="A12230" s="42"/>
      <c r="C12230" s="52"/>
      <c r="D12230"/>
      <c r="E12230"/>
      <c r="F12230"/>
      <c r="N12230" s="44"/>
    </row>
    <row r="12231" spans="1:14" x14ac:dyDescent="0.3">
      <c r="A12231" s="42"/>
      <c r="C12231" s="52"/>
      <c r="D12231"/>
      <c r="E12231"/>
      <c r="F12231"/>
      <c r="N12231" s="44"/>
    </row>
    <row r="12232" spans="1:14" x14ac:dyDescent="0.3">
      <c r="A12232" s="42"/>
      <c r="C12232" s="52"/>
      <c r="D12232"/>
      <c r="E12232"/>
      <c r="F12232"/>
      <c r="N12232" s="44"/>
    </row>
    <row r="12233" spans="1:14" x14ac:dyDescent="0.3">
      <c r="A12233" s="42"/>
      <c r="C12233" s="52"/>
      <c r="D12233"/>
      <c r="E12233"/>
      <c r="F12233"/>
      <c r="N12233" s="44"/>
    </row>
    <row r="12234" spans="1:14" x14ac:dyDescent="0.3">
      <c r="A12234" s="42"/>
      <c r="C12234" s="52"/>
      <c r="D12234"/>
      <c r="E12234"/>
      <c r="F12234"/>
      <c r="N12234" s="44"/>
    </row>
    <row r="12235" spans="1:14" x14ac:dyDescent="0.3">
      <c r="A12235" s="42"/>
      <c r="C12235" s="52"/>
      <c r="D12235"/>
      <c r="E12235"/>
      <c r="F12235"/>
      <c r="N12235" s="44"/>
    </row>
    <row r="12236" spans="1:14" x14ac:dyDescent="0.3">
      <c r="A12236" s="42"/>
      <c r="C12236" s="52"/>
      <c r="D12236"/>
      <c r="E12236"/>
      <c r="F12236"/>
      <c r="N12236" s="44"/>
    </row>
    <row r="12237" spans="1:14" x14ac:dyDescent="0.3">
      <c r="A12237" s="42"/>
      <c r="C12237" s="52"/>
      <c r="D12237"/>
      <c r="E12237"/>
      <c r="F12237"/>
      <c r="N12237" s="44"/>
    </row>
    <row r="12238" spans="1:14" x14ac:dyDescent="0.3">
      <c r="A12238" s="42"/>
      <c r="C12238" s="52"/>
      <c r="D12238"/>
      <c r="E12238"/>
      <c r="F12238"/>
      <c r="N12238" s="44"/>
    </row>
    <row r="12239" spans="1:14" x14ac:dyDescent="0.3">
      <c r="A12239" s="42"/>
      <c r="C12239" s="52"/>
      <c r="D12239"/>
      <c r="E12239"/>
      <c r="F12239"/>
      <c r="N12239" s="44"/>
    </row>
    <row r="12240" spans="1:14" x14ac:dyDescent="0.3">
      <c r="A12240" s="42"/>
      <c r="C12240" s="52"/>
      <c r="D12240"/>
      <c r="E12240"/>
      <c r="F12240"/>
      <c r="N12240" s="44"/>
    </row>
    <row r="12241" spans="1:14" x14ac:dyDescent="0.3">
      <c r="A12241" s="42"/>
      <c r="C12241" s="52"/>
      <c r="D12241"/>
      <c r="E12241"/>
      <c r="F12241"/>
      <c r="N12241" s="44"/>
    </row>
    <row r="12242" spans="1:14" x14ac:dyDescent="0.3">
      <c r="A12242" s="42"/>
      <c r="C12242" s="52"/>
      <c r="D12242"/>
      <c r="E12242"/>
      <c r="F12242"/>
      <c r="N12242" s="44"/>
    </row>
    <row r="12243" spans="1:14" x14ac:dyDescent="0.3">
      <c r="A12243" s="42"/>
      <c r="C12243" s="52"/>
      <c r="D12243"/>
      <c r="E12243"/>
      <c r="F12243"/>
      <c r="N12243" s="44"/>
    </row>
    <row r="12244" spans="1:14" x14ac:dyDescent="0.3">
      <c r="A12244" s="42"/>
      <c r="C12244" s="52"/>
      <c r="D12244"/>
      <c r="E12244"/>
      <c r="F12244"/>
      <c r="N12244" s="44"/>
    </row>
    <row r="12245" spans="1:14" x14ac:dyDescent="0.3">
      <c r="A12245" s="42"/>
      <c r="C12245" s="52"/>
      <c r="D12245"/>
      <c r="E12245"/>
      <c r="F12245"/>
      <c r="N12245" s="44"/>
    </row>
    <row r="12246" spans="1:14" x14ac:dyDescent="0.3">
      <c r="A12246" s="42"/>
      <c r="C12246" s="52"/>
      <c r="D12246"/>
      <c r="E12246"/>
      <c r="F12246"/>
      <c r="N12246" s="44"/>
    </row>
    <row r="12247" spans="1:14" x14ac:dyDescent="0.3">
      <c r="A12247" s="42"/>
      <c r="C12247" s="52"/>
      <c r="D12247"/>
      <c r="E12247"/>
      <c r="F12247"/>
      <c r="N12247" s="44"/>
    </row>
    <row r="12248" spans="1:14" x14ac:dyDescent="0.3">
      <c r="A12248" s="42"/>
      <c r="C12248" s="52"/>
      <c r="D12248"/>
      <c r="E12248"/>
      <c r="F12248"/>
      <c r="N12248" s="44"/>
    </row>
    <row r="12249" spans="1:14" x14ac:dyDescent="0.3">
      <c r="A12249" s="42"/>
      <c r="C12249" s="52"/>
      <c r="D12249"/>
      <c r="E12249"/>
      <c r="F12249"/>
      <c r="N12249" s="44"/>
    </row>
    <row r="12250" spans="1:14" x14ac:dyDescent="0.3">
      <c r="A12250" s="42"/>
      <c r="C12250" s="52"/>
      <c r="D12250"/>
      <c r="E12250"/>
      <c r="F12250"/>
      <c r="N12250" s="44"/>
    </row>
    <row r="12251" spans="1:14" x14ac:dyDescent="0.3">
      <c r="A12251" s="42"/>
      <c r="C12251" s="52"/>
      <c r="D12251"/>
      <c r="E12251"/>
      <c r="F12251"/>
      <c r="N12251" s="44"/>
    </row>
    <row r="12252" spans="1:14" x14ac:dyDescent="0.3">
      <c r="A12252" s="42"/>
      <c r="C12252" s="52"/>
      <c r="D12252"/>
      <c r="E12252"/>
      <c r="F12252"/>
      <c r="N12252" s="44"/>
    </row>
    <row r="12253" spans="1:14" x14ac:dyDescent="0.3">
      <c r="A12253" s="42"/>
      <c r="C12253" s="52"/>
      <c r="D12253"/>
      <c r="E12253"/>
      <c r="F12253"/>
      <c r="N12253" s="44"/>
    </row>
    <row r="12254" spans="1:14" x14ac:dyDescent="0.3">
      <c r="A12254" s="42"/>
      <c r="C12254" s="52"/>
      <c r="D12254"/>
      <c r="E12254"/>
      <c r="F12254"/>
      <c r="N12254" s="44"/>
    </row>
    <row r="12255" spans="1:14" x14ac:dyDescent="0.3">
      <c r="A12255" s="42"/>
      <c r="C12255" s="52"/>
      <c r="D12255"/>
      <c r="E12255"/>
      <c r="F12255"/>
      <c r="N12255" s="44"/>
    </row>
    <row r="12256" spans="1:14" x14ac:dyDescent="0.3">
      <c r="A12256" s="42"/>
      <c r="C12256" s="52"/>
      <c r="D12256"/>
      <c r="E12256"/>
      <c r="F12256"/>
      <c r="N12256" s="44"/>
    </row>
    <row r="12257" spans="1:14" x14ac:dyDescent="0.3">
      <c r="A12257" s="42"/>
      <c r="C12257" s="52"/>
      <c r="D12257"/>
      <c r="E12257"/>
      <c r="F12257"/>
      <c r="N12257" s="44"/>
    </row>
    <row r="12258" spans="1:14" x14ac:dyDescent="0.3">
      <c r="A12258" s="42"/>
      <c r="C12258" s="52"/>
      <c r="D12258"/>
      <c r="E12258"/>
      <c r="F12258"/>
      <c r="N12258" s="44"/>
    </row>
    <row r="12259" spans="1:14" x14ac:dyDescent="0.3">
      <c r="A12259" s="42"/>
      <c r="C12259" s="52"/>
      <c r="D12259"/>
      <c r="E12259"/>
      <c r="F12259"/>
      <c r="N12259" s="44"/>
    </row>
    <row r="12260" spans="1:14" x14ac:dyDescent="0.3">
      <c r="A12260" s="42"/>
      <c r="C12260" s="52"/>
      <c r="D12260"/>
      <c r="E12260"/>
      <c r="F12260"/>
      <c r="N12260" s="44"/>
    </row>
    <row r="12261" spans="1:14" x14ac:dyDescent="0.3">
      <c r="A12261" s="42"/>
      <c r="C12261" s="52"/>
      <c r="D12261"/>
      <c r="E12261"/>
      <c r="F12261"/>
      <c r="N12261" s="44"/>
    </row>
    <row r="12262" spans="1:14" x14ac:dyDescent="0.3">
      <c r="A12262" s="42"/>
      <c r="C12262" s="52"/>
      <c r="D12262"/>
      <c r="E12262"/>
      <c r="F12262"/>
      <c r="N12262" s="44"/>
    </row>
    <row r="12263" spans="1:14" x14ac:dyDescent="0.3">
      <c r="A12263" s="42"/>
      <c r="C12263" s="52"/>
      <c r="D12263"/>
      <c r="E12263"/>
      <c r="F12263"/>
      <c r="N12263" s="44"/>
    </row>
    <row r="12264" spans="1:14" x14ac:dyDescent="0.3">
      <c r="A12264" s="42"/>
      <c r="C12264" s="52"/>
      <c r="D12264"/>
      <c r="E12264"/>
      <c r="F12264"/>
      <c r="N12264" s="44"/>
    </row>
    <row r="12265" spans="1:14" x14ac:dyDescent="0.3">
      <c r="A12265" s="42"/>
      <c r="C12265" s="52"/>
      <c r="D12265"/>
      <c r="E12265"/>
      <c r="F12265"/>
      <c r="N12265" s="44"/>
    </row>
    <row r="12266" spans="1:14" x14ac:dyDescent="0.3">
      <c r="A12266" s="42"/>
      <c r="C12266" s="52"/>
      <c r="D12266"/>
      <c r="E12266"/>
      <c r="F12266"/>
      <c r="N12266" s="44"/>
    </row>
    <row r="12267" spans="1:14" x14ac:dyDescent="0.3">
      <c r="A12267" s="42"/>
      <c r="C12267" s="52"/>
      <c r="D12267"/>
      <c r="E12267"/>
      <c r="F12267"/>
      <c r="N12267" s="44"/>
    </row>
    <row r="12268" spans="1:14" x14ac:dyDescent="0.3">
      <c r="A12268" s="42"/>
      <c r="C12268" s="52"/>
      <c r="D12268"/>
      <c r="E12268"/>
      <c r="F12268"/>
      <c r="N12268" s="44"/>
    </row>
    <row r="12269" spans="1:14" x14ac:dyDescent="0.3">
      <c r="A12269" s="42"/>
      <c r="C12269" s="52"/>
      <c r="D12269"/>
      <c r="E12269"/>
      <c r="F12269"/>
      <c r="N12269" s="44"/>
    </row>
    <row r="12270" spans="1:14" x14ac:dyDescent="0.3">
      <c r="A12270" s="42"/>
      <c r="C12270" s="52"/>
      <c r="D12270"/>
      <c r="E12270"/>
      <c r="F12270"/>
      <c r="N12270" s="44"/>
    </row>
    <row r="12271" spans="1:14" x14ac:dyDescent="0.3">
      <c r="A12271" s="42"/>
      <c r="C12271" s="52"/>
      <c r="D12271"/>
      <c r="E12271"/>
      <c r="F12271"/>
      <c r="N12271" s="44"/>
    </row>
    <row r="12272" spans="1:14" x14ac:dyDescent="0.3">
      <c r="A12272" s="42"/>
      <c r="C12272" s="52"/>
      <c r="D12272"/>
      <c r="E12272"/>
      <c r="F12272"/>
      <c r="N12272" s="44"/>
    </row>
    <row r="12273" spans="1:14" x14ac:dyDescent="0.3">
      <c r="A12273" s="42"/>
      <c r="C12273" s="52"/>
      <c r="D12273"/>
      <c r="E12273"/>
      <c r="F12273"/>
      <c r="N12273" s="44"/>
    </row>
    <row r="12274" spans="1:14" x14ac:dyDescent="0.3">
      <c r="A12274" s="42"/>
      <c r="C12274" s="52"/>
      <c r="D12274"/>
      <c r="E12274"/>
      <c r="F12274"/>
      <c r="N12274" s="44"/>
    </row>
    <row r="12275" spans="1:14" x14ac:dyDescent="0.3">
      <c r="A12275" s="42"/>
      <c r="C12275" s="52"/>
      <c r="D12275"/>
      <c r="E12275"/>
      <c r="F12275"/>
      <c r="N12275" s="44"/>
    </row>
    <row r="12276" spans="1:14" x14ac:dyDescent="0.3">
      <c r="A12276" s="42"/>
      <c r="C12276" s="52"/>
      <c r="D12276"/>
      <c r="E12276"/>
      <c r="F12276"/>
      <c r="N12276" s="44"/>
    </row>
    <row r="12277" spans="1:14" x14ac:dyDescent="0.3">
      <c r="A12277" s="42"/>
      <c r="C12277" s="52"/>
      <c r="D12277"/>
      <c r="E12277"/>
      <c r="F12277"/>
      <c r="N12277" s="44"/>
    </row>
    <row r="12278" spans="1:14" x14ac:dyDescent="0.3">
      <c r="A12278" s="42"/>
      <c r="C12278" s="52"/>
      <c r="D12278"/>
      <c r="E12278"/>
      <c r="F12278"/>
      <c r="N12278" s="44"/>
    </row>
    <row r="12279" spans="1:14" x14ac:dyDescent="0.3">
      <c r="A12279" s="42"/>
      <c r="C12279" s="52"/>
      <c r="D12279"/>
      <c r="E12279"/>
      <c r="F12279"/>
      <c r="N12279" s="44"/>
    </row>
    <row r="12280" spans="1:14" x14ac:dyDescent="0.3">
      <c r="A12280" s="42"/>
      <c r="C12280" s="52"/>
      <c r="D12280"/>
      <c r="E12280"/>
      <c r="F12280"/>
      <c r="N12280" s="44"/>
    </row>
    <row r="12281" spans="1:14" x14ac:dyDescent="0.3">
      <c r="A12281" s="42"/>
      <c r="C12281" s="52"/>
      <c r="D12281"/>
      <c r="E12281"/>
      <c r="F12281"/>
      <c r="N12281" s="44"/>
    </row>
    <row r="12282" spans="1:14" x14ac:dyDescent="0.3">
      <c r="A12282" s="42"/>
      <c r="C12282" s="52"/>
      <c r="D12282"/>
      <c r="E12282"/>
      <c r="F12282"/>
      <c r="N12282" s="44"/>
    </row>
    <row r="12283" spans="1:14" x14ac:dyDescent="0.3">
      <c r="A12283" s="42"/>
      <c r="C12283" s="52"/>
      <c r="D12283"/>
      <c r="E12283"/>
      <c r="F12283"/>
      <c r="N12283" s="44"/>
    </row>
    <row r="12284" spans="1:14" x14ac:dyDescent="0.3">
      <c r="A12284" s="42"/>
      <c r="C12284" s="52"/>
      <c r="D12284"/>
      <c r="E12284"/>
      <c r="F12284"/>
      <c r="N12284" s="44"/>
    </row>
    <row r="12285" spans="1:14" x14ac:dyDescent="0.3">
      <c r="A12285" s="42"/>
      <c r="C12285" s="52"/>
      <c r="D12285"/>
      <c r="E12285"/>
      <c r="F12285"/>
      <c r="N12285" s="44"/>
    </row>
    <row r="12286" spans="1:14" x14ac:dyDescent="0.3">
      <c r="A12286" s="42"/>
      <c r="C12286" s="52"/>
      <c r="D12286"/>
      <c r="E12286"/>
      <c r="F12286"/>
      <c r="N12286" s="44"/>
    </row>
    <row r="12287" spans="1:14" x14ac:dyDescent="0.3">
      <c r="A12287" s="42"/>
      <c r="C12287" s="52"/>
      <c r="D12287"/>
      <c r="E12287"/>
      <c r="F12287"/>
      <c r="N12287" s="44"/>
    </row>
    <row r="12288" spans="1:14" x14ac:dyDescent="0.3">
      <c r="A12288" s="42"/>
      <c r="C12288" s="52"/>
      <c r="D12288"/>
      <c r="E12288"/>
      <c r="F12288"/>
      <c r="N12288" s="44"/>
    </row>
    <row r="12289" spans="1:14" x14ac:dyDescent="0.3">
      <c r="A12289" s="42"/>
      <c r="C12289" s="52"/>
      <c r="D12289"/>
      <c r="E12289"/>
      <c r="F12289"/>
      <c r="N12289" s="44"/>
    </row>
    <row r="12290" spans="1:14" x14ac:dyDescent="0.3">
      <c r="A12290" s="42"/>
      <c r="C12290" s="52"/>
      <c r="D12290"/>
      <c r="E12290"/>
      <c r="F12290"/>
      <c r="N12290" s="44"/>
    </row>
    <row r="12291" spans="1:14" x14ac:dyDescent="0.3">
      <c r="A12291" s="42"/>
      <c r="C12291" s="52"/>
      <c r="D12291"/>
      <c r="E12291"/>
      <c r="F12291"/>
      <c r="N12291" s="44"/>
    </row>
    <row r="12292" spans="1:14" x14ac:dyDescent="0.3">
      <c r="A12292" s="42"/>
      <c r="C12292" s="52"/>
      <c r="D12292"/>
      <c r="E12292"/>
      <c r="F12292"/>
      <c r="N12292" s="44"/>
    </row>
    <row r="12293" spans="1:14" x14ac:dyDescent="0.3">
      <c r="A12293" s="42"/>
      <c r="C12293" s="52"/>
      <c r="D12293"/>
      <c r="E12293"/>
      <c r="F12293"/>
      <c r="N12293" s="44"/>
    </row>
    <row r="12294" spans="1:14" x14ac:dyDescent="0.3">
      <c r="A12294" s="42"/>
      <c r="C12294" s="52"/>
      <c r="D12294"/>
      <c r="E12294"/>
      <c r="F12294"/>
      <c r="N12294" s="44"/>
    </row>
    <row r="12295" spans="1:14" x14ac:dyDescent="0.3">
      <c r="A12295" s="42"/>
      <c r="C12295" s="52"/>
      <c r="D12295"/>
      <c r="E12295"/>
      <c r="F12295"/>
      <c r="N12295" s="44"/>
    </row>
    <row r="12296" spans="1:14" x14ac:dyDescent="0.3">
      <c r="A12296" s="42"/>
      <c r="C12296" s="52"/>
      <c r="D12296"/>
      <c r="E12296"/>
      <c r="F12296"/>
      <c r="N12296" s="44"/>
    </row>
    <row r="12297" spans="1:14" x14ac:dyDescent="0.3">
      <c r="A12297" s="42"/>
      <c r="C12297" s="52"/>
      <c r="D12297"/>
      <c r="E12297"/>
      <c r="F12297"/>
      <c r="N12297" s="44"/>
    </row>
    <row r="12298" spans="1:14" x14ac:dyDescent="0.3">
      <c r="A12298" s="42"/>
      <c r="C12298" s="52"/>
      <c r="D12298"/>
      <c r="E12298"/>
      <c r="F12298"/>
      <c r="N12298" s="44"/>
    </row>
    <row r="12299" spans="1:14" x14ac:dyDescent="0.3">
      <c r="A12299" s="42"/>
      <c r="C12299" s="52"/>
      <c r="D12299"/>
      <c r="E12299"/>
      <c r="F12299"/>
      <c r="N12299" s="44"/>
    </row>
    <row r="12300" spans="1:14" x14ac:dyDescent="0.3">
      <c r="A12300" s="42"/>
      <c r="C12300" s="52"/>
      <c r="D12300"/>
      <c r="E12300"/>
      <c r="F12300"/>
      <c r="N12300" s="44"/>
    </row>
    <row r="12301" spans="1:14" x14ac:dyDescent="0.3">
      <c r="A12301" s="42"/>
      <c r="C12301" s="52"/>
      <c r="D12301"/>
      <c r="E12301"/>
      <c r="F12301"/>
      <c r="N12301" s="44"/>
    </row>
    <row r="12302" spans="1:14" x14ac:dyDescent="0.3">
      <c r="A12302" s="42"/>
      <c r="C12302" s="52"/>
      <c r="D12302"/>
      <c r="E12302"/>
      <c r="F12302"/>
      <c r="N12302" s="44"/>
    </row>
    <row r="12303" spans="1:14" x14ac:dyDescent="0.3">
      <c r="A12303" s="42"/>
      <c r="C12303" s="52"/>
      <c r="D12303"/>
      <c r="E12303"/>
      <c r="F12303"/>
      <c r="N12303" s="44"/>
    </row>
    <row r="12304" spans="1:14" x14ac:dyDescent="0.3">
      <c r="A12304" s="42"/>
      <c r="C12304" s="52"/>
      <c r="D12304"/>
      <c r="E12304"/>
      <c r="F12304"/>
      <c r="N12304" s="44"/>
    </row>
    <row r="12305" spans="1:14" x14ac:dyDescent="0.3">
      <c r="A12305" s="42"/>
      <c r="C12305" s="52"/>
      <c r="D12305"/>
      <c r="E12305"/>
      <c r="F12305"/>
      <c r="N12305" s="44"/>
    </row>
    <row r="12306" spans="1:14" x14ac:dyDescent="0.3">
      <c r="A12306" s="42"/>
      <c r="C12306" s="52"/>
      <c r="D12306"/>
      <c r="E12306"/>
      <c r="F12306"/>
      <c r="N12306" s="44"/>
    </row>
    <row r="12307" spans="1:14" x14ac:dyDescent="0.3">
      <c r="A12307" s="42"/>
      <c r="C12307" s="52"/>
      <c r="D12307"/>
      <c r="E12307"/>
      <c r="F12307"/>
      <c r="N12307" s="44"/>
    </row>
    <row r="12308" spans="1:14" x14ac:dyDescent="0.3">
      <c r="A12308" s="42"/>
      <c r="C12308" s="52"/>
      <c r="D12308"/>
      <c r="E12308"/>
      <c r="F12308"/>
      <c r="N12308" s="44"/>
    </row>
    <row r="12309" spans="1:14" x14ac:dyDescent="0.3">
      <c r="A12309" s="42"/>
      <c r="C12309" s="52"/>
      <c r="D12309"/>
      <c r="E12309"/>
      <c r="F12309"/>
      <c r="N12309" s="44"/>
    </row>
    <row r="12310" spans="1:14" x14ac:dyDescent="0.3">
      <c r="A12310" s="42"/>
      <c r="C12310" s="52"/>
      <c r="D12310"/>
      <c r="E12310"/>
      <c r="F12310"/>
      <c r="N12310" s="44"/>
    </row>
    <row r="12311" spans="1:14" x14ac:dyDescent="0.3">
      <c r="A12311" s="42"/>
      <c r="C12311" s="52"/>
      <c r="D12311"/>
      <c r="E12311"/>
      <c r="F12311"/>
      <c r="N12311" s="44"/>
    </row>
    <row r="12312" spans="1:14" x14ac:dyDescent="0.3">
      <c r="A12312" s="42"/>
      <c r="C12312" s="52"/>
      <c r="D12312"/>
      <c r="E12312"/>
      <c r="F12312"/>
      <c r="N12312" s="44"/>
    </row>
    <row r="12313" spans="1:14" x14ac:dyDescent="0.3">
      <c r="A12313" s="42"/>
      <c r="C12313" s="52"/>
      <c r="D12313"/>
      <c r="E12313"/>
      <c r="F12313"/>
      <c r="N12313" s="44"/>
    </row>
    <row r="12314" spans="1:14" x14ac:dyDescent="0.3">
      <c r="A12314" s="42"/>
      <c r="C12314" s="52"/>
      <c r="D12314"/>
      <c r="E12314"/>
      <c r="F12314"/>
      <c r="N12314" s="44"/>
    </row>
    <row r="12315" spans="1:14" x14ac:dyDescent="0.3">
      <c r="A12315" s="42"/>
      <c r="C12315" s="52"/>
      <c r="D12315"/>
      <c r="E12315"/>
      <c r="F12315"/>
      <c r="N12315" s="44"/>
    </row>
    <row r="12316" spans="1:14" x14ac:dyDescent="0.3">
      <c r="A12316" s="42"/>
      <c r="C12316" s="52"/>
      <c r="D12316"/>
      <c r="E12316"/>
      <c r="F12316"/>
      <c r="N12316" s="44"/>
    </row>
    <row r="12317" spans="1:14" x14ac:dyDescent="0.3">
      <c r="A12317" s="42"/>
      <c r="C12317" s="52"/>
      <c r="D12317"/>
      <c r="E12317"/>
      <c r="F12317"/>
      <c r="N12317" s="44"/>
    </row>
    <row r="12318" spans="1:14" x14ac:dyDescent="0.3">
      <c r="A12318" s="42"/>
      <c r="C12318" s="52"/>
      <c r="D12318"/>
      <c r="E12318"/>
      <c r="F12318"/>
      <c r="N12318" s="44"/>
    </row>
    <row r="12319" spans="1:14" x14ac:dyDescent="0.3">
      <c r="A12319" s="42"/>
      <c r="C12319" s="52"/>
      <c r="D12319"/>
      <c r="E12319"/>
      <c r="F12319"/>
      <c r="N12319" s="44"/>
    </row>
    <row r="12320" spans="1:14" x14ac:dyDescent="0.3">
      <c r="A12320" s="42"/>
      <c r="C12320" s="52"/>
      <c r="D12320"/>
      <c r="E12320"/>
      <c r="F12320"/>
      <c r="N12320" s="44"/>
    </row>
    <row r="12321" spans="1:14" x14ac:dyDescent="0.3">
      <c r="A12321" s="42"/>
      <c r="C12321" s="52"/>
      <c r="D12321"/>
      <c r="E12321"/>
      <c r="F12321"/>
      <c r="N12321" s="44"/>
    </row>
    <row r="12322" spans="1:14" x14ac:dyDescent="0.3">
      <c r="A12322" s="42"/>
      <c r="C12322" s="52"/>
      <c r="D12322"/>
      <c r="E12322"/>
      <c r="F12322"/>
      <c r="N12322" s="44"/>
    </row>
    <row r="12323" spans="1:14" x14ac:dyDescent="0.3">
      <c r="A12323" s="42"/>
      <c r="C12323" s="52"/>
      <c r="D12323"/>
      <c r="E12323"/>
      <c r="F12323"/>
      <c r="N12323" s="44"/>
    </row>
    <row r="12324" spans="1:14" x14ac:dyDescent="0.3">
      <c r="A12324" s="42"/>
      <c r="C12324" s="52"/>
      <c r="D12324"/>
      <c r="E12324"/>
      <c r="F12324"/>
      <c r="N12324" s="44"/>
    </row>
    <row r="12325" spans="1:14" x14ac:dyDescent="0.3">
      <c r="A12325" s="42"/>
      <c r="C12325" s="52"/>
      <c r="D12325"/>
      <c r="E12325"/>
      <c r="F12325"/>
      <c r="N12325" s="44"/>
    </row>
    <row r="12326" spans="1:14" x14ac:dyDescent="0.3">
      <c r="A12326" s="42"/>
      <c r="C12326" s="52"/>
      <c r="D12326"/>
      <c r="E12326"/>
      <c r="F12326"/>
      <c r="N12326" s="44"/>
    </row>
    <row r="12327" spans="1:14" x14ac:dyDescent="0.3">
      <c r="A12327" s="42"/>
      <c r="C12327" s="52"/>
      <c r="D12327"/>
      <c r="E12327"/>
      <c r="F12327"/>
      <c r="N12327" s="44"/>
    </row>
    <row r="12328" spans="1:14" x14ac:dyDescent="0.3">
      <c r="A12328" s="42"/>
      <c r="C12328" s="52"/>
      <c r="D12328"/>
      <c r="E12328"/>
      <c r="F12328"/>
      <c r="N12328" s="44"/>
    </row>
    <row r="12329" spans="1:14" x14ac:dyDescent="0.3">
      <c r="A12329" s="42"/>
      <c r="C12329" s="52"/>
      <c r="D12329"/>
      <c r="E12329"/>
      <c r="F12329"/>
      <c r="N12329" s="44"/>
    </row>
    <row r="12330" spans="1:14" x14ac:dyDescent="0.3">
      <c r="A12330" s="42"/>
      <c r="C12330" s="52"/>
      <c r="D12330"/>
      <c r="E12330"/>
      <c r="F12330"/>
      <c r="N12330" s="44"/>
    </row>
    <row r="12331" spans="1:14" x14ac:dyDescent="0.3">
      <c r="A12331" s="42"/>
      <c r="C12331" s="52"/>
      <c r="D12331"/>
      <c r="E12331"/>
      <c r="F12331"/>
      <c r="N12331" s="44"/>
    </row>
    <row r="12332" spans="1:14" x14ac:dyDescent="0.3">
      <c r="A12332" s="42"/>
      <c r="C12332" s="52"/>
      <c r="D12332"/>
      <c r="E12332"/>
      <c r="F12332"/>
      <c r="N12332" s="44"/>
    </row>
    <row r="12333" spans="1:14" x14ac:dyDescent="0.3">
      <c r="A12333" s="42"/>
      <c r="C12333" s="52"/>
      <c r="D12333"/>
      <c r="E12333"/>
      <c r="F12333"/>
      <c r="N12333" s="44"/>
    </row>
    <row r="12334" spans="1:14" x14ac:dyDescent="0.3">
      <c r="A12334" s="42"/>
      <c r="C12334" s="52"/>
      <c r="D12334"/>
      <c r="E12334"/>
      <c r="F12334"/>
      <c r="N12334" s="44"/>
    </row>
    <row r="12335" spans="1:14" x14ac:dyDescent="0.3">
      <c r="A12335" s="42"/>
      <c r="C12335" s="52"/>
      <c r="D12335"/>
      <c r="E12335"/>
      <c r="F12335"/>
      <c r="N12335" s="44"/>
    </row>
    <row r="12336" spans="1:14" x14ac:dyDescent="0.3">
      <c r="A12336" s="42"/>
      <c r="C12336" s="52"/>
      <c r="D12336"/>
      <c r="E12336"/>
      <c r="F12336"/>
      <c r="N12336" s="44"/>
    </row>
    <row r="12337" spans="1:14" x14ac:dyDescent="0.3">
      <c r="A12337" s="42"/>
      <c r="C12337" s="52"/>
      <c r="D12337"/>
      <c r="E12337"/>
      <c r="F12337"/>
      <c r="N12337" s="44"/>
    </row>
    <row r="12338" spans="1:14" x14ac:dyDescent="0.3">
      <c r="A12338" s="42"/>
      <c r="C12338" s="52"/>
      <c r="D12338"/>
      <c r="E12338"/>
      <c r="F12338"/>
      <c r="N12338" s="44"/>
    </row>
    <row r="12339" spans="1:14" x14ac:dyDescent="0.3">
      <c r="A12339" s="42"/>
      <c r="C12339" s="52"/>
      <c r="D12339"/>
      <c r="E12339"/>
      <c r="F12339"/>
      <c r="N12339" s="44"/>
    </row>
    <row r="12340" spans="1:14" x14ac:dyDescent="0.3">
      <c r="A12340" s="42"/>
      <c r="C12340" s="52"/>
      <c r="D12340"/>
      <c r="E12340"/>
      <c r="F12340"/>
      <c r="N12340" s="44"/>
    </row>
    <row r="12341" spans="1:14" x14ac:dyDescent="0.3">
      <c r="A12341" s="42"/>
      <c r="C12341" s="52"/>
      <c r="D12341"/>
      <c r="E12341"/>
      <c r="F12341"/>
      <c r="N12341" s="44"/>
    </row>
    <row r="12342" spans="1:14" x14ac:dyDescent="0.3">
      <c r="A12342" s="42"/>
      <c r="C12342" s="52"/>
      <c r="D12342"/>
      <c r="E12342"/>
      <c r="F12342"/>
      <c r="N12342" s="44"/>
    </row>
    <row r="12343" spans="1:14" x14ac:dyDescent="0.3">
      <c r="A12343" s="42"/>
      <c r="C12343" s="52"/>
      <c r="D12343"/>
      <c r="E12343"/>
      <c r="F12343"/>
      <c r="N12343" s="44"/>
    </row>
    <row r="12344" spans="1:14" x14ac:dyDescent="0.3">
      <c r="A12344" s="42"/>
      <c r="C12344" s="52"/>
      <c r="D12344"/>
      <c r="E12344"/>
      <c r="F12344"/>
      <c r="N12344" s="44"/>
    </row>
    <row r="12345" spans="1:14" x14ac:dyDescent="0.3">
      <c r="A12345" s="42"/>
      <c r="C12345" s="52"/>
      <c r="D12345"/>
      <c r="E12345"/>
      <c r="F12345"/>
      <c r="N12345" s="44"/>
    </row>
    <row r="12346" spans="1:14" x14ac:dyDescent="0.3">
      <c r="A12346" s="42"/>
      <c r="C12346" s="52"/>
      <c r="D12346"/>
      <c r="E12346"/>
      <c r="F12346"/>
      <c r="N12346" s="44"/>
    </row>
    <row r="12347" spans="1:14" x14ac:dyDescent="0.3">
      <c r="A12347" s="42"/>
      <c r="C12347" s="52"/>
      <c r="D12347"/>
      <c r="E12347"/>
      <c r="F12347"/>
      <c r="N12347" s="44"/>
    </row>
    <row r="12348" spans="1:14" x14ac:dyDescent="0.3">
      <c r="A12348" s="42"/>
      <c r="C12348" s="52"/>
      <c r="D12348"/>
      <c r="E12348"/>
      <c r="F12348"/>
      <c r="N12348" s="44"/>
    </row>
    <row r="12349" spans="1:14" x14ac:dyDescent="0.3">
      <c r="A12349" s="42"/>
      <c r="C12349" s="52"/>
      <c r="D12349"/>
      <c r="E12349"/>
      <c r="F12349"/>
      <c r="N12349" s="44"/>
    </row>
    <row r="12350" spans="1:14" x14ac:dyDescent="0.3">
      <c r="A12350" s="42"/>
      <c r="C12350" s="52"/>
      <c r="D12350"/>
      <c r="E12350"/>
      <c r="F12350"/>
      <c r="N12350" s="44"/>
    </row>
    <row r="12351" spans="1:14" x14ac:dyDescent="0.3">
      <c r="A12351" s="42"/>
      <c r="C12351" s="52"/>
      <c r="D12351"/>
      <c r="E12351"/>
      <c r="F12351"/>
      <c r="N12351" s="44"/>
    </row>
    <row r="12352" spans="1:14" x14ac:dyDescent="0.3">
      <c r="A12352" s="42"/>
      <c r="C12352" s="52"/>
      <c r="D12352"/>
      <c r="E12352"/>
      <c r="F12352"/>
      <c r="N12352" s="44"/>
    </row>
    <row r="12353" spans="1:14" x14ac:dyDescent="0.3">
      <c r="A12353" s="42"/>
      <c r="C12353" s="52"/>
      <c r="D12353"/>
      <c r="E12353"/>
      <c r="F12353"/>
      <c r="N12353" s="44"/>
    </row>
    <row r="12354" spans="1:14" x14ac:dyDescent="0.3">
      <c r="A12354" s="42"/>
      <c r="C12354" s="52"/>
      <c r="D12354"/>
      <c r="E12354"/>
      <c r="F12354"/>
      <c r="N12354" s="44"/>
    </row>
    <row r="12355" spans="1:14" x14ac:dyDescent="0.3">
      <c r="A12355" s="42"/>
      <c r="C12355" s="52"/>
      <c r="D12355"/>
      <c r="E12355"/>
      <c r="F12355"/>
      <c r="N12355" s="44"/>
    </row>
    <row r="12356" spans="1:14" x14ac:dyDescent="0.3">
      <c r="A12356" s="42"/>
      <c r="C12356" s="52"/>
      <c r="D12356"/>
      <c r="E12356"/>
      <c r="F12356"/>
      <c r="N12356" s="44"/>
    </row>
    <row r="12357" spans="1:14" x14ac:dyDescent="0.3">
      <c r="A12357" s="42"/>
      <c r="C12357" s="52"/>
      <c r="D12357"/>
      <c r="E12357"/>
      <c r="F12357"/>
      <c r="N12357" s="44"/>
    </row>
    <row r="12358" spans="1:14" x14ac:dyDescent="0.3">
      <c r="A12358" s="42"/>
      <c r="C12358" s="52"/>
      <c r="D12358"/>
      <c r="E12358"/>
      <c r="F12358"/>
      <c r="N12358" s="44"/>
    </row>
    <row r="12359" spans="1:14" x14ac:dyDescent="0.3">
      <c r="A12359" s="42"/>
      <c r="C12359" s="52"/>
      <c r="D12359"/>
      <c r="E12359"/>
      <c r="F12359"/>
      <c r="N12359" s="44"/>
    </row>
    <row r="12360" spans="1:14" x14ac:dyDescent="0.3">
      <c r="A12360" s="42"/>
      <c r="C12360" s="52"/>
      <c r="D12360"/>
      <c r="E12360"/>
      <c r="F12360"/>
      <c r="N12360" s="44"/>
    </row>
    <row r="12361" spans="1:14" x14ac:dyDescent="0.3">
      <c r="A12361" s="42"/>
      <c r="C12361" s="52"/>
      <c r="D12361"/>
      <c r="E12361"/>
      <c r="F12361"/>
      <c r="N12361" s="44"/>
    </row>
    <row r="12362" spans="1:14" x14ac:dyDescent="0.3">
      <c r="A12362" s="42"/>
      <c r="C12362" s="52"/>
      <c r="D12362"/>
      <c r="E12362"/>
      <c r="F12362"/>
      <c r="N12362" s="44"/>
    </row>
    <row r="12363" spans="1:14" x14ac:dyDescent="0.3">
      <c r="A12363" s="42"/>
      <c r="C12363" s="52"/>
      <c r="D12363"/>
      <c r="E12363"/>
      <c r="F12363"/>
      <c r="N12363" s="44"/>
    </row>
    <row r="12364" spans="1:14" x14ac:dyDescent="0.3">
      <c r="A12364" s="42"/>
      <c r="C12364" s="52"/>
      <c r="D12364"/>
      <c r="E12364"/>
      <c r="F12364"/>
      <c r="N12364" s="44"/>
    </row>
    <row r="12365" spans="1:14" x14ac:dyDescent="0.3">
      <c r="A12365" s="42"/>
      <c r="C12365" s="52"/>
      <c r="D12365"/>
      <c r="E12365"/>
      <c r="F12365"/>
      <c r="N12365" s="44"/>
    </row>
    <row r="12366" spans="1:14" x14ac:dyDescent="0.3">
      <c r="A12366" s="42"/>
      <c r="C12366" s="52"/>
      <c r="D12366"/>
      <c r="E12366"/>
      <c r="F12366"/>
      <c r="N12366" s="44"/>
    </row>
    <row r="12367" spans="1:14" x14ac:dyDescent="0.3">
      <c r="A12367" s="42"/>
      <c r="C12367" s="52"/>
      <c r="D12367"/>
      <c r="E12367"/>
      <c r="F12367"/>
      <c r="N12367" s="44"/>
    </row>
    <row r="12368" spans="1:14" x14ac:dyDescent="0.3">
      <c r="A12368" s="42"/>
      <c r="C12368" s="52"/>
      <c r="D12368"/>
      <c r="E12368"/>
      <c r="F12368"/>
      <c r="N12368" s="44"/>
    </row>
    <row r="12369" spans="1:14" x14ac:dyDescent="0.3">
      <c r="A12369" s="42"/>
      <c r="C12369" s="52"/>
      <c r="D12369"/>
      <c r="E12369"/>
      <c r="F12369"/>
      <c r="N12369" s="44"/>
    </row>
    <row r="12370" spans="1:14" x14ac:dyDescent="0.3">
      <c r="A12370" s="42"/>
      <c r="C12370" s="52"/>
      <c r="D12370"/>
      <c r="E12370"/>
      <c r="F12370"/>
      <c r="N12370" s="44"/>
    </row>
    <row r="12371" spans="1:14" x14ac:dyDescent="0.3">
      <c r="A12371" s="42"/>
      <c r="C12371" s="52"/>
      <c r="D12371"/>
      <c r="E12371"/>
      <c r="F12371"/>
      <c r="M12371" s="45"/>
      <c r="N12371" s="44"/>
    </row>
    <row r="12372" spans="1:14" x14ac:dyDescent="0.3">
      <c r="A12372" s="42"/>
      <c r="C12372" s="52"/>
      <c r="D12372"/>
      <c r="E12372"/>
      <c r="F12372"/>
      <c r="N12372" s="44"/>
    </row>
    <row r="12373" spans="1:14" x14ac:dyDescent="0.3">
      <c r="A12373" s="42"/>
      <c r="C12373" s="52"/>
      <c r="D12373"/>
      <c r="E12373"/>
      <c r="F12373"/>
      <c r="N12373" s="44"/>
    </row>
    <row r="12374" spans="1:14" x14ac:dyDescent="0.3">
      <c r="A12374" s="42"/>
      <c r="C12374" s="52"/>
      <c r="D12374"/>
      <c r="E12374"/>
      <c r="F12374"/>
      <c r="N12374" s="44"/>
    </row>
    <row r="12375" spans="1:14" x14ac:dyDescent="0.3">
      <c r="A12375" s="42"/>
      <c r="C12375" s="52"/>
      <c r="D12375"/>
      <c r="E12375"/>
      <c r="F12375"/>
      <c r="N12375" s="44"/>
    </row>
    <row r="12376" spans="1:14" x14ac:dyDescent="0.3">
      <c r="A12376" s="42"/>
      <c r="C12376" s="52"/>
      <c r="D12376"/>
      <c r="E12376"/>
      <c r="F12376"/>
      <c r="N12376" s="44"/>
    </row>
    <row r="12377" spans="1:14" x14ac:dyDescent="0.3">
      <c r="A12377" s="42"/>
      <c r="C12377" s="52"/>
      <c r="D12377"/>
      <c r="E12377"/>
      <c r="F12377"/>
      <c r="N12377" s="44"/>
    </row>
    <row r="12378" spans="1:14" x14ac:dyDescent="0.3">
      <c r="A12378" s="42"/>
      <c r="C12378" s="52"/>
      <c r="D12378"/>
      <c r="E12378"/>
      <c r="F12378"/>
      <c r="N12378" s="44"/>
    </row>
    <row r="12379" spans="1:14" x14ac:dyDescent="0.3">
      <c r="A12379" s="42"/>
      <c r="C12379" s="52"/>
      <c r="D12379"/>
      <c r="E12379"/>
      <c r="F12379"/>
      <c r="N12379" s="44"/>
    </row>
    <row r="12380" spans="1:14" x14ac:dyDescent="0.3">
      <c r="A12380" s="42"/>
      <c r="C12380" s="52"/>
      <c r="D12380"/>
      <c r="E12380"/>
      <c r="F12380"/>
      <c r="N12380" s="44"/>
    </row>
    <row r="12381" spans="1:14" x14ac:dyDescent="0.3">
      <c r="A12381" s="42"/>
      <c r="C12381" s="52"/>
      <c r="D12381"/>
      <c r="E12381"/>
      <c r="F12381"/>
      <c r="N12381" s="44"/>
    </row>
    <row r="12382" spans="1:14" x14ac:dyDescent="0.3">
      <c r="A12382" s="42"/>
      <c r="C12382" s="52"/>
      <c r="D12382"/>
      <c r="E12382"/>
      <c r="F12382"/>
      <c r="N12382" s="44"/>
    </row>
    <row r="12383" spans="1:14" x14ac:dyDescent="0.3">
      <c r="A12383" s="42"/>
      <c r="C12383" s="52"/>
      <c r="D12383"/>
      <c r="E12383"/>
      <c r="F12383"/>
      <c r="N12383" s="44"/>
    </row>
    <row r="12384" spans="1:14" x14ac:dyDescent="0.3">
      <c r="A12384" s="42"/>
      <c r="C12384" s="52"/>
      <c r="D12384"/>
      <c r="E12384"/>
      <c r="F12384"/>
      <c r="N12384" s="44"/>
    </row>
    <row r="12385" spans="1:14" x14ac:dyDescent="0.3">
      <c r="A12385" s="42"/>
      <c r="C12385" s="52"/>
      <c r="D12385"/>
      <c r="E12385"/>
      <c r="F12385"/>
      <c r="N12385" s="44"/>
    </row>
    <row r="12386" spans="1:14" x14ac:dyDescent="0.3">
      <c r="A12386" s="42"/>
      <c r="C12386" s="52"/>
      <c r="D12386"/>
      <c r="E12386"/>
      <c r="F12386"/>
      <c r="N12386" s="44"/>
    </row>
    <row r="12387" spans="1:14" x14ac:dyDescent="0.3">
      <c r="A12387" s="42"/>
      <c r="C12387" s="52"/>
      <c r="D12387"/>
      <c r="E12387"/>
      <c r="F12387"/>
      <c r="N12387" s="44"/>
    </row>
    <row r="12388" spans="1:14" x14ac:dyDescent="0.3">
      <c r="A12388" s="42"/>
      <c r="C12388" s="52"/>
      <c r="D12388"/>
      <c r="E12388"/>
      <c r="F12388"/>
      <c r="N12388" s="44"/>
    </row>
    <row r="12389" spans="1:14" x14ac:dyDescent="0.3">
      <c r="A12389" s="42"/>
      <c r="C12389" s="52"/>
      <c r="D12389"/>
      <c r="E12389"/>
      <c r="F12389"/>
      <c r="N12389" s="44"/>
    </row>
    <row r="12390" spans="1:14" x14ac:dyDescent="0.3">
      <c r="A12390" s="42"/>
      <c r="C12390" s="52"/>
      <c r="D12390"/>
      <c r="E12390"/>
      <c r="F12390"/>
      <c r="N12390" s="44"/>
    </row>
    <row r="12391" spans="1:14" x14ac:dyDescent="0.3">
      <c r="A12391" s="42"/>
      <c r="C12391" s="52"/>
      <c r="D12391"/>
      <c r="E12391"/>
      <c r="F12391"/>
      <c r="N12391" s="44"/>
    </row>
    <row r="12392" spans="1:14" x14ac:dyDescent="0.3">
      <c r="A12392" s="42"/>
      <c r="C12392" s="52"/>
      <c r="D12392"/>
      <c r="E12392"/>
      <c r="F12392"/>
      <c r="N12392" s="44"/>
    </row>
    <row r="12393" spans="1:14" x14ac:dyDescent="0.3">
      <c r="A12393" s="42"/>
      <c r="C12393" s="52"/>
      <c r="D12393"/>
      <c r="E12393"/>
      <c r="F12393"/>
      <c r="N12393" s="44"/>
    </row>
    <row r="12394" spans="1:14" x14ac:dyDescent="0.3">
      <c r="A12394" s="42"/>
      <c r="C12394" s="52"/>
      <c r="D12394"/>
      <c r="E12394"/>
      <c r="F12394"/>
      <c r="N12394" s="44"/>
    </row>
    <row r="12395" spans="1:14" x14ac:dyDescent="0.3">
      <c r="A12395" s="42"/>
      <c r="C12395" s="52"/>
      <c r="D12395"/>
      <c r="E12395"/>
      <c r="F12395"/>
      <c r="N12395" s="44"/>
    </row>
    <row r="12396" spans="1:14" x14ac:dyDescent="0.3">
      <c r="A12396" s="42"/>
      <c r="C12396" s="52"/>
      <c r="D12396"/>
      <c r="E12396"/>
      <c r="F12396"/>
      <c r="N12396" s="44"/>
    </row>
    <row r="12397" spans="1:14" x14ac:dyDescent="0.3">
      <c r="A12397" s="42"/>
      <c r="C12397" s="52"/>
      <c r="D12397"/>
      <c r="E12397"/>
      <c r="F12397"/>
      <c r="N12397" s="44"/>
    </row>
    <row r="12398" spans="1:14" x14ac:dyDescent="0.3">
      <c r="A12398" s="42"/>
      <c r="C12398" s="52"/>
      <c r="D12398"/>
      <c r="E12398"/>
      <c r="F12398"/>
      <c r="N12398" s="44"/>
    </row>
    <row r="12399" spans="1:14" x14ac:dyDescent="0.3">
      <c r="A12399" s="42"/>
      <c r="C12399" s="52"/>
      <c r="D12399"/>
      <c r="E12399"/>
      <c r="F12399"/>
      <c r="N12399" s="44"/>
    </row>
    <row r="12400" spans="1:14" x14ac:dyDescent="0.3">
      <c r="A12400" s="42"/>
      <c r="C12400" s="52"/>
      <c r="D12400"/>
      <c r="E12400"/>
      <c r="F12400"/>
      <c r="N12400" s="44"/>
    </row>
    <row r="12401" spans="1:14" x14ac:dyDescent="0.3">
      <c r="A12401" s="42"/>
      <c r="C12401" s="52"/>
      <c r="D12401"/>
      <c r="E12401"/>
      <c r="F12401"/>
      <c r="N12401" s="44"/>
    </row>
    <row r="12402" spans="1:14" x14ac:dyDescent="0.3">
      <c r="A12402" s="42"/>
      <c r="C12402" s="52"/>
      <c r="D12402"/>
      <c r="E12402"/>
      <c r="F12402"/>
      <c r="N12402" s="44"/>
    </row>
    <row r="12403" spans="1:14" x14ac:dyDescent="0.3">
      <c r="A12403" s="42"/>
      <c r="C12403" s="52"/>
      <c r="D12403"/>
      <c r="E12403"/>
      <c r="F12403"/>
      <c r="N12403" s="44"/>
    </row>
    <row r="12404" spans="1:14" x14ac:dyDescent="0.3">
      <c r="A12404" s="42"/>
      <c r="C12404" s="52"/>
      <c r="D12404"/>
      <c r="E12404"/>
      <c r="F12404"/>
      <c r="N12404" s="44"/>
    </row>
    <row r="12405" spans="1:14" x14ac:dyDescent="0.3">
      <c r="A12405" s="42"/>
      <c r="C12405" s="52"/>
      <c r="D12405"/>
      <c r="E12405"/>
      <c r="F12405"/>
      <c r="N12405" s="44"/>
    </row>
    <row r="12406" spans="1:14" x14ac:dyDescent="0.3">
      <c r="A12406" s="42"/>
      <c r="C12406" s="52"/>
      <c r="D12406"/>
      <c r="E12406"/>
      <c r="F12406"/>
      <c r="N12406" s="44"/>
    </row>
    <row r="12407" spans="1:14" x14ac:dyDescent="0.3">
      <c r="A12407" s="42"/>
      <c r="C12407" s="52"/>
      <c r="D12407"/>
      <c r="E12407"/>
      <c r="F12407"/>
      <c r="N12407" s="44"/>
    </row>
    <row r="12408" spans="1:14" x14ac:dyDescent="0.3">
      <c r="A12408" s="42"/>
      <c r="C12408" s="52"/>
      <c r="D12408"/>
      <c r="E12408"/>
      <c r="F12408"/>
      <c r="N12408" s="44"/>
    </row>
    <row r="12409" spans="1:14" x14ac:dyDescent="0.3">
      <c r="A12409" s="42"/>
      <c r="C12409" s="52"/>
      <c r="D12409"/>
      <c r="E12409"/>
      <c r="F12409"/>
      <c r="N12409" s="44"/>
    </row>
    <row r="12410" spans="1:14" x14ac:dyDescent="0.3">
      <c r="A12410" s="42"/>
      <c r="C12410" s="52"/>
      <c r="D12410"/>
      <c r="E12410"/>
      <c r="F12410"/>
      <c r="N12410" s="44"/>
    </row>
    <row r="12411" spans="1:14" x14ac:dyDescent="0.3">
      <c r="A12411" s="42"/>
      <c r="C12411" s="52"/>
      <c r="D12411"/>
      <c r="E12411"/>
      <c r="F12411"/>
      <c r="N12411" s="44"/>
    </row>
    <row r="12412" spans="1:14" x14ac:dyDescent="0.3">
      <c r="A12412" s="42"/>
      <c r="C12412" s="52"/>
      <c r="D12412"/>
      <c r="E12412"/>
      <c r="F12412"/>
      <c r="N12412" s="44"/>
    </row>
    <row r="12413" spans="1:14" x14ac:dyDescent="0.3">
      <c r="A12413" s="42"/>
      <c r="C12413" s="52"/>
      <c r="D12413"/>
      <c r="E12413"/>
      <c r="F12413"/>
      <c r="N12413" s="44"/>
    </row>
    <row r="12414" spans="1:14" x14ac:dyDescent="0.3">
      <c r="A12414" s="42"/>
      <c r="C12414" s="52"/>
      <c r="D12414"/>
      <c r="E12414"/>
      <c r="F12414"/>
      <c r="N12414" s="44"/>
    </row>
    <row r="12415" spans="1:14" x14ac:dyDescent="0.3">
      <c r="A12415" s="42"/>
      <c r="C12415" s="52"/>
      <c r="D12415"/>
      <c r="E12415"/>
      <c r="F12415"/>
      <c r="N12415" s="44"/>
    </row>
    <row r="12416" spans="1:14" x14ac:dyDescent="0.3">
      <c r="A12416" s="42"/>
      <c r="C12416" s="52"/>
      <c r="D12416"/>
      <c r="E12416"/>
      <c r="F12416"/>
      <c r="N12416" s="44"/>
    </row>
    <row r="12417" spans="1:14" x14ac:dyDescent="0.3">
      <c r="A12417" s="42"/>
      <c r="C12417" s="52"/>
      <c r="D12417"/>
      <c r="E12417"/>
      <c r="F12417"/>
      <c r="N12417" s="44"/>
    </row>
    <row r="12418" spans="1:14" x14ac:dyDescent="0.3">
      <c r="A12418" s="42"/>
      <c r="C12418" s="52"/>
      <c r="D12418"/>
      <c r="E12418"/>
      <c r="F12418"/>
      <c r="N12418" s="44"/>
    </row>
    <row r="12419" spans="1:14" x14ac:dyDescent="0.3">
      <c r="A12419" s="42"/>
      <c r="C12419" s="52"/>
      <c r="D12419"/>
      <c r="E12419"/>
      <c r="F12419"/>
      <c r="N12419" s="44"/>
    </row>
    <row r="12420" spans="1:14" x14ac:dyDescent="0.3">
      <c r="A12420" s="42"/>
      <c r="C12420" s="52"/>
      <c r="D12420"/>
      <c r="E12420"/>
      <c r="F12420"/>
      <c r="N12420" s="44"/>
    </row>
    <row r="12421" spans="1:14" x14ac:dyDescent="0.3">
      <c r="A12421" s="42"/>
      <c r="C12421" s="52"/>
      <c r="D12421"/>
      <c r="E12421"/>
      <c r="F12421"/>
      <c r="N12421" s="44"/>
    </row>
    <row r="12422" spans="1:14" x14ac:dyDescent="0.3">
      <c r="A12422" s="42"/>
      <c r="C12422" s="52"/>
      <c r="D12422"/>
      <c r="E12422"/>
      <c r="F12422"/>
      <c r="N12422" s="44"/>
    </row>
    <row r="12423" spans="1:14" x14ac:dyDescent="0.3">
      <c r="A12423" s="42"/>
      <c r="C12423" s="52"/>
      <c r="D12423"/>
      <c r="E12423"/>
      <c r="F12423"/>
      <c r="N12423" s="44"/>
    </row>
    <row r="12424" spans="1:14" x14ac:dyDescent="0.3">
      <c r="A12424" s="42"/>
      <c r="C12424" s="52"/>
      <c r="D12424"/>
      <c r="E12424"/>
      <c r="F12424"/>
      <c r="N12424" s="44"/>
    </row>
    <row r="12425" spans="1:14" x14ac:dyDescent="0.3">
      <c r="A12425" s="42"/>
      <c r="C12425" s="52"/>
      <c r="D12425"/>
      <c r="E12425"/>
      <c r="F12425"/>
      <c r="M12425" s="45"/>
      <c r="N12425" s="44"/>
    </row>
    <row r="12426" spans="1:14" x14ac:dyDescent="0.3">
      <c r="A12426" s="42"/>
      <c r="C12426" s="52"/>
      <c r="D12426"/>
      <c r="E12426"/>
      <c r="F12426"/>
      <c r="N12426" s="44"/>
    </row>
    <row r="12427" spans="1:14" x14ac:dyDescent="0.3">
      <c r="A12427" s="42"/>
      <c r="C12427" s="52"/>
      <c r="D12427"/>
      <c r="E12427"/>
      <c r="F12427"/>
      <c r="N12427" s="44"/>
    </row>
    <row r="12428" spans="1:14" x14ac:dyDescent="0.3">
      <c r="A12428" s="42"/>
      <c r="C12428" s="52"/>
      <c r="D12428"/>
      <c r="E12428"/>
      <c r="F12428"/>
      <c r="N12428" s="44"/>
    </row>
    <row r="12429" spans="1:14" x14ac:dyDescent="0.3">
      <c r="A12429" s="42"/>
      <c r="C12429" s="52"/>
      <c r="D12429"/>
      <c r="E12429"/>
      <c r="F12429"/>
      <c r="N12429" s="44"/>
    </row>
    <row r="12430" spans="1:14" x14ac:dyDescent="0.3">
      <c r="A12430" s="42"/>
      <c r="C12430" s="52"/>
      <c r="D12430"/>
      <c r="E12430"/>
      <c r="F12430"/>
      <c r="N12430" s="44"/>
    </row>
    <row r="12431" spans="1:14" x14ac:dyDescent="0.3">
      <c r="A12431" s="42"/>
      <c r="C12431" s="52"/>
      <c r="D12431"/>
      <c r="E12431"/>
      <c r="F12431"/>
      <c r="N12431" s="44"/>
    </row>
    <row r="12432" spans="1:14" x14ac:dyDescent="0.3">
      <c r="A12432" s="42"/>
      <c r="C12432" s="52"/>
      <c r="D12432"/>
      <c r="E12432"/>
      <c r="F12432"/>
      <c r="N12432" s="44"/>
    </row>
    <row r="12433" spans="1:14" x14ac:dyDescent="0.3">
      <c r="A12433" s="42"/>
      <c r="C12433" s="52"/>
      <c r="D12433"/>
      <c r="E12433"/>
      <c r="F12433"/>
      <c r="N12433" s="44"/>
    </row>
    <row r="12434" spans="1:14" x14ac:dyDescent="0.3">
      <c r="A12434" s="42"/>
      <c r="C12434" s="52"/>
      <c r="D12434"/>
      <c r="E12434"/>
      <c r="F12434"/>
      <c r="N12434" s="44"/>
    </row>
    <row r="12435" spans="1:14" x14ac:dyDescent="0.3">
      <c r="A12435" s="42"/>
      <c r="C12435" s="52"/>
      <c r="D12435"/>
      <c r="E12435"/>
      <c r="F12435"/>
      <c r="N12435" s="44"/>
    </row>
    <row r="12436" spans="1:14" x14ac:dyDescent="0.3">
      <c r="A12436" s="42"/>
      <c r="C12436" s="52"/>
      <c r="D12436"/>
      <c r="E12436"/>
      <c r="F12436"/>
      <c r="N12436" s="44"/>
    </row>
    <row r="12437" spans="1:14" x14ac:dyDescent="0.3">
      <c r="A12437" s="42"/>
      <c r="C12437" s="52"/>
      <c r="D12437"/>
      <c r="E12437"/>
      <c r="F12437"/>
      <c r="N12437" s="44"/>
    </row>
    <row r="12438" spans="1:14" x14ac:dyDescent="0.3">
      <c r="A12438" s="42"/>
      <c r="C12438" s="52"/>
      <c r="D12438"/>
      <c r="E12438"/>
      <c r="F12438"/>
      <c r="N12438" s="44"/>
    </row>
    <row r="12439" spans="1:14" x14ac:dyDescent="0.3">
      <c r="A12439" s="42"/>
      <c r="C12439" s="52"/>
      <c r="D12439"/>
      <c r="E12439"/>
      <c r="F12439"/>
      <c r="N12439" s="44"/>
    </row>
    <row r="12440" spans="1:14" x14ac:dyDescent="0.3">
      <c r="A12440" s="42"/>
      <c r="C12440" s="52"/>
      <c r="D12440"/>
      <c r="E12440"/>
      <c r="F12440"/>
      <c r="N12440" s="44"/>
    </row>
    <row r="12441" spans="1:14" x14ac:dyDescent="0.3">
      <c r="A12441" s="42"/>
      <c r="C12441" s="52"/>
      <c r="D12441"/>
      <c r="E12441"/>
      <c r="F12441"/>
      <c r="N12441" s="44"/>
    </row>
    <row r="12442" spans="1:14" x14ac:dyDescent="0.3">
      <c r="A12442" s="42"/>
      <c r="C12442" s="52"/>
      <c r="D12442"/>
      <c r="E12442"/>
      <c r="F12442"/>
      <c r="N12442" s="44"/>
    </row>
    <row r="12443" spans="1:14" x14ac:dyDescent="0.3">
      <c r="A12443" s="42"/>
      <c r="C12443" s="52"/>
      <c r="D12443"/>
      <c r="E12443"/>
      <c r="F12443"/>
      <c r="N12443" s="44"/>
    </row>
    <row r="12444" spans="1:14" x14ac:dyDescent="0.3">
      <c r="A12444" s="42"/>
      <c r="C12444" s="52"/>
      <c r="D12444"/>
      <c r="E12444"/>
      <c r="F12444"/>
      <c r="N12444" s="44"/>
    </row>
    <row r="12445" spans="1:14" x14ac:dyDescent="0.3">
      <c r="A12445" s="42"/>
      <c r="C12445" s="52"/>
      <c r="D12445"/>
      <c r="E12445"/>
      <c r="F12445"/>
      <c r="N12445" s="44"/>
    </row>
    <row r="12446" spans="1:14" x14ac:dyDescent="0.3">
      <c r="A12446" s="42"/>
      <c r="C12446" s="52"/>
      <c r="D12446"/>
      <c r="E12446"/>
      <c r="F12446"/>
      <c r="N12446" s="44"/>
    </row>
    <row r="12447" spans="1:14" x14ac:dyDescent="0.3">
      <c r="A12447" s="42"/>
      <c r="C12447" s="52"/>
      <c r="D12447"/>
      <c r="E12447"/>
      <c r="F12447"/>
      <c r="N12447" s="44"/>
    </row>
    <row r="12448" spans="1:14" x14ac:dyDescent="0.3">
      <c r="A12448" s="42"/>
      <c r="C12448" s="52"/>
      <c r="D12448"/>
      <c r="E12448"/>
      <c r="F12448"/>
      <c r="N12448" s="44"/>
    </row>
    <row r="12449" spans="1:14" x14ac:dyDescent="0.3">
      <c r="A12449" s="42"/>
      <c r="C12449" s="52"/>
      <c r="D12449"/>
      <c r="E12449"/>
      <c r="F12449"/>
      <c r="N12449" s="44"/>
    </row>
    <row r="12450" spans="1:14" x14ac:dyDescent="0.3">
      <c r="A12450" s="42"/>
      <c r="C12450" s="52"/>
      <c r="D12450"/>
      <c r="E12450"/>
      <c r="F12450"/>
      <c r="N12450" s="44"/>
    </row>
    <row r="12451" spans="1:14" x14ac:dyDescent="0.3">
      <c r="A12451" s="42"/>
      <c r="C12451" s="52"/>
      <c r="D12451"/>
      <c r="E12451"/>
      <c r="F12451"/>
      <c r="N12451" s="44"/>
    </row>
    <row r="12452" spans="1:14" x14ac:dyDescent="0.3">
      <c r="A12452" s="42"/>
      <c r="C12452" s="52"/>
      <c r="D12452"/>
      <c r="E12452"/>
      <c r="F12452"/>
      <c r="N12452" s="44"/>
    </row>
    <row r="12453" spans="1:14" x14ac:dyDescent="0.3">
      <c r="A12453" s="42"/>
      <c r="C12453" s="52"/>
      <c r="D12453"/>
      <c r="E12453"/>
      <c r="F12453"/>
      <c r="N12453" s="44"/>
    </row>
    <row r="12454" spans="1:14" x14ac:dyDescent="0.3">
      <c r="A12454" s="42"/>
      <c r="C12454" s="52"/>
      <c r="D12454"/>
      <c r="E12454"/>
      <c r="F12454"/>
      <c r="N12454" s="44"/>
    </row>
    <row r="12455" spans="1:14" x14ac:dyDescent="0.3">
      <c r="A12455" s="42"/>
      <c r="C12455" s="52"/>
      <c r="D12455"/>
      <c r="E12455"/>
      <c r="F12455"/>
      <c r="N12455" s="44"/>
    </row>
    <row r="12456" spans="1:14" x14ac:dyDescent="0.3">
      <c r="A12456" s="42"/>
      <c r="C12456" s="52"/>
      <c r="D12456"/>
      <c r="E12456"/>
      <c r="F12456"/>
      <c r="N12456" s="44"/>
    </row>
    <row r="12457" spans="1:14" x14ac:dyDescent="0.3">
      <c r="A12457" s="42"/>
      <c r="C12457" s="52"/>
      <c r="D12457"/>
      <c r="E12457"/>
      <c r="F12457"/>
      <c r="N12457" s="44"/>
    </row>
    <row r="12458" spans="1:14" x14ac:dyDescent="0.3">
      <c r="A12458" s="42"/>
      <c r="C12458" s="52"/>
      <c r="D12458"/>
      <c r="E12458"/>
      <c r="F12458"/>
      <c r="N12458" s="44"/>
    </row>
    <row r="12459" spans="1:14" x14ac:dyDescent="0.3">
      <c r="A12459" s="42"/>
      <c r="C12459" s="52"/>
      <c r="D12459"/>
      <c r="E12459"/>
      <c r="F12459"/>
      <c r="N12459" s="44"/>
    </row>
    <row r="12460" spans="1:14" x14ac:dyDescent="0.3">
      <c r="A12460" s="42"/>
      <c r="C12460" s="52"/>
      <c r="D12460"/>
      <c r="E12460"/>
      <c r="F12460"/>
      <c r="N12460" s="44"/>
    </row>
    <row r="12461" spans="1:14" x14ac:dyDescent="0.3">
      <c r="A12461" s="42"/>
      <c r="C12461" s="52"/>
      <c r="D12461"/>
      <c r="E12461"/>
      <c r="F12461"/>
      <c r="N12461" s="44"/>
    </row>
    <row r="12462" spans="1:14" x14ac:dyDescent="0.3">
      <c r="A12462" s="42"/>
      <c r="C12462" s="52"/>
      <c r="D12462"/>
      <c r="E12462"/>
      <c r="F12462"/>
      <c r="N12462" s="44"/>
    </row>
    <row r="12463" spans="1:14" x14ac:dyDescent="0.3">
      <c r="A12463" s="42"/>
      <c r="C12463" s="52"/>
      <c r="D12463"/>
      <c r="E12463"/>
      <c r="F12463"/>
      <c r="N12463" s="44"/>
    </row>
    <row r="12464" spans="1:14" x14ac:dyDescent="0.3">
      <c r="A12464" s="42"/>
      <c r="C12464" s="52"/>
      <c r="D12464"/>
      <c r="E12464"/>
      <c r="F12464"/>
      <c r="N12464" s="44"/>
    </row>
    <row r="12465" spans="1:14" x14ac:dyDescent="0.3">
      <c r="A12465" s="42"/>
      <c r="C12465" s="52"/>
      <c r="D12465"/>
      <c r="E12465"/>
      <c r="F12465"/>
      <c r="N12465" s="44"/>
    </row>
    <row r="12466" spans="1:14" x14ac:dyDescent="0.3">
      <c r="A12466" s="42"/>
      <c r="C12466" s="52"/>
      <c r="D12466"/>
      <c r="E12466"/>
      <c r="F12466"/>
      <c r="N12466" s="44"/>
    </row>
    <row r="12467" spans="1:14" x14ac:dyDescent="0.3">
      <c r="A12467" s="42"/>
      <c r="C12467" s="52"/>
      <c r="D12467"/>
      <c r="E12467"/>
      <c r="F12467"/>
      <c r="N12467" s="44"/>
    </row>
    <row r="12468" spans="1:14" x14ac:dyDescent="0.3">
      <c r="A12468" s="42"/>
      <c r="C12468" s="52"/>
      <c r="D12468"/>
      <c r="E12468"/>
      <c r="F12468"/>
      <c r="N12468" s="44"/>
    </row>
    <row r="12469" spans="1:14" x14ac:dyDescent="0.3">
      <c r="A12469" s="42"/>
      <c r="C12469" s="52"/>
      <c r="D12469"/>
      <c r="E12469"/>
      <c r="F12469"/>
      <c r="N12469" s="44"/>
    </row>
    <row r="12470" spans="1:14" x14ac:dyDescent="0.3">
      <c r="A12470" s="42"/>
      <c r="C12470" s="52"/>
      <c r="D12470"/>
      <c r="E12470"/>
      <c r="F12470"/>
      <c r="N12470" s="44"/>
    </row>
    <row r="12471" spans="1:14" x14ac:dyDescent="0.3">
      <c r="A12471" s="42"/>
      <c r="C12471" s="52"/>
      <c r="D12471"/>
      <c r="E12471"/>
      <c r="F12471"/>
      <c r="N12471" s="44"/>
    </row>
    <row r="12472" spans="1:14" x14ac:dyDescent="0.3">
      <c r="A12472" s="42"/>
      <c r="C12472" s="52"/>
      <c r="D12472"/>
      <c r="E12472"/>
      <c r="F12472"/>
      <c r="N12472" s="44"/>
    </row>
    <row r="12473" spans="1:14" x14ac:dyDescent="0.3">
      <c r="A12473" s="42"/>
      <c r="C12473" s="52"/>
      <c r="D12473"/>
      <c r="E12473"/>
      <c r="F12473"/>
      <c r="N12473" s="44"/>
    </row>
    <row r="12474" spans="1:14" x14ac:dyDescent="0.3">
      <c r="A12474" s="42"/>
      <c r="C12474" s="52"/>
      <c r="D12474"/>
      <c r="E12474"/>
      <c r="F12474"/>
      <c r="N12474" s="44"/>
    </row>
    <row r="12475" spans="1:14" x14ac:dyDescent="0.3">
      <c r="A12475" s="42"/>
      <c r="C12475" s="52"/>
      <c r="D12475"/>
      <c r="E12475"/>
      <c r="F12475"/>
      <c r="N12475" s="44"/>
    </row>
    <row r="12476" spans="1:14" x14ac:dyDescent="0.3">
      <c r="A12476" s="42"/>
      <c r="C12476" s="52"/>
      <c r="D12476"/>
      <c r="E12476"/>
      <c r="F12476"/>
      <c r="N12476" s="44"/>
    </row>
    <row r="12477" spans="1:14" x14ac:dyDescent="0.3">
      <c r="A12477" s="42"/>
      <c r="C12477" s="52"/>
      <c r="D12477"/>
      <c r="E12477"/>
      <c r="F12477"/>
      <c r="N12477" s="44"/>
    </row>
    <row r="12478" spans="1:14" x14ac:dyDescent="0.3">
      <c r="A12478" s="42"/>
      <c r="C12478" s="52"/>
      <c r="D12478"/>
      <c r="E12478"/>
      <c r="F12478"/>
      <c r="N12478" s="44"/>
    </row>
    <row r="12479" spans="1:14" x14ac:dyDescent="0.3">
      <c r="A12479" s="42"/>
      <c r="C12479" s="52"/>
      <c r="D12479"/>
      <c r="E12479"/>
      <c r="F12479"/>
      <c r="N12479" s="44"/>
    </row>
    <row r="12480" spans="1:14" x14ac:dyDescent="0.3">
      <c r="A12480" s="42"/>
      <c r="C12480" s="52"/>
      <c r="D12480"/>
      <c r="E12480"/>
      <c r="F12480"/>
      <c r="N12480" s="44"/>
    </row>
    <row r="12481" spans="1:14" x14ac:dyDescent="0.3">
      <c r="A12481" s="42"/>
      <c r="C12481" s="52"/>
      <c r="D12481"/>
      <c r="E12481"/>
      <c r="F12481"/>
      <c r="N12481" s="44"/>
    </row>
    <row r="12482" spans="1:14" x14ac:dyDescent="0.3">
      <c r="A12482" s="42"/>
      <c r="C12482" s="52"/>
      <c r="D12482"/>
      <c r="E12482"/>
      <c r="F12482"/>
      <c r="N12482" s="44"/>
    </row>
    <row r="12483" spans="1:14" x14ac:dyDescent="0.3">
      <c r="A12483" s="42"/>
      <c r="C12483" s="52"/>
      <c r="D12483"/>
      <c r="E12483"/>
      <c r="F12483"/>
      <c r="N12483" s="44"/>
    </row>
    <row r="12484" spans="1:14" x14ac:dyDescent="0.3">
      <c r="A12484" s="42"/>
      <c r="C12484" s="52"/>
      <c r="D12484"/>
      <c r="E12484"/>
      <c r="F12484"/>
      <c r="N12484" s="44"/>
    </row>
    <row r="12485" spans="1:14" x14ac:dyDescent="0.3">
      <c r="A12485" s="42"/>
      <c r="C12485" s="52"/>
      <c r="D12485"/>
      <c r="E12485"/>
      <c r="F12485"/>
      <c r="N12485" s="44"/>
    </row>
    <row r="12486" spans="1:14" x14ac:dyDescent="0.3">
      <c r="A12486" s="42"/>
      <c r="C12486" s="52"/>
      <c r="D12486"/>
      <c r="E12486"/>
      <c r="F12486"/>
      <c r="N12486" s="44"/>
    </row>
    <row r="12487" spans="1:14" x14ac:dyDescent="0.3">
      <c r="A12487" s="42"/>
      <c r="C12487" s="52"/>
      <c r="D12487"/>
      <c r="E12487"/>
      <c r="F12487"/>
      <c r="N12487" s="44"/>
    </row>
    <row r="12488" spans="1:14" x14ac:dyDescent="0.3">
      <c r="A12488" s="42"/>
      <c r="C12488" s="52"/>
      <c r="D12488"/>
      <c r="E12488"/>
      <c r="F12488"/>
      <c r="N12488" s="44"/>
    </row>
    <row r="12489" spans="1:14" x14ac:dyDescent="0.3">
      <c r="A12489" s="42"/>
      <c r="C12489" s="52"/>
      <c r="D12489"/>
      <c r="E12489"/>
      <c r="F12489"/>
      <c r="N12489" s="44"/>
    </row>
    <row r="12490" spans="1:14" x14ac:dyDescent="0.3">
      <c r="A12490" s="42"/>
      <c r="C12490" s="52"/>
      <c r="D12490"/>
      <c r="E12490"/>
      <c r="F12490"/>
      <c r="N12490" s="44"/>
    </row>
    <row r="12491" spans="1:14" x14ac:dyDescent="0.3">
      <c r="A12491" s="42"/>
      <c r="C12491" s="52"/>
      <c r="D12491"/>
      <c r="E12491"/>
      <c r="F12491"/>
      <c r="N12491" s="44"/>
    </row>
    <row r="12492" spans="1:14" x14ac:dyDescent="0.3">
      <c r="A12492" s="42"/>
      <c r="C12492" s="52"/>
      <c r="D12492"/>
      <c r="E12492"/>
      <c r="F12492"/>
      <c r="N12492" s="44"/>
    </row>
    <row r="12493" spans="1:14" x14ac:dyDescent="0.3">
      <c r="A12493" s="42"/>
      <c r="C12493" s="52"/>
      <c r="D12493"/>
      <c r="E12493"/>
      <c r="F12493"/>
      <c r="N12493" s="44"/>
    </row>
    <row r="12494" spans="1:14" x14ac:dyDescent="0.3">
      <c r="A12494" s="42"/>
      <c r="C12494" s="52"/>
      <c r="D12494"/>
      <c r="E12494"/>
      <c r="F12494"/>
      <c r="N12494" s="44"/>
    </row>
    <row r="12495" spans="1:14" x14ac:dyDescent="0.3">
      <c r="A12495" s="42"/>
      <c r="C12495" s="52"/>
      <c r="D12495"/>
      <c r="E12495"/>
      <c r="F12495"/>
      <c r="N12495" s="44"/>
    </row>
    <row r="12496" spans="1:14" x14ac:dyDescent="0.3">
      <c r="A12496" s="42"/>
      <c r="C12496" s="52"/>
      <c r="D12496"/>
      <c r="E12496"/>
      <c r="F12496"/>
      <c r="N12496" s="44"/>
    </row>
    <row r="12497" spans="1:14" x14ac:dyDescent="0.3">
      <c r="A12497" s="42"/>
      <c r="C12497" s="52"/>
      <c r="D12497"/>
      <c r="E12497"/>
      <c r="F12497"/>
      <c r="N12497" s="44"/>
    </row>
    <row r="12498" spans="1:14" x14ac:dyDescent="0.3">
      <c r="A12498" s="42"/>
      <c r="C12498" s="52"/>
      <c r="D12498"/>
      <c r="E12498"/>
      <c r="F12498"/>
      <c r="N12498" s="44"/>
    </row>
    <row r="12499" spans="1:14" x14ac:dyDescent="0.3">
      <c r="A12499" s="42"/>
      <c r="C12499" s="52"/>
      <c r="D12499"/>
      <c r="E12499"/>
      <c r="F12499"/>
      <c r="M12499" s="45"/>
      <c r="N12499" s="44"/>
    </row>
    <row r="12500" spans="1:14" x14ac:dyDescent="0.3">
      <c r="A12500" s="42"/>
      <c r="C12500" s="52"/>
      <c r="D12500"/>
      <c r="E12500"/>
      <c r="F12500"/>
      <c r="N12500" s="44"/>
    </row>
    <row r="12501" spans="1:14" x14ac:dyDescent="0.3">
      <c r="A12501" s="42"/>
      <c r="C12501" s="52"/>
      <c r="D12501"/>
      <c r="E12501"/>
      <c r="F12501"/>
      <c r="N12501" s="44"/>
    </row>
    <row r="12502" spans="1:14" x14ac:dyDescent="0.3">
      <c r="A12502" s="42"/>
      <c r="C12502" s="52"/>
      <c r="D12502"/>
      <c r="E12502"/>
      <c r="F12502"/>
      <c r="N12502" s="44"/>
    </row>
    <row r="12503" spans="1:14" x14ac:dyDescent="0.3">
      <c r="A12503" s="42"/>
      <c r="C12503" s="52"/>
      <c r="D12503"/>
      <c r="E12503"/>
      <c r="F12503"/>
      <c r="N12503" s="44"/>
    </row>
    <row r="12504" spans="1:14" x14ac:dyDescent="0.3">
      <c r="A12504" s="42"/>
      <c r="C12504" s="52"/>
      <c r="D12504"/>
      <c r="E12504"/>
      <c r="F12504"/>
      <c r="N12504" s="44"/>
    </row>
    <row r="12505" spans="1:14" x14ac:dyDescent="0.3">
      <c r="A12505" s="42"/>
      <c r="C12505" s="52"/>
      <c r="D12505"/>
      <c r="E12505"/>
      <c r="F12505"/>
      <c r="N12505" s="44"/>
    </row>
    <row r="12506" spans="1:14" x14ac:dyDescent="0.3">
      <c r="A12506" s="42"/>
      <c r="C12506" s="52"/>
      <c r="D12506"/>
      <c r="E12506"/>
      <c r="F12506"/>
      <c r="N12506" s="44"/>
    </row>
    <row r="12507" spans="1:14" x14ac:dyDescent="0.3">
      <c r="A12507" s="42"/>
      <c r="C12507" s="52"/>
      <c r="D12507"/>
      <c r="E12507"/>
      <c r="F12507"/>
      <c r="N12507" s="44"/>
    </row>
    <row r="12508" spans="1:14" x14ac:dyDescent="0.3">
      <c r="A12508" s="42"/>
      <c r="C12508" s="52"/>
      <c r="D12508"/>
      <c r="E12508"/>
      <c r="F12508"/>
      <c r="N12508" s="44"/>
    </row>
    <row r="12509" spans="1:14" x14ac:dyDescent="0.3">
      <c r="A12509" s="42"/>
      <c r="C12509" s="52"/>
      <c r="D12509"/>
      <c r="E12509"/>
      <c r="F12509"/>
      <c r="N12509" s="44"/>
    </row>
    <row r="12510" spans="1:14" x14ac:dyDescent="0.3">
      <c r="A12510" s="42"/>
      <c r="C12510" s="52"/>
      <c r="D12510"/>
      <c r="E12510"/>
      <c r="F12510"/>
      <c r="N12510" s="44"/>
    </row>
    <row r="12511" spans="1:14" x14ac:dyDescent="0.3">
      <c r="A12511" s="42"/>
      <c r="C12511" s="52"/>
      <c r="D12511"/>
      <c r="E12511"/>
      <c r="F12511"/>
      <c r="N12511" s="44"/>
    </row>
    <row r="12512" spans="1:14" x14ac:dyDescent="0.3">
      <c r="A12512" s="42"/>
      <c r="C12512" s="52"/>
      <c r="D12512"/>
      <c r="E12512"/>
      <c r="F12512"/>
      <c r="N12512" s="44"/>
    </row>
    <row r="12513" spans="1:14" x14ac:dyDescent="0.3">
      <c r="A12513" s="42"/>
      <c r="C12513" s="52"/>
      <c r="D12513"/>
      <c r="E12513"/>
      <c r="F12513"/>
      <c r="N12513" s="44"/>
    </row>
    <row r="12514" spans="1:14" x14ac:dyDescent="0.3">
      <c r="A12514" s="42"/>
      <c r="C12514" s="52"/>
      <c r="D12514"/>
      <c r="E12514"/>
      <c r="F12514"/>
      <c r="N12514" s="44"/>
    </row>
    <row r="12515" spans="1:14" x14ac:dyDescent="0.3">
      <c r="A12515" s="42"/>
      <c r="C12515" s="52"/>
      <c r="D12515"/>
      <c r="E12515"/>
      <c r="F12515"/>
      <c r="N12515" s="44"/>
    </row>
    <row r="12516" spans="1:14" x14ac:dyDescent="0.3">
      <c r="A12516" s="42"/>
      <c r="C12516" s="52"/>
      <c r="D12516"/>
      <c r="E12516"/>
      <c r="F12516"/>
      <c r="N12516" s="44"/>
    </row>
    <row r="12517" spans="1:14" x14ac:dyDescent="0.3">
      <c r="A12517" s="42"/>
      <c r="C12517" s="52"/>
      <c r="D12517"/>
      <c r="E12517"/>
      <c r="F12517"/>
      <c r="N12517" s="44"/>
    </row>
    <row r="12518" spans="1:14" x14ac:dyDescent="0.3">
      <c r="A12518" s="42"/>
      <c r="C12518" s="52"/>
      <c r="D12518"/>
      <c r="E12518"/>
      <c r="F12518"/>
      <c r="N12518" s="44"/>
    </row>
    <row r="12519" spans="1:14" x14ac:dyDescent="0.3">
      <c r="A12519" s="42"/>
      <c r="C12519" s="52"/>
      <c r="D12519"/>
      <c r="E12519"/>
      <c r="F12519"/>
      <c r="N12519" s="44"/>
    </row>
    <row r="12520" spans="1:14" x14ac:dyDescent="0.3">
      <c r="A12520" s="42"/>
      <c r="C12520" s="52"/>
      <c r="D12520"/>
      <c r="E12520"/>
      <c r="F12520"/>
      <c r="N12520" s="44"/>
    </row>
    <row r="12521" spans="1:14" x14ac:dyDescent="0.3">
      <c r="A12521" s="42"/>
      <c r="C12521" s="52"/>
      <c r="D12521"/>
      <c r="E12521"/>
      <c r="F12521"/>
      <c r="N12521" s="44"/>
    </row>
    <row r="12522" spans="1:14" x14ac:dyDescent="0.3">
      <c r="A12522" s="42"/>
      <c r="C12522" s="52"/>
      <c r="D12522"/>
      <c r="E12522"/>
      <c r="F12522"/>
      <c r="N12522" s="44"/>
    </row>
    <row r="12523" spans="1:14" x14ac:dyDescent="0.3">
      <c r="A12523" s="42"/>
      <c r="C12523" s="52"/>
      <c r="D12523"/>
      <c r="E12523"/>
      <c r="F12523"/>
      <c r="N12523" s="44"/>
    </row>
    <row r="12524" spans="1:14" x14ac:dyDescent="0.3">
      <c r="A12524" s="42"/>
      <c r="C12524" s="52"/>
      <c r="D12524"/>
      <c r="E12524"/>
      <c r="F12524"/>
      <c r="N12524" s="44"/>
    </row>
    <row r="12525" spans="1:14" x14ac:dyDescent="0.3">
      <c r="A12525" s="42"/>
      <c r="C12525" s="52"/>
      <c r="D12525"/>
      <c r="E12525"/>
      <c r="F12525"/>
      <c r="N12525" s="44"/>
    </row>
    <row r="12526" spans="1:14" x14ac:dyDescent="0.3">
      <c r="A12526" s="42"/>
      <c r="C12526" s="52"/>
      <c r="D12526"/>
      <c r="E12526"/>
      <c r="F12526"/>
      <c r="N12526" s="44"/>
    </row>
    <row r="12527" spans="1:14" x14ac:dyDescent="0.3">
      <c r="A12527" s="42"/>
      <c r="C12527" s="52"/>
      <c r="D12527"/>
      <c r="E12527"/>
      <c r="F12527"/>
      <c r="N12527" s="44"/>
    </row>
    <row r="12528" spans="1:14" x14ac:dyDescent="0.3">
      <c r="A12528" s="42"/>
      <c r="C12528" s="52"/>
      <c r="D12528"/>
      <c r="E12528"/>
      <c r="F12528"/>
      <c r="N12528" s="44"/>
    </row>
    <row r="12529" spans="1:14" x14ac:dyDescent="0.3">
      <c r="A12529" s="42"/>
      <c r="C12529" s="52"/>
      <c r="D12529"/>
      <c r="E12529"/>
      <c r="F12529"/>
      <c r="N12529" s="44"/>
    </row>
    <row r="12530" spans="1:14" x14ac:dyDescent="0.3">
      <c r="A12530" s="42"/>
      <c r="C12530" s="52"/>
      <c r="D12530"/>
      <c r="E12530"/>
      <c r="F12530"/>
      <c r="N12530" s="44"/>
    </row>
    <row r="12531" spans="1:14" x14ac:dyDescent="0.3">
      <c r="A12531" s="42"/>
      <c r="C12531" s="52"/>
      <c r="D12531"/>
      <c r="E12531"/>
      <c r="F12531"/>
      <c r="N12531" s="44"/>
    </row>
    <row r="12532" spans="1:14" x14ac:dyDescent="0.3">
      <c r="A12532" s="42"/>
      <c r="C12532" s="52"/>
      <c r="D12532"/>
      <c r="E12532"/>
      <c r="F12532"/>
      <c r="N12532" s="44"/>
    </row>
    <row r="12533" spans="1:14" x14ac:dyDescent="0.3">
      <c r="A12533" s="42"/>
      <c r="C12533" s="52"/>
      <c r="D12533"/>
      <c r="E12533"/>
      <c r="F12533"/>
      <c r="N12533" s="44"/>
    </row>
    <row r="12534" spans="1:14" x14ac:dyDescent="0.3">
      <c r="A12534" s="42"/>
      <c r="C12534" s="52"/>
      <c r="D12534"/>
      <c r="E12534"/>
      <c r="F12534"/>
      <c r="N12534" s="44"/>
    </row>
    <row r="12535" spans="1:14" x14ac:dyDescent="0.3">
      <c r="A12535" s="42"/>
      <c r="C12535" s="52"/>
      <c r="D12535"/>
      <c r="E12535"/>
      <c r="F12535"/>
      <c r="N12535" s="44"/>
    </row>
    <row r="12536" spans="1:14" x14ac:dyDescent="0.3">
      <c r="A12536" s="42"/>
      <c r="C12536" s="52"/>
      <c r="D12536"/>
      <c r="E12536"/>
      <c r="F12536"/>
      <c r="N12536" s="44"/>
    </row>
    <row r="12537" spans="1:14" x14ac:dyDescent="0.3">
      <c r="A12537" s="42"/>
      <c r="C12537" s="52"/>
      <c r="D12537"/>
      <c r="E12537"/>
      <c r="F12537"/>
      <c r="N12537" s="44"/>
    </row>
    <row r="12538" spans="1:14" x14ac:dyDescent="0.3">
      <c r="A12538" s="42"/>
      <c r="C12538" s="52"/>
      <c r="D12538"/>
      <c r="E12538"/>
      <c r="F12538"/>
      <c r="N12538" s="44"/>
    </row>
    <row r="12539" spans="1:14" x14ac:dyDescent="0.3">
      <c r="A12539" s="42"/>
      <c r="C12539" s="52"/>
      <c r="D12539"/>
      <c r="E12539"/>
      <c r="F12539"/>
      <c r="N12539" s="44"/>
    </row>
    <row r="12540" spans="1:14" x14ac:dyDescent="0.3">
      <c r="A12540" s="42"/>
      <c r="C12540" s="52"/>
      <c r="D12540"/>
      <c r="E12540"/>
      <c r="F12540"/>
      <c r="N12540" s="44"/>
    </row>
    <row r="12541" spans="1:14" x14ac:dyDescent="0.3">
      <c r="A12541" s="42"/>
      <c r="C12541" s="52"/>
      <c r="D12541"/>
      <c r="E12541"/>
      <c r="F12541"/>
      <c r="N12541" s="44"/>
    </row>
    <row r="12542" spans="1:14" x14ac:dyDescent="0.3">
      <c r="A12542" s="42"/>
      <c r="C12542" s="52"/>
      <c r="D12542"/>
      <c r="E12542"/>
      <c r="F12542"/>
      <c r="N12542" s="44"/>
    </row>
    <row r="12543" spans="1:14" x14ac:dyDescent="0.3">
      <c r="A12543" s="42"/>
      <c r="C12543" s="52"/>
      <c r="D12543"/>
      <c r="E12543"/>
      <c r="F12543"/>
      <c r="N12543" s="44"/>
    </row>
    <row r="12544" spans="1:14" x14ac:dyDescent="0.3">
      <c r="A12544" s="42"/>
      <c r="C12544" s="52"/>
      <c r="D12544"/>
      <c r="E12544"/>
      <c r="F12544"/>
      <c r="N12544" s="44"/>
    </row>
    <row r="12545" spans="1:14" x14ac:dyDescent="0.3">
      <c r="A12545" s="42"/>
      <c r="C12545" s="52"/>
      <c r="D12545"/>
      <c r="E12545"/>
      <c r="F12545"/>
      <c r="N12545" s="44"/>
    </row>
    <row r="12546" spans="1:14" x14ac:dyDescent="0.3">
      <c r="A12546" s="42"/>
      <c r="C12546" s="52"/>
      <c r="D12546"/>
      <c r="E12546"/>
      <c r="F12546"/>
      <c r="N12546" s="44"/>
    </row>
    <row r="12547" spans="1:14" x14ac:dyDescent="0.3">
      <c r="A12547" s="42"/>
      <c r="C12547" s="52"/>
      <c r="D12547"/>
      <c r="E12547"/>
      <c r="F12547"/>
      <c r="N12547" s="44"/>
    </row>
    <row r="12548" spans="1:14" x14ac:dyDescent="0.3">
      <c r="A12548" s="42"/>
      <c r="C12548" s="52"/>
      <c r="D12548"/>
      <c r="E12548"/>
      <c r="F12548"/>
      <c r="N12548" s="44"/>
    </row>
    <row r="12549" spans="1:14" x14ac:dyDescent="0.3">
      <c r="A12549" s="42"/>
      <c r="C12549" s="52"/>
      <c r="D12549"/>
      <c r="E12549"/>
      <c r="F12549"/>
      <c r="N12549" s="44"/>
    </row>
    <row r="12550" spans="1:14" x14ac:dyDescent="0.3">
      <c r="A12550" s="42"/>
      <c r="C12550" s="52"/>
      <c r="D12550"/>
      <c r="E12550"/>
      <c r="F12550"/>
      <c r="N12550" s="44"/>
    </row>
    <row r="12551" spans="1:14" x14ac:dyDescent="0.3">
      <c r="A12551" s="42"/>
      <c r="C12551" s="52"/>
      <c r="D12551"/>
      <c r="E12551"/>
      <c r="F12551"/>
      <c r="N12551" s="44"/>
    </row>
    <row r="12552" spans="1:14" x14ac:dyDescent="0.3">
      <c r="A12552" s="42"/>
      <c r="C12552" s="52"/>
      <c r="D12552"/>
      <c r="E12552"/>
      <c r="F12552"/>
      <c r="N12552" s="44"/>
    </row>
    <row r="12553" spans="1:14" x14ac:dyDescent="0.3">
      <c r="A12553" s="42"/>
      <c r="C12553" s="52"/>
      <c r="D12553"/>
      <c r="E12553"/>
      <c r="F12553"/>
      <c r="N12553" s="44"/>
    </row>
    <row r="12554" spans="1:14" x14ac:dyDescent="0.3">
      <c r="A12554" s="42"/>
      <c r="C12554" s="52"/>
      <c r="D12554"/>
      <c r="E12554"/>
      <c r="F12554"/>
      <c r="N12554" s="44"/>
    </row>
    <row r="12555" spans="1:14" x14ac:dyDescent="0.3">
      <c r="A12555" s="42"/>
      <c r="C12555" s="52"/>
      <c r="D12555"/>
      <c r="E12555"/>
      <c r="F12555"/>
      <c r="N12555" s="44"/>
    </row>
    <row r="12556" spans="1:14" x14ac:dyDescent="0.3">
      <c r="A12556" s="42"/>
      <c r="C12556" s="52"/>
      <c r="D12556"/>
      <c r="E12556"/>
      <c r="F12556"/>
      <c r="N12556" s="44"/>
    </row>
    <row r="12557" spans="1:14" x14ac:dyDescent="0.3">
      <c r="A12557" s="42"/>
      <c r="C12557" s="52"/>
      <c r="D12557"/>
      <c r="E12557"/>
      <c r="F12557"/>
      <c r="N12557" s="44"/>
    </row>
    <row r="12558" spans="1:14" x14ac:dyDescent="0.3">
      <c r="A12558" s="42"/>
      <c r="C12558" s="52"/>
      <c r="D12558"/>
      <c r="E12558"/>
      <c r="F12558"/>
      <c r="N12558" s="44"/>
    </row>
    <row r="12559" spans="1:14" x14ac:dyDescent="0.3">
      <c r="A12559" s="42"/>
      <c r="C12559" s="52"/>
      <c r="D12559"/>
      <c r="E12559"/>
      <c r="F12559"/>
      <c r="N12559" s="44"/>
    </row>
    <row r="12560" spans="1:14" x14ac:dyDescent="0.3">
      <c r="A12560" s="42"/>
      <c r="C12560" s="52"/>
      <c r="D12560"/>
      <c r="E12560"/>
      <c r="F12560"/>
      <c r="N12560" s="44"/>
    </row>
    <row r="12561" spans="1:14" x14ac:dyDescent="0.3">
      <c r="A12561" s="42"/>
      <c r="C12561" s="52"/>
      <c r="D12561"/>
      <c r="E12561"/>
      <c r="F12561"/>
      <c r="N12561" s="44"/>
    </row>
    <row r="12562" spans="1:14" x14ac:dyDescent="0.3">
      <c r="A12562" s="42"/>
      <c r="C12562" s="52"/>
      <c r="D12562"/>
      <c r="E12562"/>
      <c r="F12562"/>
      <c r="N12562" s="44"/>
    </row>
    <row r="12563" spans="1:14" x14ac:dyDescent="0.3">
      <c r="A12563" s="42"/>
      <c r="C12563" s="52"/>
      <c r="D12563"/>
      <c r="E12563"/>
      <c r="F12563"/>
      <c r="N12563" s="44"/>
    </row>
    <row r="12564" spans="1:14" x14ac:dyDescent="0.3">
      <c r="A12564" s="42"/>
      <c r="C12564" s="52"/>
      <c r="D12564"/>
      <c r="E12564"/>
      <c r="F12564"/>
      <c r="N12564" s="44"/>
    </row>
    <row r="12565" spans="1:14" x14ac:dyDescent="0.3">
      <c r="A12565" s="42"/>
      <c r="C12565" s="52"/>
      <c r="D12565"/>
      <c r="E12565"/>
      <c r="F12565"/>
      <c r="N12565" s="44"/>
    </row>
    <row r="12566" spans="1:14" x14ac:dyDescent="0.3">
      <c r="A12566" s="42"/>
      <c r="C12566" s="52"/>
      <c r="D12566"/>
      <c r="E12566"/>
      <c r="F12566"/>
      <c r="N12566" s="44"/>
    </row>
    <row r="12567" spans="1:14" x14ac:dyDescent="0.3">
      <c r="A12567" s="42"/>
      <c r="C12567" s="52"/>
      <c r="D12567"/>
      <c r="E12567"/>
      <c r="F12567"/>
      <c r="N12567" s="44"/>
    </row>
    <row r="12568" spans="1:14" x14ac:dyDescent="0.3">
      <c r="A12568" s="42"/>
      <c r="C12568" s="52"/>
      <c r="D12568"/>
      <c r="E12568"/>
      <c r="F12568"/>
      <c r="N12568" s="44"/>
    </row>
    <row r="12569" spans="1:14" x14ac:dyDescent="0.3">
      <c r="A12569" s="42"/>
      <c r="C12569" s="52"/>
      <c r="D12569"/>
      <c r="E12569"/>
      <c r="F12569"/>
      <c r="N12569" s="44"/>
    </row>
    <row r="12570" spans="1:14" x14ac:dyDescent="0.3">
      <c r="A12570" s="42"/>
      <c r="C12570" s="52"/>
      <c r="D12570"/>
      <c r="E12570"/>
      <c r="F12570"/>
      <c r="N12570" s="44"/>
    </row>
    <row r="12571" spans="1:14" x14ac:dyDescent="0.3">
      <c r="A12571" s="42"/>
      <c r="C12571" s="52"/>
      <c r="D12571"/>
      <c r="E12571"/>
      <c r="F12571"/>
      <c r="N12571" s="44"/>
    </row>
    <row r="12572" spans="1:14" x14ac:dyDescent="0.3">
      <c r="A12572" s="42"/>
      <c r="C12572" s="52"/>
      <c r="D12572"/>
      <c r="E12572"/>
      <c r="F12572"/>
      <c r="N12572" s="44"/>
    </row>
    <row r="12573" spans="1:14" x14ac:dyDescent="0.3">
      <c r="A12573" s="42"/>
      <c r="C12573" s="52"/>
      <c r="D12573"/>
      <c r="E12573"/>
      <c r="F12573"/>
      <c r="N12573" s="44"/>
    </row>
    <row r="12574" spans="1:14" x14ac:dyDescent="0.3">
      <c r="A12574" s="42"/>
      <c r="C12574" s="52"/>
      <c r="D12574"/>
      <c r="E12574"/>
      <c r="F12574"/>
      <c r="N12574" s="44"/>
    </row>
    <row r="12575" spans="1:14" x14ac:dyDescent="0.3">
      <c r="A12575" s="42"/>
      <c r="C12575" s="52"/>
      <c r="D12575"/>
      <c r="E12575"/>
      <c r="F12575"/>
      <c r="N12575" s="44"/>
    </row>
    <row r="12576" spans="1:14" x14ac:dyDescent="0.3">
      <c r="A12576" s="42"/>
      <c r="C12576" s="52"/>
      <c r="D12576"/>
      <c r="E12576"/>
      <c r="F12576"/>
      <c r="N12576" s="44"/>
    </row>
    <row r="12577" spans="1:14" x14ac:dyDescent="0.3">
      <c r="A12577" s="42"/>
      <c r="C12577" s="52"/>
      <c r="D12577"/>
      <c r="E12577"/>
      <c r="F12577"/>
      <c r="N12577" s="44"/>
    </row>
    <row r="12578" spans="1:14" x14ac:dyDescent="0.3">
      <c r="A12578" s="42"/>
      <c r="C12578" s="52"/>
      <c r="D12578"/>
      <c r="E12578"/>
      <c r="F12578"/>
      <c r="N12578" s="44"/>
    </row>
    <row r="12579" spans="1:14" x14ac:dyDescent="0.3">
      <c r="A12579" s="42"/>
      <c r="C12579" s="52"/>
      <c r="D12579"/>
      <c r="E12579"/>
      <c r="F12579"/>
      <c r="N12579" s="44"/>
    </row>
    <row r="12580" spans="1:14" x14ac:dyDescent="0.3">
      <c r="A12580" s="42"/>
      <c r="C12580" s="52"/>
      <c r="D12580"/>
      <c r="E12580"/>
      <c r="F12580"/>
      <c r="N12580" s="44"/>
    </row>
    <row r="12581" spans="1:14" x14ac:dyDescent="0.3">
      <c r="A12581" s="42"/>
      <c r="C12581" s="52"/>
      <c r="D12581"/>
      <c r="E12581"/>
      <c r="F12581"/>
      <c r="N12581" s="44"/>
    </row>
    <row r="12582" spans="1:14" x14ac:dyDescent="0.3">
      <c r="A12582" s="42"/>
      <c r="C12582" s="52"/>
      <c r="D12582"/>
      <c r="E12582"/>
      <c r="F12582"/>
      <c r="N12582" s="44"/>
    </row>
    <row r="12583" spans="1:14" x14ac:dyDescent="0.3">
      <c r="A12583" s="42"/>
      <c r="C12583" s="52"/>
      <c r="D12583"/>
      <c r="E12583"/>
      <c r="F12583"/>
      <c r="N12583" s="44"/>
    </row>
    <row r="12584" spans="1:14" x14ac:dyDescent="0.3">
      <c r="A12584" s="42"/>
      <c r="C12584" s="52"/>
      <c r="D12584"/>
      <c r="E12584"/>
      <c r="F12584"/>
      <c r="N12584" s="44"/>
    </row>
    <row r="12585" spans="1:14" x14ac:dyDescent="0.3">
      <c r="A12585" s="42"/>
      <c r="C12585" s="52"/>
      <c r="D12585"/>
      <c r="E12585"/>
      <c r="F12585"/>
      <c r="N12585" s="44"/>
    </row>
    <row r="12586" spans="1:14" x14ac:dyDescent="0.3">
      <c r="A12586" s="42"/>
      <c r="C12586" s="52"/>
      <c r="D12586"/>
      <c r="E12586"/>
      <c r="F12586"/>
      <c r="N12586" s="44"/>
    </row>
    <row r="12587" spans="1:14" x14ac:dyDescent="0.3">
      <c r="A12587" s="42"/>
      <c r="C12587" s="52"/>
      <c r="D12587"/>
      <c r="E12587"/>
      <c r="F12587"/>
      <c r="N12587" s="44"/>
    </row>
    <row r="12588" spans="1:14" x14ac:dyDescent="0.3">
      <c r="A12588" s="42"/>
      <c r="C12588" s="52"/>
      <c r="D12588"/>
      <c r="E12588"/>
      <c r="F12588"/>
      <c r="N12588" s="44"/>
    </row>
    <row r="12589" spans="1:14" x14ac:dyDescent="0.3">
      <c r="A12589" s="42"/>
      <c r="C12589" s="52"/>
      <c r="D12589"/>
      <c r="E12589"/>
      <c r="F12589"/>
      <c r="N12589" s="44"/>
    </row>
    <row r="12590" spans="1:14" x14ac:dyDescent="0.3">
      <c r="A12590" s="42"/>
      <c r="C12590" s="52"/>
      <c r="D12590"/>
      <c r="E12590"/>
      <c r="F12590"/>
      <c r="N12590" s="44"/>
    </row>
    <row r="12591" spans="1:14" x14ac:dyDescent="0.3">
      <c r="A12591" s="42"/>
      <c r="C12591" s="52"/>
      <c r="D12591"/>
      <c r="E12591"/>
      <c r="F12591"/>
      <c r="N12591" s="44"/>
    </row>
    <row r="12592" spans="1:14" x14ac:dyDescent="0.3">
      <c r="A12592" s="42"/>
      <c r="C12592" s="52"/>
      <c r="D12592"/>
      <c r="E12592"/>
      <c r="F12592"/>
      <c r="N12592" s="44"/>
    </row>
    <row r="12593" spans="1:14" x14ac:dyDescent="0.3">
      <c r="A12593" s="42"/>
      <c r="C12593" s="52"/>
      <c r="D12593"/>
      <c r="E12593"/>
      <c r="F12593"/>
      <c r="N12593" s="44"/>
    </row>
    <row r="12594" spans="1:14" x14ac:dyDescent="0.3">
      <c r="A12594" s="42"/>
      <c r="C12594" s="52"/>
      <c r="D12594"/>
      <c r="E12594"/>
      <c r="F12594"/>
      <c r="N12594" s="44"/>
    </row>
    <row r="12595" spans="1:14" x14ac:dyDescent="0.3">
      <c r="A12595" s="42"/>
      <c r="C12595" s="52"/>
      <c r="D12595"/>
      <c r="E12595"/>
      <c r="F12595"/>
      <c r="N12595" s="44"/>
    </row>
    <row r="12596" spans="1:14" x14ac:dyDescent="0.3">
      <c r="A12596" s="42"/>
      <c r="C12596" s="52"/>
      <c r="D12596"/>
      <c r="E12596"/>
      <c r="F12596"/>
      <c r="N12596" s="44"/>
    </row>
    <row r="12597" spans="1:14" x14ac:dyDescent="0.3">
      <c r="A12597" s="42"/>
      <c r="C12597" s="52"/>
      <c r="D12597"/>
      <c r="E12597"/>
      <c r="F12597"/>
      <c r="N12597" s="44"/>
    </row>
    <row r="12598" spans="1:14" x14ac:dyDescent="0.3">
      <c r="A12598" s="42"/>
      <c r="C12598" s="52"/>
      <c r="D12598"/>
      <c r="E12598"/>
      <c r="F12598"/>
      <c r="N12598" s="44"/>
    </row>
    <row r="12599" spans="1:14" x14ac:dyDescent="0.3">
      <c r="A12599" s="42"/>
      <c r="C12599" s="52"/>
      <c r="D12599"/>
      <c r="E12599"/>
      <c r="F12599"/>
      <c r="N12599" s="44"/>
    </row>
    <row r="12600" spans="1:14" x14ac:dyDescent="0.3">
      <c r="A12600" s="42"/>
      <c r="C12600" s="52"/>
      <c r="D12600"/>
      <c r="E12600"/>
      <c r="F12600"/>
      <c r="N12600" s="44"/>
    </row>
    <row r="12601" spans="1:14" x14ac:dyDescent="0.3">
      <c r="A12601" s="42"/>
      <c r="C12601" s="52"/>
      <c r="D12601"/>
      <c r="E12601"/>
      <c r="F12601"/>
      <c r="N12601" s="44"/>
    </row>
    <row r="12602" spans="1:14" x14ac:dyDescent="0.3">
      <c r="A12602" s="42"/>
      <c r="C12602" s="52"/>
      <c r="D12602"/>
      <c r="E12602"/>
      <c r="F12602"/>
      <c r="N12602" s="44"/>
    </row>
    <row r="12603" spans="1:14" x14ac:dyDescent="0.3">
      <c r="A12603" s="42"/>
      <c r="C12603" s="52"/>
      <c r="D12603"/>
      <c r="E12603"/>
      <c r="F12603"/>
      <c r="N12603" s="44"/>
    </row>
    <row r="12604" spans="1:14" x14ac:dyDescent="0.3">
      <c r="A12604" s="42"/>
      <c r="C12604" s="52"/>
      <c r="D12604"/>
      <c r="E12604"/>
      <c r="F12604"/>
      <c r="N12604" s="44"/>
    </row>
    <row r="12605" spans="1:14" x14ac:dyDescent="0.3">
      <c r="A12605" s="42"/>
      <c r="C12605" s="52"/>
      <c r="D12605"/>
      <c r="E12605"/>
      <c r="F12605"/>
      <c r="N12605" s="44"/>
    </row>
    <row r="12606" spans="1:14" x14ac:dyDescent="0.3">
      <c r="A12606" s="42"/>
      <c r="C12606" s="52"/>
      <c r="D12606"/>
      <c r="E12606"/>
      <c r="F12606"/>
      <c r="N12606" s="44"/>
    </row>
    <row r="12607" spans="1:14" x14ac:dyDescent="0.3">
      <c r="A12607" s="42"/>
      <c r="C12607" s="52"/>
      <c r="D12607"/>
      <c r="E12607"/>
      <c r="F12607"/>
      <c r="N12607" s="44"/>
    </row>
    <row r="12608" spans="1:14" x14ac:dyDescent="0.3">
      <c r="A12608" s="42"/>
      <c r="C12608" s="52"/>
      <c r="D12608"/>
      <c r="E12608"/>
      <c r="F12608"/>
      <c r="N12608" s="44"/>
    </row>
    <row r="12609" spans="1:14" x14ac:dyDescent="0.3">
      <c r="A12609" s="42"/>
      <c r="C12609" s="52"/>
      <c r="D12609"/>
      <c r="E12609"/>
      <c r="F12609"/>
      <c r="N12609" s="44"/>
    </row>
    <row r="12610" spans="1:14" x14ac:dyDescent="0.3">
      <c r="A12610" s="42"/>
      <c r="C12610" s="52"/>
      <c r="D12610"/>
      <c r="E12610"/>
      <c r="F12610"/>
      <c r="N12610" s="44"/>
    </row>
    <row r="12611" spans="1:14" x14ac:dyDescent="0.3">
      <c r="A12611" s="42"/>
      <c r="C12611" s="52"/>
      <c r="D12611"/>
      <c r="E12611"/>
      <c r="F12611"/>
      <c r="N12611" s="44"/>
    </row>
    <row r="12612" spans="1:14" x14ac:dyDescent="0.3">
      <c r="A12612" s="42"/>
      <c r="C12612" s="52"/>
      <c r="D12612"/>
      <c r="E12612"/>
      <c r="F12612"/>
      <c r="N12612" s="44"/>
    </row>
    <row r="12613" spans="1:14" x14ac:dyDescent="0.3">
      <c r="A12613" s="42"/>
      <c r="C12613" s="52"/>
      <c r="D12613"/>
      <c r="E12613"/>
      <c r="F12613"/>
      <c r="N12613" s="44"/>
    </row>
    <row r="12614" spans="1:14" x14ac:dyDescent="0.3">
      <c r="A12614" s="42"/>
      <c r="C12614" s="52"/>
      <c r="D12614"/>
      <c r="E12614"/>
      <c r="F12614"/>
      <c r="N12614" s="44"/>
    </row>
    <row r="12615" spans="1:14" x14ac:dyDescent="0.3">
      <c r="A12615" s="42"/>
      <c r="C12615" s="52"/>
      <c r="D12615"/>
      <c r="E12615"/>
      <c r="F12615"/>
      <c r="N12615" s="44"/>
    </row>
    <row r="12616" spans="1:14" x14ac:dyDescent="0.3">
      <c r="A12616" s="42"/>
      <c r="C12616" s="52"/>
      <c r="D12616"/>
      <c r="E12616"/>
      <c r="F12616"/>
      <c r="N12616" s="44"/>
    </row>
    <row r="12617" spans="1:14" x14ac:dyDescent="0.3">
      <c r="A12617" s="42"/>
      <c r="C12617" s="52"/>
      <c r="D12617"/>
      <c r="E12617"/>
      <c r="F12617"/>
      <c r="N12617" s="44"/>
    </row>
    <row r="12618" spans="1:14" x14ac:dyDescent="0.3">
      <c r="A12618" s="42"/>
      <c r="C12618" s="52"/>
      <c r="D12618"/>
      <c r="E12618"/>
      <c r="F12618"/>
      <c r="N12618" s="44"/>
    </row>
    <row r="12619" spans="1:14" x14ac:dyDescent="0.3">
      <c r="A12619" s="42"/>
      <c r="C12619" s="52"/>
      <c r="D12619"/>
      <c r="E12619"/>
      <c r="F12619"/>
      <c r="N12619" s="44"/>
    </row>
    <row r="12620" spans="1:14" x14ac:dyDescent="0.3">
      <c r="A12620" s="42"/>
      <c r="C12620" s="52"/>
      <c r="D12620"/>
      <c r="E12620"/>
      <c r="F12620"/>
      <c r="N12620" s="44"/>
    </row>
    <row r="12621" spans="1:14" x14ac:dyDescent="0.3">
      <c r="A12621" s="42"/>
      <c r="C12621" s="52"/>
      <c r="D12621"/>
      <c r="E12621"/>
      <c r="F12621"/>
      <c r="N12621" s="44"/>
    </row>
    <row r="12622" spans="1:14" x14ac:dyDescent="0.3">
      <c r="A12622" s="42"/>
      <c r="C12622" s="52"/>
      <c r="D12622"/>
      <c r="E12622"/>
      <c r="F12622"/>
      <c r="M12622" s="45"/>
      <c r="N12622" s="44"/>
    </row>
    <row r="12623" spans="1:14" x14ac:dyDescent="0.3">
      <c r="A12623" s="42"/>
      <c r="C12623" s="52"/>
      <c r="D12623"/>
      <c r="E12623"/>
      <c r="F12623"/>
      <c r="M12623" s="45"/>
      <c r="N12623" s="44"/>
    </row>
    <row r="12624" spans="1:14" x14ac:dyDescent="0.3">
      <c r="A12624" s="42"/>
      <c r="C12624" s="52"/>
      <c r="D12624"/>
      <c r="E12624"/>
      <c r="F12624"/>
      <c r="N12624" s="44"/>
    </row>
    <row r="12625" spans="1:14" x14ac:dyDescent="0.3">
      <c r="A12625" s="42"/>
      <c r="C12625" s="52"/>
      <c r="D12625"/>
      <c r="E12625"/>
      <c r="F12625"/>
      <c r="N12625" s="44"/>
    </row>
    <row r="12626" spans="1:14" x14ac:dyDescent="0.3">
      <c r="A12626" s="42"/>
      <c r="C12626" s="52"/>
      <c r="D12626"/>
      <c r="E12626"/>
      <c r="F12626"/>
      <c r="N12626" s="44"/>
    </row>
    <row r="12627" spans="1:14" x14ac:dyDescent="0.3">
      <c r="A12627" s="42"/>
      <c r="C12627" s="52"/>
      <c r="D12627"/>
      <c r="E12627"/>
      <c r="F12627"/>
      <c r="N12627" s="44"/>
    </row>
    <row r="12628" spans="1:14" x14ac:dyDescent="0.3">
      <c r="A12628" s="42"/>
      <c r="C12628" s="52"/>
      <c r="D12628"/>
      <c r="E12628"/>
      <c r="F12628"/>
      <c r="N12628" s="44"/>
    </row>
    <row r="12629" spans="1:14" x14ac:dyDescent="0.3">
      <c r="A12629" s="42"/>
      <c r="C12629" s="52"/>
      <c r="D12629"/>
      <c r="E12629"/>
      <c r="F12629"/>
      <c r="M12629" s="45"/>
      <c r="N12629" s="44"/>
    </row>
    <row r="12630" spans="1:14" x14ac:dyDescent="0.3">
      <c r="A12630" s="42"/>
      <c r="C12630" s="52"/>
      <c r="D12630"/>
      <c r="E12630"/>
      <c r="F12630"/>
      <c r="M12630" s="45"/>
      <c r="N12630" s="44"/>
    </row>
    <row r="12631" spans="1:14" x14ac:dyDescent="0.3">
      <c r="A12631" s="42"/>
      <c r="C12631" s="52"/>
      <c r="D12631"/>
      <c r="E12631"/>
      <c r="F12631"/>
      <c r="N12631" s="44"/>
    </row>
    <row r="12632" spans="1:14" x14ac:dyDescent="0.3">
      <c r="A12632" s="42"/>
      <c r="C12632" s="52"/>
      <c r="D12632"/>
      <c r="E12632"/>
      <c r="F12632"/>
      <c r="N12632" s="44"/>
    </row>
    <row r="12633" spans="1:14" x14ac:dyDescent="0.3">
      <c r="A12633" s="42"/>
      <c r="C12633" s="52"/>
      <c r="D12633"/>
      <c r="E12633"/>
      <c r="F12633"/>
      <c r="N12633" s="44"/>
    </row>
    <row r="12634" spans="1:14" x14ac:dyDescent="0.3">
      <c r="A12634" s="42"/>
      <c r="C12634" s="52"/>
      <c r="D12634"/>
      <c r="E12634"/>
      <c r="F12634"/>
      <c r="N12634" s="44"/>
    </row>
    <row r="12635" spans="1:14" x14ac:dyDescent="0.3">
      <c r="A12635" s="42"/>
      <c r="C12635" s="52"/>
      <c r="D12635"/>
      <c r="E12635"/>
      <c r="F12635"/>
      <c r="N12635" s="44"/>
    </row>
    <row r="12636" spans="1:14" x14ac:dyDescent="0.3">
      <c r="A12636" s="42"/>
      <c r="C12636" s="52"/>
      <c r="D12636"/>
      <c r="E12636"/>
      <c r="F12636"/>
      <c r="N12636" s="44"/>
    </row>
    <row r="12637" spans="1:14" x14ac:dyDescent="0.3">
      <c r="A12637" s="42"/>
      <c r="C12637" s="52"/>
      <c r="D12637"/>
      <c r="E12637"/>
      <c r="F12637"/>
      <c r="N12637" s="44"/>
    </row>
    <row r="12638" spans="1:14" x14ac:dyDescent="0.3">
      <c r="A12638" s="42"/>
      <c r="C12638" s="52"/>
      <c r="D12638"/>
      <c r="E12638"/>
      <c r="F12638"/>
      <c r="N12638" s="44"/>
    </row>
    <row r="12639" spans="1:14" x14ac:dyDescent="0.3">
      <c r="A12639" s="42"/>
      <c r="C12639" s="52"/>
      <c r="D12639"/>
      <c r="E12639"/>
      <c r="F12639"/>
      <c r="N12639" s="44"/>
    </row>
    <row r="12640" spans="1:14" x14ac:dyDescent="0.3">
      <c r="A12640" s="42"/>
      <c r="C12640" s="52"/>
      <c r="D12640"/>
      <c r="E12640"/>
      <c r="F12640"/>
      <c r="N12640" s="44"/>
    </row>
    <row r="12641" spans="1:14" x14ac:dyDescent="0.3">
      <c r="A12641" s="42"/>
      <c r="C12641" s="52"/>
      <c r="D12641"/>
      <c r="E12641"/>
      <c r="F12641"/>
      <c r="N12641" s="44"/>
    </row>
    <row r="12642" spans="1:14" x14ac:dyDescent="0.3">
      <c r="A12642" s="42"/>
      <c r="C12642" s="52"/>
      <c r="D12642"/>
      <c r="E12642"/>
      <c r="F12642"/>
      <c r="N12642" s="44"/>
    </row>
    <row r="12643" spans="1:14" x14ac:dyDescent="0.3">
      <c r="A12643" s="42"/>
      <c r="C12643" s="52"/>
      <c r="D12643"/>
      <c r="E12643"/>
      <c r="F12643"/>
      <c r="N12643" s="44"/>
    </row>
    <row r="12644" spans="1:14" x14ac:dyDescent="0.3">
      <c r="A12644" s="42"/>
      <c r="C12644" s="52"/>
      <c r="D12644"/>
      <c r="E12644"/>
      <c r="F12644"/>
      <c r="N12644" s="44"/>
    </row>
    <row r="12645" spans="1:14" x14ac:dyDescent="0.3">
      <c r="A12645" s="42"/>
      <c r="C12645" s="52"/>
      <c r="D12645"/>
      <c r="E12645"/>
      <c r="F12645"/>
      <c r="N12645" s="44"/>
    </row>
    <row r="12646" spans="1:14" x14ac:dyDescent="0.3">
      <c r="A12646" s="42"/>
      <c r="C12646" s="52"/>
      <c r="D12646"/>
      <c r="E12646"/>
      <c r="F12646"/>
      <c r="N12646" s="44"/>
    </row>
    <row r="12647" spans="1:14" x14ac:dyDescent="0.3">
      <c r="A12647" s="42"/>
      <c r="C12647" s="52"/>
      <c r="D12647"/>
      <c r="E12647"/>
      <c r="F12647"/>
      <c r="N12647" s="44"/>
    </row>
    <row r="12648" spans="1:14" x14ac:dyDescent="0.3">
      <c r="A12648" s="42"/>
      <c r="C12648" s="52"/>
      <c r="D12648"/>
      <c r="E12648"/>
      <c r="F12648"/>
      <c r="N12648" s="44"/>
    </row>
    <row r="12649" spans="1:14" x14ac:dyDescent="0.3">
      <c r="A12649" s="42"/>
      <c r="C12649" s="52"/>
      <c r="D12649"/>
      <c r="E12649"/>
      <c r="F12649"/>
      <c r="N12649" s="44"/>
    </row>
    <row r="12650" spans="1:14" x14ac:dyDescent="0.3">
      <c r="A12650" s="42"/>
      <c r="C12650" s="52"/>
      <c r="D12650"/>
      <c r="E12650"/>
      <c r="F12650"/>
      <c r="N12650" s="44"/>
    </row>
    <row r="12651" spans="1:14" x14ac:dyDescent="0.3">
      <c r="A12651" s="42"/>
      <c r="C12651" s="52"/>
      <c r="D12651"/>
      <c r="E12651"/>
      <c r="F12651"/>
      <c r="N12651" s="44"/>
    </row>
    <row r="12652" spans="1:14" x14ac:dyDescent="0.3">
      <c r="A12652" s="42"/>
      <c r="C12652" s="52"/>
      <c r="D12652"/>
      <c r="E12652"/>
      <c r="F12652"/>
      <c r="N12652" s="44"/>
    </row>
    <row r="12653" spans="1:14" x14ac:dyDescent="0.3">
      <c r="A12653" s="42"/>
      <c r="C12653" s="52"/>
      <c r="D12653"/>
      <c r="E12653"/>
      <c r="F12653"/>
      <c r="N12653" s="44"/>
    </row>
    <row r="12654" spans="1:14" x14ac:dyDescent="0.3">
      <c r="A12654" s="42"/>
      <c r="C12654" s="52"/>
      <c r="D12654"/>
      <c r="E12654"/>
      <c r="F12654"/>
      <c r="N12654" s="44"/>
    </row>
    <row r="12655" spans="1:14" x14ac:dyDescent="0.3">
      <c r="A12655" s="42"/>
      <c r="C12655" s="52"/>
      <c r="D12655"/>
      <c r="E12655"/>
      <c r="F12655"/>
      <c r="N12655" s="44"/>
    </row>
    <row r="12656" spans="1:14" x14ac:dyDescent="0.3">
      <c r="A12656" s="42"/>
      <c r="C12656" s="52"/>
      <c r="D12656"/>
      <c r="E12656"/>
      <c r="F12656"/>
      <c r="N12656" s="44"/>
    </row>
    <row r="12657" spans="1:14" x14ac:dyDescent="0.3">
      <c r="A12657" s="42"/>
      <c r="C12657" s="52"/>
      <c r="D12657"/>
      <c r="E12657"/>
      <c r="F12657"/>
      <c r="N12657" s="44"/>
    </row>
    <row r="12658" spans="1:14" x14ac:dyDescent="0.3">
      <c r="A12658" s="42"/>
      <c r="C12658" s="52"/>
      <c r="D12658"/>
      <c r="E12658"/>
      <c r="F12658"/>
      <c r="M12658" s="45"/>
      <c r="N12658" s="44"/>
    </row>
    <row r="12659" spans="1:14" x14ac:dyDescent="0.3">
      <c r="A12659" s="42"/>
      <c r="C12659" s="52"/>
      <c r="D12659"/>
      <c r="E12659"/>
      <c r="F12659"/>
      <c r="N12659" s="44"/>
    </row>
    <row r="12660" spans="1:14" x14ac:dyDescent="0.3">
      <c r="A12660" s="42"/>
      <c r="C12660" s="52"/>
      <c r="D12660"/>
      <c r="E12660"/>
      <c r="F12660"/>
      <c r="N12660" s="44"/>
    </row>
    <row r="12661" spans="1:14" x14ac:dyDescent="0.3">
      <c r="A12661" s="42"/>
      <c r="C12661" s="52"/>
      <c r="D12661"/>
      <c r="E12661"/>
      <c r="F12661"/>
      <c r="N12661" s="44"/>
    </row>
    <row r="12662" spans="1:14" x14ac:dyDescent="0.3">
      <c r="A12662" s="42"/>
      <c r="C12662" s="52"/>
      <c r="D12662"/>
      <c r="E12662"/>
      <c r="F12662"/>
      <c r="N12662" s="44"/>
    </row>
    <row r="12663" spans="1:14" x14ac:dyDescent="0.3">
      <c r="A12663" s="42"/>
      <c r="C12663" s="52"/>
      <c r="D12663"/>
      <c r="E12663"/>
      <c r="F12663"/>
      <c r="N12663" s="44"/>
    </row>
    <row r="12664" spans="1:14" x14ac:dyDescent="0.3">
      <c r="A12664" s="42"/>
      <c r="C12664" s="52"/>
      <c r="D12664"/>
      <c r="E12664"/>
      <c r="F12664"/>
      <c r="N12664" s="44"/>
    </row>
    <row r="12665" spans="1:14" x14ac:dyDescent="0.3">
      <c r="A12665" s="42"/>
      <c r="C12665" s="52"/>
      <c r="D12665"/>
      <c r="E12665"/>
      <c r="F12665"/>
      <c r="N12665" s="44"/>
    </row>
    <row r="12666" spans="1:14" x14ac:dyDescent="0.3">
      <c r="A12666" s="42"/>
      <c r="C12666" s="52"/>
      <c r="D12666"/>
      <c r="E12666"/>
      <c r="F12666"/>
      <c r="N12666" s="44"/>
    </row>
    <row r="12667" spans="1:14" x14ac:dyDescent="0.3">
      <c r="A12667" s="42"/>
      <c r="C12667" s="52"/>
      <c r="D12667"/>
      <c r="E12667"/>
      <c r="F12667"/>
      <c r="N12667" s="44"/>
    </row>
    <row r="12668" spans="1:14" x14ac:dyDescent="0.3">
      <c r="A12668" s="42"/>
      <c r="C12668" s="52"/>
      <c r="D12668"/>
      <c r="E12668"/>
      <c r="F12668"/>
      <c r="N12668" s="44"/>
    </row>
    <row r="12669" spans="1:14" x14ac:dyDescent="0.3">
      <c r="A12669" s="42"/>
      <c r="C12669" s="52"/>
      <c r="D12669"/>
      <c r="E12669"/>
      <c r="F12669"/>
      <c r="N12669" s="44"/>
    </row>
    <row r="12670" spans="1:14" x14ac:dyDescent="0.3">
      <c r="A12670" s="42"/>
      <c r="C12670" s="52"/>
      <c r="D12670"/>
      <c r="E12670"/>
      <c r="F12670"/>
      <c r="N12670" s="44"/>
    </row>
    <row r="12671" spans="1:14" x14ac:dyDescent="0.3">
      <c r="A12671" s="42"/>
      <c r="C12671" s="52"/>
      <c r="D12671"/>
      <c r="E12671"/>
      <c r="F12671"/>
      <c r="N12671" s="44"/>
    </row>
    <row r="12672" spans="1:14" x14ac:dyDescent="0.3">
      <c r="A12672" s="42"/>
      <c r="C12672" s="52"/>
      <c r="D12672"/>
      <c r="E12672"/>
      <c r="F12672"/>
      <c r="N12672" s="44"/>
    </row>
    <row r="12673" spans="1:14" x14ac:dyDescent="0.3">
      <c r="A12673" s="42"/>
      <c r="C12673" s="52"/>
      <c r="D12673"/>
      <c r="E12673"/>
      <c r="F12673"/>
      <c r="N12673" s="44"/>
    </row>
    <row r="12674" spans="1:14" x14ac:dyDescent="0.3">
      <c r="A12674" s="42"/>
      <c r="C12674" s="52"/>
      <c r="D12674"/>
      <c r="E12674"/>
      <c r="F12674"/>
      <c r="N12674" s="44"/>
    </row>
    <row r="12675" spans="1:14" x14ac:dyDescent="0.3">
      <c r="A12675" s="42"/>
      <c r="C12675" s="52"/>
      <c r="D12675"/>
      <c r="E12675"/>
      <c r="F12675"/>
      <c r="N12675" s="44"/>
    </row>
    <row r="12676" spans="1:14" x14ac:dyDescent="0.3">
      <c r="A12676" s="42"/>
      <c r="C12676" s="52"/>
      <c r="D12676"/>
      <c r="E12676"/>
      <c r="F12676"/>
      <c r="N12676" s="44"/>
    </row>
    <row r="12677" spans="1:14" x14ac:dyDescent="0.3">
      <c r="A12677" s="42"/>
      <c r="C12677" s="52"/>
      <c r="D12677"/>
      <c r="E12677"/>
      <c r="F12677"/>
      <c r="N12677" s="44"/>
    </row>
    <row r="12678" spans="1:14" x14ac:dyDescent="0.3">
      <c r="A12678" s="42"/>
      <c r="C12678" s="52"/>
      <c r="D12678"/>
      <c r="E12678"/>
      <c r="F12678"/>
      <c r="N12678" s="44"/>
    </row>
    <row r="12679" spans="1:14" x14ac:dyDescent="0.3">
      <c r="A12679" s="42"/>
      <c r="C12679" s="52"/>
      <c r="D12679"/>
      <c r="E12679"/>
      <c r="F12679"/>
      <c r="N12679" s="44"/>
    </row>
    <row r="12680" spans="1:14" x14ac:dyDescent="0.3">
      <c r="A12680" s="42"/>
      <c r="C12680" s="52"/>
      <c r="D12680"/>
      <c r="E12680"/>
      <c r="F12680"/>
      <c r="N12680" s="44"/>
    </row>
    <row r="12681" spans="1:14" x14ac:dyDescent="0.3">
      <c r="A12681" s="42"/>
      <c r="C12681" s="52"/>
      <c r="D12681"/>
      <c r="E12681"/>
      <c r="F12681"/>
      <c r="N12681" s="44"/>
    </row>
    <row r="12682" spans="1:14" x14ac:dyDescent="0.3">
      <c r="A12682" s="42"/>
      <c r="C12682" s="52"/>
      <c r="D12682"/>
      <c r="E12682"/>
      <c r="F12682"/>
      <c r="N12682" s="44"/>
    </row>
    <row r="12683" spans="1:14" x14ac:dyDescent="0.3">
      <c r="A12683" s="42"/>
      <c r="C12683" s="52"/>
      <c r="D12683"/>
      <c r="E12683"/>
      <c r="F12683"/>
      <c r="N12683" s="44"/>
    </row>
    <row r="12684" spans="1:14" x14ac:dyDescent="0.3">
      <c r="A12684" s="42"/>
      <c r="C12684" s="52"/>
      <c r="D12684"/>
      <c r="E12684"/>
      <c r="F12684"/>
      <c r="N12684" s="44"/>
    </row>
    <row r="12685" spans="1:14" x14ac:dyDescent="0.3">
      <c r="A12685" s="42"/>
      <c r="C12685" s="52"/>
      <c r="D12685"/>
      <c r="E12685"/>
      <c r="F12685"/>
      <c r="N12685" s="44"/>
    </row>
    <row r="12686" spans="1:14" x14ac:dyDescent="0.3">
      <c r="A12686" s="42"/>
      <c r="C12686" s="52"/>
      <c r="D12686"/>
      <c r="E12686"/>
      <c r="F12686"/>
      <c r="N12686" s="44"/>
    </row>
    <row r="12687" spans="1:14" x14ac:dyDescent="0.3">
      <c r="A12687" s="42"/>
      <c r="C12687" s="52"/>
      <c r="D12687"/>
      <c r="E12687"/>
      <c r="F12687"/>
      <c r="N12687" s="44"/>
    </row>
    <row r="12688" spans="1:14" x14ac:dyDescent="0.3">
      <c r="A12688" s="42"/>
      <c r="C12688" s="52"/>
      <c r="D12688"/>
      <c r="E12688"/>
      <c r="F12688"/>
      <c r="N12688" s="44"/>
    </row>
    <row r="12689" spans="1:14" x14ac:dyDescent="0.3">
      <c r="A12689" s="42"/>
      <c r="C12689" s="52"/>
      <c r="D12689"/>
      <c r="E12689"/>
      <c r="F12689"/>
      <c r="N12689" s="44"/>
    </row>
    <row r="12690" spans="1:14" x14ac:dyDescent="0.3">
      <c r="A12690" s="42"/>
      <c r="C12690" s="52"/>
      <c r="D12690"/>
      <c r="E12690"/>
      <c r="F12690"/>
      <c r="N12690" s="44"/>
    </row>
    <row r="12691" spans="1:14" x14ac:dyDescent="0.3">
      <c r="A12691" s="42"/>
      <c r="C12691" s="52"/>
      <c r="D12691"/>
      <c r="E12691"/>
      <c r="F12691"/>
      <c r="N12691" s="44"/>
    </row>
    <row r="12692" spans="1:14" x14ac:dyDescent="0.3">
      <c r="A12692" s="42"/>
      <c r="C12692" s="52"/>
      <c r="D12692"/>
      <c r="E12692"/>
      <c r="F12692"/>
      <c r="N12692" s="44"/>
    </row>
    <row r="12693" spans="1:14" x14ac:dyDescent="0.3">
      <c r="A12693" s="42"/>
      <c r="C12693" s="52"/>
      <c r="D12693"/>
      <c r="E12693"/>
      <c r="F12693"/>
      <c r="N12693" s="44"/>
    </row>
    <row r="12694" spans="1:14" x14ac:dyDescent="0.3">
      <c r="A12694" s="42"/>
      <c r="C12694" s="52"/>
      <c r="D12694"/>
      <c r="E12694"/>
      <c r="F12694"/>
      <c r="N12694" s="44"/>
    </row>
    <row r="12695" spans="1:14" x14ac:dyDescent="0.3">
      <c r="A12695" s="42"/>
      <c r="C12695" s="52"/>
      <c r="D12695"/>
      <c r="E12695"/>
      <c r="F12695"/>
      <c r="N12695" s="44"/>
    </row>
    <row r="12696" spans="1:14" x14ac:dyDescent="0.3">
      <c r="A12696" s="42"/>
      <c r="C12696" s="52"/>
      <c r="D12696"/>
      <c r="E12696"/>
      <c r="F12696"/>
      <c r="N12696" s="44"/>
    </row>
    <row r="12697" spans="1:14" x14ac:dyDescent="0.3">
      <c r="A12697" s="42"/>
      <c r="C12697" s="52"/>
      <c r="D12697"/>
      <c r="E12697"/>
      <c r="F12697"/>
      <c r="N12697" s="44"/>
    </row>
    <row r="12698" spans="1:14" x14ac:dyDescent="0.3">
      <c r="A12698" s="42"/>
      <c r="C12698" s="52"/>
      <c r="D12698"/>
      <c r="E12698"/>
      <c r="F12698"/>
      <c r="N12698" s="44"/>
    </row>
    <row r="12699" spans="1:14" x14ac:dyDescent="0.3">
      <c r="A12699" s="42"/>
      <c r="C12699" s="52"/>
      <c r="D12699"/>
      <c r="E12699"/>
      <c r="F12699"/>
      <c r="N12699" s="44"/>
    </row>
    <row r="12700" spans="1:14" x14ac:dyDescent="0.3">
      <c r="A12700" s="42"/>
      <c r="C12700" s="52"/>
      <c r="D12700"/>
      <c r="E12700"/>
      <c r="F12700"/>
      <c r="N12700" s="44"/>
    </row>
    <row r="12701" spans="1:14" x14ac:dyDescent="0.3">
      <c r="A12701" s="42"/>
      <c r="C12701" s="52"/>
      <c r="D12701"/>
      <c r="E12701"/>
      <c r="F12701"/>
      <c r="N12701" s="44"/>
    </row>
    <row r="12702" spans="1:14" x14ac:dyDescent="0.3">
      <c r="A12702" s="42"/>
      <c r="C12702" s="52"/>
      <c r="D12702"/>
      <c r="E12702"/>
      <c r="F12702"/>
      <c r="N12702" s="44"/>
    </row>
    <row r="12703" spans="1:14" x14ac:dyDescent="0.3">
      <c r="A12703" s="42"/>
      <c r="C12703" s="52"/>
      <c r="D12703"/>
      <c r="E12703"/>
      <c r="F12703"/>
      <c r="N12703" s="44"/>
    </row>
    <row r="12704" spans="1:14" x14ac:dyDescent="0.3">
      <c r="A12704" s="42"/>
      <c r="C12704" s="52"/>
      <c r="D12704"/>
      <c r="E12704"/>
      <c r="F12704"/>
      <c r="N12704" s="44"/>
    </row>
    <row r="12705" spans="1:14" x14ac:dyDescent="0.3">
      <c r="A12705" s="42"/>
      <c r="C12705" s="52"/>
      <c r="D12705"/>
      <c r="E12705"/>
      <c r="F12705"/>
      <c r="N12705" s="44"/>
    </row>
    <row r="12706" spans="1:14" x14ac:dyDescent="0.3">
      <c r="A12706" s="42"/>
      <c r="C12706" s="52"/>
      <c r="D12706"/>
      <c r="E12706"/>
      <c r="F12706"/>
      <c r="N12706" s="44"/>
    </row>
    <row r="12707" spans="1:14" x14ac:dyDescent="0.3">
      <c r="A12707" s="42"/>
      <c r="C12707" s="52"/>
      <c r="D12707"/>
      <c r="E12707"/>
      <c r="F12707"/>
      <c r="N12707" s="44"/>
    </row>
    <row r="12708" spans="1:14" x14ac:dyDescent="0.3">
      <c r="A12708" s="42"/>
      <c r="C12708" s="52"/>
      <c r="D12708"/>
      <c r="E12708"/>
      <c r="F12708"/>
      <c r="N12708" s="44"/>
    </row>
    <row r="12709" spans="1:14" x14ac:dyDescent="0.3">
      <c r="A12709" s="42"/>
      <c r="C12709" s="52"/>
      <c r="D12709"/>
      <c r="E12709"/>
      <c r="F12709"/>
      <c r="N12709" s="44"/>
    </row>
    <row r="12710" spans="1:14" x14ac:dyDescent="0.3">
      <c r="A12710" s="42"/>
      <c r="C12710" s="52"/>
      <c r="D12710"/>
      <c r="E12710"/>
      <c r="F12710"/>
      <c r="N12710" s="44"/>
    </row>
    <row r="12711" spans="1:14" x14ac:dyDescent="0.3">
      <c r="A12711" s="42"/>
      <c r="C12711" s="52"/>
      <c r="D12711"/>
      <c r="E12711"/>
      <c r="F12711"/>
      <c r="N12711" s="44"/>
    </row>
    <row r="12712" spans="1:14" x14ac:dyDescent="0.3">
      <c r="A12712" s="42"/>
      <c r="C12712" s="52"/>
      <c r="D12712"/>
      <c r="E12712"/>
      <c r="F12712"/>
      <c r="N12712" s="44"/>
    </row>
    <row r="12713" spans="1:14" x14ac:dyDescent="0.3">
      <c r="A12713" s="42"/>
      <c r="C12713" s="52"/>
      <c r="D12713"/>
      <c r="E12713"/>
      <c r="F12713"/>
      <c r="N12713" s="44"/>
    </row>
    <row r="12714" spans="1:14" x14ac:dyDescent="0.3">
      <c r="A12714" s="42"/>
      <c r="C12714" s="52"/>
      <c r="D12714"/>
      <c r="E12714"/>
      <c r="F12714"/>
      <c r="N12714" s="44"/>
    </row>
    <row r="12715" spans="1:14" x14ac:dyDescent="0.3">
      <c r="A12715" s="42"/>
      <c r="C12715" s="52"/>
      <c r="D12715"/>
      <c r="E12715"/>
      <c r="F12715"/>
      <c r="N12715" s="44"/>
    </row>
    <row r="12716" spans="1:14" x14ac:dyDescent="0.3">
      <c r="A12716" s="42"/>
      <c r="C12716" s="52"/>
      <c r="D12716"/>
      <c r="E12716"/>
      <c r="F12716"/>
      <c r="N12716" s="44"/>
    </row>
    <row r="12717" spans="1:14" x14ac:dyDescent="0.3">
      <c r="A12717" s="42"/>
      <c r="C12717" s="52"/>
      <c r="D12717"/>
      <c r="E12717"/>
      <c r="F12717"/>
      <c r="N12717" s="44"/>
    </row>
    <row r="12718" spans="1:14" x14ac:dyDescent="0.3">
      <c r="A12718" s="42"/>
      <c r="C12718" s="52"/>
      <c r="D12718"/>
      <c r="E12718"/>
      <c r="F12718"/>
      <c r="N12718" s="44"/>
    </row>
    <row r="12719" spans="1:14" x14ac:dyDescent="0.3">
      <c r="A12719" s="42"/>
      <c r="C12719" s="52"/>
      <c r="D12719"/>
      <c r="E12719"/>
      <c r="F12719"/>
      <c r="N12719" s="44"/>
    </row>
    <row r="12720" spans="1:14" x14ac:dyDescent="0.3">
      <c r="A12720" s="42"/>
      <c r="C12720" s="52"/>
      <c r="D12720"/>
      <c r="E12720"/>
      <c r="F12720"/>
      <c r="N12720" s="44"/>
    </row>
    <row r="12721" spans="1:14" x14ac:dyDescent="0.3">
      <c r="A12721" s="42"/>
      <c r="C12721" s="52"/>
      <c r="D12721"/>
      <c r="E12721"/>
      <c r="F12721"/>
      <c r="N12721" s="44"/>
    </row>
    <row r="12722" spans="1:14" x14ac:dyDescent="0.3">
      <c r="A12722" s="42"/>
      <c r="C12722" s="52"/>
      <c r="D12722"/>
      <c r="E12722"/>
      <c r="F12722"/>
      <c r="N12722" s="44"/>
    </row>
    <row r="12723" spans="1:14" x14ac:dyDescent="0.3">
      <c r="A12723" s="42"/>
      <c r="C12723" s="52"/>
      <c r="D12723"/>
      <c r="E12723"/>
      <c r="F12723"/>
      <c r="N12723" s="44"/>
    </row>
    <row r="12724" spans="1:14" x14ac:dyDescent="0.3">
      <c r="A12724" s="42"/>
      <c r="C12724" s="52"/>
      <c r="D12724"/>
      <c r="E12724"/>
      <c r="F12724"/>
      <c r="N12724" s="44"/>
    </row>
    <row r="12725" spans="1:14" x14ac:dyDescent="0.3">
      <c r="A12725" s="42"/>
      <c r="C12725" s="52"/>
      <c r="D12725"/>
      <c r="E12725"/>
      <c r="F12725"/>
      <c r="N12725" s="44"/>
    </row>
    <row r="12726" spans="1:14" x14ac:dyDescent="0.3">
      <c r="A12726" s="42"/>
      <c r="C12726" s="52"/>
      <c r="D12726"/>
      <c r="E12726"/>
      <c r="F12726"/>
      <c r="N12726" s="44"/>
    </row>
    <row r="12727" spans="1:14" x14ac:dyDescent="0.3">
      <c r="A12727" s="42"/>
      <c r="C12727" s="52"/>
      <c r="D12727"/>
      <c r="E12727"/>
      <c r="F12727"/>
      <c r="N12727" s="44"/>
    </row>
    <row r="12728" spans="1:14" x14ac:dyDescent="0.3">
      <c r="A12728" s="42"/>
      <c r="C12728" s="52"/>
      <c r="D12728"/>
      <c r="E12728"/>
      <c r="F12728"/>
      <c r="N12728" s="44"/>
    </row>
    <row r="12729" spans="1:14" x14ac:dyDescent="0.3">
      <c r="A12729" s="42"/>
      <c r="C12729" s="52"/>
      <c r="D12729"/>
      <c r="E12729"/>
      <c r="F12729"/>
      <c r="N12729" s="44"/>
    </row>
    <row r="12730" spans="1:14" x14ac:dyDescent="0.3">
      <c r="A12730" s="42"/>
      <c r="C12730" s="52"/>
      <c r="D12730"/>
      <c r="E12730"/>
      <c r="F12730"/>
      <c r="N12730" s="44"/>
    </row>
    <row r="12731" spans="1:14" x14ac:dyDescent="0.3">
      <c r="A12731" s="42"/>
      <c r="C12731" s="52"/>
      <c r="D12731"/>
      <c r="E12731"/>
      <c r="F12731"/>
      <c r="N12731" s="44"/>
    </row>
    <row r="12732" spans="1:14" x14ac:dyDescent="0.3">
      <c r="A12732" s="42"/>
      <c r="C12732" s="52"/>
      <c r="D12732"/>
      <c r="E12732"/>
      <c r="F12732"/>
      <c r="N12732" s="44"/>
    </row>
    <row r="12733" spans="1:14" x14ac:dyDescent="0.3">
      <c r="A12733" s="42"/>
      <c r="C12733" s="52"/>
      <c r="D12733"/>
      <c r="E12733"/>
      <c r="F12733"/>
      <c r="N12733" s="44"/>
    </row>
    <row r="12734" spans="1:14" x14ac:dyDescent="0.3">
      <c r="A12734" s="42"/>
      <c r="C12734" s="52"/>
      <c r="D12734"/>
      <c r="E12734"/>
      <c r="F12734"/>
      <c r="M12734" s="45"/>
      <c r="N12734" s="44"/>
    </row>
    <row r="12735" spans="1:14" x14ac:dyDescent="0.3">
      <c r="A12735" s="42"/>
      <c r="C12735" s="52"/>
      <c r="D12735"/>
      <c r="E12735"/>
      <c r="F12735"/>
      <c r="N12735" s="44"/>
    </row>
    <row r="12736" spans="1:14" x14ac:dyDescent="0.3">
      <c r="A12736" s="42"/>
      <c r="C12736" s="52"/>
      <c r="D12736"/>
      <c r="E12736"/>
      <c r="F12736"/>
      <c r="N12736" s="44"/>
    </row>
    <row r="12737" spans="1:14" x14ac:dyDescent="0.3">
      <c r="A12737" s="42"/>
      <c r="C12737" s="52"/>
      <c r="D12737"/>
      <c r="E12737"/>
      <c r="F12737"/>
      <c r="N12737" s="44"/>
    </row>
    <row r="12738" spans="1:14" x14ac:dyDescent="0.3">
      <c r="A12738" s="42"/>
      <c r="C12738" s="52"/>
      <c r="D12738"/>
      <c r="E12738"/>
      <c r="F12738"/>
      <c r="M12738" s="45"/>
      <c r="N12738" s="44"/>
    </row>
    <row r="12739" spans="1:14" x14ac:dyDescent="0.3">
      <c r="A12739" s="42"/>
      <c r="C12739" s="52"/>
      <c r="D12739"/>
      <c r="E12739"/>
      <c r="F12739"/>
      <c r="M12739" s="45"/>
      <c r="N12739" s="44"/>
    </row>
    <row r="12740" spans="1:14" x14ac:dyDescent="0.3">
      <c r="A12740" s="42"/>
      <c r="C12740" s="52"/>
      <c r="D12740"/>
      <c r="E12740"/>
      <c r="F12740"/>
      <c r="N12740" s="44"/>
    </row>
    <row r="12741" spans="1:14" x14ac:dyDescent="0.3">
      <c r="A12741" s="42"/>
      <c r="C12741" s="52"/>
      <c r="D12741"/>
      <c r="E12741"/>
      <c r="F12741"/>
      <c r="N12741" s="44"/>
    </row>
    <row r="12742" spans="1:14" x14ac:dyDescent="0.3">
      <c r="A12742" s="42"/>
      <c r="C12742" s="52"/>
      <c r="D12742"/>
      <c r="E12742"/>
      <c r="F12742"/>
      <c r="N12742" s="44"/>
    </row>
    <row r="12743" spans="1:14" x14ac:dyDescent="0.3">
      <c r="A12743" s="42"/>
      <c r="C12743" s="52"/>
      <c r="D12743"/>
      <c r="E12743"/>
      <c r="F12743"/>
      <c r="N12743" s="44"/>
    </row>
    <row r="12744" spans="1:14" x14ac:dyDescent="0.3">
      <c r="A12744" s="42"/>
      <c r="C12744" s="52"/>
      <c r="D12744"/>
      <c r="E12744"/>
      <c r="F12744"/>
      <c r="N12744" s="44"/>
    </row>
    <row r="12745" spans="1:14" x14ac:dyDescent="0.3">
      <c r="A12745" s="42"/>
      <c r="C12745" s="52"/>
      <c r="D12745"/>
      <c r="E12745"/>
      <c r="F12745"/>
      <c r="N12745" s="44"/>
    </row>
    <row r="12746" spans="1:14" x14ac:dyDescent="0.3">
      <c r="A12746" s="42"/>
      <c r="C12746" s="52"/>
      <c r="D12746"/>
      <c r="E12746"/>
      <c r="F12746"/>
      <c r="N12746" s="44"/>
    </row>
    <row r="12747" spans="1:14" x14ac:dyDescent="0.3">
      <c r="A12747" s="42"/>
      <c r="C12747" s="52"/>
      <c r="D12747"/>
      <c r="E12747"/>
      <c r="F12747"/>
      <c r="N12747" s="44"/>
    </row>
    <row r="12748" spans="1:14" x14ac:dyDescent="0.3">
      <c r="A12748" s="42"/>
      <c r="C12748" s="52"/>
      <c r="D12748"/>
      <c r="E12748"/>
      <c r="F12748"/>
      <c r="N12748" s="44"/>
    </row>
    <row r="12749" spans="1:14" x14ac:dyDescent="0.3">
      <c r="A12749" s="42"/>
      <c r="C12749" s="52"/>
      <c r="D12749"/>
      <c r="E12749"/>
      <c r="F12749"/>
      <c r="N12749" s="44"/>
    </row>
    <row r="12750" spans="1:14" x14ac:dyDescent="0.3">
      <c r="A12750" s="42"/>
      <c r="C12750" s="52"/>
      <c r="D12750"/>
      <c r="E12750"/>
      <c r="F12750"/>
      <c r="N12750" s="44"/>
    </row>
    <row r="12751" spans="1:14" x14ac:dyDescent="0.3">
      <c r="A12751" s="42"/>
      <c r="C12751" s="52"/>
      <c r="D12751"/>
      <c r="E12751"/>
      <c r="F12751"/>
      <c r="N12751" s="44"/>
    </row>
    <row r="12752" spans="1:14" x14ac:dyDescent="0.3">
      <c r="A12752" s="42"/>
      <c r="C12752" s="52"/>
      <c r="D12752"/>
      <c r="E12752"/>
      <c r="F12752"/>
      <c r="N12752" s="44"/>
    </row>
    <row r="12753" spans="1:14" x14ac:dyDescent="0.3">
      <c r="A12753" s="42"/>
      <c r="C12753" s="52"/>
      <c r="D12753"/>
      <c r="E12753"/>
      <c r="F12753"/>
      <c r="N12753" s="44"/>
    </row>
    <row r="12754" spans="1:14" x14ac:dyDescent="0.3">
      <c r="A12754" s="42"/>
      <c r="C12754" s="52"/>
      <c r="D12754"/>
      <c r="E12754"/>
      <c r="F12754"/>
      <c r="N12754" s="44"/>
    </row>
    <row r="12755" spans="1:14" x14ac:dyDescent="0.3">
      <c r="A12755" s="42"/>
      <c r="C12755" s="52"/>
      <c r="D12755"/>
      <c r="E12755"/>
      <c r="F12755"/>
      <c r="N12755" s="44"/>
    </row>
    <row r="12756" spans="1:14" x14ac:dyDescent="0.3">
      <c r="A12756" s="42"/>
      <c r="C12756" s="52"/>
      <c r="D12756"/>
      <c r="E12756"/>
      <c r="F12756"/>
      <c r="N12756" s="44"/>
    </row>
    <row r="12757" spans="1:14" x14ac:dyDescent="0.3">
      <c r="A12757" s="42"/>
      <c r="C12757" s="52"/>
      <c r="D12757"/>
      <c r="E12757"/>
      <c r="F12757"/>
      <c r="N12757" s="44"/>
    </row>
    <row r="12758" spans="1:14" x14ac:dyDescent="0.3">
      <c r="A12758" s="42"/>
      <c r="C12758" s="52"/>
      <c r="D12758"/>
      <c r="E12758"/>
      <c r="F12758"/>
      <c r="N12758" s="44"/>
    </row>
    <row r="12759" spans="1:14" x14ac:dyDescent="0.3">
      <c r="A12759" s="42"/>
      <c r="C12759" s="52"/>
      <c r="D12759"/>
      <c r="E12759"/>
      <c r="F12759"/>
      <c r="N12759" s="44"/>
    </row>
    <row r="12760" spans="1:14" x14ac:dyDescent="0.3">
      <c r="A12760" s="42"/>
      <c r="C12760" s="52"/>
      <c r="D12760"/>
      <c r="E12760"/>
      <c r="F12760"/>
      <c r="N12760" s="44"/>
    </row>
    <row r="12761" spans="1:14" x14ac:dyDescent="0.3">
      <c r="A12761" s="42"/>
      <c r="C12761" s="52"/>
      <c r="D12761"/>
      <c r="E12761"/>
      <c r="F12761"/>
      <c r="N12761" s="44"/>
    </row>
    <row r="12762" spans="1:14" x14ac:dyDescent="0.3">
      <c r="A12762" s="42"/>
      <c r="C12762" s="52"/>
      <c r="D12762"/>
      <c r="E12762"/>
      <c r="F12762"/>
      <c r="N12762" s="44"/>
    </row>
    <row r="12763" spans="1:14" x14ac:dyDescent="0.3">
      <c r="A12763" s="42"/>
      <c r="C12763" s="52"/>
      <c r="D12763"/>
      <c r="E12763"/>
      <c r="F12763"/>
      <c r="M12763" s="45"/>
      <c r="N12763" s="44"/>
    </row>
    <row r="12764" spans="1:14" x14ac:dyDescent="0.3">
      <c r="A12764" s="42"/>
      <c r="C12764" s="52"/>
      <c r="D12764"/>
      <c r="E12764"/>
      <c r="F12764"/>
      <c r="N12764" s="44"/>
    </row>
    <row r="12765" spans="1:14" x14ac:dyDescent="0.3">
      <c r="A12765" s="42"/>
      <c r="C12765" s="52"/>
      <c r="D12765"/>
      <c r="E12765"/>
      <c r="F12765"/>
      <c r="N12765" s="44"/>
    </row>
    <row r="12766" spans="1:14" x14ac:dyDescent="0.3">
      <c r="A12766" s="42"/>
      <c r="C12766" s="52"/>
      <c r="D12766"/>
      <c r="E12766"/>
      <c r="F12766"/>
      <c r="N12766" s="44"/>
    </row>
    <row r="12767" spans="1:14" x14ac:dyDescent="0.3">
      <c r="A12767" s="42"/>
      <c r="C12767" s="52"/>
      <c r="D12767"/>
      <c r="E12767"/>
      <c r="F12767"/>
      <c r="N12767" s="44"/>
    </row>
    <row r="12768" spans="1:14" x14ac:dyDescent="0.3">
      <c r="A12768" s="42"/>
      <c r="C12768" s="52"/>
      <c r="D12768"/>
      <c r="E12768"/>
      <c r="F12768"/>
      <c r="N12768" s="44"/>
    </row>
    <row r="12769" spans="1:14" x14ac:dyDescent="0.3">
      <c r="A12769" s="42"/>
      <c r="C12769" s="52"/>
      <c r="D12769"/>
      <c r="E12769"/>
      <c r="F12769"/>
      <c r="N12769" s="44"/>
    </row>
    <row r="12770" spans="1:14" x14ac:dyDescent="0.3">
      <c r="A12770" s="42"/>
      <c r="C12770" s="52"/>
      <c r="D12770"/>
      <c r="E12770"/>
      <c r="F12770"/>
      <c r="N12770" s="44"/>
    </row>
    <row r="12771" spans="1:14" x14ac:dyDescent="0.3">
      <c r="A12771" s="42"/>
      <c r="C12771" s="52"/>
      <c r="D12771"/>
      <c r="E12771"/>
      <c r="F12771"/>
      <c r="N12771" s="44"/>
    </row>
    <row r="12772" spans="1:14" x14ac:dyDescent="0.3">
      <c r="A12772" s="42"/>
      <c r="C12772" s="52"/>
      <c r="D12772"/>
      <c r="E12772"/>
      <c r="F12772"/>
      <c r="N12772" s="44"/>
    </row>
    <row r="12773" spans="1:14" x14ac:dyDescent="0.3">
      <c r="A12773" s="42"/>
      <c r="C12773" s="52"/>
      <c r="D12773"/>
      <c r="E12773"/>
      <c r="F12773"/>
      <c r="N12773" s="44"/>
    </row>
    <row r="12774" spans="1:14" x14ac:dyDescent="0.3">
      <c r="A12774" s="42"/>
      <c r="C12774" s="52"/>
      <c r="D12774"/>
      <c r="E12774"/>
      <c r="F12774"/>
      <c r="N12774" s="44"/>
    </row>
    <row r="12775" spans="1:14" x14ac:dyDescent="0.3">
      <c r="A12775" s="42"/>
      <c r="C12775" s="52"/>
      <c r="D12775"/>
      <c r="E12775"/>
      <c r="F12775"/>
      <c r="N12775" s="44"/>
    </row>
    <row r="12776" spans="1:14" x14ac:dyDescent="0.3">
      <c r="A12776" s="42"/>
      <c r="C12776" s="52"/>
      <c r="D12776"/>
      <c r="E12776"/>
      <c r="F12776"/>
      <c r="N12776" s="44"/>
    </row>
    <row r="12777" spans="1:14" x14ac:dyDescent="0.3">
      <c r="A12777" s="42"/>
      <c r="C12777" s="52"/>
      <c r="D12777"/>
      <c r="E12777"/>
      <c r="F12777"/>
      <c r="N12777" s="44"/>
    </row>
    <row r="12778" spans="1:14" x14ac:dyDescent="0.3">
      <c r="A12778" s="42"/>
      <c r="C12778" s="52"/>
      <c r="D12778"/>
      <c r="E12778"/>
      <c r="F12778"/>
      <c r="N12778" s="44"/>
    </row>
    <row r="12779" spans="1:14" x14ac:dyDescent="0.3">
      <c r="A12779" s="42"/>
      <c r="C12779" s="52"/>
      <c r="D12779"/>
      <c r="E12779"/>
      <c r="F12779"/>
      <c r="N12779" s="44"/>
    </row>
    <row r="12780" spans="1:14" x14ac:dyDescent="0.3">
      <c r="A12780" s="42"/>
      <c r="C12780" s="52"/>
      <c r="D12780"/>
      <c r="E12780"/>
      <c r="F12780"/>
      <c r="N12780" s="44"/>
    </row>
    <row r="12781" spans="1:14" x14ac:dyDescent="0.3">
      <c r="A12781" s="42"/>
      <c r="C12781" s="52"/>
      <c r="D12781"/>
      <c r="E12781"/>
      <c r="F12781"/>
      <c r="N12781" s="44"/>
    </row>
    <row r="12782" spans="1:14" x14ac:dyDescent="0.3">
      <c r="A12782" s="42"/>
      <c r="C12782" s="52"/>
      <c r="D12782"/>
      <c r="E12782"/>
      <c r="F12782"/>
      <c r="N12782" s="44"/>
    </row>
    <row r="12783" spans="1:14" x14ac:dyDescent="0.3">
      <c r="A12783" s="42"/>
      <c r="C12783" s="52"/>
      <c r="D12783"/>
      <c r="E12783"/>
      <c r="F12783"/>
      <c r="N12783" s="44"/>
    </row>
    <row r="12784" spans="1:14" x14ac:dyDescent="0.3">
      <c r="A12784" s="42"/>
      <c r="C12784" s="52"/>
      <c r="D12784"/>
      <c r="E12784"/>
      <c r="F12784"/>
      <c r="N12784" s="44"/>
    </row>
    <row r="12785" spans="1:14" x14ac:dyDescent="0.3">
      <c r="A12785" s="42"/>
      <c r="C12785" s="52"/>
      <c r="D12785"/>
      <c r="E12785"/>
      <c r="F12785"/>
      <c r="N12785" s="44"/>
    </row>
    <row r="12786" spans="1:14" x14ac:dyDescent="0.3">
      <c r="A12786" s="42"/>
      <c r="C12786" s="52"/>
      <c r="D12786"/>
      <c r="E12786"/>
      <c r="F12786"/>
      <c r="N12786" s="44"/>
    </row>
    <row r="12787" spans="1:14" x14ac:dyDescent="0.3">
      <c r="A12787" s="42"/>
      <c r="C12787" s="52"/>
      <c r="D12787"/>
      <c r="E12787"/>
      <c r="F12787"/>
      <c r="N12787" s="44"/>
    </row>
    <row r="12788" spans="1:14" x14ac:dyDescent="0.3">
      <c r="A12788" s="42"/>
      <c r="C12788" s="52"/>
      <c r="D12788"/>
      <c r="E12788"/>
      <c r="F12788"/>
      <c r="N12788" s="44"/>
    </row>
    <row r="12789" spans="1:14" x14ac:dyDescent="0.3">
      <c r="A12789" s="42"/>
      <c r="C12789" s="52"/>
      <c r="D12789"/>
      <c r="E12789"/>
      <c r="F12789"/>
      <c r="N12789" s="44"/>
    </row>
    <row r="12790" spans="1:14" x14ac:dyDescent="0.3">
      <c r="A12790" s="42"/>
      <c r="C12790" s="52"/>
      <c r="D12790"/>
      <c r="E12790"/>
      <c r="F12790"/>
      <c r="N12790" s="44"/>
    </row>
    <row r="12791" spans="1:14" x14ac:dyDescent="0.3">
      <c r="A12791" s="42"/>
      <c r="C12791" s="52"/>
      <c r="D12791"/>
      <c r="E12791"/>
      <c r="F12791"/>
      <c r="N12791" s="44"/>
    </row>
    <row r="12792" spans="1:14" x14ac:dyDescent="0.3">
      <c r="A12792" s="42"/>
      <c r="C12792" s="52"/>
      <c r="D12792"/>
      <c r="E12792"/>
      <c r="F12792"/>
      <c r="N12792" s="44"/>
    </row>
    <row r="12793" spans="1:14" x14ac:dyDescent="0.3">
      <c r="A12793" s="42"/>
      <c r="C12793" s="52"/>
      <c r="D12793"/>
      <c r="E12793"/>
      <c r="F12793"/>
      <c r="N12793" s="44"/>
    </row>
    <row r="12794" spans="1:14" x14ac:dyDescent="0.3">
      <c r="A12794" s="42"/>
      <c r="C12794" s="52"/>
      <c r="D12794"/>
      <c r="E12794"/>
      <c r="F12794"/>
      <c r="N12794" s="44"/>
    </row>
    <row r="12795" spans="1:14" x14ac:dyDescent="0.3">
      <c r="A12795" s="42"/>
      <c r="C12795" s="52"/>
      <c r="D12795"/>
      <c r="E12795"/>
      <c r="F12795"/>
      <c r="N12795" s="44"/>
    </row>
    <row r="12796" spans="1:14" x14ac:dyDescent="0.3">
      <c r="A12796" s="42"/>
      <c r="C12796" s="52"/>
      <c r="D12796"/>
      <c r="E12796"/>
      <c r="F12796"/>
      <c r="N12796" s="44"/>
    </row>
    <row r="12797" spans="1:14" x14ac:dyDescent="0.3">
      <c r="A12797" s="42"/>
      <c r="C12797" s="52"/>
      <c r="D12797"/>
      <c r="E12797"/>
      <c r="F12797"/>
      <c r="N12797" s="44"/>
    </row>
    <row r="12798" spans="1:14" x14ac:dyDescent="0.3">
      <c r="A12798" s="42"/>
      <c r="C12798" s="52"/>
      <c r="D12798"/>
      <c r="E12798"/>
      <c r="F12798"/>
      <c r="N12798" s="44"/>
    </row>
    <row r="12799" spans="1:14" x14ac:dyDescent="0.3">
      <c r="A12799" s="42"/>
      <c r="C12799" s="52"/>
      <c r="D12799"/>
      <c r="E12799"/>
      <c r="F12799"/>
      <c r="N12799" s="44"/>
    </row>
    <row r="12800" spans="1:14" x14ac:dyDescent="0.3">
      <c r="A12800" s="42"/>
      <c r="C12800" s="52"/>
      <c r="D12800"/>
      <c r="E12800"/>
      <c r="F12800"/>
      <c r="N12800" s="44"/>
    </row>
    <row r="12801" spans="1:14" x14ac:dyDescent="0.3">
      <c r="A12801" s="42"/>
      <c r="C12801" s="52"/>
      <c r="D12801"/>
      <c r="E12801"/>
      <c r="F12801"/>
      <c r="N12801" s="44"/>
    </row>
    <row r="12802" spans="1:14" x14ac:dyDescent="0.3">
      <c r="A12802" s="42"/>
      <c r="C12802" s="52"/>
      <c r="D12802"/>
      <c r="E12802"/>
      <c r="F12802"/>
      <c r="N12802" s="44"/>
    </row>
    <row r="12803" spans="1:14" x14ac:dyDescent="0.3">
      <c r="A12803" s="42"/>
      <c r="C12803" s="52"/>
      <c r="D12803"/>
      <c r="E12803"/>
      <c r="F12803"/>
      <c r="N12803" s="44"/>
    </row>
    <row r="12804" spans="1:14" x14ac:dyDescent="0.3">
      <c r="A12804" s="42"/>
      <c r="C12804" s="52"/>
      <c r="D12804"/>
      <c r="E12804"/>
      <c r="F12804"/>
      <c r="N12804" s="44"/>
    </row>
    <row r="12805" spans="1:14" x14ac:dyDescent="0.3">
      <c r="A12805" s="42"/>
      <c r="C12805" s="52"/>
      <c r="D12805"/>
      <c r="E12805"/>
      <c r="F12805"/>
      <c r="N12805" s="44"/>
    </row>
    <row r="12806" spans="1:14" x14ac:dyDescent="0.3">
      <c r="A12806" s="42"/>
      <c r="C12806" s="52"/>
      <c r="D12806"/>
      <c r="E12806"/>
      <c r="F12806"/>
      <c r="N12806" s="44"/>
    </row>
    <row r="12807" spans="1:14" x14ac:dyDescent="0.3">
      <c r="A12807" s="42"/>
      <c r="C12807" s="52"/>
      <c r="D12807"/>
      <c r="E12807"/>
      <c r="F12807"/>
      <c r="N12807" s="44"/>
    </row>
    <row r="12808" spans="1:14" x14ac:dyDescent="0.3">
      <c r="A12808" s="42"/>
      <c r="C12808" s="52"/>
      <c r="D12808"/>
      <c r="E12808"/>
      <c r="F12808"/>
      <c r="N12808" s="44"/>
    </row>
    <row r="12809" spans="1:14" x14ac:dyDescent="0.3">
      <c r="A12809" s="42"/>
      <c r="C12809" s="52"/>
      <c r="D12809"/>
      <c r="E12809"/>
      <c r="F12809"/>
      <c r="N12809" s="44"/>
    </row>
    <row r="12810" spans="1:14" x14ac:dyDescent="0.3">
      <c r="A12810" s="42"/>
      <c r="C12810" s="52"/>
      <c r="D12810"/>
      <c r="E12810"/>
      <c r="F12810"/>
      <c r="N12810" s="44"/>
    </row>
    <row r="12811" spans="1:14" x14ac:dyDescent="0.3">
      <c r="A12811" s="42"/>
      <c r="C12811" s="52"/>
      <c r="D12811"/>
      <c r="E12811"/>
      <c r="F12811"/>
      <c r="N12811" s="44"/>
    </row>
    <row r="12812" spans="1:14" x14ac:dyDescent="0.3">
      <c r="A12812" s="42"/>
      <c r="C12812" s="52"/>
      <c r="D12812"/>
      <c r="E12812"/>
      <c r="F12812"/>
      <c r="N12812" s="44"/>
    </row>
    <row r="12813" spans="1:14" x14ac:dyDescent="0.3">
      <c r="A12813" s="42"/>
      <c r="C12813" s="52"/>
      <c r="D12813"/>
      <c r="E12813"/>
      <c r="F12813"/>
      <c r="N12813" s="44"/>
    </row>
    <row r="12814" spans="1:14" x14ac:dyDescent="0.3">
      <c r="A12814" s="42"/>
      <c r="C12814" s="52"/>
      <c r="D12814"/>
      <c r="E12814"/>
      <c r="F12814"/>
      <c r="N12814" s="44"/>
    </row>
    <row r="12815" spans="1:14" x14ac:dyDescent="0.3">
      <c r="A12815" s="42"/>
      <c r="C12815" s="52"/>
      <c r="D12815"/>
      <c r="E12815"/>
      <c r="F12815"/>
      <c r="N12815" s="44"/>
    </row>
    <row r="12816" spans="1:14" x14ac:dyDescent="0.3">
      <c r="A12816" s="42"/>
      <c r="C12816" s="52"/>
      <c r="D12816"/>
      <c r="E12816"/>
      <c r="F12816"/>
      <c r="N12816" s="44"/>
    </row>
    <row r="12817" spans="1:14" x14ac:dyDescent="0.3">
      <c r="A12817" s="42"/>
      <c r="C12817" s="52"/>
      <c r="D12817"/>
      <c r="E12817"/>
      <c r="F12817"/>
      <c r="N12817" s="44"/>
    </row>
    <row r="12818" spans="1:14" x14ac:dyDescent="0.3">
      <c r="A12818" s="42"/>
      <c r="C12818" s="52"/>
      <c r="D12818"/>
      <c r="E12818"/>
      <c r="F12818"/>
      <c r="N12818" s="44"/>
    </row>
    <row r="12819" spans="1:14" x14ac:dyDescent="0.3">
      <c r="A12819" s="42"/>
      <c r="C12819" s="52"/>
      <c r="D12819"/>
      <c r="E12819"/>
      <c r="F12819"/>
      <c r="N12819" s="44"/>
    </row>
    <row r="12820" spans="1:14" x14ac:dyDescent="0.3">
      <c r="A12820" s="42"/>
      <c r="C12820" s="52"/>
      <c r="D12820"/>
      <c r="E12820"/>
      <c r="F12820"/>
      <c r="N12820" s="44"/>
    </row>
    <row r="12821" spans="1:14" x14ac:dyDescent="0.3">
      <c r="A12821" s="42"/>
      <c r="C12821" s="52"/>
      <c r="D12821"/>
      <c r="E12821"/>
      <c r="F12821"/>
      <c r="N12821" s="44"/>
    </row>
    <row r="12822" spans="1:14" x14ac:dyDescent="0.3">
      <c r="A12822" s="42"/>
      <c r="C12822" s="52"/>
      <c r="D12822"/>
      <c r="E12822"/>
      <c r="F12822"/>
      <c r="N12822" s="44"/>
    </row>
    <row r="12823" spans="1:14" x14ac:dyDescent="0.3">
      <c r="A12823" s="42"/>
      <c r="C12823" s="52"/>
      <c r="D12823"/>
      <c r="E12823"/>
      <c r="F12823"/>
      <c r="N12823" s="44"/>
    </row>
    <row r="12824" spans="1:14" x14ac:dyDescent="0.3">
      <c r="A12824" s="42"/>
      <c r="C12824" s="52"/>
      <c r="D12824"/>
      <c r="E12824"/>
      <c r="F12824"/>
      <c r="N12824" s="44"/>
    </row>
    <row r="12825" spans="1:14" x14ac:dyDescent="0.3">
      <c r="A12825" s="42"/>
      <c r="C12825" s="52"/>
      <c r="D12825"/>
      <c r="E12825"/>
      <c r="F12825"/>
      <c r="N12825" s="44"/>
    </row>
    <row r="12826" spans="1:14" x14ac:dyDescent="0.3">
      <c r="A12826" s="42"/>
      <c r="C12826" s="52"/>
      <c r="D12826"/>
      <c r="E12826"/>
      <c r="F12826"/>
      <c r="N12826" s="44"/>
    </row>
    <row r="12827" spans="1:14" x14ac:dyDescent="0.3">
      <c r="A12827" s="42"/>
      <c r="C12827" s="52"/>
      <c r="D12827"/>
      <c r="E12827"/>
      <c r="F12827"/>
      <c r="N12827" s="44"/>
    </row>
    <row r="12828" spans="1:14" x14ac:dyDescent="0.3">
      <c r="A12828" s="42"/>
      <c r="C12828" s="52"/>
      <c r="D12828"/>
      <c r="E12828"/>
      <c r="F12828"/>
      <c r="N12828" s="44"/>
    </row>
    <row r="12829" spans="1:14" x14ac:dyDescent="0.3">
      <c r="A12829" s="42"/>
      <c r="C12829" s="52"/>
      <c r="D12829"/>
      <c r="E12829"/>
      <c r="F12829"/>
      <c r="N12829" s="44"/>
    </row>
    <row r="12830" spans="1:14" x14ac:dyDescent="0.3">
      <c r="A12830" s="42"/>
      <c r="C12830" s="52"/>
      <c r="D12830"/>
      <c r="E12830"/>
      <c r="F12830"/>
      <c r="N12830" s="44"/>
    </row>
    <row r="12831" spans="1:14" x14ac:dyDescent="0.3">
      <c r="A12831" s="42"/>
      <c r="C12831" s="52"/>
      <c r="D12831"/>
      <c r="E12831"/>
      <c r="F12831"/>
      <c r="N12831" s="44"/>
    </row>
    <row r="12832" spans="1:14" x14ac:dyDescent="0.3">
      <c r="A12832" s="42"/>
      <c r="C12832" s="52"/>
      <c r="D12832"/>
      <c r="E12832"/>
      <c r="F12832"/>
      <c r="N12832" s="44"/>
    </row>
    <row r="12833" spans="1:14" x14ac:dyDescent="0.3">
      <c r="A12833" s="42"/>
      <c r="C12833" s="52"/>
      <c r="D12833"/>
      <c r="E12833"/>
      <c r="F12833"/>
      <c r="N12833" s="44"/>
    </row>
    <row r="12834" spans="1:14" x14ac:dyDescent="0.3">
      <c r="A12834" s="42"/>
      <c r="C12834" s="52"/>
      <c r="D12834"/>
      <c r="E12834"/>
      <c r="F12834"/>
      <c r="N12834" s="44"/>
    </row>
    <row r="12835" spans="1:14" x14ac:dyDescent="0.3">
      <c r="A12835" s="42"/>
      <c r="C12835" s="52"/>
      <c r="D12835"/>
      <c r="E12835"/>
      <c r="F12835"/>
      <c r="N12835" s="44"/>
    </row>
    <row r="12836" spans="1:14" x14ac:dyDescent="0.3">
      <c r="A12836" s="42"/>
      <c r="C12836" s="52"/>
      <c r="D12836"/>
      <c r="E12836"/>
      <c r="F12836"/>
      <c r="N12836" s="44"/>
    </row>
    <row r="12837" spans="1:14" x14ac:dyDescent="0.3">
      <c r="A12837" s="42"/>
      <c r="C12837" s="52"/>
      <c r="D12837"/>
      <c r="E12837"/>
      <c r="F12837"/>
      <c r="N12837" s="44"/>
    </row>
    <row r="12838" spans="1:14" x14ac:dyDescent="0.3">
      <c r="A12838" s="42"/>
      <c r="C12838" s="52"/>
      <c r="D12838"/>
      <c r="E12838"/>
      <c r="F12838"/>
      <c r="N12838" s="44"/>
    </row>
    <row r="12839" spans="1:14" x14ac:dyDescent="0.3">
      <c r="A12839" s="42"/>
      <c r="C12839" s="52"/>
      <c r="D12839"/>
      <c r="E12839"/>
      <c r="F12839"/>
      <c r="N12839" s="44"/>
    </row>
    <row r="12840" spans="1:14" x14ac:dyDescent="0.3">
      <c r="A12840" s="42"/>
      <c r="C12840" s="52"/>
      <c r="D12840"/>
      <c r="E12840"/>
      <c r="F12840"/>
      <c r="N12840" s="44"/>
    </row>
    <row r="12841" spans="1:14" x14ac:dyDescent="0.3">
      <c r="A12841" s="42"/>
      <c r="C12841" s="52"/>
      <c r="D12841"/>
      <c r="E12841"/>
      <c r="F12841"/>
      <c r="N12841" s="44"/>
    </row>
    <row r="12842" spans="1:14" x14ac:dyDescent="0.3">
      <c r="A12842" s="42"/>
      <c r="C12842" s="52"/>
      <c r="D12842"/>
      <c r="E12842"/>
      <c r="F12842"/>
      <c r="N12842" s="44"/>
    </row>
    <row r="12843" spans="1:14" x14ac:dyDescent="0.3">
      <c r="A12843" s="42"/>
      <c r="C12843" s="52"/>
      <c r="D12843"/>
      <c r="E12843"/>
      <c r="F12843"/>
      <c r="N12843" s="44"/>
    </row>
    <row r="12844" spans="1:14" x14ac:dyDescent="0.3">
      <c r="A12844" s="42"/>
      <c r="C12844" s="52"/>
      <c r="D12844"/>
      <c r="E12844"/>
      <c r="F12844"/>
      <c r="N12844" s="44"/>
    </row>
    <row r="12845" spans="1:14" x14ac:dyDescent="0.3">
      <c r="A12845" s="42"/>
      <c r="C12845" s="52"/>
      <c r="D12845"/>
      <c r="E12845"/>
      <c r="F12845"/>
      <c r="N12845" s="44"/>
    </row>
    <row r="12846" spans="1:14" x14ac:dyDescent="0.3">
      <c r="A12846" s="42"/>
      <c r="C12846" s="52"/>
      <c r="D12846"/>
      <c r="E12846"/>
      <c r="F12846"/>
      <c r="N12846" s="44"/>
    </row>
    <row r="12847" spans="1:14" x14ac:dyDescent="0.3">
      <c r="A12847" s="42"/>
      <c r="C12847" s="52"/>
      <c r="D12847"/>
      <c r="E12847"/>
      <c r="F12847"/>
      <c r="N12847" s="44"/>
    </row>
    <row r="12848" spans="1:14" x14ac:dyDescent="0.3">
      <c r="A12848" s="42"/>
      <c r="C12848" s="52"/>
      <c r="D12848"/>
      <c r="E12848"/>
      <c r="F12848"/>
      <c r="N12848" s="44"/>
    </row>
    <row r="12849" spans="1:14" x14ac:dyDescent="0.3">
      <c r="A12849" s="42"/>
      <c r="C12849" s="52"/>
      <c r="D12849"/>
      <c r="E12849"/>
      <c r="F12849"/>
      <c r="N12849" s="44"/>
    </row>
    <row r="12850" spans="1:14" x14ac:dyDescent="0.3">
      <c r="A12850" s="42"/>
      <c r="C12850" s="52"/>
      <c r="D12850"/>
      <c r="E12850"/>
      <c r="F12850"/>
      <c r="N12850" s="44"/>
    </row>
    <row r="12851" spans="1:14" x14ac:dyDescent="0.3">
      <c r="A12851" s="42"/>
      <c r="C12851" s="52"/>
      <c r="D12851"/>
      <c r="E12851"/>
      <c r="F12851"/>
      <c r="N12851" s="44"/>
    </row>
    <row r="12852" spans="1:14" x14ac:dyDescent="0.3">
      <c r="A12852" s="42"/>
      <c r="C12852" s="52"/>
      <c r="D12852"/>
      <c r="E12852"/>
      <c r="F12852"/>
      <c r="N12852" s="44"/>
    </row>
    <row r="12853" spans="1:14" x14ac:dyDescent="0.3">
      <c r="A12853" s="42"/>
      <c r="C12853" s="52"/>
      <c r="D12853"/>
      <c r="E12853"/>
      <c r="F12853"/>
      <c r="N12853" s="44"/>
    </row>
    <row r="12854" spans="1:14" x14ac:dyDescent="0.3">
      <c r="A12854" s="42"/>
      <c r="C12854" s="52"/>
      <c r="D12854"/>
      <c r="E12854"/>
      <c r="F12854"/>
      <c r="N12854" s="44"/>
    </row>
    <row r="12855" spans="1:14" x14ac:dyDescent="0.3">
      <c r="A12855" s="42"/>
      <c r="C12855" s="52"/>
      <c r="D12855"/>
      <c r="E12855"/>
      <c r="F12855"/>
      <c r="N12855" s="44"/>
    </row>
    <row r="12856" spans="1:14" x14ac:dyDescent="0.3">
      <c r="A12856" s="42"/>
      <c r="C12856" s="52"/>
      <c r="D12856"/>
      <c r="E12856"/>
      <c r="F12856"/>
      <c r="N12856" s="44"/>
    </row>
    <row r="12857" spans="1:14" x14ac:dyDescent="0.3">
      <c r="A12857" s="42"/>
      <c r="C12857" s="52"/>
      <c r="D12857"/>
      <c r="E12857"/>
      <c r="F12857"/>
      <c r="N12857" s="44"/>
    </row>
    <row r="12858" spans="1:14" x14ac:dyDescent="0.3">
      <c r="A12858" s="42"/>
      <c r="C12858" s="52"/>
      <c r="D12858"/>
      <c r="E12858"/>
      <c r="F12858"/>
      <c r="N12858" s="44"/>
    </row>
    <row r="12859" spans="1:14" x14ac:dyDescent="0.3">
      <c r="A12859" s="42"/>
      <c r="C12859" s="52"/>
      <c r="D12859"/>
      <c r="E12859"/>
      <c r="F12859"/>
      <c r="N12859" s="44"/>
    </row>
    <row r="12860" spans="1:14" x14ac:dyDescent="0.3">
      <c r="A12860" s="42"/>
      <c r="C12860" s="52"/>
      <c r="D12860"/>
      <c r="E12860"/>
      <c r="F12860"/>
      <c r="N12860" s="44"/>
    </row>
    <row r="12861" spans="1:14" x14ac:dyDescent="0.3">
      <c r="A12861" s="42"/>
      <c r="C12861" s="52"/>
      <c r="D12861"/>
      <c r="E12861"/>
      <c r="F12861"/>
      <c r="N12861" s="44"/>
    </row>
    <row r="12862" spans="1:14" x14ac:dyDescent="0.3">
      <c r="A12862" s="42"/>
      <c r="C12862" s="52"/>
      <c r="D12862"/>
      <c r="E12862"/>
      <c r="F12862"/>
      <c r="N12862" s="44"/>
    </row>
    <row r="12863" spans="1:14" x14ac:dyDescent="0.3">
      <c r="A12863" s="42"/>
      <c r="C12863" s="52"/>
      <c r="D12863"/>
      <c r="E12863"/>
      <c r="F12863"/>
      <c r="N12863" s="44"/>
    </row>
    <row r="12864" spans="1:14" x14ac:dyDescent="0.3">
      <c r="A12864" s="42"/>
      <c r="C12864" s="52"/>
      <c r="D12864"/>
      <c r="E12864"/>
      <c r="F12864"/>
      <c r="N12864" s="44"/>
    </row>
    <row r="12865" spans="1:14" x14ac:dyDescent="0.3">
      <c r="A12865" s="42"/>
      <c r="C12865" s="52"/>
      <c r="D12865"/>
      <c r="E12865"/>
      <c r="F12865"/>
      <c r="N12865" s="44"/>
    </row>
    <row r="12866" spans="1:14" x14ac:dyDescent="0.3">
      <c r="A12866" s="42"/>
      <c r="C12866" s="52"/>
      <c r="D12866"/>
      <c r="E12866"/>
      <c r="F12866"/>
      <c r="N12866" s="44"/>
    </row>
    <row r="12867" spans="1:14" x14ac:dyDescent="0.3">
      <c r="A12867" s="42"/>
      <c r="C12867" s="52"/>
      <c r="D12867"/>
      <c r="E12867"/>
      <c r="F12867"/>
      <c r="N12867" s="44"/>
    </row>
    <row r="12868" spans="1:14" x14ac:dyDescent="0.3">
      <c r="A12868" s="42"/>
      <c r="C12868" s="52"/>
      <c r="D12868"/>
      <c r="E12868"/>
      <c r="F12868"/>
      <c r="N12868" s="44"/>
    </row>
    <row r="12869" spans="1:14" x14ac:dyDescent="0.3">
      <c r="A12869" s="42"/>
      <c r="C12869" s="52"/>
      <c r="D12869"/>
      <c r="E12869"/>
      <c r="F12869"/>
      <c r="N12869" s="44"/>
    </row>
    <row r="12870" spans="1:14" x14ac:dyDescent="0.3">
      <c r="A12870" s="42"/>
      <c r="C12870" s="52"/>
      <c r="D12870"/>
      <c r="E12870"/>
      <c r="F12870"/>
      <c r="N12870" s="44"/>
    </row>
    <row r="12871" spans="1:14" x14ac:dyDescent="0.3">
      <c r="A12871" s="42"/>
      <c r="C12871" s="52"/>
      <c r="D12871"/>
      <c r="E12871"/>
      <c r="F12871"/>
      <c r="N12871" s="44"/>
    </row>
    <row r="12872" spans="1:14" x14ac:dyDescent="0.3">
      <c r="A12872" s="42"/>
      <c r="C12872" s="52"/>
      <c r="D12872"/>
      <c r="E12872"/>
      <c r="F12872"/>
      <c r="N12872" s="44"/>
    </row>
    <row r="12873" spans="1:14" x14ac:dyDescent="0.3">
      <c r="A12873" s="42"/>
      <c r="C12873" s="52"/>
      <c r="D12873"/>
      <c r="E12873"/>
      <c r="F12873"/>
      <c r="N12873" s="44"/>
    </row>
    <row r="12874" spans="1:14" x14ac:dyDescent="0.3">
      <c r="A12874" s="42"/>
      <c r="C12874" s="52"/>
      <c r="D12874"/>
      <c r="E12874"/>
      <c r="F12874"/>
      <c r="N12874" s="44"/>
    </row>
    <row r="12875" spans="1:14" x14ac:dyDescent="0.3">
      <c r="A12875" s="42"/>
      <c r="C12875" s="52"/>
      <c r="D12875"/>
      <c r="E12875"/>
      <c r="F12875"/>
      <c r="N12875" s="44"/>
    </row>
    <row r="12876" spans="1:14" x14ac:dyDescent="0.3">
      <c r="A12876" s="42"/>
      <c r="C12876" s="52"/>
      <c r="D12876"/>
      <c r="E12876"/>
      <c r="F12876"/>
      <c r="N12876" s="44"/>
    </row>
    <row r="12877" spans="1:14" x14ac:dyDescent="0.3">
      <c r="A12877" s="42"/>
      <c r="C12877" s="52"/>
      <c r="D12877"/>
      <c r="E12877"/>
      <c r="F12877"/>
      <c r="N12877" s="44"/>
    </row>
    <row r="12878" spans="1:14" x14ac:dyDescent="0.3">
      <c r="A12878" s="42"/>
      <c r="C12878" s="52"/>
      <c r="D12878"/>
      <c r="E12878"/>
      <c r="F12878"/>
      <c r="N12878" s="44"/>
    </row>
    <row r="12879" spans="1:14" x14ac:dyDescent="0.3">
      <c r="A12879" s="42"/>
      <c r="C12879" s="52"/>
      <c r="D12879"/>
      <c r="E12879"/>
      <c r="F12879"/>
      <c r="N12879" s="44"/>
    </row>
    <row r="12880" spans="1:14" x14ac:dyDescent="0.3">
      <c r="A12880" s="42"/>
      <c r="C12880" s="52"/>
      <c r="D12880"/>
      <c r="E12880"/>
      <c r="F12880"/>
      <c r="N12880" s="44"/>
    </row>
    <row r="12881" spans="1:14" x14ac:dyDescent="0.3">
      <c r="A12881" s="42"/>
      <c r="C12881" s="52"/>
      <c r="D12881"/>
      <c r="E12881"/>
      <c r="F12881"/>
      <c r="N12881" s="44"/>
    </row>
    <row r="12882" spans="1:14" x14ac:dyDescent="0.3">
      <c r="A12882" s="42"/>
      <c r="C12882" s="52"/>
      <c r="D12882"/>
      <c r="E12882"/>
      <c r="F12882"/>
      <c r="N12882" s="44"/>
    </row>
    <row r="12883" spans="1:14" x14ac:dyDescent="0.3">
      <c r="A12883" s="42"/>
      <c r="C12883" s="52"/>
      <c r="D12883"/>
      <c r="E12883"/>
      <c r="F12883"/>
      <c r="N12883" s="44"/>
    </row>
    <row r="12884" spans="1:14" x14ac:dyDescent="0.3">
      <c r="A12884" s="42"/>
      <c r="C12884" s="52"/>
      <c r="D12884"/>
      <c r="E12884"/>
      <c r="F12884"/>
      <c r="N12884" s="44"/>
    </row>
    <row r="12885" spans="1:14" x14ac:dyDescent="0.3">
      <c r="A12885" s="42"/>
      <c r="C12885" s="52"/>
      <c r="D12885"/>
      <c r="E12885"/>
      <c r="F12885"/>
      <c r="N12885" s="44"/>
    </row>
    <row r="12886" spans="1:14" x14ac:dyDescent="0.3">
      <c r="A12886" s="42"/>
      <c r="C12886" s="52"/>
      <c r="D12886"/>
      <c r="E12886"/>
      <c r="F12886"/>
      <c r="N12886" s="44"/>
    </row>
    <row r="12887" spans="1:14" x14ac:dyDescent="0.3">
      <c r="A12887" s="42"/>
      <c r="C12887" s="52"/>
      <c r="D12887"/>
      <c r="E12887"/>
      <c r="F12887"/>
      <c r="N12887" s="44"/>
    </row>
    <row r="12888" spans="1:14" x14ac:dyDescent="0.3">
      <c r="A12888" s="42"/>
      <c r="C12888" s="52"/>
      <c r="D12888"/>
      <c r="E12888"/>
      <c r="F12888"/>
      <c r="N12888" s="44"/>
    </row>
    <row r="12889" spans="1:14" x14ac:dyDescent="0.3">
      <c r="A12889" s="42"/>
      <c r="C12889" s="52"/>
      <c r="D12889"/>
      <c r="E12889"/>
      <c r="F12889"/>
      <c r="N12889" s="44"/>
    </row>
    <row r="12890" spans="1:14" x14ac:dyDescent="0.3">
      <c r="A12890" s="42"/>
      <c r="C12890" s="52"/>
      <c r="D12890"/>
      <c r="E12890"/>
      <c r="F12890"/>
      <c r="N12890" s="44"/>
    </row>
    <row r="12891" spans="1:14" x14ac:dyDescent="0.3">
      <c r="A12891" s="42"/>
      <c r="C12891" s="52"/>
      <c r="D12891"/>
      <c r="E12891"/>
      <c r="F12891"/>
      <c r="N12891" s="44"/>
    </row>
    <row r="12892" spans="1:14" x14ac:dyDescent="0.3">
      <c r="A12892" s="42"/>
      <c r="C12892" s="52"/>
      <c r="D12892"/>
      <c r="E12892"/>
      <c r="F12892"/>
      <c r="N12892" s="44"/>
    </row>
    <row r="12893" spans="1:14" x14ac:dyDescent="0.3">
      <c r="A12893" s="42"/>
      <c r="C12893" s="52"/>
      <c r="D12893"/>
      <c r="E12893"/>
      <c r="F12893"/>
      <c r="N12893" s="44"/>
    </row>
    <row r="12894" spans="1:14" x14ac:dyDescent="0.3">
      <c r="A12894" s="42"/>
      <c r="C12894" s="52"/>
      <c r="D12894"/>
      <c r="E12894"/>
      <c r="F12894"/>
      <c r="N12894" s="44"/>
    </row>
    <row r="12895" spans="1:14" x14ac:dyDescent="0.3">
      <c r="A12895" s="42"/>
      <c r="C12895" s="52"/>
      <c r="D12895"/>
      <c r="E12895"/>
      <c r="F12895"/>
      <c r="N12895" s="44"/>
    </row>
    <row r="12896" spans="1:14" x14ac:dyDescent="0.3">
      <c r="A12896" s="42"/>
      <c r="C12896" s="52"/>
      <c r="D12896"/>
      <c r="E12896"/>
      <c r="F12896"/>
      <c r="N12896" s="44"/>
    </row>
    <row r="12897" spans="1:14" x14ac:dyDescent="0.3">
      <c r="A12897" s="42"/>
      <c r="C12897" s="52"/>
      <c r="D12897"/>
      <c r="E12897"/>
      <c r="F12897"/>
      <c r="N12897" s="44"/>
    </row>
    <row r="12898" spans="1:14" x14ac:dyDescent="0.3">
      <c r="A12898" s="42"/>
      <c r="C12898" s="52"/>
      <c r="D12898"/>
      <c r="E12898"/>
      <c r="F12898"/>
      <c r="N12898" s="44"/>
    </row>
    <row r="12899" spans="1:14" x14ac:dyDescent="0.3">
      <c r="A12899" s="42"/>
      <c r="C12899" s="52"/>
      <c r="D12899"/>
      <c r="E12899"/>
      <c r="F12899"/>
      <c r="N12899" s="44"/>
    </row>
    <row r="12900" spans="1:14" x14ac:dyDescent="0.3">
      <c r="A12900" s="42"/>
      <c r="C12900" s="52"/>
      <c r="D12900"/>
      <c r="E12900"/>
      <c r="F12900"/>
      <c r="N12900" s="44"/>
    </row>
    <row r="12901" spans="1:14" x14ac:dyDescent="0.3">
      <c r="A12901" s="42"/>
      <c r="C12901" s="52"/>
      <c r="D12901"/>
      <c r="E12901"/>
      <c r="F12901"/>
      <c r="N12901" s="44"/>
    </row>
    <row r="12902" spans="1:14" x14ac:dyDescent="0.3">
      <c r="A12902" s="42"/>
      <c r="C12902" s="52"/>
      <c r="D12902"/>
      <c r="E12902"/>
      <c r="F12902"/>
      <c r="N12902" s="44"/>
    </row>
    <row r="12903" spans="1:14" x14ac:dyDescent="0.3">
      <c r="A12903" s="42"/>
      <c r="C12903" s="52"/>
      <c r="D12903"/>
      <c r="E12903"/>
      <c r="F12903"/>
      <c r="N12903" s="44"/>
    </row>
    <row r="12904" spans="1:14" x14ac:dyDescent="0.3">
      <c r="A12904" s="42"/>
      <c r="C12904" s="52"/>
      <c r="D12904"/>
      <c r="E12904"/>
      <c r="F12904"/>
      <c r="N12904" s="44"/>
    </row>
    <row r="12905" spans="1:14" x14ac:dyDescent="0.3">
      <c r="A12905" s="42"/>
      <c r="C12905" s="52"/>
      <c r="D12905"/>
      <c r="E12905"/>
      <c r="F12905"/>
      <c r="N12905" s="44"/>
    </row>
    <row r="12906" spans="1:14" x14ac:dyDescent="0.3">
      <c r="A12906" s="42"/>
      <c r="C12906" s="52"/>
      <c r="D12906"/>
      <c r="E12906"/>
      <c r="F12906"/>
      <c r="N12906" s="44"/>
    </row>
    <row r="12907" spans="1:14" x14ac:dyDescent="0.3">
      <c r="A12907" s="42"/>
      <c r="C12907" s="52"/>
      <c r="D12907"/>
      <c r="E12907"/>
      <c r="F12907"/>
      <c r="N12907" s="44"/>
    </row>
    <row r="12908" spans="1:14" x14ac:dyDescent="0.3">
      <c r="A12908" s="42"/>
      <c r="C12908" s="52"/>
      <c r="D12908"/>
      <c r="E12908"/>
      <c r="F12908"/>
      <c r="N12908" s="44"/>
    </row>
    <row r="12909" spans="1:14" x14ac:dyDescent="0.3">
      <c r="A12909" s="42"/>
      <c r="C12909" s="52"/>
      <c r="D12909"/>
      <c r="E12909"/>
      <c r="F12909"/>
      <c r="N12909" s="44"/>
    </row>
    <row r="12910" spans="1:14" x14ac:dyDescent="0.3">
      <c r="A12910" s="42"/>
      <c r="C12910" s="52"/>
      <c r="D12910"/>
      <c r="E12910"/>
      <c r="F12910"/>
      <c r="N12910" s="44"/>
    </row>
    <row r="12911" spans="1:14" x14ac:dyDescent="0.3">
      <c r="A12911" s="42"/>
      <c r="C12911" s="52"/>
      <c r="D12911"/>
      <c r="E12911"/>
      <c r="F12911"/>
      <c r="N12911" s="44"/>
    </row>
    <row r="12912" spans="1:14" x14ac:dyDescent="0.3">
      <c r="A12912" s="42"/>
      <c r="C12912" s="52"/>
      <c r="D12912"/>
      <c r="E12912"/>
      <c r="F12912"/>
      <c r="N12912" s="44"/>
    </row>
    <row r="12913" spans="1:14" x14ac:dyDescent="0.3">
      <c r="A12913" s="42"/>
      <c r="C12913" s="52"/>
      <c r="D12913"/>
      <c r="E12913"/>
      <c r="F12913"/>
      <c r="M12913" s="45"/>
      <c r="N12913" s="44"/>
    </row>
    <row r="12914" spans="1:14" x14ac:dyDescent="0.3">
      <c r="A12914" s="42"/>
      <c r="C12914" s="52"/>
      <c r="D12914"/>
      <c r="E12914"/>
      <c r="F12914"/>
      <c r="N12914" s="44"/>
    </row>
    <row r="12915" spans="1:14" x14ac:dyDescent="0.3">
      <c r="A12915" s="42"/>
      <c r="C12915" s="52"/>
      <c r="D12915"/>
      <c r="E12915"/>
      <c r="F12915"/>
      <c r="N12915" s="44"/>
    </row>
    <row r="12916" spans="1:14" x14ac:dyDescent="0.3">
      <c r="A12916" s="42"/>
      <c r="C12916" s="52"/>
      <c r="D12916"/>
      <c r="E12916"/>
      <c r="F12916"/>
      <c r="N12916" s="44"/>
    </row>
    <row r="12917" spans="1:14" x14ac:dyDescent="0.3">
      <c r="A12917" s="42"/>
      <c r="C12917" s="52"/>
      <c r="D12917"/>
      <c r="E12917"/>
      <c r="F12917"/>
      <c r="N12917" s="44"/>
    </row>
    <row r="12918" spans="1:14" x14ac:dyDescent="0.3">
      <c r="A12918" s="42"/>
      <c r="C12918" s="52"/>
      <c r="D12918"/>
      <c r="E12918"/>
      <c r="F12918"/>
      <c r="N12918" s="44"/>
    </row>
    <row r="12919" spans="1:14" x14ac:dyDescent="0.3">
      <c r="A12919" s="42"/>
      <c r="C12919" s="52"/>
      <c r="D12919"/>
      <c r="E12919"/>
      <c r="F12919"/>
      <c r="N12919" s="44"/>
    </row>
    <row r="12920" spans="1:14" x14ac:dyDescent="0.3">
      <c r="A12920" s="42"/>
      <c r="C12920" s="52"/>
      <c r="D12920"/>
      <c r="E12920"/>
      <c r="F12920"/>
      <c r="N12920" s="44"/>
    </row>
    <row r="12921" spans="1:14" x14ac:dyDescent="0.3">
      <c r="A12921" s="42"/>
      <c r="C12921" s="52"/>
      <c r="D12921"/>
      <c r="E12921"/>
      <c r="F12921"/>
      <c r="N12921" s="44"/>
    </row>
    <row r="12922" spans="1:14" x14ac:dyDescent="0.3">
      <c r="A12922" s="42"/>
      <c r="C12922" s="52"/>
      <c r="D12922"/>
      <c r="E12922"/>
      <c r="F12922"/>
      <c r="N12922" s="44"/>
    </row>
    <row r="12923" spans="1:14" x14ac:dyDescent="0.3">
      <c r="A12923" s="42"/>
      <c r="C12923" s="52"/>
      <c r="D12923"/>
      <c r="E12923"/>
      <c r="F12923"/>
      <c r="N12923" s="44"/>
    </row>
    <row r="12924" spans="1:14" x14ac:dyDescent="0.3">
      <c r="A12924" s="42"/>
      <c r="C12924" s="52"/>
      <c r="D12924"/>
      <c r="E12924"/>
      <c r="F12924"/>
      <c r="M12924" s="45"/>
      <c r="N12924" s="44"/>
    </row>
    <row r="12925" spans="1:14" x14ac:dyDescent="0.3">
      <c r="A12925" s="42"/>
      <c r="C12925" s="52"/>
      <c r="D12925"/>
      <c r="E12925"/>
      <c r="F12925"/>
      <c r="N12925" s="44"/>
    </row>
    <row r="12926" spans="1:14" x14ac:dyDescent="0.3">
      <c r="A12926" s="42"/>
      <c r="C12926" s="52"/>
      <c r="D12926"/>
      <c r="E12926"/>
      <c r="F12926"/>
      <c r="N12926" s="44"/>
    </row>
    <row r="12927" spans="1:14" x14ac:dyDescent="0.3">
      <c r="A12927" s="42"/>
      <c r="C12927" s="52"/>
      <c r="D12927"/>
      <c r="E12927"/>
      <c r="F12927"/>
      <c r="N12927" s="44"/>
    </row>
    <row r="12928" spans="1:14" x14ac:dyDescent="0.3">
      <c r="A12928" s="42"/>
      <c r="C12928" s="52"/>
      <c r="D12928"/>
      <c r="E12928"/>
      <c r="F12928"/>
      <c r="L12928" s="45"/>
      <c r="N12928" s="44"/>
    </row>
    <row r="12929" spans="1:14" x14ac:dyDescent="0.3">
      <c r="A12929" s="42"/>
      <c r="C12929" s="52"/>
      <c r="D12929"/>
      <c r="E12929"/>
      <c r="F12929"/>
      <c r="N12929" s="44"/>
    </row>
    <row r="12930" spans="1:14" x14ac:dyDescent="0.3">
      <c r="A12930" s="42"/>
      <c r="C12930" s="52"/>
      <c r="D12930"/>
      <c r="E12930"/>
      <c r="F12930"/>
      <c r="N12930" s="44"/>
    </row>
    <row r="12931" spans="1:14" x14ac:dyDescent="0.3">
      <c r="A12931" s="42"/>
      <c r="C12931" s="52"/>
      <c r="D12931"/>
      <c r="E12931"/>
      <c r="F12931"/>
      <c r="N12931" s="44"/>
    </row>
    <row r="12932" spans="1:14" x14ac:dyDescent="0.3">
      <c r="A12932" s="42"/>
      <c r="C12932" s="52"/>
      <c r="D12932"/>
      <c r="E12932"/>
      <c r="F12932"/>
      <c r="N12932" s="44"/>
    </row>
    <row r="12933" spans="1:14" x14ac:dyDescent="0.3">
      <c r="A12933" s="42"/>
      <c r="C12933" s="52"/>
      <c r="D12933"/>
      <c r="E12933"/>
      <c r="F12933"/>
      <c r="N12933" s="44"/>
    </row>
    <row r="12934" spans="1:14" x14ac:dyDescent="0.3">
      <c r="A12934" s="42"/>
      <c r="C12934" s="52"/>
      <c r="D12934"/>
      <c r="E12934"/>
      <c r="F12934"/>
      <c r="N12934" s="44"/>
    </row>
    <row r="12935" spans="1:14" x14ac:dyDescent="0.3">
      <c r="A12935" s="42"/>
      <c r="C12935" s="52"/>
      <c r="D12935"/>
      <c r="E12935"/>
      <c r="F12935"/>
      <c r="N12935" s="44"/>
    </row>
    <row r="12936" spans="1:14" x14ac:dyDescent="0.3">
      <c r="A12936" s="42"/>
      <c r="C12936" s="52"/>
      <c r="D12936"/>
      <c r="E12936"/>
      <c r="F12936"/>
      <c r="N12936" s="44"/>
    </row>
    <row r="12937" spans="1:14" x14ac:dyDescent="0.3">
      <c r="A12937" s="42"/>
      <c r="C12937" s="52"/>
      <c r="D12937"/>
      <c r="E12937"/>
      <c r="F12937"/>
      <c r="L12937" s="45"/>
      <c r="N12937" s="44"/>
    </row>
    <row r="12938" spans="1:14" x14ac:dyDescent="0.3">
      <c r="A12938" s="42"/>
      <c r="C12938" s="52"/>
      <c r="D12938"/>
      <c r="E12938"/>
      <c r="F12938"/>
      <c r="N12938" s="44"/>
    </row>
    <row r="12939" spans="1:14" x14ac:dyDescent="0.3">
      <c r="A12939" s="42"/>
      <c r="C12939" s="52"/>
      <c r="D12939"/>
      <c r="E12939"/>
      <c r="F12939"/>
      <c r="N12939" s="44"/>
    </row>
    <row r="12940" spans="1:14" x14ac:dyDescent="0.3">
      <c r="A12940" s="42"/>
      <c r="C12940" s="52"/>
      <c r="D12940"/>
      <c r="E12940"/>
      <c r="F12940"/>
      <c r="N12940" s="44"/>
    </row>
    <row r="12941" spans="1:14" x14ac:dyDescent="0.3">
      <c r="A12941" s="42"/>
      <c r="C12941" s="52"/>
      <c r="D12941"/>
      <c r="E12941"/>
      <c r="F12941"/>
      <c r="N12941" s="44"/>
    </row>
    <row r="12942" spans="1:14" x14ac:dyDescent="0.3">
      <c r="A12942" s="42"/>
      <c r="C12942" s="52"/>
      <c r="D12942"/>
      <c r="E12942"/>
      <c r="F12942"/>
      <c r="N12942" s="44"/>
    </row>
    <row r="12943" spans="1:14" x14ac:dyDescent="0.3">
      <c r="A12943" s="42"/>
      <c r="C12943" s="52"/>
      <c r="D12943"/>
      <c r="E12943"/>
      <c r="F12943"/>
      <c r="L12943" s="45"/>
      <c r="N12943" s="44"/>
    </row>
    <row r="12944" spans="1:14" x14ac:dyDescent="0.3">
      <c r="A12944" s="42"/>
      <c r="C12944" s="52"/>
      <c r="D12944"/>
      <c r="E12944"/>
      <c r="F12944"/>
      <c r="N12944" s="44"/>
    </row>
    <row r="12945" spans="1:14" x14ac:dyDescent="0.3">
      <c r="A12945" s="42"/>
      <c r="C12945" s="52"/>
      <c r="D12945"/>
      <c r="E12945"/>
      <c r="F12945"/>
      <c r="N12945" s="44"/>
    </row>
    <row r="12946" spans="1:14" x14ac:dyDescent="0.3">
      <c r="A12946" s="42"/>
      <c r="C12946" s="52"/>
      <c r="D12946"/>
      <c r="E12946"/>
      <c r="F12946"/>
      <c r="N12946" s="44"/>
    </row>
    <row r="12947" spans="1:14" x14ac:dyDescent="0.3">
      <c r="A12947" s="42"/>
      <c r="C12947" s="52"/>
      <c r="D12947"/>
      <c r="E12947"/>
      <c r="F12947"/>
      <c r="N12947" s="44"/>
    </row>
    <row r="12948" spans="1:14" x14ac:dyDescent="0.3">
      <c r="A12948" s="42"/>
      <c r="C12948" s="52"/>
      <c r="D12948"/>
      <c r="E12948"/>
      <c r="F12948"/>
      <c r="N12948" s="44"/>
    </row>
    <row r="12949" spans="1:14" x14ac:dyDescent="0.3">
      <c r="A12949" s="42"/>
      <c r="C12949" s="52"/>
      <c r="D12949"/>
      <c r="E12949"/>
      <c r="F12949"/>
      <c r="N12949" s="44"/>
    </row>
    <row r="12950" spans="1:14" x14ac:dyDescent="0.3">
      <c r="A12950" s="42"/>
      <c r="C12950" s="52"/>
      <c r="D12950"/>
      <c r="E12950"/>
      <c r="F12950"/>
      <c r="N12950" s="44"/>
    </row>
    <row r="12951" spans="1:14" x14ac:dyDescent="0.3">
      <c r="A12951" s="42"/>
      <c r="C12951" s="52"/>
      <c r="D12951"/>
      <c r="E12951"/>
      <c r="F12951"/>
      <c r="N12951" s="44"/>
    </row>
    <row r="12952" spans="1:14" x14ac:dyDescent="0.3">
      <c r="A12952" s="42"/>
      <c r="C12952" s="52"/>
      <c r="D12952"/>
      <c r="E12952"/>
      <c r="F12952"/>
      <c r="N12952" s="44"/>
    </row>
    <row r="12953" spans="1:14" x14ac:dyDescent="0.3">
      <c r="A12953" s="42"/>
      <c r="C12953" s="52"/>
      <c r="D12953"/>
      <c r="E12953"/>
      <c r="F12953"/>
      <c r="N12953" s="44"/>
    </row>
    <row r="12954" spans="1:14" x14ac:dyDescent="0.3">
      <c r="A12954" s="42"/>
      <c r="C12954" s="52"/>
      <c r="D12954"/>
      <c r="E12954"/>
      <c r="F12954"/>
      <c r="N12954" s="44"/>
    </row>
    <row r="12955" spans="1:14" x14ac:dyDescent="0.3">
      <c r="A12955" s="42"/>
      <c r="C12955" s="52"/>
      <c r="D12955"/>
      <c r="E12955"/>
      <c r="F12955"/>
      <c r="N12955" s="44"/>
    </row>
    <row r="12956" spans="1:14" x14ac:dyDescent="0.3">
      <c r="A12956" s="42"/>
      <c r="C12956" s="52"/>
      <c r="D12956"/>
      <c r="E12956"/>
      <c r="F12956"/>
      <c r="L12956" s="45"/>
      <c r="N12956" s="44"/>
    </row>
    <row r="12957" spans="1:14" x14ac:dyDescent="0.3">
      <c r="A12957" s="42"/>
      <c r="C12957" s="52"/>
      <c r="D12957"/>
      <c r="E12957"/>
      <c r="F12957"/>
      <c r="N12957" s="44"/>
    </row>
    <row r="12958" spans="1:14" x14ac:dyDescent="0.3">
      <c r="A12958" s="42"/>
      <c r="C12958" s="52"/>
      <c r="D12958"/>
      <c r="E12958"/>
      <c r="F12958"/>
      <c r="N12958" s="44"/>
    </row>
    <row r="12959" spans="1:14" x14ac:dyDescent="0.3">
      <c r="A12959" s="42"/>
      <c r="C12959" s="52"/>
      <c r="D12959"/>
      <c r="E12959"/>
      <c r="F12959"/>
      <c r="N12959" s="44"/>
    </row>
    <row r="12960" spans="1:14" x14ac:dyDescent="0.3">
      <c r="A12960" s="42"/>
      <c r="C12960" s="52"/>
      <c r="D12960"/>
      <c r="E12960"/>
      <c r="F12960"/>
      <c r="N12960" s="44"/>
    </row>
    <row r="12961" spans="1:14" x14ac:dyDescent="0.3">
      <c r="A12961" s="42"/>
      <c r="C12961" s="52"/>
      <c r="D12961"/>
      <c r="E12961"/>
      <c r="F12961"/>
      <c r="N12961" s="44"/>
    </row>
    <row r="12962" spans="1:14" x14ac:dyDescent="0.3">
      <c r="A12962" s="42"/>
      <c r="C12962" s="52"/>
      <c r="D12962"/>
      <c r="E12962"/>
      <c r="F12962"/>
      <c r="N12962" s="44"/>
    </row>
    <row r="12963" spans="1:14" x14ac:dyDescent="0.3">
      <c r="A12963" s="42"/>
      <c r="C12963" s="52"/>
      <c r="D12963"/>
      <c r="E12963"/>
      <c r="F12963"/>
      <c r="N12963" s="44"/>
    </row>
    <row r="12964" spans="1:14" x14ac:dyDescent="0.3">
      <c r="A12964" s="42"/>
      <c r="C12964" s="52"/>
      <c r="D12964"/>
      <c r="E12964"/>
      <c r="F12964"/>
      <c r="N12964" s="44"/>
    </row>
    <row r="12965" spans="1:14" x14ac:dyDescent="0.3">
      <c r="A12965" s="42"/>
      <c r="C12965" s="52"/>
      <c r="D12965"/>
      <c r="E12965"/>
      <c r="F12965"/>
      <c r="N12965" s="44"/>
    </row>
    <row r="12966" spans="1:14" x14ac:dyDescent="0.3">
      <c r="A12966" s="42"/>
      <c r="C12966" s="52"/>
      <c r="D12966"/>
      <c r="E12966"/>
      <c r="F12966"/>
      <c r="N12966" s="44"/>
    </row>
    <row r="12967" spans="1:14" x14ac:dyDescent="0.3">
      <c r="A12967" s="42"/>
      <c r="C12967" s="52"/>
      <c r="D12967"/>
      <c r="E12967"/>
      <c r="F12967"/>
      <c r="N12967" s="44"/>
    </row>
    <row r="12968" spans="1:14" x14ac:dyDescent="0.3">
      <c r="A12968" s="42"/>
      <c r="C12968" s="52"/>
      <c r="D12968"/>
      <c r="E12968"/>
      <c r="F12968"/>
      <c r="N12968" s="44"/>
    </row>
    <row r="12969" spans="1:14" x14ac:dyDescent="0.3">
      <c r="A12969" s="42"/>
      <c r="C12969" s="52"/>
      <c r="D12969"/>
      <c r="E12969"/>
      <c r="F12969"/>
      <c r="N12969" s="44"/>
    </row>
    <row r="12970" spans="1:14" x14ac:dyDescent="0.3">
      <c r="A12970" s="42"/>
      <c r="C12970" s="52"/>
      <c r="D12970"/>
      <c r="E12970"/>
      <c r="F12970"/>
      <c r="N12970" s="44"/>
    </row>
    <row r="12971" spans="1:14" x14ac:dyDescent="0.3">
      <c r="A12971" s="42"/>
      <c r="C12971" s="52"/>
      <c r="D12971"/>
      <c r="E12971"/>
      <c r="F12971"/>
      <c r="N12971" s="44"/>
    </row>
    <row r="12972" spans="1:14" x14ac:dyDescent="0.3">
      <c r="A12972" s="42"/>
      <c r="C12972" s="52"/>
      <c r="D12972"/>
      <c r="E12972"/>
      <c r="F12972"/>
      <c r="N12972" s="44"/>
    </row>
    <row r="12973" spans="1:14" x14ac:dyDescent="0.3">
      <c r="A12973" s="42"/>
      <c r="C12973" s="52"/>
      <c r="D12973"/>
      <c r="E12973"/>
      <c r="F12973"/>
      <c r="L12973" s="45"/>
      <c r="N12973" s="44"/>
    </row>
    <row r="12974" spans="1:14" x14ac:dyDescent="0.3">
      <c r="A12974" s="42"/>
      <c r="C12974" s="52"/>
      <c r="D12974"/>
      <c r="E12974"/>
      <c r="F12974"/>
      <c r="N12974" s="44"/>
    </row>
    <row r="12975" spans="1:14" x14ac:dyDescent="0.3">
      <c r="A12975" s="42"/>
      <c r="C12975" s="52"/>
      <c r="D12975"/>
      <c r="E12975"/>
      <c r="F12975"/>
      <c r="N12975" s="44"/>
    </row>
    <row r="12976" spans="1:14" x14ac:dyDescent="0.3">
      <c r="A12976" s="42"/>
      <c r="C12976" s="52"/>
      <c r="D12976"/>
      <c r="E12976"/>
      <c r="F12976"/>
      <c r="N12976" s="44"/>
    </row>
    <row r="12977" spans="1:14" x14ac:dyDescent="0.3">
      <c r="A12977" s="42"/>
      <c r="C12977" s="52"/>
      <c r="D12977"/>
      <c r="E12977"/>
      <c r="F12977"/>
      <c r="L12977" s="45"/>
      <c r="N12977" s="44"/>
    </row>
    <row r="12978" spans="1:14" x14ac:dyDescent="0.3">
      <c r="A12978" s="42"/>
      <c r="C12978" s="52"/>
      <c r="D12978"/>
      <c r="E12978"/>
      <c r="F12978"/>
      <c r="N12978" s="44"/>
    </row>
    <row r="12979" spans="1:14" x14ac:dyDescent="0.3">
      <c r="A12979" s="42"/>
      <c r="C12979" s="52"/>
      <c r="D12979"/>
      <c r="E12979"/>
      <c r="F12979"/>
      <c r="L12979" s="45"/>
      <c r="N12979" s="44"/>
    </row>
    <row r="12980" spans="1:14" x14ac:dyDescent="0.3">
      <c r="A12980" s="42"/>
      <c r="C12980" s="52"/>
      <c r="D12980"/>
      <c r="E12980"/>
      <c r="F12980"/>
      <c r="N12980" s="44"/>
    </row>
    <row r="12981" spans="1:14" x14ac:dyDescent="0.3">
      <c r="A12981" s="42"/>
      <c r="C12981" s="52"/>
      <c r="D12981"/>
      <c r="E12981"/>
      <c r="F12981"/>
      <c r="N12981" s="44"/>
    </row>
    <row r="12982" spans="1:14" x14ac:dyDescent="0.3">
      <c r="A12982" s="42"/>
      <c r="C12982" s="52"/>
      <c r="D12982"/>
      <c r="E12982"/>
      <c r="F12982"/>
      <c r="N12982" s="44"/>
    </row>
    <row r="12983" spans="1:14" x14ac:dyDescent="0.3">
      <c r="A12983" s="42"/>
      <c r="C12983" s="52"/>
      <c r="D12983"/>
      <c r="E12983"/>
      <c r="F12983"/>
      <c r="N12983" s="44"/>
    </row>
    <row r="12984" spans="1:14" x14ac:dyDescent="0.3">
      <c r="A12984" s="42"/>
      <c r="C12984" s="52"/>
      <c r="D12984"/>
      <c r="E12984"/>
      <c r="F12984"/>
      <c r="L12984" s="45"/>
      <c r="N12984" s="44"/>
    </row>
    <row r="12985" spans="1:14" x14ac:dyDescent="0.3">
      <c r="A12985" s="42"/>
      <c r="C12985" s="52"/>
      <c r="D12985"/>
      <c r="E12985"/>
      <c r="F12985"/>
      <c r="N12985" s="44"/>
    </row>
    <row r="12986" spans="1:14" x14ac:dyDescent="0.3">
      <c r="A12986" s="42"/>
      <c r="C12986" s="52"/>
      <c r="D12986"/>
      <c r="E12986"/>
      <c r="F12986"/>
      <c r="N12986" s="44"/>
    </row>
    <row r="12987" spans="1:14" x14ac:dyDescent="0.3">
      <c r="A12987" s="42"/>
      <c r="C12987" s="52"/>
      <c r="D12987"/>
      <c r="E12987"/>
      <c r="F12987"/>
      <c r="N12987" s="44"/>
    </row>
    <row r="12988" spans="1:14" x14ac:dyDescent="0.3">
      <c r="A12988" s="42"/>
      <c r="C12988" s="52"/>
      <c r="D12988"/>
      <c r="E12988"/>
      <c r="F12988"/>
      <c r="N12988" s="44"/>
    </row>
    <row r="12989" spans="1:14" x14ac:dyDescent="0.3">
      <c r="A12989" s="42"/>
      <c r="C12989" s="52"/>
      <c r="D12989"/>
      <c r="E12989"/>
      <c r="F12989"/>
      <c r="N12989" s="44"/>
    </row>
    <row r="12990" spans="1:14" x14ac:dyDescent="0.3">
      <c r="A12990" s="42"/>
      <c r="C12990" s="52"/>
      <c r="D12990"/>
      <c r="E12990"/>
      <c r="F12990"/>
      <c r="N12990" s="44"/>
    </row>
    <row r="12991" spans="1:14" x14ac:dyDescent="0.3">
      <c r="A12991" s="42"/>
      <c r="C12991" s="52"/>
      <c r="D12991"/>
      <c r="E12991"/>
      <c r="F12991"/>
      <c r="N12991" s="44"/>
    </row>
    <row r="12992" spans="1:14" x14ac:dyDescent="0.3">
      <c r="A12992" s="42"/>
      <c r="C12992" s="52"/>
      <c r="D12992"/>
      <c r="E12992"/>
      <c r="F12992"/>
      <c r="N12992" s="44"/>
    </row>
    <row r="12993" spans="1:14" x14ac:dyDescent="0.3">
      <c r="A12993" s="42"/>
      <c r="C12993" s="52"/>
      <c r="D12993"/>
      <c r="E12993"/>
      <c r="F12993"/>
      <c r="N12993" s="44"/>
    </row>
    <row r="12994" spans="1:14" x14ac:dyDescent="0.3">
      <c r="A12994" s="42"/>
      <c r="C12994" s="52"/>
      <c r="D12994"/>
      <c r="E12994"/>
      <c r="F12994"/>
      <c r="L12994" s="45"/>
      <c r="N12994" s="44"/>
    </row>
    <row r="12995" spans="1:14" x14ac:dyDescent="0.3">
      <c r="A12995" s="42"/>
      <c r="C12995" s="52"/>
      <c r="D12995"/>
      <c r="E12995"/>
      <c r="F12995"/>
      <c r="L12995" s="45"/>
      <c r="N12995" s="44"/>
    </row>
    <row r="12996" spans="1:14" x14ac:dyDescent="0.3">
      <c r="A12996" s="42"/>
      <c r="C12996" s="52"/>
      <c r="D12996"/>
      <c r="E12996"/>
      <c r="F12996"/>
      <c r="N12996" s="44"/>
    </row>
    <row r="12997" spans="1:14" x14ac:dyDescent="0.3">
      <c r="A12997" s="42"/>
      <c r="C12997" s="52"/>
      <c r="D12997"/>
      <c r="E12997"/>
      <c r="F12997"/>
      <c r="N12997" s="44"/>
    </row>
    <row r="12998" spans="1:14" x14ac:dyDescent="0.3">
      <c r="A12998" s="42"/>
      <c r="C12998" s="52"/>
      <c r="D12998"/>
      <c r="E12998"/>
      <c r="F12998"/>
      <c r="N12998" s="44"/>
    </row>
    <row r="12999" spans="1:14" x14ac:dyDescent="0.3">
      <c r="A12999" s="42"/>
      <c r="C12999" s="52"/>
      <c r="D12999"/>
      <c r="E12999"/>
      <c r="F12999"/>
      <c r="N12999" s="44"/>
    </row>
    <row r="13000" spans="1:14" x14ac:dyDescent="0.3">
      <c r="A13000" s="42"/>
      <c r="C13000" s="52"/>
      <c r="D13000"/>
      <c r="E13000"/>
      <c r="F13000"/>
      <c r="N13000" s="44"/>
    </row>
    <row r="13001" spans="1:14" x14ac:dyDescent="0.3">
      <c r="A13001" s="42"/>
      <c r="C13001" s="52"/>
      <c r="D13001"/>
      <c r="E13001"/>
      <c r="F13001"/>
      <c r="N13001" s="44"/>
    </row>
    <row r="13002" spans="1:14" x14ac:dyDescent="0.3">
      <c r="A13002" s="42"/>
      <c r="C13002" s="52"/>
      <c r="D13002"/>
      <c r="E13002"/>
      <c r="F13002"/>
      <c r="N13002" s="44"/>
    </row>
    <row r="13003" spans="1:14" x14ac:dyDescent="0.3">
      <c r="A13003" s="42"/>
      <c r="C13003" s="52"/>
      <c r="D13003"/>
      <c r="E13003"/>
      <c r="F13003"/>
      <c r="N13003" s="44"/>
    </row>
    <row r="13004" spans="1:14" x14ac:dyDescent="0.3">
      <c r="A13004" s="42"/>
      <c r="C13004" s="52"/>
      <c r="D13004"/>
      <c r="E13004"/>
      <c r="F13004"/>
      <c r="N13004" s="44"/>
    </row>
    <row r="13005" spans="1:14" x14ac:dyDescent="0.3">
      <c r="A13005" s="42"/>
      <c r="C13005" s="52"/>
      <c r="D13005"/>
      <c r="E13005"/>
      <c r="F13005"/>
      <c r="N13005" s="44"/>
    </row>
    <row r="13006" spans="1:14" x14ac:dyDescent="0.3">
      <c r="A13006" s="42"/>
      <c r="C13006" s="52"/>
      <c r="D13006"/>
      <c r="E13006"/>
      <c r="F13006"/>
      <c r="N13006" s="44"/>
    </row>
    <row r="13007" spans="1:14" x14ac:dyDescent="0.3">
      <c r="A13007" s="42"/>
      <c r="C13007" s="52"/>
      <c r="D13007"/>
      <c r="E13007"/>
      <c r="F13007"/>
      <c r="N13007" s="44"/>
    </row>
    <row r="13008" spans="1:14" x14ac:dyDescent="0.3">
      <c r="A13008" s="42"/>
      <c r="C13008" s="52"/>
      <c r="D13008"/>
      <c r="E13008"/>
      <c r="F13008"/>
      <c r="L13008" s="45"/>
      <c r="N13008" s="44"/>
    </row>
    <row r="13009" spans="1:14" x14ac:dyDescent="0.3">
      <c r="A13009" s="42"/>
      <c r="C13009" s="52"/>
      <c r="D13009"/>
      <c r="E13009"/>
      <c r="F13009"/>
      <c r="L13009" s="45"/>
      <c r="N13009" s="44"/>
    </row>
    <row r="13010" spans="1:14" x14ac:dyDescent="0.3">
      <c r="A13010" s="42"/>
      <c r="C13010" s="52"/>
      <c r="D13010"/>
      <c r="E13010"/>
      <c r="F13010"/>
      <c r="N13010" s="44"/>
    </row>
    <row r="13011" spans="1:14" x14ac:dyDescent="0.3">
      <c r="A13011" s="42"/>
      <c r="C13011" s="52"/>
      <c r="D13011"/>
      <c r="E13011"/>
      <c r="F13011"/>
      <c r="N13011" s="44"/>
    </row>
    <row r="13012" spans="1:14" x14ac:dyDescent="0.3">
      <c r="A13012" s="42"/>
      <c r="C13012" s="52"/>
      <c r="D13012"/>
      <c r="E13012"/>
      <c r="F13012"/>
      <c r="N13012" s="44"/>
    </row>
    <row r="13013" spans="1:14" x14ac:dyDescent="0.3">
      <c r="A13013" s="42"/>
      <c r="C13013" s="52"/>
      <c r="D13013"/>
      <c r="E13013"/>
      <c r="F13013"/>
      <c r="N13013" s="44"/>
    </row>
    <row r="13014" spans="1:14" x14ac:dyDescent="0.3">
      <c r="A13014" s="42"/>
      <c r="C13014" s="52"/>
      <c r="D13014"/>
      <c r="E13014"/>
      <c r="F13014"/>
      <c r="N13014" s="44"/>
    </row>
    <row r="13015" spans="1:14" x14ac:dyDescent="0.3">
      <c r="A13015" s="42"/>
      <c r="C13015" s="52"/>
      <c r="D13015"/>
      <c r="E13015"/>
      <c r="F13015"/>
      <c r="N13015" s="44"/>
    </row>
    <row r="13016" spans="1:14" x14ac:dyDescent="0.3">
      <c r="A13016" s="42"/>
      <c r="C13016" s="52"/>
      <c r="D13016"/>
      <c r="E13016"/>
      <c r="F13016"/>
      <c r="N13016" s="44"/>
    </row>
    <row r="13017" spans="1:14" x14ac:dyDescent="0.3">
      <c r="A13017" s="42"/>
      <c r="C13017" s="52"/>
      <c r="D13017"/>
      <c r="E13017"/>
      <c r="F13017"/>
      <c r="N13017" s="44"/>
    </row>
    <row r="13018" spans="1:14" x14ac:dyDescent="0.3">
      <c r="A13018" s="42"/>
      <c r="C13018" s="52"/>
      <c r="D13018"/>
      <c r="E13018"/>
      <c r="F13018"/>
      <c r="L13018" s="45"/>
      <c r="N13018" s="44"/>
    </row>
    <row r="13019" spans="1:14" x14ac:dyDescent="0.3">
      <c r="A13019" s="42"/>
      <c r="C13019" s="52"/>
      <c r="D13019"/>
      <c r="E13019"/>
      <c r="F13019"/>
      <c r="N13019" s="44"/>
    </row>
    <row r="13020" spans="1:14" x14ac:dyDescent="0.3">
      <c r="A13020" s="42"/>
      <c r="C13020" s="52"/>
      <c r="D13020"/>
      <c r="E13020"/>
      <c r="F13020"/>
      <c r="N13020" s="44"/>
    </row>
    <row r="13021" spans="1:14" x14ac:dyDescent="0.3">
      <c r="A13021" s="42"/>
      <c r="C13021" s="52"/>
      <c r="D13021"/>
      <c r="E13021"/>
      <c r="F13021"/>
      <c r="N13021" s="44"/>
    </row>
    <row r="13022" spans="1:14" x14ac:dyDescent="0.3">
      <c r="A13022" s="42"/>
      <c r="C13022" s="52"/>
      <c r="D13022"/>
      <c r="E13022"/>
      <c r="F13022"/>
      <c r="N13022" s="44"/>
    </row>
    <row r="13023" spans="1:14" x14ac:dyDescent="0.3">
      <c r="A13023" s="42"/>
      <c r="C13023" s="52"/>
      <c r="D13023"/>
      <c r="E13023"/>
      <c r="F13023"/>
      <c r="N13023" s="44"/>
    </row>
    <row r="13024" spans="1:14" x14ac:dyDescent="0.3">
      <c r="A13024" s="42"/>
      <c r="C13024" s="52"/>
      <c r="D13024"/>
      <c r="E13024"/>
      <c r="F13024"/>
      <c r="L13024" s="45"/>
      <c r="N13024" s="44"/>
    </row>
    <row r="13025" spans="1:14" x14ac:dyDescent="0.3">
      <c r="A13025" s="42"/>
      <c r="C13025" s="52"/>
      <c r="D13025"/>
      <c r="E13025"/>
      <c r="F13025"/>
      <c r="N13025" s="44"/>
    </row>
    <row r="13026" spans="1:14" x14ac:dyDescent="0.3">
      <c r="A13026" s="42"/>
      <c r="C13026" s="52"/>
      <c r="D13026"/>
      <c r="E13026"/>
      <c r="F13026"/>
      <c r="N13026" s="44"/>
    </row>
    <row r="13027" spans="1:14" x14ac:dyDescent="0.3">
      <c r="A13027" s="42"/>
      <c r="C13027" s="52"/>
      <c r="D13027"/>
      <c r="E13027"/>
      <c r="F13027"/>
      <c r="N13027" s="44"/>
    </row>
    <row r="13028" spans="1:14" x14ac:dyDescent="0.3">
      <c r="A13028" s="42"/>
      <c r="C13028" s="52"/>
      <c r="D13028"/>
      <c r="E13028"/>
      <c r="F13028"/>
      <c r="N13028" s="44"/>
    </row>
    <row r="13029" spans="1:14" x14ac:dyDescent="0.3">
      <c r="A13029" s="42"/>
      <c r="C13029" s="52"/>
      <c r="D13029"/>
      <c r="E13029"/>
      <c r="F13029"/>
      <c r="N13029" s="44"/>
    </row>
    <row r="13030" spans="1:14" x14ac:dyDescent="0.3">
      <c r="A13030" s="42"/>
      <c r="C13030" s="52"/>
      <c r="D13030"/>
      <c r="E13030"/>
      <c r="F13030"/>
      <c r="N13030" s="44"/>
    </row>
    <row r="13031" spans="1:14" x14ac:dyDescent="0.3">
      <c r="A13031" s="42"/>
      <c r="C13031" s="52"/>
      <c r="D13031"/>
      <c r="E13031"/>
      <c r="F13031"/>
      <c r="N13031" s="44"/>
    </row>
    <row r="13032" spans="1:14" x14ac:dyDescent="0.3">
      <c r="A13032" s="42"/>
      <c r="C13032" s="52"/>
      <c r="D13032"/>
      <c r="E13032"/>
      <c r="F13032"/>
      <c r="N13032" s="44"/>
    </row>
    <row r="13033" spans="1:14" x14ac:dyDescent="0.3">
      <c r="A13033" s="42"/>
      <c r="C13033" s="52"/>
      <c r="D13033"/>
      <c r="E13033"/>
      <c r="F13033"/>
      <c r="N13033" s="44"/>
    </row>
    <row r="13034" spans="1:14" x14ac:dyDescent="0.3">
      <c r="A13034" s="42"/>
      <c r="C13034" s="52"/>
      <c r="D13034"/>
      <c r="E13034"/>
      <c r="F13034"/>
      <c r="N13034" s="44"/>
    </row>
    <row r="13035" spans="1:14" x14ac:dyDescent="0.3">
      <c r="A13035" s="42"/>
      <c r="C13035" s="52"/>
      <c r="D13035"/>
      <c r="E13035"/>
      <c r="F13035"/>
      <c r="L13035" s="45"/>
      <c r="N13035" s="44"/>
    </row>
    <row r="13036" spans="1:14" x14ac:dyDescent="0.3">
      <c r="A13036" s="42"/>
      <c r="C13036" s="52"/>
      <c r="D13036"/>
      <c r="E13036"/>
      <c r="F13036"/>
      <c r="L13036" s="45"/>
      <c r="N13036" s="44"/>
    </row>
    <row r="13037" spans="1:14" x14ac:dyDescent="0.3">
      <c r="A13037" s="42"/>
      <c r="C13037" s="52"/>
      <c r="D13037"/>
      <c r="E13037"/>
      <c r="F13037"/>
      <c r="N13037" s="44"/>
    </row>
    <row r="13038" spans="1:14" x14ac:dyDescent="0.3">
      <c r="A13038" s="42"/>
      <c r="C13038" s="52"/>
      <c r="D13038"/>
      <c r="E13038"/>
      <c r="F13038"/>
      <c r="L13038" s="45"/>
      <c r="N13038" s="44"/>
    </row>
    <row r="13039" spans="1:14" x14ac:dyDescent="0.3">
      <c r="A13039" s="42"/>
      <c r="C13039" s="52"/>
      <c r="D13039"/>
      <c r="E13039"/>
      <c r="F13039"/>
      <c r="N13039" s="44"/>
    </row>
    <row r="13040" spans="1:14" x14ac:dyDescent="0.3">
      <c r="A13040" s="42"/>
      <c r="C13040" s="52"/>
      <c r="D13040"/>
      <c r="E13040"/>
      <c r="F13040"/>
      <c r="N13040" s="44"/>
    </row>
    <row r="13041" spans="1:14" x14ac:dyDescent="0.3">
      <c r="A13041" s="42"/>
      <c r="C13041" s="52"/>
      <c r="D13041"/>
      <c r="E13041"/>
      <c r="F13041"/>
      <c r="N13041" s="44"/>
    </row>
    <row r="13042" spans="1:14" x14ac:dyDescent="0.3">
      <c r="A13042" s="42"/>
      <c r="C13042" s="52"/>
      <c r="D13042"/>
      <c r="E13042"/>
      <c r="F13042"/>
      <c r="L13042" s="45"/>
      <c r="N13042" s="44"/>
    </row>
    <row r="13043" spans="1:14" x14ac:dyDescent="0.3">
      <c r="A13043" s="42"/>
      <c r="C13043" s="52"/>
      <c r="D13043"/>
      <c r="E13043"/>
      <c r="F13043"/>
      <c r="N13043" s="44"/>
    </row>
    <row r="13044" spans="1:14" x14ac:dyDescent="0.3">
      <c r="A13044" s="42"/>
      <c r="C13044" s="52"/>
      <c r="D13044"/>
      <c r="E13044"/>
      <c r="F13044"/>
      <c r="N13044" s="44"/>
    </row>
    <row r="13045" spans="1:14" x14ac:dyDescent="0.3">
      <c r="A13045" s="42"/>
      <c r="C13045" s="52"/>
      <c r="D13045"/>
      <c r="E13045"/>
      <c r="F13045"/>
      <c r="N13045" s="44"/>
    </row>
    <row r="13046" spans="1:14" x14ac:dyDescent="0.3">
      <c r="A13046" s="42"/>
      <c r="C13046" s="52"/>
      <c r="D13046"/>
      <c r="E13046"/>
      <c r="F13046"/>
      <c r="N13046" s="44"/>
    </row>
    <row r="13047" spans="1:14" x14ac:dyDescent="0.3">
      <c r="A13047" s="42"/>
      <c r="C13047" s="52"/>
      <c r="D13047"/>
      <c r="E13047"/>
      <c r="F13047"/>
      <c r="N13047" s="44"/>
    </row>
    <row r="13048" spans="1:14" x14ac:dyDescent="0.3">
      <c r="A13048" s="42"/>
      <c r="C13048" s="52"/>
      <c r="D13048"/>
      <c r="E13048"/>
      <c r="F13048"/>
      <c r="N13048" s="44"/>
    </row>
    <row r="13049" spans="1:14" x14ac:dyDescent="0.3">
      <c r="A13049" s="42"/>
      <c r="C13049" s="52"/>
      <c r="D13049"/>
      <c r="E13049"/>
      <c r="F13049"/>
      <c r="N13049" s="44"/>
    </row>
    <row r="13050" spans="1:14" x14ac:dyDescent="0.3">
      <c r="A13050" s="42"/>
      <c r="C13050" s="52"/>
      <c r="D13050"/>
      <c r="E13050"/>
      <c r="F13050"/>
      <c r="N13050" s="44"/>
    </row>
    <row r="13051" spans="1:14" x14ac:dyDescent="0.3">
      <c r="A13051" s="42"/>
      <c r="C13051" s="52"/>
      <c r="D13051"/>
      <c r="E13051"/>
      <c r="F13051"/>
      <c r="N13051" s="44"/>
    </row>
    <row r="13052" spans="1:14" x14ac:dyDescent="0.3">
      <c r="A13052" s="42"/>
      <c r="C13052" s="52"/>
      <c r="D13052"/>
      <c r="E13052"/>
      <c r="F13052"/>
      <c r="N13052" s="44"/>
    </row>
    <row r="13053" spans="1:14" x14ac:dyDescent="0.3">
      <c r="A13053" s="42"/>
      <c r="C13053" s="52"/>
      <c r="D13053"/>
      <c r="E13053"/>
      <c r="F13053"/>
      <c r="N13053" s="44"/>
    </row>
    <row r="13054" spans="1:14" x14ac:dyDescent="0.3">
      <c r="A13054" s="42"/>
      <c r="C13054" s="52"/>
      <c r="D13054"/>
      <c r="E13054"/>
      <c r="F13054"/>
      <c r="N13054" s="44"/>
    </row>
    <row r="13055" spans="1:14" x14ac:dyDescent="0.3">
      <c r="A13055" s="42"/>
      <c r="C13055" s="52"/>
      <c r="D13055"/>
      <c r="E13055"/>
      <c r="F13055"/>
      <c r="N13055" s="44"/>
    </row>
    <row r="13056" spans="1:14" x14ac:dyDescent="0.3">
      <c r="A13056" s="42"/>
      <c r="C13056" s="52"/>
      <c r="D13056"/>
      <c r="E13056"/>
      <c r="F13056"/>
      <c r="N13056" s="44"/>
    </row>
    <row r="13057" spans="1:14" x14ac:dyDescent="0.3">
      <c r="A13057" s="42"/>
      <c r="C13057" s="52"/>
      <c r="D13057"/>
      <c r="E13057"/>
      <c r="F13057"/>
      <c r="N13057" s="44"/>
    </row>
    <row r="13058" spans="1:14" x14ac:dyDescent="0.3">
      <c r="A13058" s="42"/>
      <c r="C13058" s="52"/>
      <c r="D13058"/>
      <c r="E13058"/>
      <c r="F13058"/>
      <c r="N13058" s="44"/>
    </row>
    <row r="13059" spans="1:14" x14ac:dyDescent="0.3">
      <c r="A13059" s="42"/>
      <c r="C13059" s="52"/>
      <c r="D13059"/>
      <c r="E13059"/>
      <c r="F13059"/>
      <c r="N13059" s="44"/>
    </row>
    <row r="13060" spans="1:14" x14ac:dyDescent="0.3">
      <c r="A13060" s="42"/>
      <c r="C13060" s="52"/>
      <c r="D13060"/>
      <c r="E13060"/>
      <c r="F13060"/>
      <c r="N13060" s="44"/>
    </row>
    <row r="13061" spans="1:14" x14ac:dyDescent="0.3">
      <c r="A13061" s="42"/>
      <c r="C13061" s="52"/>
      <c r="D13061"/>
      <c r="E13061"/>
      <c r="F13061"/>
      <c r="N13061" s="44"/>
    </row>
    <row r="13062" spans="1:14" x14ac:dyDescent="0.3">
      <c r="A13062" s="42"/>
      <c r="C13062" s="52"/>
      <c r="D13062"/>
      <c r="E13062"/>
      <c r="F13062"/>
      <c r="N13062" s="44"/>
    </row>
    <row r="13063" spans="1:14" x14ac:dyDescent="0.3">
      <c r="A13063" s="42"/>
      <c r="C13063" s="52"/>
      <c r="D13063"/>
      <c r="E13063"/>
      <c r="F13063"/>
      <c r="L13063" s="45"/>
      <c r="N13063" s="44"/>
    </row>
    <row r="13064" spans="1:14" x14ac:dyDescent="0.3">
      <c r="A13064" s="42"/>
      <c r="C13064" s="52"/>
      <c r="D13064"/>
      <c r="E13064"/>
      <c r="F13064"/>
      <c r="L13064" s="45"/>
      <c r="N13064" s="44"/>
    </row>
    <row r="13065" spans="1:14" x14ac:dyDescent="0.3">
      <c r="A13065" s="42"/>
      <c r="C13065" s="52"/>
      <c r="D13065"/>
      <c r="E13065"/>
      <c r="F13065"/>
      <c r="N13065" s="44"/>
    </row>
    <row r="13066" spans="1:14" x14ac:dyDescent="0.3">
      <c r="A13066" s="42"/>
      <c r="C13066" s="52"/>
      <c r="D13066"/>
      <c r="E13066"/>
      <c r="F13066"/>
      <c r="N13066" s="44"/>
    </row>
    <row r="13067" spans="1:14" x14ac:dyDescent="0.3">
      <c r="A13067" s="42"/>
      <c r="C13067" s="52"/>
      <c r="D13067"/>
      <c r="E13067"/>
      <c r="F13067"/>
      <c r="N13067" s="44"/>
    </row>
    <row r="13068" spans="1:14" x14ac:dyDescent="0.3">
      <c r="A13068" s="42"/>
      <c r="C13068" s="52"/>
      <c r="D13068"/>
      <c r="E13068"/>
      <c r="F13068"/>
      <c r="N13068" s="44"/>
    </row>
    <row r="13069" spans="1:14" x14ac:dyDescent="0.3">
      <c r="A13069" s="42"/>
      <c r="C13069" s="52"/>
      <c r="D13069"/>
      <c r="E13069"/>
      <c r="F13069"/>
      <c r="L13069" s="45"/>
      <c r="N13069" s="44"/>
    </row>
    <row r="13070" spans="1:14" x14ac:dyDescent="0.3">
      <c r="A13070" s="42"/>
      <c r="C13070" s="52"/>
      <c r="D13070"/>
      <c r="E13070"/>
      <c r="F13070"/>
      <c r="N13070" s="44"/>
    </row>
    <row r="13071" spans="1:14" x14ac:dyDescent="0.3">
      <c r="A13071" s="42"/>
      <c r="C13071" s="52"/>
      <c r="D13071"/>
      <c r="E13071"/>
      <c r="F13071"/>
      <c r="N13071" s="44"/>
    </row>
    <row r="13072" spans="1:14" x14ac:dyDescent="0.3">
      <c r="A13072" s="42"/>
      <c r="C13072" s="52"/>
      <c r="D13072"/>
      <c r="E13072"/>
      <c r="F13072"/>
      <c r="N13072" s="44"/>
    </row>
    <row r="13073" spans="1:14" x14ac:dyDescent="0.3">
      <c r="A13073" s="42"/>
      <c r="C13073" s="52"/>
      <c r="D13073"/>
      <c r="E13073"/>
      <c r="F13073"/>
      <c r="N13073" s="44"/>
    </row>
    <row r="13074" spans="1:14" x14ac:dyDescent="0.3">
      <c r="A13074" s="42"/>
      <c r="C13074" s="52"/>
      <c r="D13074"/>
      <c r="E13074"/>
      <c r="F13074"/>
      <c r="N13074" s="44"/>
    </row>
    <row r="13075" spans="1:14" x14ac:dyDescent="0.3">
      <c r="A13075" s="42"/>
      <c r="C13075" s="52"/>
      <c r="D13075"/>
      <c r="E13075"/>
      <c r="F13075"/>
      <c r="N13075" s="44"/>
    </row>
    <row r="13076" spans="1:14" x14ac:dyDescent="0.3">
      <c r="A13076" s="42"/>
      <c r="C13076" s="52"/>
      <c r="D13076"/>
      <c r="E13076"/>
      <c r="F13076"/>
      <c r="N13076" s="44"/>
    </row>
    <row r="13077" spans="1:14" x14ac:dyDescent="0.3">
      <c r="A13077" s="42"/>
      <c r="C13077" s="52"/>
      <c r="D13077"/>
      <c r="E13077"/>
      <c r="F13077"/>
      <c r="N13077" s="44"/>
    </row>
    <row r="13078" spans="1:14" x14ac:dyDescent="0.3">
      <c r="A13078" s="42"/>
      <c r="C13078" s="52"/>
      <c r="D13078"/>
      <c r="E13078"/>
      <c r="F13078"/>
      <c r="N13078" s="44"/>
    </row>
    <row r="13079" spans="1:14" x14ac:dyDescent="0.3">
      <c r="A13079" s="42"/>
      <c r="C13079" s="52"/>
      <c r="D13079"/>
      <c r="E13079"/>
      <c r="F13079"/>
      <c r="N13079" s="44"/>
    </row>
    <row r="13080" spans="1:14" x14ac:dyDescent="0.3">
      <c r="A13080" s="42"/>
      <c r="C13080" s="52"/>
      <c r="D13080"/>
      <c r="E13080"/>
      <c r="F13080"/>
      <c r="L13080" s="45"/>
      <c r="N13080" s="44"/>
    </row>
    <row r="13081" spans="1:14" x14ac:dyDescent="0.3">
      <c r="A13081" s="42"/>
      <c r="C13081" s="52"/>
      <c r="D13081"/>
      <c r="E13081"/>
      <c r="F13081"/>
      <c r="N13081" s="44"/>
    </row>
    <row r="13082" spans="1:14" x14ac:dyDescent="0.3">
      <c r="A13082" s="42"/>
      <c r="C13082" s="52"/>
      <c r="D13082"/>
      <c r="E13082"/>
      <c r="F13082"/>
      <c r="N13082" s="44"/>
    </row>
    <row r="13083" spans="1:14" x14ac:dyDescent="0.3">
      <c r="A13083" s="42"/>
      <c r="C13083" s="52"/>
      <c r="D13083"/>
      <c r="E13083"/>
      <c r="F13083"/>
      <c r="L13083" s="45"/>
      <c r="N13083" s="44"/>
    </row>
    <row r="13084" spans="1:14" x14ac:dyDescent="0.3">
      <c r="A13084" s="42"/>
      <c r="C13084" s="52"/>
      <c r="D13084"/>
      <c r="E13084"/>
      <c r="F13084"/>
      <c r="N13084" s="44"/>
    </row>
    <row r="13085" spans="1:14" x14ac:dyDescent="0.3">
      <c r="A13085" s="42"/>
      <c r="C13085" s="52"/>
      <c r="D13085"/>
      <c r="E13085"/>
      <c r="F13085"/>
      <c r="N13085" s="44"/>
    </row>
    <row r="13086" spans="1:14" x14ac:dyDescent="0.3">
      <c r="A13086" s="42"/>
      <c r="C13086" s="52"/>
      <c r="D13086"/>
      <c r="E13086"/>
      <c r="F13086"/>
      <c r="N13086" s="44"/>
    </row>
    <row r="13087" spans="1:14" x14ac:dyDescent="0.3">
      <c r="A13087" s="42"/>
      <c r="C13087" s="52"/>
      <c r="D13087"/>
      <c r="E13087"/>
      <c r="F13087"/>
      <c r="N13087" s="44"/>
    </row>
    <row r="13088" spans="1:14" x14ac:dyDescent="0.3">
      <c r="A13088" s="42"/>
      <c r="C13088" s="52"/>
      <c r="D13088"/>
      <c r="E13088"/>
      <c r="F13088"/>
      <c r="N13088" s="44"/>
    </row>
    <row r="13089" spans="1:14" x14ac:dyDescent="0.3">
      <c r="A13089" s="42"/>
      <c r="C13089" s="52"/>
      <c r="D13089"/>
      <c r="E13089"/>
      <c r="F13089"/>
      <c r="L13089" s="45"/>
      <c r="N13089" s="44"/>
    </row>
    <row r="13090" spans="1:14" x14ac:dyDescent="0.3">
      <c r="A13090" s="42"/>
      <c r="C13090" s="52"/>
      <c r="D13090"/>
      <c r="E13090"/>
      <c r="F13090"/>
      <c r="N13090" s="44"/>
    </row>
    <row r="13091" spans="1:14" x14ac:dyDescent="0.3">
      <c r="A13091" s="42"/>
      <c r="C13091" s="52"/>
      <c r="D13091"/>
      <c r="E13091"/>
      <c r="F13091"/>
      <c r="N13091" s="44"/>
    </row>
    <row r="13092" spans="1:14" x14ac:dyDescent="0.3">
      <c r="A13092" s="42"/>
      <c r="C13092" s="52"/>
      <c r="D13092"/>
      <c r="E13092"/>
      <c r="F13092"/>
      <c r="N13092" s="44"/>
    </row>
    <row r="13093" spans="1:14" x14ac:dyDescent="0.3">
      <c r="A13093" s="42"/>
      <c r="C13093" s="52"/>
      <c r="D13093"/>
      <c r="E13093"/>
      <c r="F13093"/>
      <c r="N13093" s="44"/>
    </row>
    <row r="13094" spans="1:14" x14ac:dyDescent="0.3">
      <c r="A13094" s="42"/>
      <c r="C13094" s="52"/>
      <c r="D13094"/>
      <c r="E13094"/>
      <c r="F13094"/>
      <c r="N13094" s="44"/>
    </row>
    <row r="13095" spans="1:14" x14ac:dyDescent="0.3">
      <c r="A13095" s="42"/>
      <c r="C13095" s="52"/>
      <c r="D13095"/>
      <c r="E13095"/>
      <c r="F13095"/>
      <c r="N13095" s="44"/>
    </row>
    <row r="13096" spans="1:14" x14ac:dyDescent="0.3">
      <c r="A13096" s="42"/>
      <c r="C13096" s="52"/>
      <c r="D13096"/>
      <c r="E13096"/>
      <c r="F13096"/>
      <c r="L13096" s="45"/>
      <c r="N13096" s="44"/>
    </row>
    <row r="13097" spans="1:14" x14ac:dyDescent="0.3">
      <c r="A13097" s="42"/>
      <c r="C13097" s="52"/>
      <c r="D13097"/>
      <c r="E13097"/>
      <c r="F13097"/>
      <c r="N13097" s="44"/>
    </row>
    <row r="13098" spans="1:14" x14ac:dyDescent="0.3">
      <c r="A13098" s="42"/>
      <c r="C13098" s="52"/>
      <c r="D13098"/>
      <c r="E13098"/>
      <c r="F13098"/>
      <c r="N13098" s="44"/>
    </row>
    <row r="13099" spans="1:14" x14ac:dyDescent="0.3">
      <c r="A13099" s="42"/>
      <c r="C13099" s="52"/>
      <c r="D13099"/>
      <c r="E13099"/>
      <c r="F13099"/>
      <c r="M13099" s="45"/>
      <c r="N13099" s="44"/>
    </row>
    <row r="13100" spans="1:14" x14ac:dyDescent="0.3">
      <c r="A13100" s="42"/>
      <c r="C13100" s="52"/>
      <c r="D13100"/>
      <c r="E13100"/>
      <c r="F13100"/>
      <c r="N13100" s="44"/>
    </row>
    <row r="13101" spans="1:14" x14ac:dyDescent="0.3">
      <c r="A13101" s="42"/>
      <c r="C13101" s="52"/>
      <c r="D13101"/>
      <c r="E13101"/>
      <c r="F13101"/>
      <c r="N13101" s="44"/>
    </row>
    <row r="13102" spans="1:14" x14ac:dyDescent="0.3">
      <c r="A13102" s="42"/>
      <c r="C13102" s="52"/>
      <c r="D13102"/>
      <c r="E13102"/>
      <c r="F13102"/>
      <c r="N13102" s="44"/>
    </row>
    <row r="13103" spans="1:14" x14ac:dyDescent="0.3">
      <c r="A13103" s="42"/>
      <c r="C13103" s="52"/>
      <c r="D13103"/>
      <c r="E13103"/>
      <c r="F13103"/>
      <c r="N13103" s="44"/>
    </row>
    <row r="13104" spans="1:14" x14ac:dyDescent="0.3">
      <c r="A13104" s="42"/>
      <c r="C13104" s="52"/>
      <c r="D13104"/>
      <c r="E13104"/>
      <c r="F13104"/>
      <c r="N13104" s="44"/>
    </row>
    <row r="13105" spans="1:14" x14ac:dyDescent="0.3">
      <c r="A13105" s="42"/>
      <c r="C13105" s="52"/>
      <c r="D13105"/>
      <c r="E13105"/>
      <c r="F13105"/>
      <c r="N13105" s="44"/>
    </row>
    <row r="13106" spans="1:14" x14ac:dyDescent="0.3">
      <c r="A13106" s="42"/>
      <c r="C13106" s="52"/>
      <c r="D13106"/>
      <c r="E13106"/>
      <c r="F13106"/>
      <c r="N13106" s="44"/>
    </row>
    <row r="13107" spans="1:14" x14ac:dyDescent="0.3">
      <c r="A13107" s="42"/>
      <c r="C13107" s="52"/>
      <c r="D13107"/>
      <c r="E13107"/>
      <c r="F13107"/>
      <c r="L13107" s="45"/>
      <c r="N13107" s="44"/>
    </row>
    <row r="13108" spans="1:14" x14ac:dyDescent="0.3">
      <c r="A13108" s="42"/>
      <c r="C13108" s="52"/>
      <c r="D13108"/>
      <c r="E13108"/>
      <c r="F13108"/>
      <c r="L13108" s="45"/>
      <c r="N13108" s="44"/>
    </row>
    <row r="13109" spans="1:14" x14ac:dyDescent="0.3">
      <c r="A13109" s="42"/>
      <c r="C13109" s="52"/>
      <c r="D13109"/>
      <c r="E13109"/>
      <c r="F13109"/>
      <c r="L13109" s="45"/>
      <c r="N13109" s="44"/>
    </row>
    <row r="13110" spans="1:14" x14ac:dyDescent="0.3">
      <c r="A13110" s="42"/>
      <c r="C13110" s="52"/>
      <c r="D13110"/>
      <c r="E13110"/>
      <c r="F13110"/>
      <c r="N13110" s="44"/>
    </row>
    <row r="13111" spans="1:14" x14ac:dyDescent="0.3">
      <c r="A13111" s="42"/>
      <c r="C13111" s="52"/>
      <c r="D13111"/>
      <c r="E13111"/>
      <c r="F13111"/>
      <c r="L13111" s="45"/>
      <c r="N13111" s="44"/>
    </row>
    <row r="13112" spans="1:14" x14ac:dyDescent="0.3">
      <c r="A13112" s="42"/>
      <c r="C13112" s="52"/>
      <c r="D13112"/>
      <c r="E13112"/>
      <c r="F13112"/>
      <c r="L13112" s="45"/>
      <c r="N13112" s="44"/>
    </row>
    <row r="13113" spans="1:14" x14ac:dyDescent="0.3">
      <c r="A13113" s="42"/>
      <c r="C13113" s="52"/>
      <c r="D13113"/>
      <c r="E13113"/>
      <c r="F13113"/>
      <c r="L13113" s="45"/>
      <c r="N13113" s="44"/>
    </row>
    <row r="13114" spans="1:14" x14ac:dyDescent="0.3">
      <c r="A13114" s="42"/>
      <c r="C13114" s="52"/>
      <c r="D13114"/>
      <c r="E13114"/>
      <c r="F13114"/>
      <c r="L13114" s="45"/>
      <c r="N13114" s="44"/>
    </row>
    <row r="13115" spans="1:14" x14ac:dyDescent="0.3">
      <c r="A13115" s="42"/>
      <c r="C13115" s="52"/>
      <c r="D13115"/>
      <c r="E13115"/>
      <c r="F13115"/>
      <c r="L13115" s="45"/>
      <c r="N13115" s="44"/>
    </row>
    <row r="13116" spans="1:14" x14ac:dyDescent="0.3">
      <c r="A13116" s="42"/>
      <c r="C13116" s="52"/>
      <c r="D13116"/>
      <c r="E13116"/>
      <c r="N13116" s="44"/>
    </row>
    <row r="13117" spans="1:14" x14ac:dyDescent="0.3">
      <c r="A13117" s="42"/>
      <c r="C13117" s="52"/>
      <c r="D13117"/>
      <c r="E13117"/>
      <c r="N13117" s="44"/>
    </row>
    <row r="13118" spans="1:14" x14ac:dyDescent="0.3">
      <c r="A13118" s="42"/>
      <c r="C13118" s="52"/>
      <c r="D13118"/>
      <c r="E13118"/>
      <c r="N13118" s="44"/>
    </row>
    <row r="13119" spans="1:14" x14ac:dyDescent="0.3">
      <c r="A13119" s="42"/>
      <c r="C13119" s="52"/>
      <c r="D13119"/>
      <c r="E13119"/>
      <c r="N13119" s="44"/>
    </row>
    <row r="13120" spans="1:14" x14ac:dyDescent="0.3">
      <c r="A13120" s="42"/>
      <c r="C13120" s="52"/>
      <c r="D13120"/>
      <c r="E13120"/>
      <c r="N13120" s="44"/>
    </row>
    <row r="13121" spans="1:14" x14ac:dyDescent="0.3">
      <c r="A13121" s="42"/>
      <c r="C13121" s="52"/>
      <c r="D13121"/>
      <c r="E13121"/>
      <c r="N13121" s="44"/>
    </row>
    <row r="13122" spans="1:14" x14ac:dyDescent="0.3">
      <c r="A13122" s="42"/>
      <c r="C13122" s="52"/>
      <c r="D13122"/>
      <c r="E13122"/>
      <c r="N13122" s="44"/>
    </row>
    <row r="13123" spans="1:14" x14ac:dyDescent="0.3">
      <c r="A13123" s="42"/>
      <c r="C13123" s="52"/>
      <c r="D13123"/>
      <c r="E13123"/>
      <c r="N13123" s="44"/>
    </row>
    <row r="13124" spans="1:14" x14ac:dyDescent="0.3">
      <c r="A13124" s="42"/>
      <c r="C13124" s="52"/>
      <c r="D13124"/>
      <c r="E13124"/>
      <c r="N13124" s="44"/>
    </row>
    <row r="13125" spans="1:14" x14ac:dyDescent="0.3">
      <c r="A13125" s="42"/>
      <c r="C13125" s="52"/>
      <c r="D13125"/>
      <c r="E13125"/>
      <c r="N13125" s="44"/>
    </row>
    <row r="13126" spans="1:14" x14ac:dyDescent="0.3">
      <c r="A13126" s="42"/>
      <c r="C13126" s="52"/>
      <c r="D13126"/>
      <c r="E13126"/>
      <c r="N13126" s="44"/>
    </row>
    <row r="13127" spans="1:14" x14ac:dyDescent="0.3">
      <c r="A13127" s="42"/>
      <c r="C13127" s="52"/>
      <c r="D13127"/>
      <c r="E13127"/>
      <c r="N13127" s="44"/>
    </row>
    <row r="13128" spans="1:14" x14ac:dyDescent="0.3">
      <c r="A13128" s="42"/>
      <c r="C13128" s="52"/>
      <c r="D13128"/>
      <c r="E13128"/>
      <c r="N13128" s="44"/>
    </row>
    <row r="13129" spans="1:14" x14ac:dyDescent="0.3">
      <c r="A13129" s="42"/>
      <c r="C13129" s="52"/>
      <c r="D13129"/>
      <c r="E13129"/>
      <c r="N13129" s="44"/>
    </row>
    <row r="13130" spans="1:14" x14ac:dyDescent="0.3">
      <c r="A13130" s="42"/>
      <c r="C13130" s="52"/>
      <c r="D13130"/>
      <c r="E13130"/>
      <c r="N13130" s="44"/>
    </row>
    <row r="13131" spans="1:14" x14ac:dyDescent="0.3">
      <c r="A13131" s="42"/>
      <c r="C13131" s="52"/>
      <c r="D13131"/>
      <c r="E13131"/>
      <c r="N13131" s="44"/>
    </row>
    <row r="13132" spans="1:14" x14ac:dyDescent="0.3">
      <c r="A13132" s="42"/>
      <c r="C13132" s="52"/>
      <c r="D13132"/>
      <c r="E13132"/>
      <c r="N13132" s="44"/>
    </row>
    <row r="13133" spans="1:14" x14ac:dyDescent="0.3">
      <c r="A13133" s="42"/>
      <c r="C13133" s="52"/>
      <c r="D13133"/>
      <c r="E13133"/>
      <c r="N13133" s="44"/>
    </row>
    <row r="13134" spans="1:14" x14ac:dyDescent="0.3">
      <c r="A13134" s="42"/>
      <c r="C13134" s="52"/>
      <c r="D13134"/>
      <c r="E13134"/>
      <c r="N13134" s="44"/>
    </row>
    <row r="13135" spans="1:14" x14ac:dyDescent="0.3">
      <c r="A13135" s="42"/>
      <c r="C13135" s="52"/>
      <c r="D13135"/>
      <c r="E13135"/>
      <c r="N13135" s="44"/>
    </row>
    <row r="13136" spans="1:14" x14ac:dyDescent="0.3">
      <c r="A13136" s="42"/>
      <c r="C13136" s="52"/>
      <c r="D13136"/>
      <c r="E13136"/>
      <c r="N13136" s="44"/>
    </row>
    <row r="13137" spans="1:14" x14ac:dyDescent="0.3">
      <c r="A13137" s="42"/>
      <c r="C13137" s="52"/>
      <c r="D13137"/>
      <c r="E13137"/>
      <c r="N13137" s="44"/>
    </row>
    <row r="13138" spans="1:14" x14ac:dyDescent="0.3">
      <c r="A13138" s="42"/>
      <c r="C13138" s="52"/>
      <c r="D13138"/>
      <c r="E13138"/>
      <c r="N13138" s="44"/>
    </row>
    <row r="13139" spans="1:14" x14ac:dyDescent="0.3">
      <c r="A13139" s="42"/>
      <c r="C13139" s="52"/>
      <c r="D13139"/>
      <c r="E13139"/>
      <c r="N13139" s="44"/>
    </row>
    <row r="13140" spans="1:14" x14ac:dyDescent="0.3">
      <c r="A13140" s="42"/>
      <c r="C13140" s="52"/>
      <c r="D13140"/>
      <c r="E13140"/>
      <c r="N13140" s="44"/>
    </row>
    <row r="13141" spans="1:14" x14ac:dyDescent="0.3">
      <c r="A13141" s="42"/>
      <c r="C13141" s="52"/>
      <c r="D13141"/>
      <c r="E13141"/>
      <c r="N13141" s="44"/>
    </row>
    <row r="13142" spans="1:14" x14ac:dyDescent="0.3">
      <c r="A13142" s="42"/>
      <c r="C13142" s="52"/>
      <c r="D13142"/>
      <c r="E13142"/>
      <c r="N13142" s="44"/>
    </row>
    <row r="13143" spans="1:14" x14ac:dyDescent="0.3">
      <c r="A13143" s="42"/>
      <c r="C13143" s="52"/>
      <c r="D13143"/>
      <c r="E13143"/>
      <c r="N13143" s="44"/>
    </row>
    <row r="13144" spans="1:14" x14ac:dyDescent="0.3">
      <c r="A13144" s="42"/>
      <c r="C13144" s="52"/>
      <c r="D13144"/>
      <c r="E13144"/>
      <c r="N13144" s="44"/>
    </row>
    <row r="13145" spans="1:14" x14ac:dyDescent="0.3">
      <c r="A13145" s="42"/>
      <c r="C13145" s="52"/>
      <c r="D13145"/>
      <c r="E13145"/>
      <c r="N13145" s="44"/>
    </row>
    <row r="13146" spans="1:14" x14ac:dyDescent="0.3">
      <c r="A13146" s="42"/>
      <c r="C13146" s="52"/>
      <c r="D13146"/>
      <c r="E13146"/>
      <c r="N13146" s="44"/>
    </row>
    <row r="13147" spans="1:14" x14ac:dyDescent="0.3">
      <c r="A13147" s="42"/>
      <c r="C13147" s="52"/>
      <c r="D13147"/>
      <c r="E13147"/>
      <c r="N13147" s="44"/>
    </row>
    <row r="13148" spans="1:14" x14ac:dyDescent="0.3">
      <c r="A13148" s="42"/>
      <c r="C13148" s="52"/>
      <c r="D13148"/>
      <c r="E13148"/>
      <c r="N13148" s="44"/>
    </row>
    <row r="13149" spans="1:14" x14ac:dyDescent="0.3">
      <c r="A13149" s="42"/>
      <c r="C13149" s="52"/>
      <c r="D13149"/>
      <c r="E13149"/>
      <c r="N13149" s="44"/>
    </row>
    <row r="13150" spans="1:14" x14ac:dyDescent="0.3">
      <c r="A13150" s="42"/>
      <c r="C13150" s="52"/>
      <c r="D13150"/>
      <c r="E13150"/>
      <c r="N13150" s="44"/>
    </row>
    <row r="13151" spans="1:14" x14ac:dyDescent="0.3">
      <c r="A13151" s="42"/>
      <c r="C13151" s="52"/>
      <c r="D13151"/>
      <c r="E13151"/>
      <c r="N13151" s="44"/>
    </row>
    <row r="13152" spans="1:14" x14ac:dyDescent="0.3">
      <c r="A13152" s="42"/>
      <c r="C13152" s="52"/>
      <c r="D13152"/>
      <c r="E13152"/>
      <c r="N13152" s="44"/>
    </row>
    <row r="13153" spans="1:14" x14ac:dyDescent="0.3">
      <c r="A13153" s="42"/>
      <c r="C13153" s="52"/>
      <c r="D13153"/>
      <c r="E13153"/>
      <c r="N13153" s="44"/>
    </row>
    <row r="13154" spans="1:14" x14ac:dyDescent="0.3">
      <c r="A13154" s="42"/>
      <c r="C13154" s="52"/>
      <c r="D13154"/>
      <c r="E13154"/>
      <c r="N13154" s="44"/>
    </row>
    <row r="13155" spans="1:14" x14ac:dyDescent="0.3">
      <c r="A13155" s="42"/>
      <c r="C13155" s="52"/>
      <c r="D13155"/>
      <c r="E13155"/>
      <c r="N13155" s="44"/>
    </row>
    <row r="13156" spans="1:14" x14ac:dyDescent="0.3">
      <c r="A13156" s="42"/>
      <c r="C13156" s="52"/>
      <c r="D13156"/>
      <c r="E13156"/>
      <c r="N13156" s="44"/>
    </row>
    <row r="13157" spans="1:14" x14ac:dyDescent="0.3">
      <c r="A13157" s="42"/>
      <c r="C13157" s="52"/>
      <c r="D13157"/>
      <c r="E13157"/>
      <c r="N13157" s="44"/>
    </row>
    <row r="13158" spans="1:14" x14ac:dyDescent="0.3">
      <c r="A13158" s="42"/>
      <c r="C13158" s="52"/>
      <c r="D13158"/>
      <c r="E13158"/>
      <c r="N13158" s="44"/>
    </row>
    <row r="13159" spans="1:14" x14ac:dyDescent="0.3">
      <c r="A13159" s="42"/>
      <c r="C13159" s="52"/>
      <c r="D13159"/>
      <c r="E13159"/>
      <c r="N13159" s="44"/>
    </row>
    <row r="13160" spans="1:14" x14ac:dyDescent="0.3">
      <c r="A13160" s="42"/>
      <c r="C13160" s="52"/>
      <c r="D13160"/>
      <c r="E13160"/>
      <c r="N13160" s="44"/>
    </row>
    <row r="13161" spans="1:14" x14ac:dyDescent="0.3">
      <c r="A13161" s="42"/>
      <c r="C13161" s="52"/>
      <c r="D13161"/>
      <c r="E13161"/>
      <c r="N13161" s="44"/>
    </row>
    <row r="13162" spans="1:14" x14ac:dyDescent="0.3">
      <c r="A13162" s="42"/>
      <c r="C13162" s="52"/>
      <c r="D13162"/>
      <c r="E13162"/>
      <c r="N13162" s="44"/>
    </row>
    <row r="13163" spans="1:14" x14ac:dyDescent="0.3">
      <c r="A13163" s="42"/>
      <c r="C13163" s="52"/>
      <c r="D13163"/>
      <c r="E13163"/>
      <c r="N13163" s="44"/>
    </row>
    <row r="13164" spans="1:14" x14ac:dyDescent="0.3">
      <c r="A13164" s="42"/>
      <c r="C13164" s="52"/>
      <c r="D13164"/>
      <c r="E13164"/>
      <c r="N13164" s="44"/>
    </row>
    <row r="13165" spans="1:14" x14ac:dyDescent="0.3">
      <c r="A13165" s="42"/>
      <c r="C13165" s="52"/>
      <c r="D13165"/>
      <c r="E13165"/>
      <c r="N13165" s="44"/>
    </row>
    <row r="13166" spans="1:14" x14ac:dyDescent="0.3">
      <c r="A13166" s="42"/>
      <c r="C13166" s="52"/>
      <c r="D13166"/>
      <c r="E13166"/>
      <c r="N13166" s="44"/>
    </row>
    <row r="13167" spans="1:14" x14ac:dyDescent="0.3">
      <c r="A13167" s="42"/>
      <c r="C13167" s="52"/>
      <c r="D13167"/>
      <c r="E13167"/>
      <c r="N13167" s="44"/>
    </row>
    <row r="13168" spans="1:14" x14ac:dyDescent="0.3">
      <c r="A13168" s="42"/>
      <c r="C13168" s="52"/>
      <c r="D13168"/>
      <c r="E13168"/>
      <c r="N13168" s="44"/>
    </row>
    <row r="13169" spans="1:14" x14ac:dyDescent="0.3">
      <c r="A13169" s="42"/>
      <c r="C13169" s="52"/>
      <c r="D13169"/>
      <c r="E13169"/>
      <c r="N13169" s="44"/>
    </row>
    <row r="13170" spans="1:14" x14ac:dyDescent="0.3">
      <c r="A13170" s="42"/>
      <c r="C13170" s="52"/>
      <c r="D13170"/>
      <c r="E13170"/>
      <c r="N13170" s="44"/>
    </row>
    <row r="13171" spans="1:14" x14ac:dyDescent="0.3">
      <c r="A13171" s="42"/>
      <c r="C13171" s="52"/>
      <c r="D13171"/>
      <c r="E13171"/>
      <c r="N13171" s="44"/>
    </row>
    <row r="13172" spans="1:14" x14ac:dyDescent="0.3">
      <c r="A13172" s="42"/>
      <c r="C13172" s="52"/>
      <c r="D13172"/>
      <c r="E13172"/>
      <c r="N13172" s="44"/>
    </row>
    <row r="13173" spans="1:14" x14ac:dyDescent="0.3">
      <c r="A13173" s="42"/>
      <c r="C13173" s="52"/>
      <c r="D13173"/>
      <c r="E13173"/>
      <c r="N13173" s="44"/>
    </row>
    <row r="13174" spans="1:14" x14ac:dyDescent="0.3">
      <c r="A13174" s="42"/>
      <c r="C13174" s="52"/>
      <c r="D13174"/>
      <c r="E13174"/>
      <c r="N13174" s="44"/>
    </row>
    <row r="13175" spans="1:14" x14ac:dyDescent="0.3">
      <c r="A13175" s="42"/>
      <c r="C13175" s="52"/>
      <c r="D13175"/>
      <c r="E13175"/>
      <c r="N13175" s="44"/>
    </row>
    <row r="13176" spans="1:14" x14ac:dyDescent="0.3">
      <c r="A13176" s="42"/>
      <c r="C13176" s="52"/>
      <c r="D13176"/>
      <c r="E13176"/>
      <c r="N13176" s="44"/>
    </row>
    <row r="13177" spans="1:14" x14ac:dyDescent="0.3">
      <c r="A13177" s="42"/>
      <c r="C13177" s="52"/>
      <c r="D13177"/>
      <c r="E13177"/>
      <c r="N13177" s="44"/>
    </row>
    <row r="13178" spans="1:14" x14ac:dyDescent="0.3">
      <c r="A13178" s="42"/>
      <c r="C13178" s="52"/>
      <c r="D13178"/>
      <c r="E13178"/>
      <c r="N13178" s="44"/>
    </row>
    <row r="13179" spans="1:14" x14ac:dyDescent="0.3">
      <c r="A13179" s="42"/>
      <c r="C13179" s="52"/>
      <c r="D13179"/>
      <c r="E13179"/>
      <c r="N13179" s="44"/>
    </row>
    <row r="13180" spans="1:14" x14ac:dyDescent="0.3">
      <c r="A13180" s="42"/>
      <c r="C13180" s="52"/>
      <c r="D13180"/>
      <c r="E13180"/>
      <c r="N13180" s="44"/>
    </row>
    <row r="13181" spans="1:14" x14ac:dyDescent="0.3">
      <c r="A13181" s="42"/>
      <c r="C13181" s="52"/>
      <c r="D13181"/>
      <c r="E13181"/>
      <c r="N13181" s="44"/>
    </row>
    <row r="13182" spans="1:14" x14ac:dyDescent="0.3">
      <c r="A13182" s="42"/>
      <c r="C13182" s="52"/>
      <c r="D13182"/>
      <c r="E13182"/>
      <c r="N13182" s="44"/>
    </row>
    <row r="13183" spans="1:14" x14ac:dyDescent="0.3">
      <c r="A13183" s="42"/>
      <c r="C13183" s="52"/>
      <c r="D13183"/>
      <c r="E13183"/>
      <c r="N13183" s="44"/>
    </row>
    <row r="13184" spans="1:14" x14ac:dyDescent="0.3">
      <c r="A13184" s="42"/>
      <c r="C13184" s="52"/>
      <c r="D13184"/>
      <c r="E13184"/>
      <c r="N13184" s="44"/>
    </row>
    <row r="13185" spans="1:14" x14ac:dyDescent="0.3">
      <c r="A13185" s="42"/>
      <c r="C13185" s="52"/>
      <c r="D13185"/>
      <c r="E13185"/>
      <c r="N13185" s="44"/>
    </row>
    <row r="13186" spans="1:14" x14ac:dyDescent="0.3">
      <c r="A13186" s="42"/>
      <c r="C13186" s="52"/>
      <c r="D13186"/>
      <c r="E13186"/>
      <c r="N13186" s="44"/>
    </row>
    <row r="13187" spans="1:14" x14ac:dyDescent="0.3">
      <c r="A13187" s="42"/>
      <c r="C13187" s="52"/>
      <c r="D13187"/>
      <c r="E13187"/>
      <c r="N13187" s="44"/>
    </row>
    <row r="13188" spans="1:14" x14ac:dyDescent="0.3">
      <c r="A13188" s="42"/>
      <c r="C13188" s="52"/>
      <c r="D13188"/>
      <c r="E13188"/>
      <c r="N13188" s="44"/>
    </row>
    <row r="13189" spans="1:14" x14ac:dyDescent="0.3">
      <c r="A13189" s="42"/>
      <c r="C13189" s="52"/>
      <c r="D13189"/>
      <c r="E13189"/>
      <c r="N13189" s="44"/>
    </row>
    <row r="13190" spans="1:14" x14ac:dyDescent="0.3">
      <c r="A13190" s="42"/>
      <c r="C13190" s="52"/>
      <c r="D13190"/>
      <c r="E13190"/>
      <c r="N13190" s="44"/>
    </row>
    <row r="13191" spans="1:14" x14ac:dyDescent="0.3">
      <c r="A13191" s="42"/>
      <c r="C13191" s="52"/>
      <c r="D13191"/>
      <c r="E13191"/>
      <c r="N13191" s="44"/>
    </row>
    <row r="13192" spans="1:14" x14ac:dyDescent="0.3">
      <c r="A13192" s="42"/>
      <c r="C13192" s="52"/>
      <c r="D13192"/>
      <c r="E13192"/>
      <c r="N13192" s="44"/>
    </row>
    <row r="13193" spans="1:14" x14ac:dyDescent="0.3">
      <c r="A13193" s="42"/>
      <c r="C13193" s="52"/>
      <c r="D13193"/>
      <c r="E13193"/>
      <c r="N13193" s="44"/>
    </row>
    <row r="13194" spans="1:14" x14ac:dyDescent="0.3">
      <c r="A13194" s="42"/>
      <c r="C13194" s="52"/>
      <c r="D13194"/>
      <c r="E13194"/>
      <c r="N13194" s="44"/>
    </row>
    <row r="13195" spans="1:14" x14ac:dyDescent="0.3">
      <c r="A13195" s="42"/>
      <c r="C13195" s="52"/>
      <c r="D13195"/>
      <c r="E13195"/>
      <c r="N13195" s="44"/>
    </row>
    <row r="13196" spans="1:14" x14ac:dyDescent="0.3">
      <c r="A13196" s="42"/>
      <c r="C13196" s="52"/>
      <c r="D13196"/>
      <c r="E13196"/>
      <c r="N13196" s="44"/>
    </row>
    <row r="13197" spans="1:14" x14ac:dyDescent="0.3">
      <c r="A13197" s="42"/>
      <c r="C13197" s="52"/>
      <c r="D13197"/>
      <c r="E13197"/>
      <c r="N13197" s="44"/>
    </row>
    <row r="13198" spans="1:14" x14ac:dyDescent="0.3">
      <c r="A13198" s="42"/>
      <c r="C13198" s="52"/>
      <c r="D13198"/>
      <c r="E13198"/>
      <c r="N13198" s="44"/>
    </row>
    <row r="13199" spans="1:14" x14ac:dyDescent="0.3">
      <c r="A13199" s="42"/>
      <c r="C13199" s="52"/>
      <c r="D13199"/>
      <c r="E13199"/>
      <c r="N13199" s="44"/>
    </row>
    <row r="13200" spans="1:14" x14ac:dyDescent="0.3">
      <c r="A13200" s="42"/>
      <c r="C13200" s="52"/>
      <c r="D13200"/>
      <c r="E13200"/>
      <c r="N13200" s="44"/>
    </row>
    <row r="13201" spans="1:14" x14ac:dyDescent="0.3">
      <c r="A13201" s="42"/>
      <c r="C13201" s="52"/>
      <c r="D13201"/>
      <c r="E13201"/>
      <c r="N13201" s="44"/>
    </row>
    <row r="13202" spans="1:14" x14ac:dyDescent="0.3">
      <c r="A13202" s="42"/>
      <c r="C13202" s="52"/>
      <c r="D13202"/>
      <c r="E13202"/>
      <c r="N13202" s="44"/>
    </row>
    <row r="13203" spans="1:14" x14ac:dyDescent="0.3">
      <c r="A13203" s="42"/>
      <c r="C13203" s="52"/>
      <c r="D13203"/>
      <c r="E13203"/>
      <c r="N13203" s="44"/>
    </row>
    <row r="13204" spans="1:14" x14ac:dyDescent="0.3">
      <c r="A13204" s="42"/>
      <c r="C13204" s="52"/>
      <c r="D13204"/>
      <c r="E13204"/>
      <c r="N13204" s="44"/>
    </row>
    <row r="13205" spans="1:14" x14ac:dyDescent="0.3">
      <c r="A13205" s="42"/>
      <c r="C13205" s="52"/>
      <c r="D13205"/>
      <c r="E13205"/>
      <c r="N13205" s="44"/>
    </row>
    <row r="13206" spans="1:14" x14ac:dyDescent="0.3">
      <c r="A13206" s="42"/>
      <c r="C13206" s="52"/>
      <c r="D13206"/>
      <c r="E13206"/>
      <c r="N13206" s="44"/>
    </row>
    <row r="13207" spans="1:14" x14ac:dyDescent="0.3">
      <c r="A13207" s="42"/>
      <c r="C13207" s="52"/>
      <c r="D13207"/>
      <c r="E13207"/>
      <c r="N13207" s="44"/>
    </row>
    <row r="13208" spans="1:14" x14ac:dyDescent="0.3">
      <c r="A13208" s="42"/>
      <c r="C13208" s="52"/>
      <c r="D13208"/>
      <c r="E13208"/>
      <c r="N13208" s="44"/>
    </row>
    <row r="13209" spans="1:14" x14ac:dyDescent="0.3">
      <c r="A13209" s="42"/>
      <c r="C13209" s="52"/>
      <c r="D13209"/>
      <c r="E13209"/>
      <c r="N13209" s="44"/>
    </row>
    <row r="13210" spans="1:14" x14ac:dyDescent="0.3">
      <c r="A13210" s="42"/>
      <c r="C13210" s="52"/>
      <c r="D13210"/>
      <c r="E13210"/>
      <c r="N13210" s="44"/>
    </row>
    <row r="13211" spans="1:14" x14ac:dyDescent="0.3">
      <c r="A13211" s="42"/>
      <c r="C13211" s="52"/>
      <c r="D13211"/>
      <c r="E13211"/>
      <c r="N13211" s="44"/>
    </row>
    <row r="13212" spans="1:14" x14ac:dyDescent="0.3">
      <c r="A13212" s="42"/>
      <c r="C13212" s="52"/>
      <c r="D13212"/>
      <c r="E13212"/>
      <c r="N13212" s="44"/>
    </row>
    <row r="13213" spans="1:14" x14ac:dyDescent="0.3">
      <c r="A13213" s="42"/>
      <c r="C13213" s="52"/>
      <c r="D13213"/>
      <c r="E13213"/>
      <c r="N13213" s="44"/>
    </row>
    <row r="13214" spans="1:14" x14ac:dyDescent="0.3">
      <c r="A13214" s="42"/>
      <c r="C13214" s="52"/>
      <c r="D13214"/>
      <c r="E13214"/>
      <c r="N13214" s="44"/>
    </row>
    <row r="13215" spans="1:14" x14ac:dyDescent="0.3">
      <c r="A13215" s="42"/>
      <c r="C13215" s="52"/>
      <c r="D13215"/>
      <c r="E13215"/>
      <c r="N13215" s="44"/>
    </row>
    <row r="13216" spans="1:14" x14ac:dyDescent="0.3">
      <c r="A13216" s="42"/>
      <c r="C13216" s="52"/>
      <c r="D13216"/>
      <c r="E13216"/>
      <c r="N13216" s="44"/>
    </row>
    <row r="13217" spans="1:14" x14ac:dyDescent="0.3">
      <c r="A13217" s="42"/>
      <c r="C13217" s="52"/>
      <c r="D13217"/>
      <c r="E13217"/>
      <c r="N13217" s="44"/>
    </row>
    <row r="13218" spans="1:14" x14ac:dyDescent="0.3">
      <c r="A13218" s="42"/>
      <c r="C13218" s="52"/>
      <c r="D13218"/>
      <c r="E13218"/>
      <c r="N13218" s="44"/>
    </row>
    <row r="13219" spans="1:14" x14ac:dyDescent="0.3">
      <c r="A13219" s="42"/>
      <c r="C13219" s="52"/>
      <c r="D13219"/>
      <c r="E13219"/>
      <c r="N13219" s="44"/>
    </row>
    <row r="13220" spans="1:14" x14ac:dyDescent="0.3">
      <c r="A13220" s="42"/>
      <c r="C13220" s="52"/>
      <c r="D13220"/>
      <c r="E13220"/>
      <c r="N13220" s="44"/>
    </row>
    <row r="13221" spans="1:14" x14ac:dyDescent="0.3">
      <c r="A13221" s="42"/>
      <c r="C13221" s="52"/>
      <c r="D13221"/>
      <c r="E13221"/>
      <c r="N13221" s="44"/>
    </row>
    <row r="13222" spans="1:14" x14ac:dyDescent="0.3">
      <c r="A13222" s="42"/>
      <c r="C13222" s="52"/>
      <c r="D13222"/>
      <c r="E13222"/>
      <c r="N13222" s="44"/>
    </row>
    <row r="13223" spans="1:14" x14ac:dyDescent="0.3">
      <c r="A13223" s="42"/>
      <c r="C13223" s="52"/>
      <c r="D13223"/>
      <c r="E13223"/>
      <c r="N13223" s="44"/>
    </row>
    <row r="13224" spans="1:14" x14ac:dyDescent="0.3">
      <c r="A13224" s="42"/>
      <c r="C13224" s="52"/>
      <c r="D13224"/>
      <c r="E13224"/>
      <c r="N13224" s="44"/>
    </row>
    <row r="13225" spans="1:14" x14ac:dyDescent="0.3">
      <c r="A13225" s="42"/>
      <c r="C13225" s="52"/>
      <c r="D13225"/>
      <c r="E13225"/>
      <c r="N13225" s="44"/>
    </row>
    <row r="13226" spans="1:14" x14ac:dyDescent="0.3">
      <c r="A13226" s="42"/>
      <c r="C13226" s="52"/>
      <c r="D13226"/>
      <c r="E13226"/>
      <c r="N13226" s="44"/>
    </row>
    <row r="13227" spans="1:14" x14ac:dyDescent="0.3">
      <c r="A13227" s="42"/>
      <c r="C13227" s="52"/>
      <c r="D13227"/>
      <c r="E13227"/>
      <c r="M13227" s="45"/>
      <c r="N13227" s="44"/>
    </row>
    <row r="13228" spans="1:14" x14ac:dyDescent="0.3">
      <c r="A13228" s="42"/>
      <c r="C13228" s="52"/>
      <c r="D13228"/>
      <c r="E13228"/>
      <c r="N13228" s="44"/>
    </row>
    <row r="13229" spans="1:14" x14ac:dyDescent="0.3">
      <c r="A13229" s="42"/>
      <c r="C13229" s="52"/>
      <c r="D13229"/>
      <c r="E13229"/>
      <c r="M13229" s="45"/>
      <c r="N13229" s="44"/>
    </row>
    <row r="13230" spans="1:14" x14ac:dyDescent="0.3">
      <c r="A13230" s="42"/>
      <c r="C13230" s="52"/>
      <c r="D13230"/>
      <c r="E13230"/>
      <c r="N13230" s="44"/>
    </row>
    <row r="13231" spans="1:14" x14ac:dyDescent="0.3">
      <c r="A13231" s="42"/>
      <c r="C13231" s="52"/>
      <c r="D13231"/>
      <c r="E13231"/>
      <c r="N13231" s="44"/>
    </row>
    <row r="13232" spans="1:14" x14ac:dyDescent="0.3">
      <c r="A13232" s="42"/>
      <c r="C13232" s="52"/>
      <c r="D13232"/>
      <c r="E13232"/>
      <c r="N13232" s="44"/>
    </row>
    <row r="13233" spans="1:14" x14ac:dyDescent="0.3">
      <c r="A13233" s="42"/>
      <c r="C13233" s="52"/>
      <c r="D13233"/>
      <c r="E13233"/>
      <c r="N13233" s="44"/>
    </row>
    <row r="13234" spans="1:14" x14ac:dyDescent="0.3">
      <c r="A13234" s="42"/>
      <c r="C13234" s="52"/>
      <c r="D13234"/>
      <c r="E13234"/>
      <c r="N13234" s="44"/>
    </row>
    <row r="13235" spans="1:14" x14ac:dyDescent="0.3">
      <c r="A13235" s="42"/>
      <c r="C13235" s="52"/>
      <c r="D13235"/>
      <c r="E13235"/>
      <c r="N13235" s="44"/>
    </row>
    <row r="13236" spans="1:14" x14ac:dyDescent="0.3">
      <c r="A13236" s="42"/>
      <c r="C13236" s="52"/>
      <c r="D13236"/>
      <c r="E13236"/>
      <c r="N13236" s="44"/>
    </row>
    <row r="13237" spans="1:14" x14ac:dyDescent="0.3">
      <c r="A13237" s="42"/>
      <c r="C13237" s="52"/>
      <c r="D13237"/>
      <c r="E13237"/>
      <c r="N13237" s="44"/>
    </row>
    <row r="13238" spans="1:14" x14ac:dyDescent="0.3">
      <c r="A13238" s="42"/>
      <c r="C13238" s="52"/>
      <c r="D13238"/>
      <c r="E13238"/>
      <c r="N13238" s="44"/>
    </row>
    <row r="13239" spans="1:14" x14ac:dyDescent="0.3">
      <c r="A13239" s="42"/>
      <c r="C13239" s="52"/>
      <c r="D13239"/>
      <c r="E13239"/>
      <c r="N13239" s="44"/>
    </row>
    <row r="13240" spans="1:14" x14ac:dyDescent="0.3">
      <c r="A13240" s="42"/>
      <c r="C13240" s="52"/>
      <c r="D13240"/>
      <c r="E13240"/>
      <c r="N13240" s="44"/>
    </row>
    <row r="13241" spans="1:14" x14ac:dyDescent="0.3">
      <c r="A13241" s="42"/>
      <c r="C13241" s="52"/>
      <c r="D13241"/>
      <c r="E13241"/>
      <c r="N13241" s="44"/>
    </row>
    <row r="13242" spans="1:14" x14ac:dyDescent="0.3">
      <c r="A13242" s="42"/>
      <c r="C13242" s="52"/>
      <c r="D13242"/>
      <c r="E13242"/>
      <c r="N13242" s="44"/>
    </row>
    <row r="13243" spans="1:14" x14ac:dyDescent="0.3">
      <c r="A13243" s="42"/>
      <c r="C13243" s="52"/>
      <c r="D13243"/>
      <c r="E13243"/>
      <c r="N13243" s="44"/>
    </row>
    <row r="13244" spans="1:14" x14ac:dyDescent="0.3">
      <c r="A13244" s="42"/>
      <c r="C13244" s="52"/>
      <c r="D13244"/>
      <c r="E13244"/>
      <c r="N13244" s="44"/>
    </row>
    <row r="13245" spans="1:14" x14ac:dyDescent="0.3">
      <c r="A13245" s="42"/>
      <c r="C13245" s="52"/>
      <c r="D13245"/>
      <c r="E13245"/>
      <c r="N13245" s="44"/>
    </row>
    <row r="13246" spans="1:14" x14ac:dyDescent="0.3">
      <c r="A13246" s="42"/>
      <c r="C13246" s="52"/>
      <c r="D13246"/>
      <c r="E13246"/>
      <c r="M13246" s="45"/>
      <c r="N13246" s="44"/>
    </row>
    <row r="13247" spans="1:14" x14ac:dyDescent="0.3">
      <c r="A13247" s="42"/>
      <c r="C13247" s="52"/>
      <c r="D13247"/>
      <c r="E13247"/>
      <c r="N13247" s="44"/>
    </row>
    <row r="13248" spans="1:14" x14ac:dyDescent="0.3">
      <c r="A13248" s="42"/>
      <c r="C13248" s="52"/>
      <c r="D13248"/>
      <c r="E13248"/>
      <c r="N13248" s="44"/>
    </row>
    <row r="13249" spans="1:14" x14ac:dyDescent="0.3">
      <c r="A13249" s="42"/>
      <c r="C13249" s="52"/>
      <c r="D13249"/>
      <c r="E13249"/>
      <c r="N13249" s="44"/>
    </row>
    <row r="13250" spans="1:14" x14ac:dyDescent="0.3">
      <c r="A13250" s="42"/>
      <c r="C13250" s="52"/>
      <c r="D13250"/>
      <c r="E13250"/>
      <c r="N13250" s="44"/>
    </row>
    <row r="13251" spans="1:14" x14ac:dyDescent="0.3">
      <c r="A13251" s="42"/>
      <c r="C13251" s="52"/>
      <c r="D13251"/>
      <c r="E13251"/>
      <c r="N13251" s="44"/>
    </row>
    <row r="13252" spans="1:14" x14ac:dyDescent="0.3">
      <c r="A13252" s="42"/>
      <c r="C13252" s="52"/>
      <c r="D13252"/>
      <c r="E13252"/>
      <c r="N13252" s="44"/>
    </row>
    <row r="13253" spans="1:14" x14ac:dyDescent="0.3">
      <c r="A13253" s="42"/>
      <c r="C13253" s="52"/>
      <c r="D13253"/>
      <c r="E13253"/>
      <c r="N13253" s="44"/>
    </row>
    <row r="13254" spans="1:14" x14ac:dyDescent="0.3">
      <c r="A13254" s="42"/>
      <c r="C13254" s="52"/>
      <c r="D13254"/>
      <c r="E13254"/>
      <c r="N13254" s="44"/>
    </row>
    <row r="13255" spans="1:14" x14ac:dyDescent="0.3">
      <c r="A13255" s="42"/>
      <c r="C13255" s="52"/>
      <c r="D13255"/>
      <c r="E13255"/>
      <c r="N13255" s="44"/>
    </row>
    <row r="13256" spans="1:14" x14ac:dyDescent="0.3">
      <c r="A13256" s="42"/>
      <c r="C13256" s="52"/>
      <c r="D13256"/>
      <c r="E13256"/>
      <c r="N13256" s="44"/>
    </row>
    <row r="13257" spans="1:14" x14ac:dyDescent="0.3">
      <c r="A13257" s="42"/>
      <c r="C13257" s="52"/>
      <c r="D13257"/>
      <c r="E13257"/>
      <c r="N13257" s="44"/>
    </row>
    <row r="13258" spans="1:14" x14ac:dyDescent="0.3">
      <c r="A13258" s="42"/>
      <c r="C13258" s="52"/>
      <c r="D13258"/>
      <c r="E13258"/>
      <c r="N13258" s="44"/>
    </row>
    <row r="13259" spans="1:14" x14ac:dyDescent="0.3">
      <c r="A13259" s="42"/>
      <c r="C13259" s="52"/>
      <c r="D13259"/>
      <c r="E13259"/>
      <c r="N13259" s="44"/>
    </row>
    <row r="13260" spans="1:14" x14ac:dyDescent="0.3">
      <c r="A13260" s="42"/>
      <c r="C13260" s="52"/>
      <c r="D13260"/>
      <c r="E13260"/>
      <c r="N13260" s="44"/>
    </row>
    <row r="13261" spans="1:14" x14ac:dyDescent="0.3">
      <c r="A13261" s="42"/>
      <c r="C13261" s="52"/>
      <c r="D13261"/>
      <c r="E13261"/>
      <c r="N13261" s="44"/>
    </row>
    <row r="13262" spans="1:14" x14ac:dyDescent="0.3">
      <c r="A13262" s="42"/>
      <c r="C13262" s="52"/>
      <c r="D13262"/>
      <c r="E13262"/>
      <c r="N13262" s="44"/>
    </row>
    <row r="13263" spans="1:14" x14ac:dyDescent="0.3">
      <c r="A13263" s="42"/>
      <c r="C13263" s="52"/>
      <c r="D13263"/>
      <c r="E13263"/>
      <c r="N13263" s="44"/>
    </row>
    <row r="13264" spans="1:14" x14ac:dyDescent="0.3">
      <c r="A13264" s="42"/>
      <c r="C13264" s="52"/>
      <c r="D13264"/>
      <c r="E13264"/>
      <c r="N13264" s="44"/>
    </row>
    <row r="13265" spans="1:14" x14ac:dyDescent="0.3">
      <c r="A13265" s="42"/>
      <c r="C13265" s="52"/>
      <c r="D13265"/>
      <c r="E13265"/>
      <c r="N13265" s="44"/>
    </row>
    <row r="13266" spans="1:14" x14ac:dyDescent="0.3">
      <c r="A13266" s="42"/>
      <c r="C13266" s="52"/>
      <c r="D13266"/>
      <c r="E13266"/>
      <c r="N13266" s="44"/>
    </row>
    <row r="13267" spans="1:14" x14ac:dyDescent="0.3">
      <c r="A13267" s="42"/>
      <c r="C13267" s="52"/>
      <c r="D13267"/>
      <c r="E13267"/>
      <c r="N13267" s="44"/>
    </row>
    <row r="13268" spans="1:14" x14ac:dyDescent="0.3">
      <c r="A13268" s="42"/>
      <c r="C13268" s="52"/>
      <c r="D13268"/>
      <c r="E13268"/>
      <c r="N13268" s="44"/>
    </row>
    <row r="13269" spans="1:14" x14ac:dyDescent="0.3">
      <c r="A13269" s="42"/>
      <c r="C13269" s="52"/>
      <c r="D13269"/>
      <c r="E13269"/>
      <c r="N13269" s="44"/>
    </row>
    <row r="13270" spans="1:14" x14ac:dyDescent="0.3">
      <c r="A13270" s="42"/>
      <c r="C13270" s="52"/>
      <c r="D13270"/>
      <c r="E13270"/>
      <c r="N13270" s="44"/>
    </row>
    <row r="13271" spans="1:14" x14ac:dyDescent="0.3">
      <c r="A13271" s="42"/>
      <c r="C13271" s="52"/>
      <c r="D13271"/>
      <c r="E13271"/>
      <c r="N13271" s="44"/>
    </row>
    <row r="13272" spans="1:14" x14ac:dyDescent="0.3">
      <c r="A13272" s="42"/>
      <c r="C13272" s="52"/>
      <c r="D13272"/>
      <c r="E13272"/>
      <c r="N13272" s="44"/>
    </row>
    <row r="13273" spans="1:14" x14ac:dyDescent="0.3">
      <c r="A13273" s="42"/>
      <c r="C13273" s="52"/>
      <c r="D13273"/>
      <c r="E13273"/>
      <c r="N13273" s="44"/>
    </row>
    <row r="13274" spans="1:14" x14ac:dyDescent="0.3">
      <c r="A13274" s="42"/>
      <c r="C13274" s="52"/>
      <c r="D13274"/>
      <c r="E13274"/>
      <c r="N13274" s="44"/>
    </row>
    <row r="13275" spans="1:14" x14ac:dyDescent="0.3">
      <c r="A13275" s="42"/>
      <c r="C13275" s="52"/>
      <c r="D13275"/>
      <c r="E13275"/>
      <c r="N13275" s="44"/>
    </row>
    <row r="13276" spans="1:14" x14ac:dyDescent="0.3">
      <c r="A13276" s="42"/>
      <c r="C13276" s="52"/>
      <c r="D13276"/>
      <c r="E13276"/>
      <c r="N13276" s="44"/>
    </row>
    <row r="13277" spans="1:14" x14ac:dyDescent="0.3">
      <c r="A13277" s="42"/>
      <c r="C13277" s="52"/>
      <c r="D13277"/>
      <c r="E13277"/>
      <c r="N13277" s="44"/>
    </row>
    <row r="13278" spans="1:14" x14ac:dyDescent="0.3">
      <c r="A13278" s="42"/>
      <c r="C13278" s="52"/>
      <c r="D13278"/>
      <c r="E13278"/>
      <c r="N13278" s="44"/>
    </row>
    <row r="13279" spans="1:14" x14ac:dyDescent="0.3">
      <c r="A13279" s="42"/>
      <c r="C13279" s="52"/>
      <c r="D13279"/>
      <c r="E13279"/>
      <c r="N13279" s="44"/>
    </row>
    <row r="13280" spans="1:14" x14ac:dyDescent="0.3">
      <c r="A13280" s="42"/>
      <c r="C13280" s="52"/>
      <c r="D13280"/>
      <c r="E13280"/>
      <c r="N13280" s="44"/>
    </row>
    <row r="13281" spans="1:14" x14ac:dyDescent="0.3">
      <c r="A13281" s="42"/>
      <c r="C13281" s="52"/>
      <c r="D13281"/>
      <c r="E13281"/>
      <c r="N13281" s="44"/>
    </row>
    <row r="13282" spans="1:14" x14ac:dyDescent="0.3">
      <c r="A13282" s="42"/>
      <c r="C13282" s="52"/>
      <c r="D13282"/>
      <c r="E13282"/>
      <c r="N13282" s="44"/>
    </row>
    <row r="13283" spans="1:14" x14ac:dyDescent="0.3">
      <c r="A13283" s="42"/>
      <c r="C13283" s="52"/>
      <c r="D13283"/>
      <c r="E13283"/>
      <c r="N13283" s="44"/>
    </row>
    <row r="13284" spans="1:14" x14ac:dyDescent="0.3">
      <c r="A13284" s="42"/>
      <c r="C13284" s="52"/>
      <c r="D13284"/>
      <c r="E13284"/>
      <c r="N13284" s="44"/>
    </row>
    <row r="13285" spans="1:14" x14ac:dyDescent="0.3">
      <c r="A13285" s="42"/>
      <c r="C13285" s="52"/>
      <c r="D13285"/>
      <c r="E13285"/>
      <c r="N13285" s="44"/>
    </row>
    <row r="13286" spans="1:14" x14ac:dyDescent="0.3">
      <c r="A13286" s="42"/>
      <c r="C13286" s="52"/>
      <c r="D13286"/>
      <c r="E13286"/>
      <c r="N13286" s="44"/>
    </row>
    <row r="13287" spans="1:14" x14ac:dyDescent="0.3">
      <c r="A13287" s="42"/>
      <c r="C13287" s="52"/>
      <c r="D13287"/>
      <c r="E13287"/>
      <c r="N13287" s="44"/>
    </row>
    <row r="13288" spans="1:14" x14ac:dyDescent="0.3">
      <c r="A13288" s="42"/>
      <c r="C13288" s="52"/>
      <c r="D13288"/>
      <c r="E13288"/>
      <c r="N13288" s="44"/>
    </row>
    <row r="13289" spans="1:14" x14ac:dyDescent="0.3">
      <c r="A13289" s="42"/>
      <c r="C13289" s="52"/>
      <c r="D13289"/>
      <c r="E13289"/>
      <c r="N13289" s="44"/>
    </row>
    <row r="13290" spans="1:14" x14ac:dyDescent="0.3">
      <c r="A13290" s="42"/>
      <c r="C13290" s="52"/>
      <c r="D13290"/>
      <c r="E13290"/>
      <c r="N13290" s="44"/>
    </row>
    <row r="13291" spans="1:14" x14ac:dyDescent="0.3">
      <c r="A13291" s="42"/>
      <c r="C13291" s="52"/>
      <c r="D13291"/>
      <c r="E13291"/>
      <c r="N13291" s="44"/>
    </row>
    <row r="13292" spans="1:14" x14ac:dyDescent="0.3">
      <c r="A13292" s="42"/>
      <c r="C13292" s="52"/>
      <c r="D13292"/>
      <c r="E13292"/>
      <c r="N13292" s="44"/>
    </row>
    <row r="13293" spans="1:14" x14ac:dyDescent="0.3">
      <c r="A13293" s="42"/>
      <c r="C13293" s="52"/>
      <c r="D13293"/>
      <c r="E13293"/>
      <c r="N13293" s="44"/>
    </row>
    <row r="13294" spans="1:14" x14ac:dyDescent="0.3">
      <c r="A13294" s="42"/>
      <c r="C13294" s="52"/>
      <c r="D13294"/>
      <c r="E13294"/>
      <c r="N13294" s="44"/>
    </row>
    <row r="13295" spans="1:14" x14ac:dyDescent="0.3">
      <c r="A13295" s="42"/>
      <c r="C13295" s="52"/>
      <c r="D13295"/>
      <c r="E13295"/>
      <c r="N13295" s="44"/>
    </row>
    <row r="13296" spans="1:14" x14ac:dyDescent="0.3">
      <c r="A13296" s="42"/>
      <c r="C13296" s="52"/>
      <c r="D13296"/>
      <c r="E13296"/>
      <c r="N13296" s="44"/>
    </row>
    <row r="13297" spans="1:14" x14ac:dyDescent="0.3">
      <c r="A13297" s="42"/>
      <c r="C13297" s="52"/>
      <c r="D13297"/>
      <c r="E13297"/>
      <c r="N13297" s="44"/>
    </row>
    <row r="13298" spans="1:14" x14ac:dyDescent="0.3">
      <c r="A13298" s="42"/>
      <c r="C13298" s="52"/>
      <c r="D13298"/>
      <c r="E13298"/>
      <c r="N13298" s="44"/>
    </row>
    <row r="13299" spans="1:14" x14ac:dyDescent="0.3">
      <c r="A13299" s="42"/>
      <c r="C13299" s="52"/>
      <c r="D13299"/>
      <c r="E13299"/>
      <c r="N13299" s="44"/>
    </row>
    <row r="13300" spans="1:14" x14ac:dyDescent="0.3">
      <c r="A13300" s="42"/>
      <c r="C13300" s="52"/>
      <c r="D13300"/>
      <c r="E13300"/>
      <c r="N13300" s="44"/>
    </row>
    <row r="13301" spans="1:14" x14ac:dyDescent="0.3">
      <c r="A13301" s="42"/>
      <c r="C13301" s="52"/>
      <c r="D13301"/>
      <c r="E13301"/>
      <c r="N13301" s="44"/>
    </row>
    <row r="13302" spans="1:14" x14ac:dyDescent="0.3">
      <c r="A13302" s="42"/>
      <c r="C13302" s="52"/>
      <c r="D13302"/>
      <c r="E13302"/>
      <c r="N13302" s="44"/>
    </row>
    <row r="13303" spans="1:14" x14ac:dyDescent="0.3">
      <c r="A13303" s="42"/>
      <c r="C13303" s="52"/>
      <c r="D13303"/>
      <c r="E13303"/>
      <c r="N13303" s="44"/>
    </row>
    <row r="13304" spans="1:14" x14ac:dyDescent="0.3">
      <c r="A13304" s="42"/>
      <c r="C13304" s="52"/>
      <c r="D13304"/>
      <c r="E13304"/>
      <c r="N13304" s="44"/>
    </row>
    <row r="13305" spans="1:14" x14ac:dyDescent="0.3">
      <c r="A13305" s="42"/>
      <c r="C13305" s="52"/>
      <c r="D13305"/>
      <c r="E13305"/>
      <c r="N13305" s="44"/>
    </row>
    <row r="13306" spans="1:14" x14ac:dyDescent="0.3">
      <c r="A13306" s="42"/>
      <c r="C13306" s="52"/>
      <c r="D13306"/>
      <c r="E13306"/>
      <c r="N13306" s="44"/>
    </row>
    <row r="13307" spans="1:14" x14ac:dyDescent="0.3">
      <c r="A13307" s="42"/>
      <c r="C13307" s="52"/>
      <c r="D13307"/>
      <c r="E13307"/>
      <c r="N13307" s="44"/>
    </row>
    <row r="13308" spans="1:14" x14ac:dyDescent="0.3">
      <c r="A13308" s="42"/>
      <c r="C13308" s="52"/>
      <c r="D13308"/>
      <c r="E13308"/>
      <c r="N13308" s="44"/>
    </row>
    <row r="13309" spans="1:14" x14ac:dyDescent="0.3">
      <c r="A13309" s="42"/>
      <c r="C13309" s="52"/>
      <c r="D13309"/>
      <c r="E13309"/>
      <c r="N13309" s="44"/>
    </row>
    <row r="13310" spans="1:14" x14ac:dyDescent="0.3">
      <c r="A13310" s="42"/>
      <c r="C13310" s="52"/>
      <c r="D13310"/>
      <c r="E13310"/>
      <c r="N13310" s="44"/>
    </row>
    <row r="13311" spans="1:14" x14ac:dyDescent="0.3">
      <c r="A13311" s="42"/>
      <c r="C13311" s="52"/>
      <c r="D13311"/>
      <c r="E13311"/>
      <c r="N13311" s="44"/>
    </row>
    <row r="13312" spans="1:14" x14ac:dyDescent="0.3">
      <c r="A13312" s="42"/>
      <c r="C13312" s="52"/>
      <c r="D13312"/>
      <c r="E13312"/>
      <c r="N13312" s="44"/>
    </row>
    <row r="13313" spans="1:14" x14ac:dyDescent="0.3">
      <c r="A13313" s="42"/>
      <c r="C13313" s="52"/>
      <c r="D13313"/>
      <c r="E13313"/>
      <c r="N13313" s="44"/>
    </row>
    <row r="13314" spans="1:14" x14ac:dyDescent="0.3">
      <c r="A13314" s="42"/>
      <c r="C13314" s="52"/>
      <c r="D13314"/>
      <c r="E13314"/>
      <c r="N13314" s="44"/>
    </row>
    <row r="13315" spans="1:14" x14ac:dyDescent="0.3">
      <c r="A13315" s="42"/>
      <c r="C13315" s="52"/>
      <c r="D13315"/>
      <c r="E13315"/>
      <c r="N13315" s="44"/>
    </row>
    <row r="13316" spans="1:14" x14ac:dyDescent="0.3">
      <c r="A13316" s="42"/>
      <c r="C13316" s="52"/>
      <c r="D13316"/>
      <c r="E13316"/>
      <c r="N13316" s="44"/>
    </row>
    <row r="13317" spans="1:14" x14ac:dyDescent="0.3">
      <c r="A13317" s="42"/>
      <c r="C13317" s="52"/>
      <c r="D13317"/>
      <c r="E13317"/>
      <c r="N13317" s="44"/>
    </row>
    <row r="13318" spans="1:14" x14ac:dyDescent="0.3">
      <c r="A13318" s="42"/>
      <c r="C13318" s="52"/>
      <c r="D13318"/>
      <c r="E13318"/>
      <c r="N13318" s="44"/>
    </row>
    <row r="13319" spans="1:14" x14ac:dyDescent="0.3">
      <c r="A13319" s="42"/>
      <c r="C13319" s="52"/>
      <c r="D13319"/>
      <c r="E13319"/>
      <c r="N13319" s="44"/>
    </row>
    <row r="13320" spans="1:14" x14ac:dyDescent="0.3">
      <c r="A13320" s="42"/>
      <c r="C13320" s="52"/>
      <c r="D13320"/>
      <c r="E13320"/>
      <c r="M13320" s="45"/>
      <c r="N13320" s="44"/>
    </row>
    <row r="13321" spans="1:14" x14ac:dyDescent="0.3">
      <c r="A13321" s="42"/>
      <c r="C13321" s="52"/>
      <c r="D13321"/>
      <c r="E13321"/>
      <c r="N13321" s="44"/>
    </row>
    <row r="13322" spans="1:14" x14ac:dyDescent="0.3">
      <c r="A13322" s="42"/>
      <c r="C13322" s="52"/>
      <c r="D13322"/>
      <c r="E13322"/>
      <c r="N13322" s="44"/>
    </row>
    <row r="13323" spans="1:14" x14ac:dyDescent="0.3">
      <c r="A13323" s="42"/>
      <c r="C13323" s="52"/>
      <c r="D13323"/>
      <c r="E13323"/>
      <c r="N13323" s="44"/>
    </row>
    <row r="13324" spans="1:14" x14ac:dyDescent="0.3">
      <c r="A13324" s="42"/>
      <c r="C13324" s="52"/>
      <c r="D13324"/>
      <c r="E13324"/>
      <c r="N13324" s="44"/>
    </row>
    <row r="13325" spans="1:14" x14ac:dyDescent="0.3">
      <c r="A13325" s="42"/>
      <c r="C13325" s="52"/>
      <c r="D13325"/>
      <c r="E13325"/>
      <c r="N13325" s="44"/>
    </row>
    <row r="13326" spans="1:14" x14ac:dyDescent="0.3">
      <c r="A13326" s="42"/>
      <c r="C13326" s="52"/>
      <c r="D13326"/>
      <c r="E13326"/>
      <c r="N13326" s="44"/>
    </row>
    <row r="13327" spans="1:14" x14ac:dyDescent="0.3">
      <c r="A13327" s="42"/>
      <c r="C13327" s="52"/>
      <c r="D13327"/>
      <c r="E13327"/>
      <c r="N13327" s="44"/>
    </row>
    <row r="13328" spans="1:14" x14ac:dyDescent="0.3">
      <c r="A13328" s="42"/>
      <c r="C13328" s="52"/>
      <c r="D13328"/>
      <c r="E13328"/>
      <c r="N13328" s="44"/>
    </row>
    <row r="13329" spans="1:14" x14ac:dyDescent="0.3">
      <c r="A13329" s="42"/>
      <c r="C13329" s="52"/>
      <c r="D13329"/>
      <c r="E13329"/>
      <c r="N13329" s="44"/>
    </row>
    <row r="13330" spans="1:14" x14ac:dyDescent="0.3">
      <c r="A13330" s="42"/>
      <c r="C13330" s="52"/>
      <c r="D13330"/>
      <c r="E13330"/>
      <c r="N13330" s="44"/>
    </row>
    <row r="13331" spans="1:14" x14ac:dyDescent="0.3">
      <c r="A13331" s="42"/>
      <c r="C13331" s="52"/>
      <c r="D13331"/>
      <c r="E13331"/>
      <c r="N13331" s="44"/>
    </row>
    <row r="13332" spans="1:14" x14ac:dyDescent="0.3">
      <c r="A13332" s="42"/>
      <c r="C13332" s="52"/>
      <c r="D13332"/>
      <c r="E13332"/>
      <c r="N13332" s="44"/>
    </row>
    <row r="13333" spans="1:14" x14ac:dyDescent="0.3">
      <c r="A13333" s="42"/>
      <c r="C13333" s="52"/>
      <c r="D13333"/>
      <c r="E13333"/>
      <c r="N13333" s="44"/>
    </row>
    <row r="13334" spans="1:14" x14ac:dyDescent="0.3">
      <c r="A13334" s="42"/>
      <c r="C13334" s="52"/>
      <c r="D13334"/>
      <c r="E13334"/>
      <c r="N13334" s="44"/>
    </row>
    <row r="13335" spans="1:14" x14ac:dyDescent="0.3">
      <c r="A13335" s="42"/>
      <c r="C13335" s="52"/>
      <c r="D13335"/>
      <c r="E13335"/>
      <c r="N13335" s="44"/>
    </row>
    <row r="13336" spans="1:14" x14ac:dyDescent="0.3">
      <c r="A13336" s="42"/>
      <c r="C13336" s="52"/>
      <c r="D13336"/>
      <c r="E13336"/>
      <c r="N13336" s="44"/>
    </row>
    <row r="13337" spans="1:14" x14ac:dyDescent="0.3">
      <c r="A13337" s="42"/>
      <c r="C13337" s="52"/>
      <c r="D13337"/>
      <c r="E13337"/>
      <c r="N13337" s="44"/>
    </row>
    <row r="13338" spans="1:14" x14ac:dyDescent="0.3">
      <c r="A13338" s="42"/>
      <c r="C13338" s="52"/>
      <c r="D13338"/>
      <c r="E13338"/>
      <c r="N13338" s="44"/>
    </row>
    <row r="13339" spans="1:14" x14ac:dyDescent="0.3">
      <c r="A13339" s="42"/>
      <c r="C13339" s="52"/>
      <c r="D13339"/>
      <c r="E13339"/>
      <c r="N13339" s="44"/>
    </row>
    <row r="13340" spans="1:14" x14ac:dyDescent="0.3">
      <c r="A13340" s="42"/>
      <c r="C13340" s="52"/>
      <c r="D13340"/>
      <c r="E13340"/>
      <c r="M13340" s="45"/>
      <c r="N13340" s="44"/>
    </row>
    <row r="13341" spans="1:14" x14ac:dyDescent="0.3">
      <c r="A13341" s="42"/>
      <c r="C13341" s="52"/>
      <c r="D13341"/>
      <c r="E13341"/>
      <c r="N13341" s="44"/>
    </row>
    <row r="13342" spans="1:14" x14ac:dyDescent="0.3">
      <c r="A13342" s="42"/>
      <c r="C13342" s="52"/>
      <c r="D13342"/>
      <c r="E13342"/>
      <c r="M13342" s="45"/>
      <c r="N13342" s="44"/>
    </row>
    <row r="13343" spans="1:14" x14ac:dyDescent="0.3">
      <c r="A13343" s="42"/>
      <c r="C13343" s="52"/>
      <c r="D13343"/>
      <c r="E13343"/>
      <c r="N13343" s="44"/>
    </row>
    <row r="13344" spans="1:14" x14ac:dyDescent="0.3">
      <c r="A13344" s="42"/>
      <c r="C13344" s="52"/>
      <c r="D13344"/>
      <c r="E13344"/>
      <c r="N13344" s="44"/>
    </row>
    <row r="13345" spans="1:14" x14ac:dyDescent="0.3">
      <c r="A13345" s="42"/>
      <c r="C13345" s="52"/>
      <c r="D13345"/>
      <c r="E13345"/>
      <c r="N13345" s="44"/>
    </row>
    <row r="13346" spans="1:14" x14ac:dyDescent="0.3">
      <c r="A13346" s="42"/>
      <c r="C13346" s="52"/>
      <c r="D13346"/>
      <c r="E13346"/>
      <c r="N13346" s="44"/>
    </row>
    <row r="13347" spans="1:14" x14ac:dyDescent="0.3">
      <c r="A13347" s="42"/>
      <c r="C13347" s="52"/>
      <c r="D13347"/>
      <c r="E13347"/>
      <c r="N13347" s="44"/>
    </row>
    <row r="13348" spans="1:14" x14ac:dyDescent="0.3">
      <c r="A13348" s="42"/>
      <c r="C13348" s="52"/>
      <c r="D13348"/>
      <c r="E13348"/>
      <c r="N13348" s="44"/>
    </row>
    <row r="13349" spans="1:14" x14ac:dyDescent="0.3">
      <c r="A13349" s="42"/>
      <c r="C13349" s="52"/>
      <c r="D13349"/>
      <c r="E13349"/>
      <c r="N13349" s="44"/>
    </row>
    <row r="13350" spans="1:14" x14ac:dyDescent="0.3">
      <c r="A13350" s="42"/>
      <c r="C13350" s="52"/>
      <c r="D13350"/>
      <c r="E13350"/>
      <c r="N13350" s="44"/>
    </row>
    <row r="13351" spans="1:14" x14ac:dyDescent="0.3">
      <c r="A13351" s="42"/>
      <c r="C13351" s="52"/>
      <c r="D13351"/>
      <c r="E13351"/>
      <c r="N13351" s="44"/>
    </row>
    <row r="13352" spans="1:14" x14ac:dyDescent="0.3">
      <c r="A13352" s="42"/>
      <c r="C13352" s="52"/>
      <c r="D13352"/>
      <c r="E13352"/>
      <c r="N13352" s="44"/>
    </row>
    <row r="13353" spans="1:14" x14ac:dyDescent="0.3">
      <c r="A13353" s="42"/>
      <c r="C13353" s="52"/>
      <c r="D13353"/>
      <c r="E13353"/>
      <c r="N13353" s="44"/>
    </row>
    <row r="13354" spans="1:14" x14ac:dyDescent="0.3">
      <c r="A13354" s="42"/>
      <c r="C13354" s="52"/>
      <c r="D13354"/>
      <c r="E13354"/>
      <c r="N13354" s="44"/>
    </row>
    <row r="13355" spans="1:14" x14ac:dyDescent="0.3">
      <c r="A13355" s="42"/>
      <c r="C13355" s="52"/>
      <c r="D13355"/>
      <c r="E13355"/>
      <c r="N13355" s="44"/>
    </row>
    <row r="13356" spans="1:14" x14ac:dyDescent="0.3">
      <c r="A13356" s="42"/>
      <c r="C13356" s="52"/>
      <c r="D13356"/>
      <c r="E13356"/>
      <c r="N13356" s="44"/>
    </row>
    <row r="13357" spans="1:14" x14ac:dyDescent="0.3">
      <c r="A13357" s="42"/>
      <c r="C13357" s="52"/>
      <c r="D13357"/>
      <c r="E13357"/>
      <c r="N13357" s="44"/>
    </row>
    <row r="13358" spans="1:14" x14ac:dyDescent="0.3">
      <c r="A13358" s="42"/>
      <c r="C13358" s="52"/>
      <c r="D13358"/>
      <c r="E13358"/>
      <c r="N13358" s="44"/>
    </row>
    <row r="13359" spans="1:14" x14ac:dyDescent="0.3">
      <c r="A13359" s="42"/>
      <c r="C13359" s="52"/>
      <c r="D13359"/>
      <c r="E13359"/>
      <c r="N13359" s="44"/>
    </row>
    <row r="13360" spans="1:14" x14ac:dyDescent="0.3">
      <c r="A13360" s="42"/>
      <c r="C13360" s="52"/>
      <c r="D13360"/>
      <c r="E13360"/>
      <c r="N13360" s="44"/>
    </row>
    <row r="13361" spans="1:14" x14ac:dyDescent="0.3">
      <c r="A13361" s="42"/>
      <c r="C13361" s="52"/>
      <c r="D13361"/>
      <c r="E13361"/>
      <c r="N13361" s="44"/>
    </row>
    <row r="13362" spans="1:14" x14ac:dyDescent="0.3">
      <c r="A13362" s="42"/>
      <c r="C13362" s="52"/>
      <c r="D13362"/>
      <c r="E13362"/>
      <c r="N13362" s="44"/>
    </row>
    <row r="13363" spans="1:14" x14ac:dyDescent="0.3">
      <c r="A13363" s="42"/>
      <c r="C13363" s="52"/>
      <c r="D13363"/>
      <c r="E13363"/>
      <c r="N13363" s="44"/>
    </row>
    <row r="13364" spans="1:14" x14ac:dyDescent="0.3">
      <c r="A13364" s="42"/>
      <c r="C13364" s="52"/>
      <c r="D13364"/>
      <c r="E13364"/>
      <c r="N13364" s="44"/>
    </row>
    <row r="13365" spans="1:14" x14ac:dyDescent="0.3">
      <c r="A13365" s="42"/>
      <c r="C13365" s="52"/>
      <c r="D13365"/>
      <c r="E13365"/>
      <c r="N13365" s="44"/>
    </row>
    <row r="13366" spans="1:14" x14ac:dyDescent="0.3">
      <c r="A13366" s="42"/>
      <c r="C13366" s="52"/>
      <c r="D13366"/>
      <c r="E13366"/>
      <c r="N13366" s="44"/>
    </row>
    <row r="13367" spans="1:14" x14ac:dyDescent="0.3">
      <c r="A13367" s="42"/>
      <c r="C13367" s="52"/>
      <c r="D13367"/>
      <c r="E13367"/>
      <c r="N13367" s="44"/>
    </row>
    <row r="13368" spans="1:14" x14ac:dyDescent="0.3">
      <c r="A13368" s="42"/>
      <c r="C13368" s="52"/>
      <c r="D13368"/>
      <c r="E13368"/>
      <c r="N13368" s="44"/>
    </row>
    <row r="13369" spans="1:14" x14ac:dyDescent="0.3">
      <c r="A13369" s="42"/>
      <c r="C13369" s="52"/>
      <c r="D13369"/>
      <c r="E13369"/>
      <c r="N13369" s="44"/>
    </row>
    <row r="13370" spans="1:14" x14ac:dyDescent="0.3">
      <c r="A13370" s="42"/>
      <c r="C13370" s="52"/>
      <c r="D13370"/>
      <c r="E13370"/>
      <c r="N13370" s="44"/>
    </row>
    <row r="13371" spans="1:14" x14ac:dyDescent="0.3">
      <c r="A13371" s="42"/>
      <c r="C13371" s="52"/>
      <c r="D13371"/>
      <c r="E13371"/>
      <c r="N13371" s="44"/>
    </row>
    <row r="13372" spans="1:14" x14ac:dyDescent="0.3">
      <c r="A13372" s="42"/>
      <c r="C13372" s="52"/>
      <c r="D13372"/>
      <c r="E13372"/>
      <c r="N13372" s="44"/>
    </row>
    <row r="13373" spans="1:14" x14ac:dyDescent="0.3">
      <c r="A13373" s="42"/>
      <c r="C13373" s="52"/>
      <c r="D13373"/>
      <c r="E13373"/>
      <c r="N13373" s="44"/>
    </row>
    <row r="13374" spans="1:14" x14ac:dyDescent="0.3">
      <c r="A13374" s="42"/>
      <c r="C13374" s="52"/>
      <c r="D13374"/>
      <c r="E13374"/>
      <c r="N13374" s="44"/>
    </row>
    <row r="13375" spans="1:14" x14ac:dyDescent="0.3">
      <c r="A13375" s="42"/>
      <c r="C13375" s="52"/>
      <c r="D13375"/>
      <c r="E13375"/>
      <c r="N13375" s="44"/>
    </row>
    <row r="13376" spans="1:14" x14ac:dyDescent="0.3">
      <c r="A13376" s="42"/>
      <c r="C13376" s="52"/>
      <c r="D13376"/>
      <c r="E13376"/>
      <c r="N13376" s="44"/>
    </row>
    <row r="13377" spans="1:14" x14ac:dyDescent="0.3">
      <c r="A13377" s="42"/>
      <c r="C13377" s="52"/>
      <c r="D13377"/>
      <c r="E13377"/>
      <c r="N13377" s="44"/>
    </row>
    <row r="13378" spans="1:14" x14ac:dyDescent="0.3">
      <c r="A13378" s="42"/>
      <c r="C13378" s="52"/>
      <c r="D13378"/>
      <c r="E13378"/>
      <c r="N13378" s="44"/>
    </row>
    <row r="13379" spans="1:14" x14ac:dyDescent="0.3">
      <c r="A13379" s="42"/>
      <c r="C13379" s="52"/>
      <c r="D13379"/>
      <c r="E13379"/>
      <c r="N13379" s="44"/>
    </row>
    <row r="13380" spans="1:14" x14ac:dyDescent="0.3">
      <c r="A13380" s="42"/>
      <c r="C13380" s="52"/>
      <c r="D13380"/>
      <c r="E13380"/>
      <c r="N13380" s="44"/>
    </row>
    <row r="13381" spans="1:14" x14ac:dyDescent="0.3">
      <c r="A13381" s="42"/>
      <c r="C13381" s="52"/>
      <c r="D13381"/>
      <c r="E13381"/>
      <c r="N13381" s="44"/>
    </row>
    <row r="13382" spans="1:14" x14ac:dyDescent="0.3">
      <c r="A13382" s="42"/>
      <c r="C13382" s="52"/>
      <c r="D13382"/>
      <c r="E13382"/>
      <c r="N13382" s="44"/>
    </row>
    <row r="13383" spans="1:14" x14ac:dyDescent="0.3">
      <c r="A13383" s="42"/>
      <c r="C13383" s="52"/>
      <c r="D13383"/>
      <c r="E13383"/>
      <c r="N13383" s="44"/>
    </row>
    <row r="13384" spans="1:14" x14ac:dyDescent="0.3">
      <c r="A13384" s="42"/>
      <c r="C13384" s="52"/>
      <c r="D13384"/>
      <c r="E13384"/>
      <c r="N13384" s="44"/>
    </row>
    <row r="13385" spans="1:14" x14ac:dyDescent="0.3">
      <c r="A13385" s="42"/>
      <c r="C13385" s="52"/>
      <c r="D13385"/>
      <c r="E13385"/>
      <c r="N13385" s="44"/>
    </row>
    <row r="13386" spans="1:14" x14ac:dyDescent="0.3">
      <c r="A13386" s="42"/>
      <c r="C13386" s="52"/>
      <c r="D13386"/>
      <c r="E13386"/>
      <c r="M13386" s="45"/>
      <c r="N13386" s="44"/>
    </row>
    <row r="13387" spans="1:14" x14ac:dyDescent="0.3">
      <c r="A13387" s="42"/>
      <c r="C13387" s="52"/>
      <c r="D13387"/>
      <c r="E13387"/>
      <c r="N13387" s="44"/>
    </row>
    <row r="13388" spans="1:14" x14ac:dyDescent="0.3">
      <c r="A13388" s="42"/>
      <c r="C13388" s="52"/>
      <c r="D13388"/>
      <c r="E13388"/>
      <c r="N13388" s="44"/>
    </row>
    <row r="13389" spans="1:14" x14ac:dyDescent="0.3">
      <c r="A13389" s="42"/>
      <c r="C13389" s="52"/>
      <c r="D13389"/>
      <c r="E13389"/>
      <c r="N13389" s="44"/>
    </row>
    <row r="13390" spans="1:14" x14ac:dyDescent="0.3">
      <c r="A13390" s="42"/>
      <c r="C13390" s="52"/>
      <c r="D13390"/>
      <c r="E13390"/>
      <c r="N13390" s="44"/>
    </row>
    <row r="13391" spans="1:14" x14ac:dyDescent="0.3">
      <c r="A13391" s="42"/>
      <c r="C13391" s="52"/>
      <c r="D13391"/>
      <c r="E13391"/>
      <c r="N13391" s="44"/>
    </row>
    <row r="13392" spans="1:14" x14ac:dyDescent="0.3">
      <c r="A13392" s="42"/>
      <c r="C13392" s="52"/>
      <c r="D13392"/>
      <c r="E13392"/>
      <c r="N13392" s="44"/>
    </row>
    <row r="13393" spans="1:14" x14ac:dyDescent="0.3">
      <c r="A13393" s="42"/>
      <c r="C13393" s="52"/>
      <c r="D13393"/>
      <c r="E13393"/>
      <c r="N13393" s="44"/>
    </row>
    <row r="13394" spans="1:14" x14ac:dyDescent="0.3">
      <c r="A13394" s="42"/>
      <c r="C13394" s="52"/>
      <c r="D13394"/>
      <c r="E13394"/>
      <c r="M13394" s="45"/>
      <c r="N13394" s="44"/>
    </row>
    <row r="13395" spans="1:14" x14ac:dyDescent="0.3">
      <c r="A13395" s="42"/>
      <c r="C13395" s="52"/>
      <c r="D13395"/>
      <c r="E13395"/>
      <c r="M13395" s="45"/>
      <c r="N13395" s="44"/>
    </row>
    <row r="13396" spans="1:14" x14ac:dyDescent="0.3">
      <c r="A13396" s="42"/>
      <c r="C13396" s="52"/>
      <c r="D13396"/>
      <c r="E13396"/>
      <c r="N13396" s="44"/>
    </row>
    <row r="13397" spans="1:14" x14ac:dyDescent="0.3">
      <c r="A13397" s="42"/>
      <c r="C13397" s="52"/>
      <c r="D13397"/>
      <c r="E13397"/>
      <c r="N13397" s="44"/>
    </row>
    <row r="13398" spans="1:14" x14ac:dyDescent="0.3">
      <c r="A13398" s="42"/>
      <c r="C13398" s="52"/>
      <c r="D13398"/>
      <c r="E13398"/>
      <c r="N13398" s="44"/>
    </row>
    <row r="13399" spans="1:14" x14ac:dyDescent="0.3">
      <c r="A13399" s="42"/>
      <c r="C13399" s="52"/>
      <c r="D13399"/>
      <c r="E13399"/>
      <c r="N13399" s="44"/>
    </row>
    <row r="13400" spans="1:14" x14ac:dyDescent="0.3">
      <c r="A13400" s="42"/>
      <c r="C13400" s="52"/>
      <c r="D13400"/>
      <c r="E13400"/>
      <c r="N13400" s="44"/>
    </row>
    <row r="13401" spans="1:14" x14ac:dyDescent="0.3">
      <c r="A13401" s="42"/>
      <c r="C13401" s="52"/>
      <c r="D13401"/>
      <c r="E13401"/>
      <c r="N13401" s="44"/>
    </row>
    <row r="13402" spans="1:14" x14ac:dyDescent="0.3">
      <c r="A13402" s="42"/>
      <c r="C13402" s="52"/>
      <c r="D13402"/>
      <c r="E13402"/>
      <c r="N13402" s="44"/>
    </row>
    <row r="13403" spans="1:14" x14ac:dyDescent="0.3">
      <c r="A13403" s="42"/>
      <c r="C13403" s="52"/>
      <c r="D13403"/>
      <c r="E13403"/>
      <c r="N13403" s="44"/>
    </row>
    <row r="13404" spans="1:14" x14ac:dyDescent="0.3">
      <c r="A13404" s="42"/>
      <c r="C13404" s="52"/>
      <c r="D13404"/>
      <c r="E13404"/>
      <c r="N13404" s="44"/>
    </row>
    <row r="13405" spans="1:14" x14ac:dyDescent="0.3">
      <c r="A13405" s="42"/>
      <c r="C13405" s="52"/>
      <c r="D13405"/>
      <c r="E13405"/>
      <c r="N13405" s="44"/>
    </row>
    <row r="13406" spans="1:14" x14ac:dyDescent="0.3">
      <c r="A13406" s="42"/>
      <c r="C13406" s="52"/>
      <c r="D13406"/>
      <c r="E13406"/>
      <c r="N13406" s="44"/>
    </row>
    <row r="13407" spans="1:14" x14ac:dyDescent="0.3">
      <c r="A13407" s="42"/>
      <c r="C13407" s="52"/>
      <c r="D13407"/>
      <c r="E13407"/>
      <c r="N13407" s="44"/>
    </row>
    <row r="13408" spans="1:14" x14ac:dyDescent="0.3">
      <c r="A13408" s="42"/>
      <c r="C13408" s="52"/>
      <c r="D13408"/>
      <c r="E13408"/>
      <c r="N13408" s="44"/>
    </row>
    <row r="13409" spans="1:14" x14ac:dyDescent="0.3">
      <c r="A13409" s="42"/>
      <c r="C13409" s="52"/>
      <c r="D13409"/>
      <c r="E13409"/>
      <c r="N13409" s="44"/>
    </row>
    <row r="13410" spans="1:14" x14ac:dyDescent="0.3">
      <c r="A13410" s="42"/>
      <c r="C13410" s="52"/>
      <c r="D13410"/>
      <c r="E13410"/>
      <c r="N13410" s="44"/>
    </row>
    <row r="13411" spans="1:14" x14ac:dyDescent="0.3">
      <c r="A13411" s="42"/>
      <c r="C13411" s="52"/>
      <c r="D13411"/>
      <c r="E13411"/>
      <c r="N13411" s="44"/>
    </row>
    <row r="13412" spans="1:14" x14ac:dyDescent="0.3">
      <c r="A13412" s="42"/>
      <c r="C13412" s="52"/>
      <c r="D13412"/>
      <c r="E13412"/>
      <c r="N13412" s="44"/>
    </row>
    <row r="13413" spans="1:14" x14ac:dyDescent="0.3">
      <c r="A13413" s="42"/>
      <c r="C13413" s="52"/>
      <c r="D13413"/>
      <c r="E13413"/>
      <c r="N13413" s="44"/>
    </row>
    <row r="13414" spans="1:14" x14ac:dyDescent="0.3">
      <c r="A13414" s="42"/>
      <c r="C13414" s="52"/>
      <c r="D13414"/>
      <c r="E13414"/>
      <c r="N13414" s="44"/>
    </row>
    <row r="13415" spans="1:14" x14ac:dyDescent="0.3">
      <c r="A13415" s="42"/>
      <c r="C13415" s="52"/>
      <c r="D13415"/>
      <c r="E13415"/>
      <c r="N13415" s="44"/>
    </row>
    <row r="13416" spans="1:14" x14ac:dyDescent="0.3">
      <c r="A13416" s="42"/>
      <c r="C13416" s="52"/>
      <c r="D13416"/>
      <c r="E13416"/>
      <c r="N13416" s="44"/>
    </row>
    <row r="13417" spans="1:14" x14ac:dyDescent="0.3">
      <c r="A13417" s="42"/>
      <c r="C13417" s="52"/>
      <c r="D13417"/>
      <c r="E13417"/>
      <c r="N13417" s="44"/>
    </row>
    <row r="13418" spans="1:14" x14ac:dyDescent="0.3">
      <c r="A13418" s="42"/>
      <c r="C13418" s="52"/>
      <c r="D13418"/>
      <c r="E13418"/>
      <c r="N13418" s="44"/>
    </row>
    <row r="13419" spans="1:14" x14ac:dyDescent="0.3">
      <c r="A13419" s="42"/>
      <c r="C13419" s="52"/>
      <c r="D13419"/>
      <c r="E13419"/>
      <c r="M13419" s="45"/>
      <c r="N13419" s="44"/>
    </row>
    <row r="13420" spans="1:14" x14ac:dyDescent="0.3">
      <c r="A13420" s="42"/>
      <c r="C13420" s="52"/>
      <c r="D13420"/>
      <c r="E13420"/>
      <c r="N13420" s="44"/>
    </row>
    <row r="13421" spans="1:14" x14ac:dyDescent="0.3">
      <c r="A13421" s="42"/>
      <c r="C13421" s="52"/>
      <c r="D13421"/>
      <c r="E13421"/>
      <c r="N13421" s="44"/>
    </row>
    <row r="13422" spans="1:14" x14ac:dyDescent="0.3">
      <c r="A13422" s="42"/>
      <c r="C13422" s="52"/>
      <c r="D13422"/>
      <c r="E13422"/>
      <c r="N13422" s="44"/>
    </row>
    <row r="13423" spans="1:14" x14ac:dyDescent="0.3">
      <c r="A13423" s="42"/>
      <c r="C13423" s="52"/>
      <c r="D13423"/>
      <c r="E13423"/>
      <c r="N13423" s="44"/>
    </row>
    <row r="13424" spans="1:14" x14ac:dyDescent="0.3">
      <c r="A13424" s="42"/>
      <c r="C13424" s="52"/>
      <c r="D13424"/>
      <c r="E13424"/>
      <c r="N13424" s="44"/>
    </row>
    <row r="13425" spans="1:14" x14ac:dyDescent="0.3">
      <c r="A13425" s="42"/>
      <c r="C13425" s="52"/>
      <c r="D13425"/>
      <c r="E13425"/>
      <c r="N13425" s="44"/>
    </row>
    <row r="13426" spans="1:14" x14ac:dyDescent="0.3">
      <c r="A13426" s="42"/>
      <c r="C13426" s="52"/>
      <c r="D13426"/>
      <c r="E13426"/>
      <c r="N13426" s="44"/>
    </row>
    <row r="13427" spans="1:14" x14ac:dyDescent="0.3">
      <c r="A13427" s="42"/>
      <c r="C13427" s="52"/>
      <c r="D13427"/>
      <c r="E13427"/>
      <c r="N13427" s="44"/>
    </row>
    <row r="13428" spans="1:14" x14ac:dyDescent="0.3">
      <c r="A13428" s="42"/>
      <c r="C13428" s="52"/>
      <c r="D13428"/>
      <c r="E13428"/>
      <c r="M13428" s="45"/>
      <c r="N13428" s="44"/>
    </row>
    <row r="13429" spans="1:14" x14ac:dyDescent="0.3">
      <c r="A13429" s="42"/>
      <c r="C13429" s="52"/>
      <c r="D13429"/>
      <c r="E13429"/>
      <c r="N13429" s="44"/>
    </row>
    <row r="13430" spans="1:14" x14ac:dyDescent="0.3">
      <c r="A13430" s="42"/>
      <c r="C13430" s="52"/>
      <c r="D13430"/>
      <c r="E13430"/>
      <c r="N13430" s="44"/>
    </row>
    <row r="13431" spans="1:14" x14ac:dyDescent="0.3">
      <c r="A13431" s="42"/>
      <c r="C13431" s="52"/>
      <c r="D13431"/>
      <c r="E13431"/>
      <c r="N13431" s="44"/>
    </row>
    <row r="13432" spans="1:14" x14ac:dyDescent="0.3">
      <c r="A13432" s="42"/>
      <c r="C13432" s="52"/>
      <c r="D13432"/>
      <c r="E13432"/>
      <c r="N13432" s="44"/>
    </row>
    <row r="13433" spans="1:14" x14ac:dyDescent="0.3">
      <c r="A13433" s="42"/>
      <c r="C13433" s="52"/>
      <c r="D13433"/>
      <c r="E13433"/>
      <c r="N13433" s="44"/>
    </row>
    <row r="13434" spans="1:14" x14ac:dyDescent="0.3">
      <c r="A13434" s="42"/>
      <c r="C13434" s="52"/>
      <c r="D13434"/>
      <c r="E13434"/>
      <c r="N13434" s="44"/>
    </row>
    <row r="13435" spans="1:14" x14ac:dyDescent="0.3">
      <c r="A13435" s="42"/>
      <c r="C13435" s="52"/>
      <c r="D13435"/>
      <c r="E13435"/>
      <c r="N13435" s="44"/>
    </row>
    <row r="13436" spans="1:14" x14ac:dyDescent="0.3">
      <c r="A13436" s="42"/>
      <c r="C13436" s="52"/>
      <c r="D13436"/>
      <c r="E13436"/>
      <c r="N13436" s="44"/>
    </row>
    <row r="13437" spans="1:14" x14ac:dyDescent="0.3">
      <c r="A13437" s="42"/>
      <c r="C13437" s="52"/>
      <c r="D13437"/>
      <c r="E13437"/>
      <c r="N13437" s="44"/>
    </row>
    <row r="13438" spans="1:14" x14ac:dyDescent="0.3">
      <c r="A13438" s="42"/>
      <c r="C13438" s="52"/>
      <c r="D13438"/>
      <c r="E13438"/>
      <c r="N13438" s="44"/>
    </row>
    <row r="13439" spans="1:14" x14ac:dyDescent="0.3">
      <c r="A13439" s="42"/>
      <c r="C13439" s="52"/>
      <c r="D13439"/>
      <c r="E13439"/>
      <c r="N13439" s="44"/>
    </row>
    <row r="13440" spans="1:14" x14ac:dyDescent="0.3">
      <c r="A13440" s="42"/>
      <c r="C13440" s="52"/>
      <c r="D13440"/>
      <c r="E13440"/>
      <c r="N13440" s="44"/>
    </row>
    <row r="13441" spans="1:14" x14ac:dyDescent="0.3">
      <c r="A13441" s="42"/>
      <c r="C13441" s="52"/>
      <c r="D13441"/>
      <c r="E13441"/>
      <c r="N13441" s="44"/>
    </row>
    <row r="13442" spans="1:14" x14ac:dyDescent="0.3">
      <c r="A13442" s="42"/>
      <c r="C13442" s="52"/>
      <c r="D13442"/>
      <c r="E13442"/>
      <c r="N13442" s="44"/>
    </row>
    <row r="13443" spans="1:14" x14ac:dyDescent="0.3">
      <c r="A13443" s="42"/>
      <c r="C13443" s="52"/>
      <c r="D13443"/>
      <c r="E13443"/>
      <c r="N13443" s="44"/>
    </row>
    <row r="13444" spans="1:14" x14ac:dyDescent="0.3">
      <c r="A13444" s="42"/>
      <c r="C13444" s="52"/>
      <c r="D13444"/>
      <c r="E13444"/>
      <c r="N13444" s="44"/>
    </row>
    <row r="13445" spans="1:14" x14ac:dyDescent="0.3">
      <c r="A13445" s="42"/>
      <c r="C13445" s="52"/>
      <c r="D13445"/>
      <c r="E13445"/>
      <c r="N13445" s="44"/>
    </row>
    <row r="13446" spans="1:14" x14ac:dyDescent="0.3">
      <c r="A13446" s="42"/>
      <c r="C13446" s="52"/>
      <c r="D13446"/>
      <c r="E13446"/>
      <c r="N13446" s="44"/>
    </row>
    <row r="13447" spans="1:14" x14ac:dyDescent="0.3">
      <c r="A13447" s="42"/>
      <c r="C13447" s="52"/>
      <c r="D13447"/>
      <c r="E13447"/>
      <c r="N13447" s="44"/>
    </row>
    <row r="13448" spans="1:14" x14ac:dyDescent="0.3">
      <c r="A13448" s="42"/>
      <c r="C13448" s="52"/>
      <c r="D13448"/>
      <c r="E13448"/>
      <c r="N13448" s="44"/>
    </row>
    <row r="13449" spans="1:14" x14ac:dyDescent="0.3">
      <c r="A13449" s="42"/>
      <c r="C13449" s="52"/>
      <c r="D13449"/>
      <c r="E13449"/>
      <c r="N13449" s="44"/>
    </row>
    <row r="13450" spans="1:14" x14ac:dyDescent="0.3">
      <c r="A13450" s="42"/>
      <c r="C13450" s="52"/>
      <c r="D13450"/>
      <c r="E13450"/>
      <c r="N13450" s="44"/>
    </row>
    <row r="13451" spans="1:14" x14ac:dyDescent="0.3">
      <c r="A13451" s="42"/>
      <c r="C13451" s="52"/>
      <c r="D13451"/>
      <c r="E13451"/>
      <c r="N13451" s="44"/>
    </row>
    <row r="13452" spans="1:14" x14ac:dyDescent="0.3">
      <c r="A13452" s="42"/>
      <c r="C13452" s="52"/>
      <c r="D13452"/>
      <c r="E13452"/>
      <c r="N13452" s="44"/>
    </row>
    <row r="13453" spans="1:14" x14ac:dyDescent="0.3">
      <c r="A13453" s="42"/>
      <c r="C13453" s="52"/>
      <c r="D13453"/>
      <c r="E13453"/>
      <c r="N13453" s="44"/>
    </row>
    <row r="13454" spans="1:14" x14ac:dyDescent="0.3">
      <c r="A13454" s="42"/>
      <c r="C13454" s="52"/>
      <c r="D13454"/>
      <c r="E13454"/>
      <c r="N13454" s="44"/>
    </row>
    <row r="13455" spans="1:14" x14ac:dyDescent="0.3">
      <c r="A13455" s="42"/>
      <c r="C13455" s="52"/>
      <c r="D13455"/>
      <c r="E13455"/>
      <c r="N13455" s="44"/>
    </row>
    <row r="13456" spans="1:14" x14ac:dyDescent="0.3">
      <c r="A13456" s="42"/>
      <c r="C13456" s="52"/>
      <c r="D13456"/>
      <c r="E13456"/>
      <c r="N13456" s="44"/>
    </row>
    <row r="13457" spans="1:14" x14ac:dyDescent="0.3">
      <c r="A13457" s="42"/>
      <c r="C13457" s="52"/>
      <c r="D13457"/>
      <c r="E13457"/>
      <c r="N13457" s="44"/>
    </row>
    <row r="13458" spans="1:14" x14ac:dyDescent="0.3">
      <c r="A13458" s="42"/>
      <c r="C13458" s="52"/>
      <c r="D13458"/>
      <c r="E13458"/>
      <c r="N13458" s="44"/>
    </row>
    <row r="13459" spans="1:14" x14ac:dyDescent="0.3">
      <c r="A13459" s="42"/>
      <c r="C13459" s="52"/>
      <c r="D13459"/>
      <c r="E13459"/>
      <c r="N13459" s="44"/>
    </row>
    <row r="13460" spans="1:14" x14ac:dyDescent="0.3">
      <c r="A13460" s="42"/>
      <c r="C13460" s="52"/>
      <c r="D13460"/>
      <c r="E13460"/>
      <c r="N13460" s="44"/>
    </row>
    <row r="13461" spans="1:14" x14ac:dyDescent="0.3">
      <c r="A13461" s="42"/>
      <c r="C13461" s="52"/>
      <c r="D13461"/>
      <c r="E13461"/>
      <c r="N13461" s="44"/>
    </row>
    <row r="13462" spans="1:14" x14ac:dyDescent="0.3">
      <c r="A13462" s="42"/>
      <c r="C13462" s="52"/>
      <c r="D13462"/>
      <c r="E13462"/>
      <c r="N13462" s="44"/>
    </row>
    <row r="13463" spans="1:14" x14ac:dyDescent="0.3">
      <c r="A13463" s="42"/>
      <c r="C13463" s="52"/>
      <c r="D13463"/>
      <c r="E13463"/>
      <c r="N13463" s="44"/>
    </row>
    <row r="13464" spans="1:14" x14ac:dyDescent="0.3">
      <c r="A13464" s="42"/>
      <c r="C13464" s="52"/>
      <c r="D13464"/>
      <c r="E13464"/>
      <c r="N13464" s="44"/>
    </row>
    <row r="13465" spans="1:14" x14ac:dyDescent="0.3">
      <c r="A13465" s="42"/>
      <c r="C13465" s="52"/>
      <c r="D13465"/>
      <c r="E13465"/>
      <c r="N13465" s="44"/>
    </row>
    <row r="13466" spans="1:14" x14ac:dyDescent="0.3">
      <c r="A13466" s="42"/>
      <c r="C13466" s="52"/>
      <c r="D13466"/>
      <c r="E13466"/>
      <c r="N13466" s="44"/>
    </row>
    <row r="13467" spans="1:14" x14ac:dyDescent="0.3">
      <c r="A13467" s="42"/>
      <c r="C13467" s="52"/>
      <c r="D13467"/>
      <c r="E13467"/>
      <c r="N13467" s="44"/>
    </row>
    <row r="13468" spans="1:14" x14ac:dyDescent="0.3">
      <c r="A13468" s="42"/>
      <c r="C13468" s="52"/>
      <c r="D13468"/>
      <c r="E13468"/>
      <c r="N13468" s="44"/>
    </row>
    <row r="13469" spans="1:14" x14ac:dyDescent="0.3">
      <c r="A13469" s="42"/>
      <c r="C13469" s="52"/>
      <c r="D13469"/>
      <c r="E13469"/>
      <c r="N13469" s="44"/>
    </row>
    <row r="13470" spans="1:14" x14ac:dyDescent="0.3">
      <c r="A13470" s="42"/>
      <c r="C13470" s="52"/>
      <c r="D13470"/>
      <c r="E13470"/>
      <c r="N13470" s="44"/>
    </row>
    <row r="13471" spans="1:14" x14ac:dyDescent="0.3">
      <c r="A13471" s="42"/>
      <c r="C13471" s="52"/>
      <c r="D13471"/>
      <c r="E13471"/>
      <c r="N13471" s="44"/>
    </row>
    <row r="13472" spans="1:14" x14ac:dyDescent="0.3">
      <c r="A13472" s="42"/>
      <c r="C13472" s="52"/>
      <c r="D13472"/>
      <c r="E13472"/>
      <c r="N13472" s="44"/>
    </row>
    <row r="13473" spans="1:14" x14ac:dyDescent="0.3">
      <c r="A13473" s="42"/>
      <c r="C13473" s="52"/>
      <c r="D13473"/>
      <c r="E13473"/>
      <c r="N13473" s="44"/>
    </row>
    <row r="13474" spans="1:14" x14ac:dyDescent="0.3">
      <c r="A13474" s="42"/>
      <c r="C13474" s="52"/>
      <c r="D13474"/>
      <c r="E13474"/>
      <c r="N13474" s="44"/>
    </row>
    <row r="13475" spans="1:14" x14ac:dyDescent="0.3">
      <c r="A13475" s="42"/>
      <c r="C13475" s="52"/>
      <c r="D13475"/>
      <c r="E13475"/>
      <c r="N13475" s="44"/>
    </row>
    <row r="13476" spans="1:14" x14ac:dyDescent="0.3">
      <c r="A13476" s="42"/>
      <c r="C13476" s="52"/>
      <c r="D13476"/>
      <c r="E13476"/>
      <c r="N13476" s="44"/>
    </row>
    <row r="13477" spans="1:14" x14ac:dyDescent="0.3">
      <c r="A13477" s="42"/>
      <c r="C13477" s="52"/>
      <c r="D13477"/>
      <c r="E13477"/>
      <c r="N13477" s="44"/>
    </row>
    <row r="13478" spans="1:14" x14ac:dyDescent="0.3">
      <c r="A13478" s="42"/>
      <c r="C13478" s="52"/>
      <c r="D13478"/>
      <c r="E13478"/>
      <c r="N13478" s="44"/>
    </row>
    <row r="13479" spans="1:14" x14ac:dyDescent="0.3">
      <c r="A13479" s="42"/>
      <c r="C13479" s="52"/>
      <c r="D13479"/>
      <c r="E13479"/>
      <c r="N13479" s="44"/>
    </row>
    <row r="13480" spans="1:14" x14ac:dyDescent="0.3">
      <c r="A13480" s="42"/>
      <c r="C13480" s="52"/>
      <c r="D13480"/>
      <c r="E13480"/>
      <c r="N13480" s="44"/>
    </row>
    <row r="13481" spans="1:14" x14ac:dyDescent="0.3">
      <c r="A13481" s="42"/>
      <c r="C13481" s="52"/>
      <c r="D13481"/>
      <c r="E13481"/>
      <c r="N13481" s="44"/>
    </row>
    <row r="13482" spans="1:14" x14ac:dyDescent="0.3">
      <c r="A13482" s="42"/>
      <c r="C13482" s="52"/>
      <c r="D13482"/>
      <c r="E13482"/>
      <c r="N13482" s="44"/>
    </row>
    <row r="13483" spans="1:14" x14ac:dyDescent="0.3">
      <c r="A13483" s="42"/>
      <c r="C13483" s="52"/>
      <c r="D13483"/>
      <c r="E13483"/>
      <c r="N13483" s="44"/>
    </row>
    <row r="13484" spans="1:14" x14ac:dyDescent="0.3">
      <c r="A13484" s="42"/>
      <c r="C13484" s="52"/>
      <c r="D13484"/>
      <c r="E13484"/>
      <c r="N13484" s="44"/>
    </row>
    <row r="13485" spans="1:14" x14ac:dyDescent="0.3">
      <c r="A13485" s="42"/>
      <c r="C13485" s="52"/>
      <c r="D13485"/>
      <c r="E13485"/>
      <c r="N13485" s="44"/>
    </row>
    <row r="13486" spans="1:14" x14ac:dyDescent="0.3">
      <c r="A13486" s="42"/>
      <c r="C13486" s="52"/>
      <c r="D13486"/>
      <c r="E13486"/>
      <c r="N13486" s="44"/>
    </row>
    <row r="13487" spans="1:14" x14ac:dyDescent="0.3">
      <c r="A13487" s="42"/>
      <c r="C13487" s="52"/>
      <c r="D13487"/>
      <c r="E13487"/>
      <c r="N13487" s="44"/>
    </row>
    <row r="13488" spans="1:14" x14ac:dyDescent="0.3">
      <c r="A13488" s="42"/>
      <c r="C13488" s="52"/>
      <c r="D13488"/>
      <c r="E13488"/>
      <c r="N13488" s="44"/>
    </row>
    <row r="13489" spans="1:14" x14ac:dyDescent="0.3">
      <c r="A13489" s="42"/>
      <c r="C13489" s="52"/>
      <c r="D13489"/>
      <c r="E13489"/>
      <c r="N13489" s="44"/>
    </row>
    <row r="13490" spans="1:14" x14ac:dyDescent="0.3">
      <c r="A13490" s="42"/>
      <c r="C13490" s="52"/>
      <c r="D13490"/>
      <c r="E13490"/>
      <c r="N13490" s="44"/>
    </row>
    <row r="13491" spans="1:14" x14ac:dyDescent="0.3">
      <c r="A13491" s="42"/>
      <c r="C13491" s="52"/>
      <c r="D13491"/>
      <c r="E13491"/>
      <c r="N13491" s="44"/>
    </row>
    <row r="13492" spans="1:14" x14ac:dyDescent="0.3">
      <c r="A13492" s="42"/>
      <c r="C13492" s="52"/>
      <c r="D13492"/>
      <c r="E13492"/>
      <c r="N13492" s="44"/>
    </row>
    <row r="13493" spans="1:14" x14ac:dyDescent="0.3">
      <c r="A13493" s="42"/>
      <c r="C13493" s="52"/>
      <c r="D13493"/>
      <c r="E13493"/>
      <c r="N13493" s="44"/>
    </row>
    <row r="13494" spans="1:14" x14ac:dyDescent="0.3">
      <c r="A13494" s="42"/>
      <c r="C13494" s="52"/>
      <c r="D13494"/>
      <c r="E13494"/>
      <c r="N13494" s="44"/>
    </row>
    <row r="13495" spans="1:14" x14ac:dyDescent="0.3">
      <c r="A13495" s="42"/>
      <c r="C13495" s="52"/>
      <c r="D13495"/>
      <c r="E13495"/>
      <c r="N13495" s="44"/>
    </row>
    <row r="13496" spans="1:14" x14ac:dyDescent="0.3">
      <c r="A13496" s="42"/>
      <c r="C13496" s="52"/>
      <c r="D13496"/>
      <c r="E13496"/>
      <c r="N13496" s="44"/>
    </row>
    <row r="13497" spans="1:14" x14ac:dyDescent="0.3">
      <c r="A13497" s="42"/>
      <c r="C13497" s="52"/>
      <c r="D13497"/>
      <c r="E13497"/>
      <c r="N13497" s="44"/>
    </row>
    <row r="13498" spans="1:14" x14ac:dyDescent="0.3">
      <c r="A13498" s="42"/>
      <c r="C13498" s="52"/>
      <c r="D13498"/>
      <c r="E13498"/>
      <c r="N13498" s="44"/>
    </row>
    <row r="13499" spans="1:14" x14ac:dyDescent="0.3">
      <c r="A13499" s="42"/>
      <c r="C13499" s="52"/>
      <c r="D13499"/>
      <c r="E13499"/>
      <c r="N13499" s="44"/>
    </row>
    <row r="13500" spans="1:14" x14ac:dyDescent="0.3">
      <c r="A13500" s="42"/>
      <c r="C13500" s="52"/>
      <c r="D13500"/>
      <c r="E13500"/>
      <c r="N13500" s="44"/>
    </row>
    <row r="13501" spans="1:14" x14ac:dyDescent="0.3">
      <c r="A13501" s="42"/>
      <c r="C13501" s="52"/>
      <c r="D13501"/>
      <c r="E13501"/>
      <c r="N13501" s="44"/>
    </row>
    <row r="13502" spans="1:14" x14ac:dyDescent="0.3">
      <c r="A13502" s="42"/>
      <c r="C13502" s="52"/>
      <c r="D13502"/>
      <c r="E13502"/>
      <c r="N13502" s="44"/>
    </row>
    <row r="13503" spans="1:14" x14ac:dyDescent="0.3">
      <c r="A13503" s="42"/>
      <c r="C13503" s="52"/>
      <c r="D13503"/>
      <c r="E13503"/>
      <c r="N13503" s="44"/>
    </row>
    <row r="13504" spans="1:14" x14ac:dyDescent="0.3">
      <c r="A13504" s="42"/>
      <c r="C13504" s="52"/>
      <c r="D13504"/>
      <c r="E13504"/>
      <c r="N13504" s="44"/>
    </row>
    <row r="13505" spans="1:14" x14ac:dyDescent="0.3">
      <c r="A13505" s="42"/>
      <c r="C13505" s="52"/>
      <c r="D13505"/>
      <c r="E13505"/>
      <c r="N13505" s="44"/>
    </row>
    <row r="13506" spans="1:14" x14ac:dyDescent="0.3">
      <c r="A13506" s="42"/>
      <c r="C13506" s="52"/>
      <c r="D13506"/>
      <c r="E13506"/>
      <c r="N13506" s="44"/>
    </row>
    <row r="13507" spans="1:14" x14ac:dyDescent="0.3">
      <c r="A13507" s="42"/>
      <c r="C13507" s="52"/>
      <c r="D13507"/>
      <c r="E13507"/>
      <c r="N13507" s="44"/>
    </row>
    <row r="13508" spans="1:14" x14ac:dyDescent="0.3">
      <c r="A13508" s="42"/>
      <c r="C13508" s="52"/>
      <c r="D13508"/>
      <c r="E13508"/>
      <c r="N13508" s="44"/>
    </row>
    <row r="13509" spans="1:14" x14ac:dyDescent="0.3">
      <c r="A13509" s="42"/>
      <c r="C13509" s="52"/>
      <c r="D13509"/>
      <c r="E13509"/>
      <c r="N13509" s="44"/>
    </row>
    <row r="13510" spans="1:14" x14ac:dyDescent="0.3">
      <c r="A13510" s="42"/>
      <c r="C13510" s="52"/>
      <c r="D13510"/>
      <c r="E13510"/>
      <c r="N13510" s="44"/>
    </row>
    <row r="13511" spans="1:14" x14ac:dyDescent="0.3">
      <c r="A13511" s="42"/>
      <c r="C13511" s="52"/>
      <c r="D13511"/>
      <c r="E13511"/>
      <c r="M13511" s="45"/>
      <c r="N13511" s="44"/>
    </row>
    <row r="13512" spans="1:14" x14ac:dyDescent="0.3">
      <c r="A13512" s="42"/>
      <c r="C13512" s="52"/>
      <c r="D13512"/>
      <c r="E13512"/>
      <c r="N13512" s="44"/>
    </row>
    <row r="13513" spans="1:14" x14ac:dyDescent="0.3">
      <c r="A13513" s="42"/>
      <c r="C13513" s="52"/>
      <c r="D13513"/>
      <c r="E13513"/>
      <c r="N13513" s="44"/>
    </row>
    <row r="13514" spans="1:14" x14ac:dyDescent="0.3">
      <c r="A13514" s="42"/>
      <c r="C13514" s="52"/>
      <c r="D13514"/>
      <c r="E13514"/>
      <c r="N13514" s="44"/>
    </row>
    <row r="13515" spans="1:14" x14ac:dyDescent="0.3">
      <c r="A13515" s="42"/>
      <c r="C13515" s="52"/>
      <c r="D13515"/>
      <c r="E13515"/>
      <c r="N13515" s="44"/>
    </row>
    <row r="13516" spans="1:14" x14ac:dyDescent="0.3">
      <c r="A13516" s="42"/>
      <c r="C13516" s="52"/>
      <c r="D13516"/>
      <c r="E13516"/>
      <c r="N13516" s="44"/>
    </row>
    <row r="13517" spans="1:14" x14ac:dyDescent="0.3">
      <c r="A13517" s="42"/>
      <c r="C13517" s="52"/>
      <c r="D13517"/>
      <c r="E13517"/>
      <c r="N13517" s="44"/>
    </row>
    <row r="13518" spans="1:14" x14ac:dyDescent="0.3">
      <c r="A13518" s="42"/>
      <c r="C13518" s="52"/>
      <c r="D13518"/>
      <c r="E13518"/>
      <c r="N13518" s="44"/>
    </row>
    <row r="13519" spans="1:14" x14ac:dyDescent="0.3">
      <c r="A13519" s="42"/>
      <c r="C13519" s="52"/>
      <c r="D13519"/>
      <c r="E13519"/>
      <c r="N13519" s="44"/>
    </row>
    <row r="13520" spans="1:14" x14ac:dyDescent="0.3">
      <c r="A13520" s="42"/>
      <c r="C13520" s="52"/>
      <c r="D13520"/>
      <c r="E13520"/>
      <c r="N13520" s="44"/>
    </row>
    <row r="13521" spans="1:14" x14ac:dyDescent="0.3">
      <c r="A13521" s="42"/>
      <c r="C13521" s="52"/>
      <c r="D13521"/>
      <c r="E13521"/>
      <c r="N13521" s="44"/>
    </row>
    <row r="13522" spans="1:14" x14ac:dyDescent="0.3">
      <c r="A13522" s="42"/>
      <c r="C13522" s="52"/>
      <c r="D13522"/>
      <c r="E13522"/>
      <c r="N13522" s="44"/>
    </row>
    <row r="13523" spans="1:14" x14ac:dyDescent="0.3">
      <c r="A13523" s="42"/>
      <c r="C13523" s="52"/>
      <c r="D13523"/>
      <c r="E13523"/>
      <c r="N13523" s="44"/>
    </row>
    <row r="13524" spans="1:14" x14ac:dyDescent="0.3">
      <c r="A13524" s="42"/>
      <c r="C13524" s="52"/>
      <c r="D13524"/>
      <c r="E13524"/>
      <c r="N13524" s="44"/>
    </row>
    <row r="13525" spans="1:14" x14ac:dyDescent="0.3">
      <c r="A13525" s="42"/>
      <c r="C13525" s="52"/>
      <c r="D13525"/>
      <c r="E13525"/>
      <c r="N13525" s="44"/>
    </row>
    <row r="13526" spans="1:14" x14ac:dyDescent="0.3">
      <c r="A13526" s="42"/>
      <c r="C13526" s="52"/>
      <c r="D13526"/>
      <c r="E13526"/>
      <c r="N13526" s="44"/>
    </row>
    <row r="13527" spans="1:14" x14ac:dyDescent="0.3">
      <c r="A13527" s="42"/>
      <c r="C13527" s="52"/>
      <c r="D13527"/>
      <c r="E13527"/>
      <c r="N13527" s="44"/>
    </row>
    <row r="13528" spans="1:14" x14ac:dyDescent="0.3">
      <c r="A13528" s="42"/>
      <c r="C13528" s="52"/>
      <c r="D13528"/>
      <c r="E13528"/>
      <c r="N13528" s="44"/>
    </row>
    <row r="13529" spans="1:14" x14ac:dyDescent="0.3">
      <c r="A13529" s="42"/>
      <c r="C13529" s="52"/>
      <c r="D13529"/>
      <c r="E13529"/>
      <c r="N13529" s="44"/>
    </row>
    <row r="13530" spans="1:14" x14ac:dyDescent="0.3">
      <c r="A13530" s="42"/>
      <c r="C13530" s="52"/>
      <c r="D13530"/>
      <c r="E13530"/>
      <c r="N13530" s="44"/>
    </row>
    <row r="13531" spans="1:14" x14ac:dyDescent="0.3">
      <c r="A13531" s="42"/>
      <c r="C13531" s="52"/>
      <c r="D13531"/>
      <c r="E13531"/>
      <c r="N13531" s="44"/>
    </row>
    <row r="13532" spans="1:14" x14ac:dyDescent="0.3">
      <c r="A13532" s="42"/>
      <c r="C13532" s="52"/>
      <c r="D13532"/>
      <c r="E13532"/>
      <c r="N13532" s="44"/>
    </row>
    <row r="13533" spans="1:14" x14ac:dyDescent="0.3">
      <c r="A13533" s="42"/>
      <c r="C13533" s="52"/>
      <c r="D13533"/>
      <c r="E13533"/>
      <c r="N13533" s="44"/>
    </row>
    <row r="13534" spans="1:14" x14ac:dyDescent="0.3">
      <c r="A13534" s="42"/>
      <c r="C13534" s="52"/>
      <c r="D13534"/>
      <c r="E13534"/>
      <c r="N13534" s="44"/>
    </row>
    <row r="13535" spans="1:14" x14ac:dyDescent="0.3">
      <c r="A13535" s="42"/>
      <c r="C13535" s="52"/>
      <c r="D13535"/>
      <c r="E13535"/>
      <c r="N13535" s="44"/>
    </row>
    <row r="13536" spans="1:14" x14ac:dyDescent="0.3">
      <c r="A13536" s="42"/>
      <c r="C13536" s="52"/>
      <c r="D13536"/>
      <c r="E13536"/>
      <c r="N13536" s="44"/>
    </row>
    <row r="13537" spans="1:14" x14ac:dyDescent="0.3">
      <c r="A13537" s="42"/>
      <c r="C13537" s="52"/>
      <c r="D13537"/>
      <c r="E13537"/>
      <c r="N13537" s="44"/>
    </row>
    <row r="13538" spans="1:14" x14ac:dyDescent="0.3">
      <c r="A13538" s="42"/>
      <c r="C13538" s="52"/>
      <c r="D13538"/>
      <c r="E13538"/>
      <c r="N13538" s="44"/>
    </row>
    <row r="13539" spans="1:14" x14ac:dyDescent="0.3">
      <c r="A13539" s="42"/>
      <c r="C13539" s="52"/>
      <c r="D13539"/>
      <c r="E13539"/>
      <c r="N13539" s="44"/>
    </row>
    <row r="13540" spans="1:14" x14ac:dyDescent="0.3">
      <c r="A13540" s="42"/>
      <c r="C13540" s="52"/>
      <c r="D13540"/>
      <c r="E13540"/>
      <c r="N13540" s="44"/>
    </row>
    <row r="13541" spans="1:14" x14ac:dyDescent="0.3">
      <c r="A13541" s="42"/>
      <c r="C13541" s="52"/>
      <c r="D13541"/>
      <c r="E13541"/>
      <c r="N13541" s="44"/>
    </row>
    <row r="13542" spans="1:14" x14ac:dyDescent="0.3">
      <c r="A13542" s="42"/>
      <c r="C13542" s="52"/>
      <c r="D13542"/>
      <c r="E13542"/>
      <c r="N13542" s="44"/>
    </row>
    <row r="13543" spans="1:14" x14ac:dyDescent="0.3">
      <c r="A13543" s="42"/>
      <c r="C13543" s="52"/>
      <c r="D13543"/>
      <c r="E13543"/>
      <c r="N13543" s="44"/>
    </row>
    <row r="13544" spans="1:14" x14ac:dyDescent="0.3">
      <c r="A13544" s="42"/>
      <c r="C13544" s="52"/>
      <c r="D13544"/>
      <c r="E13544"/>
      <c r="N13544" s="44"/>
    </row>
    <row r="13545" spans="1:14" x14ac:dyDescent="0.3">
      <c r="A13545" s="42"/>
      <c r="C13545" s="52"/>
      <c r="D13545"/>
      <c r="E13545"/>
      <c r="N13545" s="44"/>
    </row>
    <row r="13546" spans="1:14" x14ac:dyDescent="0.3">
      <c r="A13546" s="42"/>
      <c r="C13546" s="52"/>
      <c r="D13546"/>
      <c r="E13546"/>
      <c r="N13546" s="44"/>
    </row>
    <row r="13547" spans="1:14" x14ac:dyDescent="0.3">
      <c r="A13547" s="42"/>
      <c r="C13547" s="52"/>
      <c r="D13547"/>
      <c r="E13547"/>
      <c r="N13547" s="44"/>
    </row>
    <row r="13548" spans="1:14" x14ac:dyDescent="0.3">
      <c r="A13548" s="42"/>
      <c r="C13548" s="52"/>
      <c r="D13548"/>
      <c r="E13548"/>
      <c r="N13548" s="44"/>
    </row>
    <row r="13549" spans="1:14" x14ac:dyDescent="0.3">
      <c r="A13549" s="42"/>
      <c r="C13549" s="52"/>
      <c r="D13549"/>
      <c r="E13549"/>
      <c r="N13549" s="44"/>
    </row>
    <row r="13550" spans="1:14" x14ac:dyDescent="0.3">
      <c r="A13550" s="42"/>
      <c r="C13550" s="52"/>
      <c r="D13550"/>
      <c r="E13550"/>
      <c r="N13550" s="44"/>
    </row>
    <row r="13551" spans="1:14" x14ac:dyDescent="0.3">
      <c r="A13551" s="42"/>
      <c r="C13551" s="52"/>
      <c r="D13551"/>
      <c r="E13551"/>
      <c r="N13551" s="44"/>
    </row>
    <row r="13552" spans="1:14" x14ac:dyDescent="0.3">
      <c r="A13552" s="42"/>
      <c r="C13552" s="52"/>
      <c r="D13552"/>
      <c r="E13552"/>
      <c r="N13552" s="44"/>
    </row>
    <row r="13553" spans="1:14" x14ac:dyDescent="0.3">
      <c r="A13553" s="42"/>
      <c r="C13553" s="52"/>
      <c r="D13553"/>
      <c r="E13553"/>
      <c r="N13553" s="44"/>
    </row>
    <row r="13554" spans="1:14" x14ac:dyDescent="0.3">
      <c r="A13554" s="42"/>
      <c r="C13554" s="52"/>
      <c r="D13554"/>
      <c r="E13554"/>
      <c r="N13554" s="44"/>
    </row>
    <row r="13555" spans="1:14" x14ac:dyDescent="0.3">
      <c r="A13555" s="42"/>
      <c r="C13555" s="52"/>
      <c r="D13555"/>
      <c r="E13555"/>
      <c r="N13555" s="44"/>
    </row>
    <row r="13556" spans="1:14" x14ac:dyDescent="0.3">
      <c r="A13556" s="42"/>
      <c r="C13556" s="52"/>
      <c r="D13556"/>
      <c r="E13556"/>
      <c r="N13556" s="44"/>
    </row>
    <row r="13557" spans="1:14" x14ac:dyDescent="0.3">
      <c r="A13557" s="42"/>
      <c r="C13557" s="52"/>
      <c r="D13557"/>
      <c r="E13557"/>
      <c r="N13557" s="44"/>
    </row>
    <row r="13558" spans="1:14" x14ac:dyDescent="0.3">
      <c r="A13558" s="42"/>
      <c r="C13558" s="52"/>
      <c r="D13558"/>
      <c r="E13558"/>
      <c r="N13558" s="44"/>
    </row>
    <row r="13559" spans="1:14" x14ac:dyDescent="0.3">
      <c r="A13559" s="42"/>
      <c r="C13559" s="52"/>
      <c r="D13559"/>
      <c r="E13559"/>
      <c r="N13559" s="44"/>
    </row>
    <row r="13560" spans="1:14" x14ac:dyDescent="0.3">
      <c r="A13560" s="42"/>
      <c r="C13560" s="52"/>
      <c r="D13560"/>
      <c r="E13560"/>
      <c r="N13560" s="44"/>
    </row>
    <row r="13561" spans="1:14" x14ac:dyDescent="0.3">
      <c r="A13561" s="42"/>
      <c r="C13561" s="52"/>
      <c r="D13561"/>
      <c r="E13561"/>
      <c r="N13561" s="44"/>
    </row>
    <row r="13562" spans="1:14" x14ac:dyDescent="0.3">
      <c r="A13562" s="42"/>
      <c r="C13562" s="52"/>
      <c r="D13562"/>
      <c r="E13562"/>
      <c r="N13562" s="44"/>
    </row>
    <row r="13563" spans="1:14" x14ac:dyDescent="0.3">
      <c r="A13563" s="42"/>
      <c r="C13563" s="52"/>
      <c r="D13563"/>
      <c r="E13563"/>
      <c r="N13563" s="44"/>
    </row>
    <row r="13564" spans="1:14" x14ac:dyDescent="0.3">
      <c r="A13564" s="42"/>
      <c r="C13564" s="52"/>
      <c r="D13564"/>
      <c r="E13564"/>
      <c r="N13564" s="44"/>
    </row>
    <row r="13565" spans="1:14" x14ac:dyDescent="0.3">
      <c r="A13565" s="42"/>
      <c r="C13565" s="52"/>
      <c r="D13565"/>
      <c r="E13565"/>
      <c r="N13565" s="44"/>
    </row>
    <row r="13566" spans="1:14" x14ac:dyDescent="0.3">
      <c r="A13566" s="42"/>
      <c r="C13566" s="52"/>
      <c r="D13566"/>
      <c r="E13566"/>
      <c r="N13566" s="44"/>
    </row>
    <row r="13567" spans="1:14" x14ac:dyDescent="0.3">
      <c r="A13567" s="42"/>
      <c r="C13567" s="52"/>
      <c r="D13567"/>
      <c r="E13567"/>
      <c r="N13567" s="44"/>
    </row>
    <row r="13568" spans="1:14" x14ac:dyDescent="0.3">
      <c r="A13568" s="42"/>
      <c r="C13568" s="52"/>
      <c r="D13568"/>
      <c r="E13568"/>
      <c r="N13568" s="44"/>
    </row>
    <row r="13569" spans="1:14" x14ac:dyDescent="0.3">
      <c r="A13569" s="42"/>
      <c r="C13569" s="52"/>
      <c r="D13569"/>
      <c r="E13569"/>
      <c r="N13569" s="44"/>
    </row>
    <row r="13570" spans="1:14" x14ac:dyDescent="0.3">
      <c r="A13570" s="42"/>
      <c r="C13570" s="52"/>
      <c r="D13570"/>
      <c r="E13570"/>
      <c r="N13570" s="44"/>
    </row>
    <row r="13571" spans="1:14" x14ac:dyDescent="0.3">
      <c r="A13571" s="42"/>
      <c r="C13571" s="52"/>
      <c r="D13571"/>
      <c r="E13571"/>
      <c r="N13571" s="44"/>
    </row>
    <row r="13572" spans="1:14" x14ac:dyDescent="0.3">
      <c r="A13572" s="42"/>
      <c r="C13572" s="52"/>
      <c r="D13572"/>
      <c r="E13572"/>
      <c r="N13572" s="44"/>
    </row>
    <row r="13573" spans="1:14" x14ac:dyDescent="0.3">
      <c r="A13573" s="42"/>
      <c r="C13573" s="52"/>
      <c r="D13573"/>
      <c r="E13573"/>
      <c r="N13573" s="44"/>
    </row>
    <row r="13574" spans="1:14" x14ac:dyDescent="0.3">
      <c r="A13574" s="42"/>
      <c r="C13574" s="52"/>
      <c r="D13574"/>
      <c r="E13574"/>
      <c r="N13574" s="44"/>
    </row>
    <row r="13575" spans="1:14" x14ac:dyDescent="0.3">
      <c r="A13575" s="42"/>
      <c r="C13575" s="52"/>
      <c r="D13575"/>
      <c r="E13575"/>
      <c r="N13575" s="44"/>
    </row>
    <row r="13576" spans="1:14" x14ac:dyDescent="0.3">
      <c r="A13576" s="42"/>
      <c r="C13576" s="52"/>
      <c r="D13576"/>
      <c r="E13576"/>
      <c r="N13576" s="44"/>
    </row>
    <row r="13577" spans="1:14" x14ac:dyDescent="0.3">
      <c r="A13577" s="42"/>
      <c r="C13577" s="52"/>
      <c r="D13577"/>
      <c r="E13577"/>
      <c r="N13577" s="44"/>
    </row>
    <row r="13578" spans="1:14" x14ac:dyDescent="0.3">
      <c r="A13578" s="42"/>
      <c r="C13578" s="52"/>
      <c r="D13578"/>
      <c r="E13578"/>
      <c r="N13578" s="44"/>
    </row>
    <row r="13579" spans="1:14" x14ac:dyDescent="0.3">
      <c r="A13579" s="42"/>
      <c r="C13579" s="52"/>
      <c r="D13579"/>
      <c r="E13579"/>
      <c r="N13579" s="44"/>
    </row>
    <row r="13580" spans="1:14" x14ac:dyDescent="0.3">
      <c r="A13580" s="42"/>
      <c r="C13580" s="52"/>
      <c r="D13580"/>
      <c r="E13580"/>
      <c r="N13580" s="44"/>
    </row>
    <row r="13581" spans="1:14" x14ac:dyDescent="0.3">
      <c r="A13581" s="42"/>
      <c r="C13581" s="52"/>
      <c r="D13581"/>
      <c r="E13581"/>
      <c r="N13581" s="44"/>
    </row>
    <row r="13582" spans="1:14" x14ac:dyDescent="0.3">
      <c r="A13582" s="42"/>
      <c r="C13582" s="52"/>
      <c r="D13582"/>
      <c r="E13582"/>
      <c r="N13582" s="44"/>
    </row>
    <row r="13583" spans="1:14" x14ac:dyDescent="0.3">
      <c r="A13583" s="42"/>
      <c r="C13583" s="52"/>
      <c r="D13583"/>
      <c r="E13583"/>
      <c r="N13583" s="44"/>
    </row>
    <row r="13584" spans="1:14" x14ac:dyDescent="0.3">
      <c r="A13584" s="42"/>
      <c r="C13584" s="52"/>
      <c r="D13584"/>
      <c r="E13584"/>
      <c r="N13584" s="44"/>
    </row>
    <row r="13585" spans="1:14" x14ac:dyDescent="0.3">
      <c r="A13585" s="42"/>
      <c r="C13585" s="52"/>
      <c r="D13585"/>
      <c r="E13585"/>
      <c r="N13585" s="44"/>
    </row>
    <row r="13586" spans="1:14" x14ac:dyDescent="0.3">
      <c r="A13586" s="42"/>
      <c r="C13586" s="52"/>
      <c r="D13586"/>
      <c r="E13586"/>
      <c r="N13586" s="44"/>
    </row>
    <row r="13587" spans="1:14" x14ac:dyDescent="0.3">
      <c r="A13587" s="42"/>
      <c r="C13587" s="52"/>
      <c r="D13587"/>
      <c r="E13587"/>
      <c r="N13587" s="44"/>
    </row>
    <row r="13588" spans="1:14" x14ac:dyDescent="0.3">
      <c r="A13588" s="42"/>
      <c r="C13588" s="52"/>
      <c r="D13588"/>
      <c r="E13588"/>
      <c r="N13588" s="44"/>
    </row>
    <row r="13589" spans="1:14" x14ac:dyDescent="0.3">
      <c r="A13589" s="42"/>
      <c r="C13589" s="52"/>
      <c r="D13589"/>
      <c r="E13589"/>
      <c r="N13589" s="44"/>
    </row>
    <row r="13590" spans="1:14" x14ac:dyDescent="0.3">
      <c r="A13590" s="42"/>
      <c r="C13590" s="52"/>
      <c r="D13590"/>
      <c r="E13590"/>
      <c r="N13590" s="44"/>
    </row>
    <row r="13591" spans="1:14" x14ac:dyDescent="0.3">
      <c r="A13591" s="42"/>
      <c r="C13591" s="52"/>
      <c r="D13591"/>
      <c r="E13591"/>
      <c r="N13591" s="44"/>
    </row>
    <row r="13592" spans="1:14" x14ac:dyDescent="0.3">
      <c r="A13592" s="42"/>
      <c r="C13592" s="52"/>
      <c r="D13592"/>
      <c r="E13592"/>
      <c r="N13592" s="44"/>
    </row>
    <row r="13593" spans="1:14" x14ac:dyDescent="0.3">
      <c r="A13593" s="42"/>
      <c r="C13593" s="52"/>
      <c r="D13593"/>
      <c r="E13593"/>
      <c r="N13593" s="44"/>
    </row>
    <row r="13594" spans="1:14" x14ac:dyDescent="0.3">
      <c r="A13594" s="42"/>
      <c r="C13594" s="52"/>
      <c r="D13594"/>
      <c r="E13594"/>
      <c r="N13594" s="44"/>
    </row>
    <row r="13595" spans="1:14" x14ac:dyDescent="0.3">
      <c r="A13595" s="42"/>
      <c r="C13595" s="52"/>
      <c r="D13595"/>
      <c r="E13595"/>
      <c r="N13595" s="44"/>
    </row>
    <row r="13596" spans="1:14" x14ac:dyDescent="0.3">
      <c r="A13596" s="42"/>
      <c r="C13596" s="52"/>
      <c r="D13596"/>
      <c r="E13596"/>
      <c r="N13596" s="44"/>
    </row>
    <row r="13597" spans="1:14" x14ac:dyDescent="0.3">
      <c r="A13597" s="42"/>
      <c r="C13597" s="52"/>
      <c r="D13597"/>
      <c r="E13597"/>
      <c r="N13597" s="44"/>
    </row>
    <row r="13598" spans="1:14" x14ac:dyDescent="0.3">
      <c r="A13598" s="42"/>
      <c r="C13598" s="52"/>
      <c r="D13598"/>
      <c r="E13598"/>
      <c r="N13598" s="44"/>
    </row>
    <row r="13599" spans="1:14" x14ac:dyDescent="0.3">
      <c r="A13599" s="42"/>
      <c r="C13599" s="52"/>
      <c r="D13599"/>
      <c r="E13599"/>
      <c r="N13599" s="44"/>
    </row>
    <row r="13600" spans="1:14" x14ac:dyDescent="0.3">
      <c r="A13600" s="42"/>
      <c r="C13600" s="52"/>
      <c r="D13600"/>
      <c r="E13600"/>
      <c r="N13600" s="44"/>
    </row>
    <row r="13601" spans="1:14" x14ac:dyDescent="0.3">
      <c r="A13601" s="42"/>
      <c r="C13601" s="52"/>
      <c r="D13601"/>
      <c r="E13601"/>
      <c r="N13601" s="44"/>
    </row>
    <row r="13602" spans="1:14" x14ac:dyDescent="0.3">
      <c r="A13602" s="42"/>
      <c r="C13602" s="52"/>
      <c r="D13602"/>
      <c r="E13602"/>
      <c r="N13602" s="44"/>
    </row>
    <row r="13603" spans="1:14" x14ac:dyDescent="0.3">
      <c r="A13603" s="42"/>
      <c r="C13603" s="52"/>
      <c r="D13603"/>
      <c r="E13603"/>
      <c r="N13603" s="44"/>
    </row>
    <row r="13604" spans="1:14" x14ac:dyDescent="0.3">
      <c r="A13604" s="42"/>
      <c r="C13604" s="52"/>
      <c r="D13604"/>
      <c r="E13604"/>
      <c r="N13604" s="44"/>
    </row>
    <row r="13605" spans="1:14" x14ac:dyDescent="0.3">
      <c r="A13605" s="42"/>
      <c r="C13605" s="52"/>
      <c r="D13605"/>
      <c r="E13605"/>
      <c r="M13605" s="45"/>
      <c r="N13605" s="44"/>
    </row>
    <row r="13606" spans="1:14" x14ac:dyDescent="0.3">
      <c r="A13606" s="42"/>
      <c r="C13606" s="52"/>
      <c r="D13606"/>
      <c r="E13606"/>
      <c r="M13606" s="45"/>
      <c r="N13606" s="44"/>
    </row>
    <row r="13607" spans="1:14" x14ac:dyDescent="0.3">
      <c r="A13607" s="42"/>
      <c r="C13607" s="52"/>
      <c r="D13607"/>
      <c r="E13607"/>
      <c r="N13607" s="44"/>
    </row>
    <row r="13608" spans="1:14" x14ac:dyDescent="0.3">
      <c r="A13608" s="42"/>
      <c r="C13608" s="52"/>
      <c r="D13608"/>
      <c r="E13608"/>
      <c r="N13608" s="44"/>
    </row>
    <row r="13609" spans="1:14" x14ac:dyDescent="0.3">
      <c r="A13609" s="42"/>
      <c r="C13609" s="52"/>
      <c r="D13609"/>
      <c r="E13609"/>
      <c r="N13609" s="44"/>
    </row>
    <row r="13610" spans="1:14" x14ac:dyDescent="0.3">
      <c r="A13610" s="42"/>
      <c r="C13610" s="52"/>
      <c r="D13610"/>
      <c r="E13610"/>
      <c r="N13610" s="44"/>
    </row>
    <row r="13611" spans="1:14" x14ac:dyDescent="0.3">
      <c r="A13611" s="42"/>
      <c r="C13611" s="52"/>
      <c r="D13611"/>
      <c r="E13611"/>
      <c r="N13611" s="44"/>
    </row>
    <row r="13612" spans="1:14" x14ac:dyDescent="0.3">
      <c r="A13612" s="42"/>
      <c r="C13612" s="52"/>
      <c r="D13612"/>
      <c r="E13612"/>
      <c r="N13612" s="44"/>
    </row>
    <row r="13613" spans="1:14" x14ac:dyDescent="0.3">
      <c r="A13613" s="42"/>
      <c r="C13613" s="52"/>
      <c r="D13613"/>
      <c r="E13613"/>
      <c r="N13613" s="44"/>
    </row>
    <row r="13614" spans="1:14" x14ac:dyDescent="0.3">
      <c r="A13614" s="42"/>
      <c r="C13614" s="52"/>
      <c r="D13614"/>
      <c r="E13614"/>
      <c r="N13614" s="44"/>
    </row>
    <row r="13615" spans="1:14" x14ac:dyDescent="0.3">
      <c r="A13615" s="42"/>
      <c r="C13615" s="52"/>
      <c r="D13615"/>
      <c r="E13615"/>
      <c r="N13615" s="44"/>
    </row>
    <row r="13616" spans="1:14" x14ac:dyDescent="0.3">
      <c r="A13616" s="42"/>
      <c r="C13616" s="52"/>
      <c r="D13616"/>
      <c r="E13616"/>
      <c r="N13616" s="44"/>
    </row>
    <row r="13617" spans="1:14" x14ac:dyDescent="0.3">
      <c r="A13617" s="42"/>
      <c r="C13617" s="52"/>
      <c r="D13617"/>
      <c r="E13617"/>
      <c r="N13617" s="44"/>
    </row>
    <row r="13618" spans="1:14" x14ac:dyDescent="0.3">
      <c r="A13618" s="42"/>
      <c r="C13618" s="52"/>
      <c r="D13618"/>
      <c r="E13618"/>
      <c r="N13618" s="44"/>
    </row>
    <row r="13619" spans="1:14" x14ac:dyDescent="0.3">
      <c r="A13619" s="42"/>
      <c r="C13619" s="52"/>
      <c r="D13619"/>
      <c r="E13619"/>
      <c r="N13619" s="44"/>
    </row>
    <row r="13620" spans="1:14" x14ac:dyDescent="0.3">
      <c r="A13620" s="42"/>
      <c r="C13620" s="52"/>
      <c r="D13620"/>
      <c r="E13620"/>
      <c r="N13620" s="44"/>
    </row>
    <row r="13621" spans="1:14" x14ac:dyDescent="0.3">
      <c r="A13621" s="42"/>
      <c r="C13621" s="52"/>
      <c r="D13621"/>
      <c r="E13621"/>
      <c r="N13621" s="44"/>
    </row>
    <row r="13622" spans="1:14" x14ac:dyDescent="0.3">
      <c r="A13622" s="42"/>
      <c r="C13622" s="52"/>
      <c r="D13622"/>
      <c r="E13622"/>
      <c r="N13622" s="44"/>
    </row>
    <row r="13623" spans="1:14" x14ac:dyDescent="0.3">
      <c r="A13623" s="42"/>
      <c r="C13623" s="52"/>
      <c r="D13623"/>
      <c r="E13623"/>
      <c r="N13623" s="44"/>
    </row>
    <row r="13624" spans="1:14" x14ac:dyDescent="0.3">
      <c r="A13624" s="42"/>
      <c r="C13624" s="52"/>
      <c r="D13624"/>
      <c r="E13624"/>
      <c r="N13624" s="44"/>
    </row>
    <row r="13625" spans="1:14" x14ac:dyDescent="0.3">
      <c r="A13625" s="42"/>
      <c r="C13625" s="52"/>
      <c r="D13625"/>
      <c r="E13625"/>
      <c r="N13625" s="44"/>
    </row>
    <row r="13626" spans="1:14" x14ac:dyDescent="0.3">
      <c r="A13626" s="42"/>
      <c r="C13626" s="52"/>
      <c r="D13626"/>
      <c r="E13626"/>
      <c r="N13626" s="44"/>
    </row>
    <row r="13627" spans="1:14" x14ac:dyDescent="0.3">
      <c r="A13627" s="42"/>
      <c r="C13627" s="52"/>
      <c r="D13627"/>
      <c r="E13627"/>
      <c r="N13627" s="44"/>
    </row>
    <row r="13628" spans="1:14" x14ac:dyDescent="0.3">
      <c r="A13628" s="42"/>
      <c r="C13628" s="52"/>
      <c r="D13628"/>
      <c r="E13628"/>
      <c r="N13628" s="44"/>
    </row>
    <row r="13629" spans="1:14" x14ac:dyDescent="0.3">
      <c r="A13629" s="42"/>
      <c r="C13629" s="52"/>
      <c r="D13629"/>
      <c r="E13629"/>
      <c r="N13629" s="44"/>
    </row>
    <row r="13630" spans="1:14" x14ac:dyDescent="0.3">
      <c r="A13630" s="42"/>
      <c r="C13630" s="52"/>
      <c r="D13630"/>
      <c r="E13630"/>
      <c r="N13630" s="44"/>
    </row>
    <row r="13631" spans="1:14" x14ac:dyDescent="0.3">
      <c r="A13631" s="42"/>
      <c r="C13631" s="52"/>
      <c r="D13631"/>
      <c r="E13631"/>
      <c r="N13631" s="44"/>
    </row>
    <row r="13632" spans="1:14" x14ac:dyDescent="0.3">
      <c r="A13632" s="42"/>
      <c r="C13632" s="52"/>
      <c r="D13632"/>
      <c r="E13632"/>
      <c r="N13632" s="44"/>
    </row>
    <row r="13633" spans="1:14" x14ac:dyDescent="0.3">
      <c r="A13633" s="42"/>
      <c r="C13633" s="52"/>
      <c r="D13633"/>
      <c r="E13633"/>
      <c r="N13633" s="44"/>
    </row>
    <row r="13634" spans="1:14" x14ac:dyDescent="0.3">
      <c r="A13634" s="42"/>
      <c r="C13634" s="52"/>
      <c r="D13634"/>
      <c r="E13634"/>
      <c r="N13634" s="44"/>
    </row>
    <row r="13635" spans="1:14" x14ac:dyDescent="0.3">
      <c r="A13635" s="42"/>
      <c r="C13635" s="52"/>
      <c r="D13635"/>
      <c r="E13635"/>
      <c r="N13635" s="44"/>
    </row>
    <row r="13636" spans="1:14" x14ac:dyDescent="0.3">
      <c r="A13636" s="42"/>
      <c r="C13636" s="52"/>
      <c r="D13636"/>
      <c r="E13636"/>
      <c r="N13636" s="44"/>
    </row>
    <row r="13637" spans="1:14" x14ac:dyDescent="0.3">
      <c r="A13637" s="42"/>
      <c r="C13637" s="52"/>
      <c r="D13637"/>
      <c r="E13637"/>
      <c r="N13637" s="44"/>
    </row>
    <row r="13638" spans="1:14" x14ac:dyDescent="0.3">
      <c r="A13638" s="42"/>
      <c r="C13638" s="52"/>
      <c r="D13638"/>
      <c r="E13638"/>
      <c r="N13638" s="44"/>
    </row>
    <row r="13639" spans="1:14" x14ac:dyDescent="0.3">
      <c r="A13639" s="42"/>
      <c r="C13639" s="52"/>
      <c r="D13639"/>
      <c r="E13639"/>
      <c r="N13639" s="44"/>
    </row>
    <row r="13640" spans="1:14" x14ac:dyDescent="0.3">
      <c r="A13640" s="42"/>
      <c r="C13640" s="52"/>
      <c r="D13640"/>
      <c r="E13640"/>
      <c r="N13640" s="44"/>
    </row>
    <row r="13641" spans="1:14" x14ac:dyDescent="0.3">
      <c r="A13641" s="42"/>
      <c r="C13641" s="52"/>
      <c r="D13641"/>
      <c r="E13641"/>
      <c r="N13641" s="44"/>
    </row>
    <row r="13642" spans="1:14" x14ac:dyDescent="0.3">
      <c r="A13642" s="42"/>
      <c r="C13642" s="52"/>
      <c r="D13642"/>
      <c r="E13642"/>
      <c r="N13642" s="44"/>
    </row>
    <row r="13643" spans="1:14" x14ac:dyDescent="0.3">
      <c r="A13643" s="42"/>
      <c r="C13643" s="52"/>
      <c r="D13643"/>
      <c r="E13643"/>
      <c r="N13643" s="44"/>
    </row>
    <row r="13644" spans="1:14" x14ac:dyDescent="0.3">
      <c r="A13644" s="42"/>
      <c r="C13644" s="52"/>
      <c r="D13644"/>
      <c r="E13644"/>
      <c r="N13644" s="44"/>
    </row>
    <row r="13645" spans="1:14" x14ac:dyDescent="0.3">
      <c r="A13645" s="42"/>
      <c r="C13645" s="52"/>
      <c r="D13645"/>
      <c r="E13645"/>
      <c r="N13645" s="44"/>
    </row>
    <row r="13646" spans="1:14" x14ac:dyDescent="0.3">
      <c r="A13646" s="42"/>
      <c r="C13646" s="52"/>
      <c r="D13646"/>
      <c r="E13646"/>
      <c r="N13646" s="44"/>
    </row>
    <row r="13647" spans="1:14" x14ac:dyDescent="0.3">
      <c r="A13647" s="42"/>
      <c r="C13647" s="52"/>
      <c r="D13647"/>
      <c r="E13647"/>
      <c r="N13647" s="44"/>
    </row>
    <row r="13648" spans="1:14" x14ac:dyDescent="0.3">
      <c r="A13648" s="42"/>
      <c r="C13648" s="52"/>
      <c r="D13648"/>
      <c r="E13648"/>
      <c r="N13648" s="44"/>
    </row>
    <row r="13649" spans="1:14" x14ac:dyDescent="0.3">
      <c r="A13649" s="42"/>
      <c r="C13649" s="52"/>
      <c r="D13649"/>
      <c r="E13649"/>
      <c r="N13649" s="44"/>
    </row>
    <row r="13650" spans="1:14" x14ac:dyDescent="0.3">
      <c r="A13650" s="42"/>
      <c r="C13650" s="52"/>
      <c r="D13650"/>
      <c r="E13650"/>
      <c r="N13650" s="44"/>
    </row>
    <row r="13651" spans="1:14" x14ac:dyDescent="0.3">
      <c r="A13651" s="42"/>
      <c r="C13651" s="52"/>
      <c r="D13651"/>
      <c r="E13651"/>
      <c r="N13651" s="44"/>
    </row>
    <row r="13652" spans="1:14" x14ac:dyDescent="0.3">
      <c r="A13652" s="42"/>
      <c r="C13652" s="52"/>
      <c r="D13652"/>
      <c r="E13652"/>
      <c r="N13652" s="44"/>
    </row>
    <row r="13653" spans="1:14" x14ac:dyDescent="0.3">
      <c r="A13653" s="42"/>
      <c r="C13653" s="52"/>
      <c r="D13653"/>
      <c r="E13653"/>
      <c r="N13653" s="44"/>
    </row>
    <row r="13654" spans="1:14" x14ac:dyDescent="0.3">
      <c r="A13654" s="42"/>
      <c r="C13654" s="52"/>
      <c r="D13654"/>
      <c r="E13654"/>
      <c r="N13654" s="44"/>
    </row>
    <row r="13655" spans="1:14" x14ac:dyDescent="0.3">
      <c r="A13655" s="42"/>
      <c r="C13655" s="52"/>
      <c r="D13655"/>
      <c r="E13655"/>
      <c r="N13655" s="44"/>
    </row>
    <row r="13656" spans="1:14" x14ac:dyDescent="0.3">
      <c r="A13656" s="42"/>
      <c r="C13656" s="52"/>
      <c r="D13656"/>
      <c r="E13656"/>
      <c r="N13656" s="44"/>
    </row>
    <row r="13657" spans="1:14" x14ac:dyDescent="0.3">
      <c r="A13657" s="42"/>
      <c r="C13657" s="52"/>
      <c r="D13657"/>
      <c r="E13657"/>
      <c r="N13657" s="44"/>
    </row>
    <row r="13658" spans="1:14" x14ac:dyDescent="0.3">
      <c r="A13658" s="42"/>
      <c r="C13658" s="52"/>
      <c r="D13658"/>
      <c r="E13658"/>
      <c r="N13658" s="44"/>
    </row>
    <row r="13659" spans="1:14" x14ac:dyDescent="0.3">
      <c r="A13659" s="42"/>
      <c r="C13659" s="52"/>
      <c r="D13659"/>
      <c r="E13659"/>
      <c r="N13659" s="44"/>
    </row>
    <row r="13660" spans="1:14" x14ac:dyDescent="0.3">
      <c r="A13660" s="42"/>
      <c r="C13660" s="52"/>
      <c r="D13660"/>
      <c r="E13660"/>
      <c r="N13660" s="44"/>
    </row>
    <row r="13661" spans="1:14" x14ac:dyDescent="0.3">
      <c r="A13661" s="42"/>
      <c r="C13661" s="52"/>
      <c r="D13661"/>
      <c r="E13661"/>
      <c r="N13661" s="44"/>
    </row>
    <row r="13662" spans="1:14" x14ac:dyDescent="0.3">
      <c r="A13662" s="42"/>
      <c r="C13662" s="52"/>
      <c r="D13662"/>
      <c r="E13662"/>
      <c r="N13662" s="44"/>
    </row>
    <row r="13663" spans="1:14" x14ac:dyDescent="0.3">
      <c r="A13663" s="42"/>
      <c r="C13663" s="52"/>
      <c r="D13663"/>
      <c r="E13663"/>
      <c r="N13663" s="44"/>
    </row>
    <row r="13664" spans="1:14" x14ac:dyDescent="0.3">
      <c r="A13664" s="42"/>
      <c r="C13664" s="52"/>
      <c r="D13664"/>
      <c r="E13664"/>
      <c r="N13664" s="44"/>
    </row>
    <row r="13665" spans="1:14" x14ac:dyDescent="0.3">
      <c r="A13665" s="42"/>
      <c r="C13665" s="52"/>
      <c r="D13665"/>
      <c r="E13665"/>
      <c r="N13665" s="44"/>
    </row>
    <row r="13666" spans="1:14" x14ac:dyDescent="0.3">
      <c r="A13666" s="42"/>
      <c r="C13666" s="52"/>
      <c r="D13666"/>
      <c r="E13666"/>
      <c r="N13666" s="44"/>
    </row>
    <row r="13667" spans="1:14" x14ac:dyDescent="0.3">
      <c r="A13667" s="42"/>
      <c r="C13667" s="52"/>
      <c r="D13667"/>
      <c r="E13667"/>
      <c r="N13667" s="44"/>
    </row>
    <row r="13668" spans="1:14" x14ac:dyDescent="0.3">
      <c r="A13668" s="42"/>
      <c r="C13668" s="52"/>
      <c r="D13668"/>
      <c r="E13668"/>
      <c r="N13668" s="44"/>
    </row>
    <row r="13669" spans="1:14" x14ac:dyDescent="0.3">
      <c r="A13669" s="42"/>
      <c r="C13669" s="52"/>
      <c r="D13669"/>
      <c r="E13669"/>
      <c r="N13669" s="44"/>
    </row>
    <row r="13670" spans="1:14" x14ac:dyDescent="0.3">
      <c r="A13670" s="42"/>
      <c r="C13670" s="52"/>
      <c r="D13670"/>
      <c r="E13670"/>
      <c r="N13670" s="44"/>
    </row>
    <row r="13671" spans="1:14" x14ac:dyDescent="0.3">
      <c r="A13671" s="42"/>
      <c r="C13671" s="52"/>
      <c r="D13671"/>
      <c r="E13671"/>
      <c r="N13671" s="44"/>
    </row>
    <row r="13672" spans="1:14" x14ac:dyDescent="0.3">
      <c r="A13672" s="42"/>
      <c r="C13672" s="52"/>
      <c r="D13672"/>
      <c r="E13672"/>
      <c r="N13672" s="44"/>
    </row>
    <row r="13673" spans="1:14" x14ac:dyDescent="0.3">
      <c r="A13673" s="42"/>
      <c r="C13673" s="52"/>
      <c r="D13673"/>
      <c r="E13673"/>
      <c r="N13673" s="44"/>
    </row>
    <row r="13674" spans="1:14" x14ac:dyDescent="0.3">
      <c r="A13674" s="42"/>
      <c r="C13674" s="52"/>
      <c r="D13674"/>
      <c r="E13674"/>
      <c r="N13674" s="44"/>
    </row>
    <row r="13675" spans="1:14" x14ac:dyDescent="0.3">
      <c r="A13675" s="42"/>
      <c r="C13675" s="52"/>
      <c r="D13675"/>
      <c r="E13675"/>
      <c r="N13675" s="44"/>
    </row>
    <row r="13676" spans="1:14" x14ac:dyDescent="0.3">
      <c r="A13676" s="42"/>
      <c r="C13676" s="52"/>
      <c r="D13676"/>
      <c r="E13676"/>
      <c r="N13676" s="44"/>
    </row>
    <row r="13677" spans="1:14" x14ac:dyDescent="0.3">
      <c r="A13677" s="42"/>
      <c r="C13677" s="52"/>
      <c r="D13677"/>
      <c r="E13677"/>
      <c r="N13677" s="44"/>
    </row>
    <row r="13678" spans="1:14" x14ac:dyDescent="0.3">
      <c r="A13678" s="42"/>
      <c r="C13678" s="52"/>
      <c r="D13678"/>
      <c r="E13678"/>
      <c r="N13678" s="44"/>
    </row>
    <row r="13679" spans="1:14" x14ac:dyDescent="0.3">
      <c r="A13679" s="42"/>
      <c r="C13679" s="52"/>
      <c r="D13679"/>
      <c r="E13679"/>
      <c r="N13679" s="44"/>
    </row>
    <row r="13680" spans="1:14" x14ac:dyDescent="0.3">
      <c r="A13680" s="42"/>
      <c r="C13680" s="52"/>
      <c r="D13680"/>
      <c r="E13680"/>
      <c r="N13680" s="44"/>
    </row>
    <row r="13681" spans="1:14" x14ac:dyDescent="0.3">
      <c r="A13681" s="42"/>
      <c r="C13681" s="52"/>
      <c r="D13681"/>
      <c r="E13681"/>
      <c r="N13681" s="44"/>
    </row>
    <row r="13682" spans="1:14" x14ac:dyDescent="0.3">
      <c r="A13682" s="42"/>
      <c r="C13682" s="52"/>
      <c r="D13682"/>
      <c r="E13682"/>
      <c r="N13682" s="44"/>
    </row>
    <row r="13683" spans="1:14" x14ac:dyDescent="0.3">
      <c r="A13683" s="42"/>
      <c r="C13683" s="52"/>
      <c r="D13683"/>
      <c r="E13683"/>
      <c r="N13683" s="44"/>
    </row>
    <row r="13684" spans="1:14" x14ac:dyDescent="0.3">
      <c r="A13684" s="42"/>
      <c r="C13684" s="52"/>
      <c r="D13684"/>
      <c r="E13684"/>
      <c r="N13684" s="44"/>
    </row>
    <row r="13685" spans="1:14" x14ac:dyDescent="0.3">
      <c r="A13685" s="42"/>
      <c r="C13685" s="52"/>
      <c r="D13685"/>
      <c r="E13685"/>
      <c r="N13685" s="44"/>
    </row>
    <row r="13686" spans="1:14" x14ac:dyDescent="0.3">
      <c r="A13686" s="42"/>
      <c r="C13686" s="52"/>
      <c r="D13686"/>
      <c r="E13686"/>
      <c r="N13686" s="44"/>
    </row>
    <row r="13687" spans="1:14" x14ac:dyDescent="0.3">
      <c r="A13687" s="42"/>
      <c r="C13687" s="52"/>
      <c r="D13687"/>
      <c r="E13687"/>
      <c r="N13687" s="44"/>
    </row>
    <row r="13688" spans="1:14" x14ac:dyDescent="0.3">
      <c r="A13688" s="42"/>
      <c r="C13688" s="52"/>
      <c r="D13688"/>
      <c r="E13688"/>
      <c r="N13688" s="44"/>
    </row>
    <row r="13689" spans="1:14" x14ac:dyDescent="0.3">
      <c r="A13689" s="42"/>
      <c r="C13689" s="52"/>
      <c r="D13689"/>
      <c r="E13689"/>
      <c r="N13689" s="44"/>
    </row>
    <row r="13690" spans="1:14" x14ac:dyDescent="0.3">
      <c r="A13690" s="42"/>
      <c r="C13690" s="52"/>
      <c r="D13690"/>
      <c r="E13690"/>
      <c r="N13690" s="44"/>
    </row>
    <row r="13691" spans="1:14" x14ac:dyDescent="0.3">
      <c r="A13691" s="42"/>
      <c r="C13691" s="52"/>
      <c r="D13691"/>
      <c r="E13691"/>
      <c r="N13691" s="44"/>
    </row>
    <row r="13692" spans="1:14" x14ac:dyDescent="0.3">
      <c r="A13692" s="42"/>
      <c r="C13692" s="52"/>
      <c r="D13692"/>
      <c r="E13692"/>
      <c r="N13692" s="44"/>
    </row>
    <row r="13693" spans="1:14" x14ac:dyDescent="0.3">
      <c r="A13693" s="42"/>
      <c r="C13693" s="52"/>
      <c r="D13693"/>
      <c r="E13693"/>
      <c r="N13693" s="44"/>
    </row>
    <row r="13694" spans="1:14" x14ac:dyDescent="0.3">
      <c r="A13694" s="42"/>
      <c r="C13694" s="52"/>
      <c r="D13694"/>
      <c r="E13694"/>
      <c r="N13694" s="44"/>
    </row>
    <row r="13695" spans="1:14" x14ac:dyDescent="0.3">
      <c r="A13695" s="42"/>
      <c r="C13695" s="52"/>
      <c r="D13695"/>
      <c r="E13695"/>
      <c r="N13695" s="44"/>
    </row>
    <row r="13696" spans="1:14" x14ac:dyDescent="0.3">
      <c r="A13696" s="42"/>
      <c r="C13696" s="52"/>
      <c r="D13696"/>
      <c r="E13696"/>
      <c r="N13696" s="44"/>
    </row>
    <row r="13697" spans="1:14" x14ac:dyDescent="0.3">
      <c r="A13697" s="42"/>
      <c r="C13697" s="52"/>
      <c r="D13697"/>
      <c r="E13697"/>
      <c r="N13697" s="44"/>
    </row>
    <row r="13698" spans="1:14" x14ac:dyDescent="0.3">
      <c r="A13698" s="42"/>
      <c r="C13698" s="52"/>
      <c r="D13698"/>
      <c r="E13698"/>
      <c r="N13698" s="44"/>
    </row>
    <row r="13699" spans="1:14" x14ac:dyDescent="0.3">
      <c r="A13699" s="42"/>
      <c r="C13699" s="52"/>
      <c r="D13699"/>
      <c r="E13699"/>
      <c r="N13699" s="44"/>
    </row>
    <row r="13700" spans="1:14" x14ac:dyDescent="0.3">
      <c r="A13700" s="42"/>
      <c r="C13700" s="52"/>
      <c r="D13700"/>
      <c r="E13700"/>
      <c r="N13700" s="44"/>
    </row>
    <row r="13701" spans="1:14" x14ac:dyDescent="0.3">
      <c r="A13701" s="42"/>
      <c r="C13701" s="52"/>
      <c r="D13701"/>
      <c r="E13701"/>
      <c r="N13701" s="44"/>
    </row>
    <row r="13702" spans="1:14" x14ac:dyDescent="0.3">
      <c r="A13702" s="42"/>
      <c r="C13702" s="52"/>
      <c r="D13702"/>
      <c r="E13702"/>
      <c r="N13702" s="44"/>
    </row>
    <row r="13703" spans="1:14" x14ac:dyDescent="0.3">
      <c r="A13703" s="42"/>
      <c r="C13703" s="52"/>
      <c r="D13703"/>
      <c r="E13703"/>
      <c r="N13703" s="44"/>
    </row>
    <row r="13704" spans="1:14" x14ac:dyDescent="0.3">
      <c r="A13704" s="42"/>
      <c r="C13704" s="52"/>
      <c r="D13704"/>
      <c r="E13704"/>
      <c r="N13704" s="44"/>
    </row>
    <row r="13705" spans="1:14" x14ac:dyDescent="0.3">
      <c r="A13705" s="42"/>
      <c r="C13705" s="52"/>
      <c r="D13705"/>
      <c r="E13705"/>
      <c r="N13705" s="44"/>
    </row>
    <row r="13706" spans="1:14" x14ac:dyDescent="0.3">
      <c r="A13706" s="42"/>
      <c r="C13706" s="52"/>
      <c r="D13706"/>
      <c r="E13706"/>
      <c r="N13706" s="44"/>
    </row>
    <row r="13707" spans="1:14" x14ac:dyDescent="0.3">
      <c r="A13707" s="42"/>
      <c r="C13707" s="52"/>
      <c r="D13707"/>
      <c r="E13707"/>
      <c r="N13707" s="44"/>
    </row>
    <row r="13708" spans="1:14" x14ac:dyDescent="0.3">
      <c r="A13708" s="42"/>
      <c r="C13708" s="52"/>
      <c r="D13708"/>
      <c r="E13708"/>
      <c r="N13708" s="44"/>
    </row>
    <row r="13709" spans="1:14" x14ac:dyDescent="0.3">
      <c r="A13709" s="42"/>
      <c r="C13709" s="52"/>
      <c r="D13709"/>
      <c r="E13709"/>
      <c r="N13709" s="44"/>
    </row>
    <row r="13710" spans="1:14" x14ac:dyDescent="0.3">
      <c r="A13710" s="42"/>
      <c r="C13710" s="52"/>
      <c r="D13710"/>
      <c r="E13710"/>
      <c r="N13710" s="44"/>
    </row>
    <row r="13711" spans="1:14" x14ac:dyDescent="0.3">
      <c r="A13711" s="42"/>
      <c r="C13711" s="52"/>
      <c r="D13711"/>
      <c r="E13711"/>
      <c r="N13711" s="44"/>
    </row>
    <row r="13712" spans="1:14" x14ac:dyDescent="0.3">
      <c r="A13712" s="42"/>
      <c r="C13712" s="52"/>
      <c r="D13712"/>
      <c r="E13712"/>
      <c r="N13712" s="44"/>
    </row>
    <row r="13713" spans="1:14" x14ac:dyDescent="0.3">
      <c r="A13713" s="42"/>
      <c r="C13713" s="52"/>
      <c r="D13713"/>
      <c r="E13713"/>
      <c r="N13713" s="44"/>
    </row>
    <row r="13714" spans="1:14" x14ac:dyDescent="0.3">
      <c r="A13714" s="42"/>
      <c r="C13714" s="52"/>
      <c r="D13714"/>
      <c r="E13714"/>
      <c r="N13714" s="44"/>
    </row>
    <row r="13715" spans="1:14" x14ac:dyDescent="0.3">
      <c r="A13715" s="42"/>
      <c r="C13715" s="52"/>
      <c r="D13715"/>
      <c r="E13715"/>
      <c r="N13715" s="44"/>
    </row>
    <row r="13716" spans="1:14" x14ac:dyDescent="0.3">
      <c r="A13716" s="42"/>
      <c r="C13716" s="52"/>
      <c r="D13716"/>
      <c r="E13716"/>
      <c r="N13716" s="44"/>
    </row>
    <row r="13717" spans="1:14" x14ac:dyDescent="0.3">
      <c r="A13717" s="42"/>
      <c r="C13717" s="52"/>
      <c r="D13717"/>
      <c r="E13717"/>
      <c r="N13717" s="44"/>
    </row>
    <row r="13718" spans="1:14" x14ac:dyDescent="0.3">
      <c r="A13718" s="42"/>
      <c r="C13718" s="52"/>
      <c r="D13718"/>
      <c r="E13718"/>
      <c r="N13718" s="44"/>
    </row>
    <row r="13719" spans="1:14" x14ac:dyDescent="0.3">
      <c r="A13719" s="42"/>
      <c r="C13719" s="52"/>
      <c r="D13719"/>
      <c r="E13719"/>
      <c r="N13719" s="44"/>
    </row>
    <row r="13720" spans="1:14" x14ac:dyDescent="0.3">
      <c r="A13720" s="42"/>
      <c r="C13720" s="52"/>
      <c r="D13720"/>
      <c r="E13720"/>
      <c r="N13720" s="44"/>
    </row>
    <row r="13721" spans="1:14" x14ac:dyDescent="0.3">
      <c r="A13721" s="42"/>
      <c r="C13721" s="52"/>
      <c r="D13721"/>
      <c r="E13721"/>
      <c r="N13721" s="44"/>
    </row>
    <row r="13722" spans="1:14" x14ac:dyDescent="0.3">
      <c r="A13722" s="42"/>
      <c r="C13722" s="52"/>
      <c r="D13722"/>
      <c r="E13722"/>
      <c r="N13722" s="44"/>
    </row>
    <row r="13723" spans="1:14" x14ac:dyDescent="0.3">
      <c r="A13723" s="42"/>
      <c r="C13723" s="52"/>
      <c r="D13723"/>
      <c r="E13723"/>
      <c r="N13723" s="44"/>
    </row>
    <row r="13724" spans="1:14" x14ac:dyDescent="0.3">
      <c r="A13724" s="42"/>
      <c r="C13724" s="52"/>
      <c r="D13724"/>
      <c r="E13724"/>
      <c r="N13724" s="44"/>
    </row>
    <row r="13725" spans="1:14" x14ac:dyDescent="0.3">
      <c r="A13725" s="42"/>
      <c r="C13725" s="52"/>
      <c r="D13725"/>
      <c r="E13725"/>
      <c r="N13725" s="44"/>
    </row>
    <row r="13726" spans="1:14" x14ac:dyDescent="0.3">
      <c r="A13726" s="42"/>
      <c r="C13726" s="52"/>
      <c r="D13726"/>
      <c r="E13726"/>
      <c r="N13726" s="44"/>
    </row>
    <row r="13727" spans="1:14" x14ac:dyDescent="0.3">
      <c r="A13727" s="42"/>
      <c r="C13727" s="52"/>
      <c r="D13727"/>
      <c r="E13727"/>
      <c r="N13727" s="44"/>
    </row>
    <row r="13728" spans="1:14" x14ac:dyDescent="0.3">
      <c r="A13728" s="42"/>
      <c r="C13728" s="52"/>
      <c r="D13728"/>
      <c r="E13728"/>
      <c r="N13728" s="44"/>
    </row>
    <row r="13729" spans="1:14" x14ac:dyDescent="0.3">
      <c r="A13729" s="42"/>
      <c r="C13729" s="52"/>
      <c r="D13729"/>
      <c r="E13729"/>
      <c r="N13729" s="44"/>
    </row>
    <row r="13730" spans="1:14" x14ac:dyDescent="0.3">
      <c r="A13730" s="42"/>
      <c r="C13730" s="52"/>
      <c r="D13730"/>
      <c r="E13730"/>
      <c r="N13730" s="44"/>
    </row>
    <row r="13731" spans="1:14" x14ac:dyDescent="0.3">
      <c r="A13731" s="42"/>
      <c r="C13731" s="52"/>
      <c r="D13731"/>
      <c r="E13731"/>
      <c r="N13731" s="44"/>
    </row>
    <row r="13732" spans="1:14" x14ac:dyDescent="0.3">
      <c r="A13732" s="42"/>
      <c r="C13732" s="52"/>
      <c r="D13732"/>
      <c r="E13732"/>
      <c r="N13732" s="44"/>
    </row>
    <row r="13733" spans="1:14" x14ac:dyDescent="0.3">
      <c r="A13733" s="42"/>
      <c r="C13733" s="52"/>
      <c r="D13733"/>
      <c r="E13733"/>
      <c r="N13733" s="44"/>
    </row>
    <row r="13734" spans="1:14" x14ac:dyDescent="0.3">
      <c r="A13734" s="42"/>
      <c r="C13734" s="52"/>
      <c r="D13734"/>
      <c r="E13734"/>
      <c r="N13734" s="44"/>
    </row>
    <row r="13735" spans="1:14" x14ac:dyDescent="0.3">
      <c r="A13735" s="42"/>
      <c r="C13735" s="52"/>
      <c r="D13735"/>
      <c r="E13735"/>
      <c r="N13735" s="44"/>
    </row>
    <row r="13736" spans="1:14" x14ac:dyDescent="0.3">
      <c r="A13736" s="42"/>
      <c r="C13736" s="52"/>
      <c r="D13736"/>
      <c r="E13736"/>
      <c r="N13736" s="44"/>
    </row>
    <row r="13737" spans="1:14" x14ac:dyDescent="0.3">
      <c r="A13737" s="42"/>
      <c r="C13737" s="52"/>
      <c r="D13737"/>
      <c r="E13737"/>
      <c r="N13737" s="44"/>
    </row>
    <row r="13738" spans="1:14" x14ac:dyDescent="0.3">
      <c r="A13738" s="42"/>
      <c r="C13738" s="52"/>
      <c r="D13738"/>
      <c r="E13738"/>
      <c r="N13738" s="44"/>
    </row>
    <row r="13739" spans="1:14" x14ac:dyDescent="0.3">
      <c r="A13739" s="42"/>
      <c r="C13739" s="52"/>
      <c r="D13739"/>
      <c r="E13739"/>
      <c r="N13739" s="44"/>
    </row>
    <row r="13740" spans="1:14" x14ac:dyDescent="0.3">
      <c r="A13740" s="42"/>
      <c r="C13740" s="52"/>
      <c r="D13740"/>
      <c r="E13740"/>
      <c r="N13740" s="44"/>
    </row>
    <row r="13741" spans="1:14" x14ac:dyDescent="0.3">
      <c r="A13741" s="42"/>
      <c r="C13741" s="52"/>
      <c r="D13741"/>
      <c r="E13741"/>
      <c r="N13741" s="44"/>
    </row>
    <row r="13742" spans="1:14" x14ac:dyDescent="0.3">
      <c r="A13742" s="42"/>
      <c r="C13742" s="52"/>
      <c r="D13742"/>
      <c r="E13742"/>
      <c r="N13742" s="44"/>
    </row>
    <row r="13743" spans="1:14" x14ac:dyDescent="0.3">
      <c r="A13743" s="42"/>
      <c r="C13743" s="52"/>
      <c r="D13743"/>
      <c r="E13743"/>
      <c r="N13743" s="44"/>
    </row>
    <row r="13744" spans="1:14" x14ac:dyDescent="0.3">
      <c r="A13744" s="42"/>
      <c r="C13744" s="52"/>
      <c r="D13744"/>
      <c r="E13744"/>
      <c r="N13744" s="44"/>
    </row>
    <row r="13745" spans="1:14" x14ac:dyDescent="0.3">
      <c r="A13745" s="42"/>
      <c r="C13745" s="52"/>
      <c r="D13745"/>
      <c r="E13745"/>
      <c r="N13745" s="44"/>
    </row>
    <row r="13746" spans="1:14" x14ac:dyDescent="0.3">
      <c r="A13746" s="42"/>
      <c r="C13746" s="52"/>
      <c r="D13746"/>
      <c r="E13746"/>
      <c r="N13746" s="44"/>
    </row>
    <row r="13747" spans="1:14" x14ac:dyDescent="0.3">
      <c r="A13747" s="42"/>
      <c r="C13747" s="52"/>
      <c r="D13747"/>
      <c r="E13747"/>
      <c r="N13747" s="44"/>
    </row>
    <row r="13748" spans="1:14" x14ac:dyDescent="0.3">
      <c r="A13748" s="42"/>
      <c r="C13748" s="52"/>
      <c r="D13748"/>
      <c r="E13748"/>
      <c r="N13748" s="44"/>
    </row>
    <row r="13749" spans="1:14" x14ac:dyDescent="0.3">
      <c r="A13749" s="42"/>
      <c r="C13749" s="52"/>
      <c r="D13749"/>
      <c r="E13749"/>
      <c r="N13749" s="44"/>
    </row>
    <row r="13750" spans="1:14" x14ac:dyDescent="0.3">
      <c r="A13750" s="42"/>
      <c r="C13750" s="52"/>
      <c r="D13750"/>
      <c r="E13750"/>
      <c r="N13750" s="44"/>
    </row>
    <row r="13751" spans="1:14" x14ac:dyDescent="0.3">
      <c r="A13751" s="42"/>
      <c r="C13751" s="52"/>
      <c r="D13751"/>
      <c r="E13751"/>
      <c r="N13751" s="44"/>
    </row>
    <row r="13752" spans="1:14" x14ac:dyDescent="0.3">
      <c r="A13752" s="42"/>
      <c r="C13752" s="52"/>
      <c r="D13752"/>
      <c r="E13752"/>
      <c r="N13752" s="44"/>
    </row>
    <row r="13753" spans="1:14" x14ac:dyDescent="0.3">
      <c r="A13753" s="42"/>
      <c r="C13753" s="52"/>
      <c r="D13753"/>
      <c r="E13753"/>
      <c r="N13753" s="44"/>
    </row>
    <row r="13754" spans="1:14" x14ac:dyDescent="0.3">
      <c r="A13754" s="42"/>
      <c r="C13754" s="52"/>
      <c r="D13754"/>
      <c r="E13754"/>
      <c r="N13754" s="44"/>
    </row>
    <row r="13755" spans="1:14" x14ac:dyDescent="0.3">
      <c r="A13755" s="42"/>
      <c r="C13755" s="52"/>
      <c r="D13755"/>
      <c r="E13755"/>
      <c r="N13755" s="44"/>
    </row>
    <row r="13756" spans="1:14" x14ac:dyDescent="0.3">
      <c r="A13756" s="42"/>
      <c r="C13756" s="52"/>
      <c r="D13756"/>
      <c r="E13756"/>
      <c r="N13756" s="44"/>
    </row>
    <row r="13757" spans="1:14" x14ac:dyDescent="0.3">
      <c r="A13757" s="42"/>
      <c r="C13757" s="52"/>
      <c r="D13757"/>
      <c r="E13757"/>
      <c r="N13757" s="44"/>
    </row>
    <row r="13758" spans="1:14" x14ac:dyDescent="0.3">
      <c r="A13758" s="42"/>
      <c r="C13758" s="52"/>
      <c r="D13758"/>
      <c r="E13758"/>
      <c r="N13758" s="44"/>
    </row>
    <row r="13759" spans="1:14" x14ac:dyDescent="0.3">
      <c r="A13759" s="42"/>
      <c r="C13759" s="52"/>
      <c r="D13759"/>
      <c r="E13759"/>
      <c r="N13759" s="44"/>
    </row>
    <row r="13760" spans="1:14" x14ac:dyDescent="0.3">
      <c r="A13760" s="42"/>
      <c r="C13760" s="52"/>
      <c r="D13760"/>
      <c r="E13760"/>
      <c r="N13760" s="44"/>
    </row>
    <row r="13761" spans="1:14" x14ac:dyDescent="0.3">
      <c r="A13761" s="42"/>
      <c r="C13761" s="52"/>
      <c r="D13761"/>
      <c r="E13761"/>
      <c r="N13761" s="44"/>
    </row>
    <row r="13762" spans="1:14" x14ac:dyDescent="0.3">
      <c r="A13762" s="42"/>
      <c r="C13762" s="52"/>
      <c r="D13762"/>
      <c r="E13762"/>
      <c r="N13762" s="44"/>
    </row>
    <row r="13763" spans="1:14" x14ac:dyDescent="0.3">
      <c r="A13763" s="42"/>
      <c r="C13763" s="52"/>
      <c r="D13763"/>
      <c r="E13763"/>
      <c r="N13763" s="44"/>
    </row>
    <row r="13764" spans="1:14" x14ac:dyDescent="0.3">
      <c r="A13764" s="42"/>
      <c r="C13764" s="52"/>
      <c r="D13764"/>
      <c r="E13764"/>
      <c r="N13764" s="44"/>
    </row>
    <row r="13765" spans="1:14" x14ac:dyDescent="0.3">
      <c r="A13765" s="42"/>
      <c r="C13765" s="52"/>
      <c r="D13765"/>
      <c r="E13765"/>
      <c r="N13765" s="44"/>
    </row>
    <row r="13766" spans="1:14" x14ac:dyDescent="0.3">
      <c r="A13766" s="42"/>
      <c r="C13766" s="52"/>
      <c r="D13766"/>
      <c r="E13766"/>
      <c r="N13766" s="44"/>
    </row>
    <row r="13767" spans="1:14" x14ac:dyDescent="0.3">
      <c r="A13767" s="42"/>
      <c r="C13767" s="52"/>
      <c r="D13767"/>
      <c r="E13767"/>
      <c r="N13767" s="44"/>
    </row>
    <row r="13768" spans="1:14" x14ac:dyDescent="0.3">
      <c r="A13768" s="42"/>
      <c r="C13768" s="52"/>
      <c r="D13768"/>
      <c r="E13768"/>
      <c r="N13768" s="44"/>
    </row>
    <row r="13769" spans="1:14" x14ac:dyDescent="0.3">
      <c r="A13769" s="42"/>
      <c r="C13769" s="52"/>
      <c r="D13769"/>
      <c r="E13769"/>
      <c r="N13769" s="44"/>
    </row>
    <row r="13770" spans="1:14" x14ac:dyDescent="0.3">
      <c r="A13770" s="42"/>
      <c r="C13770" s="52"/>
      <c r="D13770"/>
      <c r="E13770"/>
      <c r="N13770" s="44"/>
    </row>
    <row r="13771" spans="1:14" x14ac:dyDescent="0.3">
      <c r="A13771" s="42"/>
      <c r="C13771" s="52"/>
      <c r="D13771"/>
      <c r="E13771"/>
      <c r="N13771" s="44"/>
    </row>
    <row r="13772" spans="1:14" x14ac:dyDescent="0.3">
      <c r="A13772" s="42"/>
      <c r="C13772" s="52"/>
      <c r="D13772"/>
      <c r="E13772"/>
      <c r="N13772" s="44"/>
    </row>
    <row r="13773" spans="1:14" x14ac:dyDescent="0.3">
      <c r="A13773" s="42"/>
      <c r="C13773" s="52"/>
      <c r="D13773"/>
      <c r="E13773"/>
      <c r="N13773" s="44"/>
    </row>
    <row r="13774" spans="1:14" x14ac:dyDescent="0.3">
      <c r="A13774" s="42"/>
      <c r="C13774" s="52"/>
      <c r="D13774"/>
      <c r="E13774"/>
      <c r="N13774" s="44"/>
    </row>
    <row r="13775" spans="1:14" x14ac:dyDescent="0.3">
      <c r="A13775" s="42"/>
      <c r="C13775" s="52"/>
      <c r="D13775"/>
      <c r="E13775"/>
      <c r="N13775" s="44"/>
    </row>
    <row r="13776" spans="1:14" x14ac:dyDescent="0.3">
      <c r="A13776" s="42"/>
      <c r="C13776" s="52"/>
      <c r="D13776"/>
      <c r="E13776"/>
      <c r="N13776" s="44"/>
    </row>
    <row r="13777" spans="1:14" x14ac:dyDescent="0.3">
      <c r="A13777" s="42"/>
      <c r="C13777" s="52"/>
      <c r="D13777"/>
      <c r="E13777"/>
      <c r="N13777" s="44"/>
    </row>
    <row r="13778" spans="1:14" x14ac:dyDescent="0.3">
      <c r="A13778" s="42"/>
      <c r="C13778" s="52"/>
      <c r="D13778"/>
      <c r="E13778"/>
      <c r="N13778" s="44"/>
    </row>
    <row r="13779" spans="1:14" x14ac:dyDescent="0.3">
      <c r="A13779" s="42"/>
      <c r="C13779" s="52"/>
      <c r="D13779"/>
      <c r="E13779"/>
      <c r="N13779" s="44"/>
    </row>
    <row r="13780" spans="1:14" x14ac:dyDescent="0.3">
      <c r="A13780" s="42"/>
      <c r="C13780" s="52"/>
      <c r="D13780"/>
      <c r="E13780"/>
      <c r="N13780" s="44"/>
    </row>
    <row r="13781" spans="1:14" x14ac:dyDescent="0.3">
      <c r="A13781" s="42"/>
      <c r="C13781" s="52"/>
      <c r="D13781"/>
      <c r="E13781"/>
      <c r="N13781" s="44"/>
    </row>
    <row r="13782" spans="1:14" x14ac:dyDescent="0.3">
      <c r="A13782" s="42"/>
      <c r="C13782" s="52"/>
      <c r="D13782"/>
      <c r="E13782"/>
      <c r="N13782" s="44"/>
    </row>
    <row r="13783" spans="1:14" x14ac:dyDescent="0.3">
      <c r="A13783" s="42"/>
      <c r="C13783" s="52"/>
      <c r="D13783"/>
      <c r="E13783"/>
      <c r="N13783" s="44"/>
    </row>
    <row r="13784" spans="1:14" x14ac:dyDescent="0.3">
      <c r="A13784" s="42"/>
      <c r="C13784" s="52"/>
      <c r="D13784"/>
      <c r="E13784"/>
      <c r="N13784" s="44"/>
    </row>
    <row r="13785" spans="1:14" x14ac:dyDescent="0.3">
      <c r="A13785" s="42"/>
      <c r="C13785" s="52"/>
      <c r="D13785"/>
      <c r="E13785"/>
      <c r="N13785" s="44"/>
    </row>
    <row r="13786" spans="1:14" x14ac:dyDescent="0.3">
      <c r="A13786" s="42"/>
      <c r="C13786" s="52"/>
      <c r="D13786"/>
      <c r="E13786"/>
      <c r="N13786" s="44"/>
    </row>
    <row r="13787" spans="1:14" x14ac:dyDescent="0.3">
      <c r="A13787" s="42"/>
      <c r="C13787" s="52"/>
      <c r="D13787"/>
      <c r="E13787"/>
      <c r="N13787" s="44"/>
    </row>
    <row r="13788" spans="1:14" x14ac:dyDescent="0.3">
      <c r="A13788" s="42"/>
      <c r="C13788" s="52"/>
      <c r="D13788"/>
      <c r="E13788"/>
      <c r="N13788" s="44"/>
    </row>
    <row r="13789" spans="1:14" x14ac:dyDescent="0.3">
      <c r="A13789" s="42"/>
      <c r="C13789" s="52"/>
      <c r="D13789"/>
      <c r="E13789"/>
      <c r="N13789" s="44"/>
    </row>
    <row r="13790" spans="1:14" x14ac:dyDescent="0.3">
      <c r="A13790" s="42"/>
      <c r="C13790" s="52"/>
      <c r="D13790"/>
      <c r="E13790"/>
      <c r="N13790" s="44"/>
    </row>
    <row r="13791" spans="1:14" x14ac:dyDescent="0.3">
      <c r="A13791" s="42"/>
      <c r="C13791" s="52"/>
      <c r="D13791"/>
      <c r="E13791"/>
      <c r="N13791" s="44"/>
    </row>
    <row r="13792" spans="1:14" x14ac:dyDescent="0.3">
      <c r="A13792" s="42"/>
      <c r="C13792" s="52"/>
      <c r="D13792"/>
      <c r="E13792"/>
      <c r="N13792" s="44"/>
    </row>
    <row r="13793" spans="1:14" x14ac:dyDescent="0.3">
      <c r="A13793" s="42"/>
      <c r="C13793" s="52"/>
      <c r="D13793"/>
      <c r="E13793"/>
      <c r="N13793" s="44"/>
    </row>
    <row r="13794" spans="1:14" x14ac:dyDescent="0.3">
      <c r="A13794" s="42"/>
      <c r="C13794" s="52"/>
      <c r="D13794"/>
      <c r="E13794"/>
      <c r="N13794" s="44"/>
    </row>
    <row r="13795" spans="1:14" x14ac:dyDescent="0.3">
      <c r="A13795" s="42"/>
      <c r="C13795" s="52"/>
      <c r="D13795"/>
      <c r="E13795"/>
      <c r="N13795" s="44"/>
    </row>
    <row r="13796" spans="1:14" x14ac:dyDescent="0.3">
      <c r="A13796" s="42"/>
      <c r="C13796" s="52"/>
      <c r="D13796"/>
      <c r="E13796"/>
      <c r="N13796" s="44"/>
    </row>
    <row r="13797" spans="1:14" x14ac:dyDescent="0.3">
      <c r="A13797" s="42"/>
      <c r="C13797" s="52"/>
      <c r="D13797"/>
      <c r="E13797"/>
      <c r="N13797" s="44"/>
    </row>
    <row r="13798" spans="1:14" x14ac:dyDescent="0.3">
      <c r="A13798" s="42"/>
      <c r="C13798" s="52"/>
      <c r="D13798"/>
      <c r="E13798"/>
      <c r="N13798" s="44"/>
    </row>
    <row r="13799" spans="1:14" x14ac:dyDescent="0.3">
      <c r="A13799" s="42"/>
      <c r="C13799" s="52"/>
      <c r="D13799"/>
      <c r="E13799"/>
      <c r="N13799" s="44"/>
    </row>
    <row r="13800" spans="1:14" x14ac:dyDescent="0.3">
      <c r="A13800" s="42"/>
      <c r="C13800" s="52"/>
      <c r="D13800"/>
      <c r="E13800"/>
      <c r="N13800" s="44"/>
    </row>
    <row r="13801" spans="1:14" x14ac:dyDescent="0.3">
      <c r="A13801" s="42"/>
      <c r="C13801" s="52"/>
      <c r="D13801"/>
      <c r="E13801"/>
      <c r="N13801" s="44"/>
    </row>
    <row r="13802" spans="1:14" x14ac:dyDescent="0.3">
      <c r="A13802" s="42"/>
      <c r="C13802" s="52"/>
      <c r="D13802"/>
      <c r="E13802"/>
      <c r="N13802" s="44"/>
    </row>
    <row r="13803" spans="1:14" x14ac:dyDescent="0.3">
      <c r="A13803" s="42"/>
      <c r="C13803" s="52"/>
      <c r="D13803"/>
      <c r="E13803"/>
      <c r="N13803" s="44"/>
    </row>
    <row r="13804" spans="1:14" x14ac:dyDescent="0.3">
      <c r="A13804" s="42"/>
      <c r="C13804" s="52"/>
      <c r="D13804"/>
      <c r="E13804"/>
      <c r="N13804" s="44"/>
    </row>
    <row r="13805" spans="1:14" x14ac:dyDescent="0.3">
      <c r="A13805" s="42"/>
      <c r="C13805" s="52"/>
      <c r="D13805"/>
      <c r="E13805"/>
      <c r="N13805" s="44"/>
    </row>
    <row r="13806" spans="1:14" x14ac:dyDescent="0.3">
      <c r="A13806" s="42"/>
      <c r="C13806" s="52"/>
      <c r="D13806"/>
      <c r="E13806"/>
      <c r="N13806" s="44"/>
    </row>
    <row r="13807" spans="1:14" x14ac:dyDescent="0.3">
      <c r="A13807" s="42"/>
      <c r="C13807" s="52"/>
      <c r="D13807"/>
      <c r="E13807"/>
      <c r="N13807" s="44"/>
    </row>
    <row r="13808" spans="1:14" x14ac:dyDescent="0.3">
      <c r="A13808" s="42"/>
      <c r="C13808" s="52"/>
      <c r="D13808"/>
      <c r="E13808"/>
      <c r="N13808" s="44"/>
    </row>
    <row r="13809" spans="1:14" x14ac:dyDescent="0.3">
      <c r="A13809" s="42"/>
      <c r="C13809" s="52"/>
      <c r="D13809"/>
      <c r="E13809"/>
      <c r="N13809" s="44"/>
    </row>
    <row r="13810" spans="1:14" x14ac:dyDescent="0.3">
      <c r="A13810" s="42"/>
      <c r="C13810" s="52"/>
      <c r="D13810"/>
      <c r="E13810"/>
      <c r="N13810" s="44"/>
    </row>
    <row r="13811" spans="1:14" x14ac:dyDescent="0.3">
      <c r="A13811" s="42"/>
      <c r="C13811" s="52"/>
      <c r="D13811"/>
      <c r="E13811"/>
      <c r="N13811" s="44"/>
    </row>
    <row r="13812" spans="1:14" x14ac:dyDescent="0.3">
      <c r="A13812" s="42"/>
      <c r="C13812" s="52"/>
      <c r="D13812"/>
      <c r="E13812"/>
      <c r="N13812" s="44"/>
    </row>
    <row r="13813" spans="1:14" x14ac:dyDescent="0.3">
      <c r="A13813" s="42"/>
      <c r="C13813" s="52"/>
      <c r="D13813"/>
      <c r="E13813"/>
      <c r="N13813" s="44"/>
    </row>
    <row r="13814" spans="1:14" x14ac:dyDescent="0.3">
      <c r="A13814" s="42"/>
      <c r="C13814" s="52"/>
      <c r="D13814"/>
      <c r="E13814"/>
      <c r="N13814" s="44"/>
    </row>
    <row r="13815" spans="1:14" x14ac:dyDescent="0.3">
      <c r="A13815" s="42"/>
      <c r="C13815" s="52"/>
      <c r="D13815"/>
      <c r="E13815"/>
      <c r="N13815" s="44"/>
    </row>
    <row r="13816" spans="1:14" x14ac:dyDescent="0.3">
      <c r="A13816" s="42"/>
      <c r="C13816" s="52"/>
      <c r="D13816"/>
      <c r="E13816"/>
      <c r="N13816" s="44"/>
    </row>
    <row r="13817" spans="1:14" x14ac:dyDescent="0.3">
      <c r="A13817" s="42"/>
      <c r="C13817" s="52"/>
      <c r="D13817"/>
      <c r="E13817"/>
      <c r="N13817" s="44"/>
    </row>
    <row r="13818" spans="1:14" x14ac:dyDescent="0.3">
      <c r="A13818" s="42"/>
      <c r="C13818" s="52"/>
      <c r="D13818"/>
      <c r="E13818"/>
      <c r="N13818" s="44"/>
    </row>
    <row r="13819" spans="1:14" x14ac:dyDescent="0.3">
      <c r="A13819" s="42"/>
      <c r="C13819" s="52"/>
      <c r="D13819"/>
      <c r="E13819"/>
      <c r="N13819" s="44"/>
    </row>
    <row r="13820" spans="1:14" x14ac:dyDescent="0.3">
      <c r="A13820" s="42"/>
      <c r="C13820" s="52"/>
      <c r="D13820"/>
      <c r="E13820"/>
      <c r="N13820" s="44"/>
    </row>
    <row r="13821" spans="1:14" x14ac:dyDescent="0.3">
      <c r="A13821" s="42"/>
      <c r="C13821" s="52"/>
      <c r="D13821"/>
      <c r="E13821"/>
      <c r="N13821" s="44"/>
    </row>
    <row r="13822" spans="1:14" x14ac:dyDescent="0.3">
      <c r="A13822" s="42"/>
      <c r="C13822" s="52"/>
      <c r="D13822"/>
      <c r="E13822"/>
      <c r="N13822" s="44"/>
    </row>
    <row r="13823" spans="1:14" x14ac:dyDescent="0.3">
      <c r="A13823" s="42"/>
      <c r="C13823" s="52"/>
      <c r="D13823"/>
      <c r="E13823"/>
      <c r="N13823" s="44"/>
    </row>
    <row r="13824" spans="1:14" x14ac:dyDescent="0.3">
      <c r="A13824" s="42"/>
      <c r="C13824" s="52"/>
      <c r="D13824"/>
      <c r="E13824"/>
      <c r="N13824" s="44"/>
    </row>
    <row r="13825" spans="1:14" x14ac:dyDescent="0.3">
      <c r="A13825" s="42"/>
      <c r="C13825" s="52"/>
      <c r="D13825"/>
      <c r="E13825"/>
      <c r="N13825" s="44"/>
    </row>
    <row r="13826" spans="1:14" x14ac:dyDescent="0.3">
      <c r="A13826" s="42"/>
      <c r="C13826" s="52"/>
      <c r="D13826"/>
      <c r="E13826"/>
      <c r="N13826" s="44"/>
    </row>
    <row r="13827" spans="1:14" x14ac:dyDescent="0.3">
      <c r="A13827" s="42"/>
      <c r="C13827" s="52"/>
      <c r="D13827"/>
      <c r="E13827"/>
      <c r="N13827" s="44"/>
    </row>
    <row r="13828" spans="1:14" x14ac:dyDescent="0.3">
      <c r="A13828" s="42"/>
      <c r="C13828" s="52"/>
      <c r="D13828"/>
      <c r="E13828"/>
      <c r="N13828" s="44"/>
    </row>
    <row r="13829" spans="1:14" x14ac:dyDescent="0.3">
      <c r="A13829" s="42"/>
      <c r="C13829" s="52"/>
      <c r="D13829"/>
      <c r="E13829"/>
      <c r="N13829" s="44"/>
    </row>
    <row r="13830" spans="1:14" x14ac:dyDescent="0.3">
      <c r="A13830" s="42"/>
      <c r="C13830" s="52"/>
      <c r="D13830"/>
      <c r="E13830"/>
      <c r="N13830" s="44"/>
    </row>
    <row r="13831" spans="1:14" x14ac:dyDescent="0.3">
      <c r="A13831" s="42"/>
      <c r="C13831" s="52"/>
      <c r="D13831"/>
      <c r="E13831"/>
      <c r="N13831" s="44"/>
    </row>
    <row r="13832" spans="1:14" x14ac:dyDescent="0.3">
      <c r="A13832" s="42"/>
      <c r="C13832" s="52"/>
      <c r="D13832"/>
      <c r="E13832"/>
      <c r="N13832" s="44"/>
    </row>
    <row r="13833" spans="1:14" x14ac:dyDescent="0.3">
      <c r="A13833" s="42"/>
      <c r="C13833" s="52"/>
      <c r="D13833"/>
      <c r="E13833"/>
      <c r="N13833" s="44"/>
    </row>
    <row r="13834" spans="1:14" x14ac:dyDescent="0.3">
      <c r="A13834" s="42"/>
      <c r="C13834" s="52"/>
      <c r="D13834"/>
      <c r="E13834"/>
      <c r="N13834" s="44"/>
    </row>
    <row r="13835" spans="1:14" x14ac:dyDescent="0.3">
      <c r="A13835" s="42"/>
      <c r="C13835" s="52"/>
      <c r="D13835"/>
      <c r="E13835"/>
      <c r="N13835" s="44"/>
    </row>
    <row r="13836" spans="1:14" x14ac:dyDescent="0.3">
      <c r="A13836" s="42"/>
      <c r="C13836" s="52"/>
      <c r="D13836"/>
      <c r="E13836"/>
      <c r="N13836" s="44"/>
    </row>
    <row r="13837" spans="1:14" x14ac:dyDescent="0.3">
      <c r="A13837" s="42"/>
      <c r="C13837" s="52"/>
      <c r="D13837"/>
      <c r="E13837"/>
      <c r="N13837" s="44"/>
    </row>
    <row r="13838" spans="1:14" x14ac:dyDescent="0.3">
      <c r="A13838" s="42"/>
      <c r="C13838" s="52"/>
      <c r="D13838"/>
      <c r="E13838"/>
      <c r="N13838" s="44"/>
    </row>
    <row r="13839" spans="1:14" x14ac:dyDescent="0.3">
      <c r="A13839" s="42"/>
      <c r="C13839" s="52"/>
      <c r="D13839"/>
      <c r="E13839"/>
      <c r="N13839" s="44"/>
    </row>
    <row r="13840" spans="1:14" x14ac:dyDescent="0.3">
      <c r="A13840" s="42"/>
      <c r="C13840" s="52"/>
      <c r="D13840"/>
      <c r="E13840"/>
      <c r="N13840" s="44"/>
    </row>
    <row r="13841" spans="1:14" x14ac:dyDescent="0.3">
      <c r="A13841" s="42"/>
      <c r="C13841" s="52"/>
      <c r="D13841"/>
      <c r="E13841"/>
      <c r="N13841" s="44"/>
    </row>
    <row r="13842" spans="1:14" x14ac:dyDescent="0.3">
      <c r="A13842" s="42"/>
      <c r="C13842" s="52"/>
      <c r="D13842"/>
      <c r="E13842"/>
      <c r="N13842" s="44"/>
    </row>
    <row r="13843" spans="1:14" x14ac:dyDescent="0.3">
      <c r="A13843" s="42"/>
      <c r="C13843" s="52"/>
      <c r="D13843"/>
      <c r="E13843"/>
      <c r="N13843" s="44"/>
    </row>
    <row r="13844" spans="1:14" x14ac:dyDescent="0.3">
      <c r="A13844" s="42"/>
      <c r="C13844" s="52"/>
      <c r="D13844"/>
      <c r="E13844"/>
      <c r="N13844" s="44"/>
    </row>
    <row r="13845" spans="1:14" x14ac:dyDescent="0.3">
      <c r="A13845" s="42"/>
      <c r="C13845" s="52"/>
      <c r="D13845"/>
      <c r="E13845"/>
      <c r="N13845" s="44"/>
    </row>
    <row r="13846" spans="1:14" x14ac:dyDescent="0.3">
      <c r="A13846" s="42"/>
      <c r="C13846" s="52"/>
      <c r="D13846"/>
      <c r="E13846"/>
      <c r="N13846" s="44"/>
    </row>
    <row r="13847" spans="1:14" x14ac:dyDescent="0.3">
      <c r="A13847" s="42"/>
      <c r="C13847" s="52"/>
      <c r="D13847"/>
      <c r="E13847"/>
      <c r="N13847" s="44"/>
    </row>
    <row r="13848" spans="1:14" x14ac:dyDescent="0.3">
      <c r="A13848" s="42"/>
      <c r="C13848" s="52"/>
      <c r="D13848"/>
      <c r="E13848"/>
      <c r="N13848" s="44"/>
    </row>
    <row r="13849" spans="1:14" x14ac:dyDescent="0.3">
      <c r="A13849" s="42"/>
      <c r="C13849" s="52"/>
      <c r="D13849"/>
      <c r="E13849"/>
      <c r="N13849" s="44"/>
    </row>
    <row r="13850" spans="1:14" x14ac:dyDescent="0.3">
      <c r="A13850" s="42"/>
      <c r="C13850" s="52"/>
      <c r="D13850"/>
      <c r="E13850"/>
      <c r="N13850" s="44"/>
    </row>
    <row r="13851" spans="1:14" x14ac:dyDescent="0.3">
      <c r="A13851" s="42"/>
      <c r="C13851" s="52"/>
      <c r="D13851"/>
      <c r="E13851"/>
      <c r="N13851" s="44"/>
    </row>
    <row r="13852" spans="1:14" x14ac:dyDescent="0.3">
      <c r="A13852" s="42"/>
      <c r="C13852" s="52"/>
      <c r="D13852"/>
      <c r="E13852"/>
      <c r="N13852" s="44"/>
    </row>
    <row r="13853" spans="1:14" x14ac:dyDescent="0.3">
      <c r="A13853" s="42"/>
      <c r="C13853" s="52"/>
      <c r="D13853"/>
      <c r="E13853"/>
      <c r="N13853" s="44"/>
    </row>
    <row r="13854" spans="1:14" x14ac:dyDescent="0.3">
      <c r="A13854" s="42"/>
      <c r="C13854" s="52"/>
      <c r="D13854"/>
      <c r="E13854"/>
      <c r="N13854" s="44"/>
    </row>
    <row r="13855" spans="1:14" x14ac:dyDescent="0.3">
      <c r="A13855" s="42"/>
      <c r="C13855" s="52"/>
      <c r="D13855"/>
      <c r="E13855"/>
      <c r="N13855" s="44"/>
    </row>
    <row r="13856" spans="1:14" x14ac:dyDescent="0.3">
      <c r="A13856" s="42"/>
      <c r="C13856" s="52"/>
      <c r="D13856"/>
      <c r="E13856"/>
      <c r="N13856" s="44"/>
    </row>
    <row r="13857" spans="1:14" x14ac:dyDescent="0.3">
      <c r="A13857" s="42"/>
      <c r="C13857" s="52"/>
      <c r="D13857"/>
      <c r="E13857"/>
      <c r="N13857" s="44"/>
    </row>
    <row r="13858" spans="1:14" x14ac:dyDescent="0.3">
      <c r="A13858" s="42"/>
      <c r="C13858" s="52"/>
      <c r="D13858"/>
      <c r="E13858"/>
      <c r="N13858" s="44"/>
    </row>
    <row r="13859" spans="1:14" x14ac:dyDescent="0.3">
      <c r="A13859" s="42"/>
      <c r="C13859" s="52"/>
      <c r="D13859"/>
      <c r="E13859"/>
      <c r="N13859" s="44"/>
    </row>
    <row r="13860" spans="1:14" x14ac:dyDescent="0.3">
      <c r="A13860" s="42"/>
      <c r="C13860" s="52"/>
      <c r="D13860"/>
      <c r="E13860"/>
      <c r="N13860" s="44"/>
    </row>
    <row r="13861" spans="1:14" x14ac:dyDescent="0.3">
      <c r="A13861" s="42"/>
      <c r="C13861" s="52"/>
      <c r="D13861"/>
      <c r="E13861"/>
      <c r="N13861" s="44"/>
    </row>
    <row r="13862" spans="1:14" x14ac:dyDescent="0.3">
      <c r="A13862" s="42"/>
      <c r="C13862" s="52"/>
      <c r="D13862"/>
      <c r="E13862"/>
      <c r="N13862" s="44"/>
    </row>
    <row r="13863" spans="1:14" x14ac:dyDescent="0.3">
      <c r="A13863" s="42"/>
      <c r="C13863" s="52"/>
      <c r="D13863"/>
      <c r="E13863"/>
      <c r="N13863" s="44"/>
    </row>
    <row r="13864" spans="1:14" x14ac:dyDescent="0.3">
      <c r="A13864" s="42"/>
      <c r="C13864" s="52"/>
      <c r="D13864"/>
      <c r="E13864"/>
      <c r="N13864" s="44"/>
    </row>
    <row r="13865" spans="1:14" x14ac:dyDescent="0.3">
      <c r="A13865" s="42"/>
      <c r="C13865" s="52"/>
      <c r="D13865"/>
      <c r="E13865"/>
      <c r="N13865" s="44"/>
    </row>
    <row r="13866" spans="1:14" x14ac:dyDescent="0.3">
      <c r="A13866" s="42"/>
      <c r="C13866" s="52"/>
      <c r="D13866"/>
      <c r="E13866"/>
      <c r="N13866" s="44"/>
    </row>
    <row r="13867" spans="1:14" x14ac:dyDescent="0.3">
      <c r="A13867" s="42"/>
      <c r="C13867" s="52"/>
      <c r="D13867"/>
      <c r="E13867"/>
      <c r="N13867" s="44"/>
    </row>
    <row r="13868" spans="1:14" x14ac:dyDescent="0.3">
      <c r="A13868" s="42"/>
      <c r="C13868" s="52"/>
      <c r="D13868"/>
      <c r="E13868"/>
      <c r="N13868" s="44"/>
    </row>
    <row r="13869" spans="1:14" x14ac:dyDescent="0.3">
      <c r="A13869" s="42"/>
      <c r="C13869" s="52"/>
      <c r="D13869"/>
      <c r="E13869"/>
      <c r="N13869" s="44"/>
    </row>
    <row r="13870" spans="1:14" x14ac:dyDescent="0.3">
      <c r="A13870" s="42"/>
      <c r="C13870" s="52"/>
      <c r="D13870"/>
      <c r="E13870"/>
      <c r="N13870" s="44"/>
    </row>
    <row r="13871" spans="1:14" x14ac:dyDescent="0.3">
      <c r="A13871" s="42"/>
      <c r="C13871" s="52"/>
      <c r="D13871"/>
      <c r="E13871"/>
      <c r="N13871" s="44"/>
    </row>
    <row r="13872" spans="1:14" x14ac:dyDescent="0.3">
      <c r="A13872" s="42"/>
      <c r="C13872" s="52"/>
      <c r="D13872"/>
      <c r="E13872"/>
      <c r="N13872" s="44"/>
    </row>
    <row r="13873" spans="1:14" x14ac:dyDescent="0.3">
      <c r="A13873" s="42"/>
      <c r="C13873" s="52"/>
      <c r="D13873"/>
      <c r="E13873"/>
      <c r="N13873" s="44"/>
    </row>
    <row r="13874" spans="1:14" x14ac:dyDescent="0.3">
      <c r="A13874" s="42"/>
      <c r="C13874" s="52"/>
      <c r="D13874"/>
      <c r="E13874"/>
      <c r="N13874" s="44"/>
    </row>
    <row r="13875" spans="1:14" x14ac:dyDescent="0.3">
      <c r="A13875" s="42"/>
      <c r="C13875" s="52"/>
      <c r="D13875"/>
      <c r="E13875"/>
      <c r="N13875" s="44"/>
    </row>
    <row r="13876" spans="1:14" x14ac:dyDescent="0.3">
      <c r="A13876" s="42"/>
      <c r="C13876" s="52"/>
      <c r="D13876"/>
      <c r="E13876"/>
      <c r="N13876" s="44"/>
    </row>
    <row r="13877" spans="1:14" x14ac:dyDescent="0.3">
      <c r="A13877" s="42"/>
      <c r="C13877" s="52"/>
      <c r="D13877"/>
      <c r="E13877"/>
      <c r="N13877" s="44"/>
    </row>
    <row r="13878" spans="1:14" x14ac:dyDescent="0.3">
      <c r="A13878" s="42"/>
      <c r="C13878" s="52"/>
      <c r="D13878"/>
      <c r="E13878"/>
      <c r="N13878" s="44"/>
    </row>
    <row r="13879" spans="1:14" x14ac:dyDescent="0.3">
      <c r="A13879" s="42"/>
      <c r="C13879" s="52"/>
      <c r="D13879"/>
      <c r="E13879"/>
      <c r="N13879" s="44"/>
    </row>
    <row r="13880" spans="1:14" x14ac:dyDescent="0.3">
      <c r="A13880" s="42"/>
      <c r="C13880" s="52"/>
      <c r="D13880"/>
      <c r="E13880"/>
      <c r="N13880" s="44"/>
    </row>
    <row r="13881" spans="1:14" x14ac:dyDescent="0.3">
      <c r="A13881" s="42"/>
      <c r="C13881" s="52"/>
      <c r="D13881"/>
      <c r="E13881"/>
      <c r="N13881" s="44"/>
    </row>
    <row r="13882" spans="1:14" x14ac:dyDescent="0.3">
      <c r="A13882" s="42"/>
      <c r="C13882" s="52"/>
      <c r="D13882"/>
      <c r="E13882"/>
      <c r="N13882" s="44"/>
    </row>
    <row r="13883" spans="1:14" x14ac:dyDescent="0.3">
      <c r="A13883" s="42"/>
      <c r="C13883" s="52"/>
      <c r="D13883"/>
      <c r="E13883"/>
      <c r="N13883" s="44"/>
    </row>
    <row r="13884" spans="1:14" x14ac:dyDescent="0.3">
      <c r="A13884" s="42"/>
      <c r="C13884" s="52"/>
      <c r="D13884"/>
      <c r="E13884"/>
      <c r="N13884" s="44"/>
    </row>
    <row r="13885" spans="1:14" x14ac:dyDescent="0.3">
      <c r="A13885" s="42"/>
      <c r="C13885" s="52"/>
      <c r="D13885"/>
      <c r="E13885"/>
      <c r="N13885" s="44"/>
    </row>
    <row r="13886" spans="1:14" x14ac:dyDescent="0.3">
      <c r="A13886" s="42"/>
      <c r="C13886" s="52"/>
      <c r="D13886"/>
      <c r="E13886"/>
      <c r="N13886" s="44"/>
    </row>
    <row r="13887" spans="1:14" x14ac:dyDescent="0.3">
      <c r="A13887" s="42"/>
      <c r="C13887" s="52"/>
      <c r="D13887"/>
      <c r="E13887"/>
      <c r="N13887" s="44"/>
    </row>
    <row r="13888" spans="1:14" x14ac:dyDescent="0.3">
      <c r="A13888" s="42"/>
      <c r="C13888" s="52"/>
      <c r="D13888"/>
      <c r="E13888"/>
      <c r="N13888" s="44"/>
    </row>
    <row r="13889" spans="1:14" x14ac:dyDescent="0.3">
      <c r="A13889" s="42"/>
      <c r="C13889" s="52"/>
      <c r="D13889"/>
      <c r="E13889"/>
      <c r="N13889" s="44"/>
    </row>
    <row r="13890" spans="1:14" x14ac:dyDescent="0.3">
      <c r="A13890" s="42"/>
      <c r="C13890" s="52"/>
      <c r="D13890"/>
      <c r="E13890"/>
      <c r="N13890" s="44"/>
    </row>
    <row r="13891" spans="1:14" x14ac:dyDescent="0.3">
      <c r="A13891" s="42"/>
      <c r="C13891" s="52"/>
      <c r="D13891"/>
      <c r="E13891"/>
      <c r="N13891" s="44"/>
    </row>
    <row r="13892" spans="1:14" x14ac:dyDescent="0.3">
      <c r="A13892" s="42"/>
      <c r="C13892" s="52"/>
      <c r="D13892"/>
      <c r="E13892"/>
      <c r="N13892" s="44"/>
    </row>
    <row r="13893" spans="1:14" x14ac:dyDescent="0.3">
      <c r="A13893" s="42"/>
      <c r="C13893" s="52"/>
      <c r="D13893"/>
      <c r="E13893"/>
      <c r="N13893" s="44"/>
    </row>
    <row r="13894" spans="1:14" x14ac:dyDescent="0.3">
      <c r="A13894" s="42"/>
      <c r="C13894" s="52"/>
      <c r="D13894"/>
      <c r="E13894"/>
      <c r="N13894" s="44"/>
    </row>
    <row r="13895" spans="1:14" x14ac:dyDescent="0.3">
      <c r="A13895" s="42"/>
      <c r="C13895" s="52"/>
      <c r="D13895"/>
      <c r="E13895"/>
      <c r="N13895" s="44"/>
    </row>
    <row r="13896" spans="1:14" x14ac:dyDescent="0.3">
      <c r="A13896" s="42"/>
      <c r="C13896" s="52"/>
      <c r="D13896"/>
      <c r="E13896"/>
      <c r="N13896" s="44"/>
    </row>
    <row r="13897" spans="1:14" x14ac:dyDescent="0.3">
      <c r="A13897" s="42"/>
      <c r="C13897" s="52"/>
      <c r="D13897"/>
      <c r="E13897"/>
      <c r="N13897" s="44"/>
    </row>
    <row r="13898" spans="1:14" x14ac:dyDescent="0.3">
      <c r="A13898" s="42"/>
      <c r="C13898" s="52"/>
      <c r="D13898"/>
      <c r="E13898"/>
      <c r="N13898" s="44"/>
    </row>
    <row r="13899" spans="1:14" x14ac:dyDescent="0.3">
      <c r="A13899" s="42"/>
      <c r="C13899" s="52"/>
      <c r="D13899"/>
      <c r="E13899"/>
      <c r="N13899" s="44"/>
    </row>
    <row r="13900" spans="1:14" x14ac:dyDescent="0.3">
      <c r="A13900" s="42"/>
      <c r="C13900" s="52"/>
      <c r="D13900"/>
      <c r="E13900"/>
      <c r="N13900" s="44"/>
    </row>
    <row r="13901" spans="1:14" x14ac:dyDescent="0.3">
      <c r="A13901" s="42"/>
      <c r="C13901" s="52"/>
      <c r="D13901"/>
      <c r="E13901"/>
      <c r="N13901" s="44"/>
    </row>
    <row r="13902" spans="1:14" x14ac:dyDescent="0.3">
      <c r="A13902" s="42"/>
      <c r="C13902" s="52"/>
      <c r="D13902"/>
      <c r="E13902"/>
      <c r="N13902" s="44"/>
    </row>
    <row r="13903" spans="1:14" x14ac:dyDescent="0.3">
      <c r="A13903" s="42"/>
      <c r="C13903" s="52"/>
      <c r="D13903"/>
      <c r="E13903"/>
      <c r="N13903" s="44"/>
    </row>
    <row r="13904" spans="1:14" x14ac:dyDescent="0.3">
      <c r="A13904" s="42"/>
      <c r="C13904" s="52"/>
      <c r="D13904"/>
      <c r="E13904"/>
      <c r="N13904" s="44"/>
    </row>
    <row r="13905" spans="1:14" x14ac:dyDescent="0.3">
      <c r="A13905" s="42"/>
      <c r="C13905" s="52"/>
      <c r="D13905"/>
      <c r="E13905"/>
      <c r="N13905" s="44"/>
    </row>
    <row r="13906" spans="1:14" x14ac:dyDescent="0.3">
      <c r="A13906" s="42"/>
      <c r="C13906" s="52"/>
      <c r="D13906"/>
      <c r="E13906"/>
      <c r="N13906" s="44"/>
    </row>
    <row r="13907" spans="1:14" x14ac:dyDescent="0.3">
      <c r="A13907" s="42"/>
      <c r="C13907" s="52"/>
      <c r="D13907"/>
      <c r="E13907"/>
      <c r="N13907" s="44"/>
    </row>
    <row r="13908" spans="1:14" x14ac:dyDescent="0.3">
      <c r="A13908" s="42"/>
      <c r="C13908" s="52"/>
      <c r="D13908"/>
      <c r="E13908"/>
      <c r="N13908" s="44"/>
    </row>
    <row r="13909" spans="1:14" x14ac:dyDescent="0.3">
      <c r="A13909" s="42"/>
      <c r="C13909" s="52"/>
      <c r="D13909"/>
      <c r="E13909"/>
      <c r="N13909" s="44"/>
    </row>
    <row r="13910" spans="1:14" x14ac:dyDescent="0.3">
      <c r="A13910" s="42"/>
      <c r="C13910" s="52"/>
      <c r="D13910"/>
      <c r="E13910"/>
      <c r="N13910" s="44"/>
    </row>
    <row r="13911" spans="1:14" x14ac:dyDescent="0.3">
      <c r="A13911" s="42"/>
      <c r="C13911" s="52"/>
      <c r="D13911"/>
      <c r="E13911"/>
      <c r="N13911" s="44"/>
    </row>
    <row r="13912" spans="1:14" x14ac:dyDescent="0.3">
      <c r="A13912" s="42"/>
      <c r="C13912" s="52"/>
      <c r="D13912"/>
      <c r="E13912"/>
      <c r="N13912" s="44"/>
    </row>
    <row r="13913" spans="1:14" x14ac:dyDescent="0.3">
      <c r="A13913" s="42"/>
      <c r="C13913" s="52"/>
      <c r="D13913"/>
      <c r="E13913"/>
      <c r="N13913" s="44"/>
    </row>
    <row r="13914" spans="1:14" x14ac:dyDescent="0.3">
      <c r="A13914" s="42"/>
      <c r="C13914" s="52"/>
      <c r="D13914"/>
      <c r="E13914"/>
      <c r="N13914" s="44"/>
    </row>
    <row r="13915" spans="1:14" x14ac:dyDescent="0.3">
      <c r="A13915" s="42"/>
      <c r="C13915" s="52"/>
      <c r="D13915"/>
      <c r="E13915"/>
      <c r="N13915" s="44"/>
    </row>
    <row r="13916" spans="1:14" x14ac:dyDescent="0.3">
      <c r="A13916" s="42"/>
      <c r="C13916" s="52"/>
      <c r="D13916"/>
      <c r="E13916"/>
      <c r="N13916" s="44"/>
    </row>
    <row r="13917" spans="1:14" x14ac:dyDescent="0.3">
      <c r="A13917" s="42"/>
      <c r="C13917" s="52"/>
      <c r="D13917"/>
      <c r="E13917"/>
      <c r="N13917" s="44"/>
    </row>
    <row r="13918" spans="1:14" x14ac:dyDescent="0.3">
      <c r="A13918" s="42"/>
      <c r="C13918" s="52"/>
      <c r="D13918"/>
      <c r="E13918"/>
      <c r="N13918" s="44"/>
    </row>
    <row r="13919" spans="1:14" x14ac:dyDescent="0.3">
      <c r="A13919" s="42"/>
      <c r="C13919" s="52"/>
      <c r="D13919"/>
      <c r="E13919"/>
      <c r="N13919" s="44"/>
    </row>
    <row r="13920" spans="1:14" x14ac:dyDescent="0.3">
      <c r="A13920" s="42"/>
      <c r="C13920" s="52"/>
      <c r="D13920"/>
      <c r="E13920"/>
      <c r="N13920" s="44"/>
    </row>
    <row r="13921" spans="1:14" x14ac:dyDescent="0.3">
      <c r="A13921" s="42"/>
      <c r="C13921" s="52"/>
      <c r="D13921"/>
      <c r="E13921"/>
      <c r="N13921" s="44"/>
    </row>
    <row r="13922" spans="1:14" x14ac:dyDescent="0.3">
      <c r="A13922" s="42"/>
      <c r="C13922" s="52"/>
      <c r="D13922"/>
      <c r="E13922"/>
      <c r="N13922" s="44"/>
    </row>
    <row r="13923" spans="1:14" x14ac:dyDescent="0.3">
      <c r="A13923" s="42"/>
      <c r="C13923" s="52"/>
      <c r="D13923"/>
      <c r="E13923"/>
      <c r="N13923" s="44"/>
    </row>
    <row r="13924" spans="1:14" x14ac:dyDescent="0.3">
      <c r="A13924" s="42"/>
      <c r="C13924" s="52"/>
      <c r="D13924"/>
      <c r="E13924"/>
      <c r="N13924" s="44"/>
    </row>
    <row r="13925" spans="1:14" x14ac:dyDescent="0.3">
      <c r="A13925" s="42"/>
      <c r="C13925" s="52"/>
      <c r="D13925"/>
      <c r="E13925"/>
      <c r="N13925" s="44"/>
    </row>
    <row r="13926" spans="1:14" x14ac:dyDescent="0.3">
      <c r="A13926" s="42"/>
      <c r="C13926" s="52"/>
      <c r="D13926"/>
      <c r="E13926"/>
      <c r="N13926" s="44"/>
    </row>
    <row r="13927" spans="1:14" x14ac:dyDescent="0.3">
      <c r="A13927" s="42"/>
      <c r="C13927" s="52"/>
      <c r="D13927"/>
      <c r="E13927"/>
      <c r="N13927" s="44"/>
    </row>
    <row r="13928" spans="1:14" x14ac:dyDescent="0.3">
      <c r="A13928" s="42"/>
      <c r="C13928" s="52"/>
      <c r="D13928"/>
      <c r="E13928"/>
      <c r="N13928" s="44"/>
    </row>
    <row r="13929" spans="1:14" x14ac:dyDescent="0.3">
      <c r="A13929" s="42"/>
      <c r="C13929" s="52"/>
      <c r="D13929"/>
      <c r="E13929"/>
      <c r="N13929" s="44"/>
    </row>
    <row r="13930" spans="1:14" x14ac:dyDescent="0.3">
      <c r="A13930" s="42"/>
      <c r="C13930" s="52"/>
      <c r="D13930"/>
      <c r="E13930"/>
      <c r="N13930" s="44"/>
    </row>
    <row r="13931" spans="1:14" x14ac:dyDescent="0.3">
      <c r="A13931" s="42"/>
      <c r="C13931" s="52"/>
      <c r="D13931"/>
      <c r="E13931"/>
      <c r="N13931" s="44"/>
    </row>
    <row r="13932" spans="1:14" x14ac:dyDescent="0.3">
      <c r="A13932" s="42"/>
      <c r="C13932" s="52"/>
      <c r="D13932"/>
      <c r="E13932"/>
      <c r="N13932" s="44"/>
    </row>
    <row r="13933" spans="1:14" x14ac:dyDescent="0.3">
      <c r="A13933" s="42"/>
      <c r="C13933" s="52"/>
      <c r="D13933"/>
      <c r="E13933"/>
      <c r="N13933" s="44"/>
    </row>
    <row r="13934" spans="1:14" x14ac:dyDescent="0.3">
      <c r="A13934" s="42"/>
      <c r="C13934" s="52"/>
      <c r="D13934"/>
      <c r="E13934"/>
      <c r="N13934" s="44"/>
    </row>
    <row r="13935" spans="1:14" x14ac:dyDescent="0.3">
      <c r="A13935" s="42"/>
      <c r="C13935" s="52"/>
      <c r="D13935"/>
      <c r="E13935"/>
      <c r="N13935" s="44"/>
    </row>
    <row r="13936" spans="1:14" x14ac:dyDescent="0.3">
      <c r="A13936" s="42"/>
      <c r="C13936" s="52"/>
      <c r="D13936"/>
      <c r="E13936"/>
      <c r="N13936" s="44"/>
    </row>
    <row r="13937" spans="1:14" x14ac:dyDescent="0.3">
      <c r="A13937" s="42"/>
      <c r="C13937" s="52"/>
      <c r="D13937"/>
      <c r="E13937"/>
      <c r="N13937" s="44"/>
    </row>
    <row r="13938" spans="1:14" x14ac:dyDescent="0.3">
      <c r="A13938" s="42"/>
      <c r="C13938" s="52"/>
      <c r="D13938"/>
      <c r="E13938"/>
      <c r="N13938" s="44"/>
    </row>
    <row r="13939" spans="1:14" x14ac:dyDescent="0.3">
      <c r="A13939" s="42"/>
      <c r="C13939" s="52"/>
      <c r="D13939"/>
      <c r="E13939"/>
      <c r="N13939" s="44"/>
    </row>
    <row r="13940" spans="1:14" x14ac:dyDescent="0.3">
      <c r="A13940" s="42"/>
      <c r="C13940" s="52"/>
      <c r="D13940"/>
      <c r="E13940"/>
      <c r="N13940" s="44"/>
    </row>
    <row r="13941" spans="1:14" x14ac:dyDescent="0.3">
      <c r="A13941" s="42"/>
      <c r="C13941" s="52"/>
      <c r="D13941"/>
      <c r="E13941"/>
      <c r="N13941" s="44"/>
    </row>
    <row r="13942" spans="1:14" x14ac:dyDescent="0.3">
      <c r="A13942" s="42"/>
      <c r="C13942" s="52"/>
      <c r="D13942"/>
      <c r="E13942"/>
      <c r="N13942" s="44"/>
    </row>
    <row r="13943" spans="1:14" x14ac:dyDescent="0.3">
      <c r="A13943" s="42"/>
      <c r="C13943" s="52"/>
      <c r="D13943"/>
      <c r="E13943"/>
      <c r="N13943" s="44"/>
    </row>
    <row r="13944" spans="1:14" x14ac:dyDescent="0.3">
      <c r="A13944" s="42"/>
      <c r="C13944" s="52"/>
      <c r="D13944"/>
      <c r="E13944"/>
      <c r="N13944" s="44"/>
    </row>
    <row r="13945" spans="1:14" x14ac:dyDescent="0.3">
      <c r="A13945" s="42"/>
      <c r="C13945" s="52"/>
      <c r="D13945"/>
      <c r="E13945"/>
      <c r="N13945" s="44"/>
    </row>
    <row r="13946" spans="1:14" x14ac:dyDescent="0.3">
      <c r="A13946" s="42"/>
      <c r="C13946" s="52"/>
      <c r="D13946"/>
      <c r="E13946"/>
      <c r="N13946" s="44"/>
    </row>
    <row r="13947" spans="1:14" x14ac:dyDescent="0.3">
      <c r="A13947" s="42"/>
      <c r="C13947" s="52"/>
      <c r="D13947"/>
      <c r="E13947"/>
      <c r="M13947" s="45"/>
      <c r="N13947" s="44"/>
    </row>
    <row r="13948" spans="1:14" x14ac:dyDescent="0.3">
      <c r="A13948" s="42"/>
      <c r="C13948" s="52"/>
      <c r="D13948"/>
      <c r="E13948"/>
      <c r="N13948" s="44"/>
    </row>
    <row r="13949" spans="1:14" x14ac:dyDescent="0.3">
      <c r="A13949" s="42"/>
      <c r="C13949" s="52"/>
      <c r="D13949"/>
      <c r="E13949"/>
      <c r="N13949" s="44"/>
    </row>
    <row r="13950" spans="1:14" x14ac:dyDescent="0.3">
      <c r="A13950" s="42"/>
      <c r="C13950" s="52"/>
      <c r="D13950"/>
      <c r="E13950"/>
      <c r="N13950" s="44"/>
    </row>
    <row r="13951" spans="1:14" x14ac:dyDescent="0.3">
      <c r="A13951" s="42"/>
      <c r="C13951" s="52"/>
      <c r="D13951"/>
      <c r="E13951"/>
      <c r="M13951" s="45"/>
      <c r="N13951" s="44"/>
    </row>
    <row r="13952" spans="1:14" x14ac:dyDescent="0.3">
      <c r="A13952" s="42"/>
      <c r="C13952" s="52"/>
      <c r="D13952"/>
      <c r="E13952"/>
      <c r="N13952" s="44"/>
    </row>
    <row r="13953" spans="1:14" x14ac:dyDescent="0.3">
      <c r="A13953" s="42"/>
      <c r="C13953" s="52"/>
      <c r="D13953"/>
      <c r="E13953"/>
      <c r="N13953" s="44"/>
    </row>
    <row r="13954" spans="1:14" x14ac:dyDescent="0.3">
      <c r="A13954" s="42"/>
      <c r="C13954" s="52"/>
      <c r="D13954"/>
      <c r="E13954"/>
      <c r="N13954" s="44"/>
    </row>
    <row r="13955" spans="1:14" x14ac:dyDescent="0.3">
      <c r="A13955" s="42"/>
      <c r="C13955" s="52"/>
      <c r="D13955"/>
      <c r="E13955"/>
      <c r="N13955" s="44"/>
    </row>
    <row r="13956" spans="1:14" x14ac:dyDescent="0.3">
      <c r="A13956" s="42"/>
      <c r="C13956" s="52"/>
      <c r="D13956"/>
      <c r="E13956"/>
      <c r="N13956" s="44"/>
    </row>
    <row r="13957" spans="1:14" x14ac:dyDescent="0.3">
      <c r="A13957" s="42"/>
      <c r="C13957" s="52"/>
      <c r="D13957"/>
      <c r="E13957"/>
      <c r="N13957" s="44"/>
    </row>
    <row r="13958" spans="1:14" x14ac:dyDescent="0.3">
      <c r="A13958" s="42"/>
      <c r="C13958" s="52"/>
      <c r="D13958"/>
      <c r="E13958"/>
      <c r="N13958" s="44"/>
    </row>
    <row r="13959" spans="1:14" x14ac:dyDescent="0.3">
      <c r="A13959" s="42"/>
      <c r="C13959" s="52"/>
      <c r="D13959"/>
      <c r="E13959"/>
      <c r="N13959" s="44"/>
    </row>
    <row r="13960" spans="1:14" x14ac:dyDescent="0.3">
      <c r="A13960" s="42"/>
      <c r="C13960" s="52"/>
      <c r="D13960"/>
      <c r="E13960"/>
      <c r="N13960" s="44"/>
    </row>
    <row r="13961" spans="1:14" x14ac:dyDescent="0.3">
      <c r="A13961" s="42"/>
      <c r="C13961" s="52"/>
      <c r="D13961"/>
      <c r="E13961"/>
      <c r="N13961" s="44"/>
    </row>
    <row r="13962" spans="1:14" x14ac:dyDescent="0.3">
      <c r="A13962" s="42"/>
      <c r="C13962" s="52"/>
      <c r="D13962"/>
      <c r="E13962"/>
      <c r="N13962" s="44"/>
    </row>
    <row r="13963" spans="1:14" x14ac:dyDescent="0.3">
      <c r="A13963" s="42"/>
      <c r="C13963" s="52"/>
      <c r="D13963"/>
      <c r="E13963"/>
      <c r="N13963" s="44"/>
    </row>
    <row r="13964" spans="1:14" x14ac:dyDescent="0.3">
      <c r="A13964" s="42"/>
      <c r="C13964" s="52"/>
      <c r="D13964"/>
      <c r="E13964"/>
      <c r="N13964" s="44"/>
    </row>
    <row r="13965" spans="1:14" x14ac:dyDescent="0.3">
      <c r="A13965" s="42"/>
      <c r="C13965" s="52"/>
      <c r="D13965"/>
      <c r="E13965"/>
      <c r="N13965" s="44"/>
    </row>
    <row r="13966" spans="1:14" x14ac:dyDescent="0.3">
      <c r="A13966" s="42"/>
      <c r="C13966" s="52"/>
      <c r="D13966"/>
      <c r="E13966"/>
      <c r="N13966" s="44"/>
    </row>
    <row r="13967" spans="1:14" x14ac:dyDescent="0.3">
      <c r="A13967" s="42"/>
      <c r="C13967" s="52"/>
      <c r="D13967"/>
      <c r="E13967"/>
      <c r="N13967" s="44"/>
    </row>
    <row r="13968" spans="1:14" x14ac:dyDescent="0.3">
      <c r="A13968" s="42"/>
      <c r="C13968" s="52"/>
      <c r="D13968"/>
      <c r="E13968"/>
      <c r="N13968" s="44"/>
    </row>
    <row r="13969" spans="1:14" x14ac:dyDescent="0.3">
      <c r="A13969" s="42"/>
      <c r="C13969" s="52"/>
      <c r="D13969"/>
      <c r="E13969"/>
      <c r="N13969" s="44"/>
    </row>
    <row r="13970" spans="1:14" x14ac:dyDescent="0.3">
      <c r="A13970" s="42"/>
      <c r="C13970" s="52"/>
      <c r="D13970"/>
      <c r="E13970"/>
      <c r="N13970" s="44"/>
    </row>
    <row r="13971" spans="1:14" x14ac:dyDescent="0.3">
      <c r="A13971" s="42"/>
      <c r="C13971" s="52"/>
      <c r="D13971"/>
      <c r="E13971"/>
      <c r="N13971" s="44"/>
    </row>
    <row r="13972" spans="1:14" x14ac:dyDescent="0.3">
      <c r="A13972" s="42"/>
      <c r="C13972" s="52"/>
      <c r="D13972"/>
      <c r="E13972"/>
      <c r="N13972" s="44"/>
    </row>
    <row r="13973" spans="1:14" x14ac:dyDescent="0.3">
      <c r="A13973" s="42"/>
      <c r="C13973" s="52"/>
      <c r="D13973"/>
      <c r="E13973"/>
      <c r="N13973" s="44"/>
    </row>
    <row r="13974" spans="1:14" x14ac:dyDescent="0.3">
      <c r="A13974" s="42"/>
      <c r="C13974" s="52"/>
      <c r="D13974"/>
      <c r="E13974"/>
      <c r="N13974" s="44"/>
    </row>
    <row r="13975" spans="1:14" x14ac:dyDescent="0.3">
      <c r="A13975" s="42"/>
      <c r="C13975" s="52"/>
      <c r="D13975"/>
      <c r="E13975"/>
      <c r="N13975" s="44"/>
    </row>
    <row r="13976" spans="1:14" x14ac:dyDescent="0.3">
      <c r="A13976" s="42"/>
      <c r="C13976" s="52"/>
      <c r="D13976"/>
      <c r="E13976"/>
      <c r="N13976" s="44"/>
    </row>
    <row r="13977" spans="1:14" x14ac:dyDescent="0.3">
      <c r="A13977" s="42"/>
      <c r="C13977" s="52"/>
      <c r="D13977"/>
      <c r="E13977"/>
      <c r="N13977" s="44"/>
    </row>
    <row r="13978" spans="1:14" x14ac:dyDescent="0.3">
      <c r="A13978" s="42"/>
      <c r="C13978" s="52"/>
      <c r="D13978"/>
      <c r="E13978"/>
      <c r="N13978" s="44"/>
    </row>
    <row r="13979" spans="1:14" x14ac:dyDescent="0.3">
      <c r="A13979" s="42"/>
      <c r="C13979" s="52"/>
      <c r="D13979"/>
      <c r="E13979"/>
      <c r="N13979" s="44"/>
    </row>
    <row r="13980" spans="1:14" x14ac:dyDescent="0.3">
      <c r="A13980" s="42"/>
      <c r="C13980" s="52"/>
      <c r="D13980"/>
      <c r="E13980"/>
      <c r="N13980" s="44"/>
    </row>
    <row r="13981" spans="1:14" x14ac:dyDescent="0.3">
      <c r="A13981" s="42"/>
      <c r="C13981" s="52"/>
      <c r="D13981"/>
      <c r="E13981"/>
      <c r="N13981" s="44"/>
    </row>
    <row r="13982" spans="1:14" x14ac:dyDescent="0.3">
      <c r="A13982" s="42"/>
      <c r="C13982" s="52"/>
      <c r="D13982"/>
      <c r="E13982"/>
      <c r="N13982" s="44"/>
    </row>
    <row r="13983" spans="1:14" x14ac:dyDescent="0.3">
      <c r="A13983" s="42"/>
      <c r="C13983" s="52"/>
      <c r="D13983"/>
      <c r="E13983"/>
      <c r="N13983" s="44"/>
    </row>
    <row r="13984" spans="1:14" x14ac:dyDescent="0.3">
      <c r="A13984" s="42"/>
      <c r="C13984" s="52"/>
      <c r="D13984"/>
      <c r="E13984"/>
      <c r="N13984" s="44"/>
    </row>
    <row r="13985" spans="1:14" x14ac:dyDescent="0.3">
      <c r="A13985" s="42"/>
      <c r="C13985" s="52"/>
      <c r="D13985"/>
      <c r="E13985"/>
      <c r="N13985" s="44"/>
    </row>
    <row r="13986" spans="1:14" x14ac:dyDescent="0.3">
      <c r="A13986" s="42"/>
      <c r="C13986" s="52"/>
      <c r="D13986"/>
      <c r="E13986"/>
      <c r="N13986" s="44"/>
    </row>
    <row r="13987" spans="1:14" x14ac:dyDescent="0.3">
      <c r="A13987" s="42"/>
      <c r="C13987" s="52"/>
      <c r="D13987"/>
      <c r="E13987"/>
      <c r="N13987" s="44"/>
    </row>
    <row r="13988" spans="1:14" x14ac:dyDescent="0.3">
      <c r="A13988" s="42"/>
      <c r="C13988" s="52"/>
      <c r="D13988"/>
      <c r="E13988"/>
      <c r="N13988" s="44"/>
    </row>
    <row r="13989" spans="1:14" x14ac:dyDescent="0.3">
      <c r="A13989" s="42"/>
      <c r="C13989" s="52"/>
      <c r="D13989"/>
      <c r="E13989"/>
      <c r="N13989" s="44"/>
    </row>
    <row r="13990" spans="1:14" x14ac:dyDescent="0.3">
      <c r="A13990" s="42"/>
      <c r="C13990" s="52"/>
      <c r="D13990"/>
      <c r="E13990"/>
      <c r="N13990" s="44"/>
    </row>
    <row r="13991" spans="1:14" x14ac:dyDescent="0.3">
      <c r="A13991" s="42"/>
      <c r="C13991" s="52"/>
      <c r="D13991"/>
      <c r="E13991"/>
      <c r="N13991" s="44"/>
    </row>
    <row r="13992" spans="1:14" x14ac:dyDescent="0.3">
      <c r="A13992" s="42"/>
      <c r="C13992" s="52"/>
      <c r="D13992"/>
      <c r="E13992"/>
      <c r="N13992" s="44"/>
    </row>
    <row r="13993" spans="1:14" x14ac:dyDescent="0.3">
      <c r="A13993" s="42"/>
      <c r="C13993" s="52"/>
      <c r="D13993"/>
      <c r="E13993"/>
      <c r="N13993" s="44"/>
    </row>
    <row r="13994" spans="1:14" x14ac:dyDescent="0.3">
      <c r="A13994" s="42"/>
      <c r="C13994" s="52"/>
      <c r="D13994"/>
      <c r="E13994"/>
      <c r="N13994" s="44"/>
    </row>
    <row r="13995" spans="1:14" x14ac:dyDescent="0.3">
      <c r="A13995" s="42"/>
      <c r="C13995" s="52"/>
      <c r="D13995"/>
      <c r="E13995"/>
      <c r="N13995" s="44"/>
    </row>
    <row r="13996" spans="1:14" x14ac:dyDescent="0.3">
      <c r="A13996" s="42"/>
      <c r="C13996" s="52"/>
      <c r="D13996"/>
      <c r="E13996"/>
      <c r="N13996" s="44"/>
    </row>
    <row r="13997" spans="1:14" x14ac:dyDescent="0.3">
      <c r="A13997" s="42"/>
      <c r="C13997" s="52"/>
      <c r="D13997"/>
      <c r="E13997"/>
      <c r="N13997" s="44"/>
    </row>
    <row r="13998" spans="1:14" x14ac:dyDescent="0.3">
      <c r="A13998" s="42"/>
      <c r="C13998" s="52"/>
      <c r="D13998"/>
      <c r="E13998"/>
      <c r="N13998" s="44"/>
    </row>
    <row r="13999" spans="1:14" x14ac:dyDescent="0.3">
      <c r="A13999" s="42"/>
      <c r="C13999" s="52"/>
      <c r="D13999"/>
      <c r="E13999"/>
      <c r="N13999" s="44"/>
    </row>
    <row r="14000" spans="1:14" x14ac:dyDescent="0.3">
      <c r="A14000" s="42"/>
      <c r="C14000" s="52"/>
      <c r="D14000"/>
      <c r="E14000"/>
      <c r="N14000" s="44"/>
    </row>
    <row r="14001" spans="1:14" x14ac:dyDescent="0.3">
      <c r="A14001" s="42"/>
      <c r="C14001" s="52"/>
      <c r="D14001"/>
      <c r="E14001"/>
      <c r="N14001" s="44"/>
    </row>
    <row r="14002" spans="1:14" x14ac:dyDescent="0.3">
      <c r="A14002" s="42"/>
      <c r="C14002" s="52"/>
      <c r="D14002"/>
      <c r="E14002"/>
      <c r="N14002" s="44"/>
    </row>
    <row r="14003" spans="1:14" x14ac:dyDescent="0.3">
      <c r="A14003" s="42"/>
      <c r="C14003" s="52"/>
      <c r="D14003"/>
      <c r="E14003"/>
      <c r="N14003" s="44"/>
    </row>
    <row r="14004" spans="1:14" x14ac:dyDescent="0.3">
      <c r="A14004" s="42"/>
      <c r="C14004" s="52"/>
      <c r="D14004"/>
      <c r="E14004"/>
      <c r="N14004" s="44"/>
    </row>
    <row r="14005" spans="1:14" x14ac:dyDescent="0.3">
      <c r="A14005" s="42"/>
      <c r="C14005" s="52"/>
      <c r="D14005"/>
      <c r="E14005"/>
      <c r="N14005" s="44"/>
    </row>
    <row r="14006" spans="1:14" x14ac:dyDescent="0.3">
      <c r="A14006" s="42"/>
      <c r="C14006" s="52"/>
      <c r="D14006"/>
      <c r="E14006"/>
      <c r="N14006" s="44"/>
    </row>
    <row r="14007" spans="1:14" x14ac:dyDescent="0.3">
      <c r="A14007" s="42"/>
      <c r="C14007" s="52"/>
      <c r="D14007"/>
      <c r="E14007"/>
      <c r="N14007" s="44"/>
    </row>
    <row r="14008" spans="1:14" x14ac:dyDescent="0.3">
      <c r="A14008" s="42"/>
      <c r="C14008" s="52"/>
      <c r="D14008"/>
      <c r="E14008"/>
      <c r="N14008" s="44"/>
    </row>
    <row r="14009" spans="1:14" x14ac:dyDescent="0.3">
      <c r="A14009" s="42"/>
      <c r="C14009" s="52"/>
      <c r="D14009"/>
      <c r="E14009"/>
      <c r="N14009" s="44"/>
    </row>
    <row r="14010" spans="1:14" x14ac:dyDescent="0.3">
      <c r="A14010" s="42"/>
      <c r="C14010" s="52"/>
      <c r="D14010"/>
      <c r="E14010"/>
      <c r="N14010" s="44"/>
    </row>
    <row r="14011" spans="1:14" x14ac:dyDescent="0.3">
      <c r="A14011" s="42"/>
      <c r="C14011" s="52"/>
      <c r="D14011"/>
      <c r="E14011"/>
      <c r="N14011" s="44"/>
    </row>
    <row r="14012" spans="1:14" x14ac:dyDescent="0.3">
      <c r="A14012" s="42"/>
      <c r="C14012" s="52"/>
      <c r="D14012"/>
      <c r="E14012"/>
      <c r="N14012" s="44"/>
    </row>
    <row r="14013" spans="1:14" x14ac:dyDescent="0.3">
      <c r="A14013" s="42"/>
      <c r="C14013" s="52"/>
      <c r="D14013"/>
      <c r="E14013"/>
      <c r="N14013" s="44"/>
    </row>
    <row r="14014" spans="1:14" x14ac:dyDescent="0.3">
      <c r="A14014" s="42"/>
      <c r="C14014" s="52"/>
      <c r="D14014"/>
      <c r="E14014"/>
      <c r="N14014" s="44"/>
    </row>
    <row r="14015" spans="1:14" x14ac:dyDescent="0.3">
      <c r="A14015" s="42"/>
      <c r="C14015" s="52"/>
      <c r="D14015"/>
      <c r="E14015"/>
      <c r="N14015" s="44"/>
    </row>
    <row r="14016" spans="1:14" x14ac:dyDescent="0.3">
      <c r="A14016" s="42"/>
      <c r="C14016" s="52"/>
      <c r="D14016"/>
      <c r="E14016"/>
      <c r="N14016" s="44"/>
    </row>
    <row r="14017" spans="1:14" x14ac:dyDescent="0.3">
      <c r="A14017" s="42"/>
      <c r="C14017" s="52"/>
      <c r="D14017"/>
      <c r="E14017"/>
      <c r="N14017" s="44"/>
    </row>
    <row r="14018" spans="1:14" x14ac:dyDescent="0.3">
      <c r="A14018" s="42"/>
      <c r="C14018" s="52"/>
      <c r="D14018"/>
      <c r="E14018"/>
      <c r="N14018" s="44"/>
    </row>
    <row r="14019" spans="1:14" x14ac:dyDescent="0.3">
      <c r="A14019" s="42"/>
      <c r="C14019" s="52"/>
      <c r="D14019"/>
      <c r="E14019"/>
      <c r="N14019" s="44"/>
    </row>
    <row r="14020" spans="1:14" x14ac:dyDescent="0.3">
      <c r="A14020" s="42"/>
      <c r="C14020" s="52"/>
      <c r="D14020"/>
      <c r="E14020"/>
      <c r="N14020" s="44"/>
    </row>
    <row r="14021" spans="1:14" x14ac:dyDescent="0.3">
      <c r="A14021" s="42"/>
      <c r="C14021" s="52"/>
      <c r="D14021"/>
      <c r="E14021"/>
      <c r="M14021" s="45"/>
      <c r="N14021" s="44"/>
    </row>
    <row r="14022" spans="1:14" x14ac:dyDescent="0.3">
      <c r="A14022" s="42"/>
      <c r="C14022" s="52"/>
      <c r="D14022"/>
      <c r="E14022"/>
      <c r="N14022" s="44"/>
    </row>
    <row r="14023" spans="1:14" x14ac:dyDescent="0.3">
      <c r="A14023" s="42"/>
      <c r="C14023" s="52"/>
      <c r="D14023"/>
      <c r="E14023"/>
      <c r="N14023" s="44"/>
    </row>
    <row r="14024" spans="1:14" x14ac:dyDescent="0.3">
      <c r="A14024" s="42"/>
      <c r="C14024" s="52"/>
      <c r="D14024"/>
      <c r="E14024"/>
      <c r="N14024" s="44"/>
    </row>
    <row r="14025" spans="1:14" x14ac:dyDescent="0.3">
      <c r="A14025" s="42"/>
      <c r="C14025" s="52"/>
      <c r="D14025"/>
      <c r="E14025"/>
      <c r="N14025" s="44"/>
    </row>
    <row r="14026" spans="1:14" x14ac:dyDescent="0.3">
      <c r="A14026" s="42"/>
      <c r="C14026" s="52"/>
      <c r="D14026"/>
      <c r="E14026"/>
      <c r="N14026" s="44"/>
    </row>
    <row r="14027" spans="1:14" x14ac:dyDescent="0.3">
      <c r="A14027" s="42"/>
      <c r="C14027" s="52"/>
      <c r="D14027"/>
      <c r="E14027"/>
      <c r="N14027" s="44"/>
    </row>
    <row r="14028" spans="1:14" x14ac:dyDescent="0.3">
      <c r="A14028" s="42"/>
      <c r="C14028" s="52"/>
      <c r="D14028"/>
      <c r="E14028"/>
      <c r="N14028" s="44"/>
    </row>
    <row r="14029" spans="1:14" x14ac:dyDescent="0.3">
      <c r="A14029" s="42"/>
      <c r="C14029" s="52"/>
      <c r="D14029"/>
      <c r="E14029"/>
      <c r="N14029" s="44"/>
    </row>
    <row r="14030" spans="1:14" x14ac:dyDescent="0.3">
      <c r="A14030" s="42"/>
      <c r="C14030" s="52"/>
      <c r="D14030"/>
      <c r="E14030"/>
      <c r="N14030" s="44"/>
    </row>
    <row r="14031" spans="1:14" x14ac:dyDescent="0.3">
      <c r="A14031" s="42"/>
      <c r="C14031" s="52"/>
      <c r="D14031"/>
      <c r="E14031"/>
      <c r="N14031" s="44"/>
    </row>
    <row r="14032" spans="1:14" x14ac:dyDescent="0.3">
      <c r="A14032" s="42"/>
      <c r="C14032" s="52"/>
      <c r="D14032"/>
      <c r="E14032"/>
      <c r="N14032" s="44"/>
    </row>
    <row r="14033" spans="1:14" x14ac:dyDescent="0.3">
      <c r="A14033" s="42"/>
      <c r="C14033" s="52"/>
      <c r="D14033"/>
      <c r="E14033"/>
      <c r="N14033" s="44"/>
    </row>
    <row r="14034" spans="1:14" x14ac:dyDescent="0.3">
      <c r="A14034" s="42"/>
      <c r="C14034" s="52"/>
      <c r="D14034"/>
      <c r="E14034"/>
      <c r="N14034" s="44"/>
    </row>
    <row r="14035" spans="1:14" x14ac:dyDescent="0.3">
      <c r="A14035" s="42"/>
      <c r="C14035" s="52"/>
      <c r="D14035"/>
      <c r="E14035"/>
      <c r="N14035" s="44"/>
    </row>
    <row r="14036" spans="1:14" x14ac:dyDescent="0.3">
      <c r="A14036" s="42"/>
      <c r="C14036" s="52"/>
      <c r="D14036"/>
      <c r="E14036"/>
      <c r="N14036" s="44"/>
    </row>
    <row r="14037" spans="1:14" x14ac:dyDescent="0.3">
      <c r="A14037" s="42"/>
      <c r="C14037" s="52"/>
      <c r="D14037"/>
      <c r="E14037"/>
      <c r="N14037" s="44"/>
    </row>
    <row r="14038" spans="1:14" x14ac:dyDescent="0.3">
      <c r="A14038" s="42"/>
      <c r="C14038" s="52"/>
      <c r="D14038"/>
      <c r="E14038"/>
      <c r="N14038" s="44"/>
    </row>
    <row r="14039" spans="1:14" x14ac:dyDescent="0.3">
      <c r="A14039" s="42"/>
      <c r="C14039" s="52"/>
      <c r="D14039"/>
      <c r="E14039"/>
      <c r="N14039" s="44"/>
    </row>
    <row r="14040" spans="1:14" x14ac:dyDescent="0.3">
      <c r="A14040" s="42"/>
      <c r="C14040" s="52"/>
      <c r="D14040"/>
      <c r="E14040"/>
      <c r="N14040" s="44"/>
    </row>
    <row r="14041" spans="1:14" x14ac:dyDescent="0.3">
      <c r="A14041" s="42"/>
      <c r="C14041" s="52"/>
      <c r="D14041"/>
      <c r="E14041"/>
      <c r="N14041" s="44"/>
    </row>
    <row r="14042" spans="1:14" x14ac:dyDescent="0.3">
      <c r="A14042" s="42"/>
      <c r="C14042" s="52"/>
      <c r="D14042"/>
      <c r="E14042"/>
      <c r="N14042" s="44"/>
    </row>
    <row r="14043" spans="1:14" x14ac:dyDescent="0.3">
      <c r="A14043" s="42"/>
      <c r="C14043" s="52"/>
      <c r="D14043"/>
      <c r="E14043"/>
      <c r="N14043" s="44"/>
    </row>
    <row r="14044" spans="1:14" x14ac:dyDescent="0.3">
      <c r="A14044" s="42"/>
      <c r="C14044" s="52"/>
      <c r="D14044"/>
      <c r="E14044"/>
      <c r="N14044" s="44"/>
    </row>
    <row r="14045" spans="1:14" x14ac:dyDescent="0.3">
      <c r="A14045" s="42"/>
      <c r="C14045" s="52"/>
      <c r="D14045"/>
      <c r="E14045"/>
      <c r="N14045" s="44"/>
    </row>
    <row r="14046" spans="1:14" x14ac:dyDescent="0.3">
      <c r="A14046" s="42"/>
      <c r="C14046" s="52"/>
      <c r="D14046"/>
      <c r="E14046"/>
      <c r="N14046" s="44"/>
    </row>
    <row r="14047" spans="1:14" x14ac:dyDescent="0.3">
      <c r="A14047" s="42"/>
      <c r="C14047" s="52"/>
      <c r="D14047"/>
      <c r="E14047"/>
      <c r="N14047" s="44"/>
    </row>
    <row r="14048" spans="1:14" x14ac:dyDescent="0.3">
      <c r="A14048" s="42"/>
      <c r="C14048" s="52"/>
      <c r="D14048"/>
      <c r="E14048"/>
      <c r="N14048" s="44"/>
    </row>
    <row r="14049" spans="1:14" x14ac:dyDescent="0.3">
      <c r="A14049" s="42"/>
      <c r="C14049" s="52"/>
      <c r="D14049"/>
      <c r="E14049"/>
      <c r="N14049" s="44"/>
    </row>
    <row r="14050" spans="1:14" x14ac:dyDescent="0.3">
      <c r="A14050" s="42"/>
      <c r="C14050" s="52"/>
      <c r="D14050"/>
      <c r="E14050"/>
      <c r="N14050" s="44"/>
    </row>
    <row r="14051" spans="1:14" x14ac:dyDescent="0.3">
      <c r="A14051" s="42"/>
      <c r="C14051" s="52"/>
      <c r="D14051"/>
      <c r="E14051"/>
      <c r="N14051" s="44"/>
    </row>
    <row r="14052" spans="1:14" x14ac:dyDescent="0.3">
      <c r="A14052" s="42"/>
      <c r="C14052" s="52"/>
      <c r="D14052"/>
      <c r="E14052"/>
      <c r="N14052" s="44"/>
    </row>
    <row r="14053" spans="1:14" x14ac:dyDescent="0.3">
      <c r="A14053" s="42"/>
      <c r="C14053" s="52"/>
      <c r="D14053"/>
      <c r="E14053"/>
      <c r="N14053" s="44"/>
    </row>
    <row r="14054" spans="1:14" x14ac:dyDescent="0.3">
      <c r="A14054" s="42"/>
      <c r="C14054" s="52"/>
      <c r="D14054"/>
      <c r="E14054"/>
      <c r="N14054" s="44"/>
    </row>
    <row r="14055" spans="1:14" x14ac:dyDescent="0.3">
      <c r="A14055" s="42"/>
      <c r="C14055" s="52"/>
      <c r="D14055"/>
      <c r="E14055"/>
      <c r="N14055" s="44"/>
    </row>
    <row r="14056" spans="1:14" x14ac:dyDescent="0.3">
      <c r="A14056" s="42"/>
      <c r="C14056" s="52"/>
      <c r="D14056"/>
      <c r="E14056"/>
      <c r="N14056" s="44"/>
    </row>
    <row r="14057" spans="1:14" x14ac:dyDescent="0.3">
      <c r="A14057" s="42"/>
      <c r="C14057" s="52"/>
      <c r="D14057"/>
      <c r="E14057"/>
      <c r="N14057" s="44"/>
    </row>
    <row r="14058" spans="1:14" x14ac:dyDescent="0.3">
      <c r="A14058" s="42"/>
      <c r="C14058" s="52"/>
      <c r="D14058"/>
      <c r="E14058"/>
      <c r="N14058" s="44"/>
    </row>
    <row r="14059" spans="1:14" x14ac:dyDescent="0.3">
      <c r="A14059" s="42"/>
      <c r="C14059" s="52"/>
      <c r="D14059"/>
      <c r="E14059"/>
      <c r="N14059" s="44"/>
    </row>
    <row r="14060" spans="1:14" x14ac:dyDescent="0.3">
      <c r="A14060" s="42"/>
      <c r="C14060" s="52"/>
      <c r="D14060"/>
      <c r="E14060"/>
      <c r="N14060" s="44"/>
    </row>
    <row r="14061" spans="1:14" x14ac:dyDescent="0.3">
      <c r="A14061" s="42"/>
      <c r="C14061" s="52"/>
      <c r="D14061"/>
      <c r="E14061"/>
      <c r="N14061" s="44"/>
    </row>
    <row r="14062" spans="1:14" x14ac:dyDescent="0.3">
      <c r="A14062" s="42"/>
      <c r="C14062" s="52"/>
      <c r="D14062"/>
      <c r="E14062"/>
      <c r="N14062" s="44"/>
    </row>
    <row r="14063" spans="1:14" x14ac:dyDescent="0.3">
      <c r="A14063" s="42"/>
      <c r="C14063" s="52"/>
      <c r="D14063"/>
      <c r="E14063"/>
      <c r="N14063" s="44"/>
    </row>
    <row r="14064" spans="1:14" x14ac:dyDescent="0.3">
      <c r="A14064" s="42"/>
      <c r="C14064" s="52"/>
      <c r="D14064"/>
      <c r="E14064"/>
      <c r="N14064" s="44"/>
    </row>
    <row r="14065" spans="1:14" x14ac:dyDescent="0.3">
      <c r="A14065" s="42"/>
      <c r="C14065" s="52"/>
      <c r="D14065"/>
      <c r="E14065"/>
      <c r="N14065" s="44"/>
    </row>
    <row r="14066" spans="1:14" x14ac:dyDescent="0.3">
      <c r="A14066" s="42"/>
      <c r="C14066" s="52"/>
      <c r="D14066"/>
      <c r="E14066"/>
      <c r="N14066" s="44"/>
    </row>
    <row r="14067" spans="1:14" x14ac:dyDescent="0.3">
      <c r="A14067" s="42"/>
      <c r="C14067" s="52"/>
      <c r="D14067"/>
      <c r="E14067"/>
      <c r="N14067" s="44"/>
    </row>
    <row r="14068" spans="1:14" x14ac:dyDescent="0.3">
      <c r="A14068" s="42"/>
      <c r="C14068" s="52"/>
      <c r="D14068"/>
      <c r="E14068"/>
      <c r="N14068" s="44"/>
    </row>
    <row r="14069" spans="1:14" x14ac:dyDescent="0.3">
      <c r="A14069" s="42"/>
      <c r="C14069" s="52"/>
      <c r="D14069"/>
      <c r="E14069"/>
      <c r="N14069" s="44"/>
    </row>
    <row r="14070" spans="1:14" x14ac:dyDescent="0.3">
      <c r="A14070" s="42"/>
      <c r="C14070" s="52"/>
      <c r="D14070"/>
      <c r="E14070"/>
      <c r="N14070" s="44"/>
    </row>
    <row r="14071" spans="1:14" x14ac:dyDescent="0.3">
      <c r="A14071" s="42"/>
      <c r="C14071" s="52"/>
      <c r="D14071"/>
      <c r="E14071"/>
      <c r="N14071" s="44"/>
    </row>
    <row r="14072" spans="1:14" x14ac:dyDescent="0.3">
      <c r="A14072" s="42"/>
      <c r="C14072" s="52"/>
      <c r="D14072"/>
      <c r="E14072"/>
      <c r="N14072" s="44"/>
    </row>
    <row r="14073" spans="1:14" x14ac:dyDescent="0.3">
      <c r="A14073" s="42"/>
      <c r="C14073" s="52"/>
      <c r="D14073"/>
      <c r="E14073"/>
      <c r="N14073" s="44"/>
    </row>
    <row r="14074" spans="1:14" x14ac:dyDescent="0.3">
      <c r="A14074" s="42"/>
      <c r="C14074" s="52"/>
      <c r="D14074"/>
      <c r="E14074"/>
      <c r="N14074" s="44"/>
    </row>
    <row r="14075" spans="1:14" x14ac:dyDescent="0.3">
      <c r="A14075" s="42"/>
      <c r="C14075" s="52"/>
      <c r="D14075"/>
      <c r="E14075"/>
      <c r="N14075" s="44"/>
    </row>
    <row r="14076" spans="1:14" x14ac:dyDescent="0.3">
      <c r="A14076" s="42"/>
      <c r="C14076" s="52"/>
      <c r="D14076"/>
      <c r="E14076"/>
      <c r="N14076" s="44"/>
    </row>
    <row r="14077" spans="1:14" x14ac:dyDescent="0.3">
      <c r="A14077" s="42"/>
      <c r="C14077" s="52"/>
      <c r="D14077"/>
      <c r="E14077"/>
      <c r="N14077" s="44"/>
    </row>
    <row r="14078" spans="1:14" x14ac:dyDescent="0.3">
      <c r="A14078" s="42"/>
      <c r="C14078" s="52"/>
      <c r="D14078"/>
      <c r="E14078"/>
      <c r="N14078" s="44"/>
    </row>
    <row r="14079" spans="1:14" x14ac:dyDescent="0.3">
      <c r="A14079" s="42"/>
      <c r="C14079" s="52"/>
      <c r="D14079"/>
      <c r="E14079"/>
      <c r="N14079" s="44"/>
    </row>
    <row r="14080" spans="1:14" x14ac:dyDescent="0.3">
      <c r="A14080" s="42"/>
      <c r="C14080" s="52"/>
      <c r="D14080"/>
      <c r="E14080"/>
      <c r="N14080" s="44"/>
    </row>
    <row r="14081" spans="1:14" x14ac:dyDescent="0.3">
      <c r="A14081" s="42"/>
      <c r="C14081" s="52"/>
      <c r="D14081"/>
      <c r="E14081"/>
      <c r="N14081" s="44"/>
    </row>
    <row r="14082" spans="1:14" x14ac:dyDescent="0.3">
      <c r="A14082" s="42"/>
      <c r="C14082" s="52"/>
      <c r="D14082"/>
      <c r="E14082"/>
      <c r="N14082" s="44"/>
    </row>
    <row r="14083" spans="1:14" x14ac:dyDescent="0.3">
      <c r="A14083" s="42"/>
      <c r="C14083" s="52"/>
      <c r="D14083"/>
      <c r="E14083"/>
      <c r="N14083" s="44"/>
    </row>
    <row r="14084" spans="1:14" x14ac:dyDescent="0.3">
      <c r="A14084" s="42"/>
      <c r="C14084" s="52"/>
      <c r="D14084"/>
      <c r="E14084"/>
      <c r="N14084" s="44"/>
    </row>
    <row r="14085" spans="1:14" x14ac:dyDescent="0.3">
      <c r="A14085" s="42"/>
      <c r="C14085" s="52"/>
      <c r="D14085"/>
      <c r="E14085"/>
      <c r="N14085" s="44"/>
    </row>
    <row r="14086" spans="1:14" x14ac:dyDescent="0.3">
      <c r="A14086" s="42"/>
      <c r="C14086" s="52"/>
      <c r="D14086"/>
      <c r="E14086"/>
      <c r="N14086" s="44"/>
    </row>
    <row r="14087" spans="1:14" x14ac:dyDescent="0.3">
      <c r="A14087" s="42"/>
      <c r="C14087" s="52"/>
      <c r="D14087"/>
      <c r="E14087"/>
      <c r="N14087" s="44"/>
    </row>
    <row r="14088" spans="1:14" x14ac:dyDescent="0.3">
      <c r="A14088" s="42"/>
      <c r="C14088" s="52"/>
      <c r="D14088"/>
      <c r="E14088"/>
      <c r="N14088" s="44"/>
    </row>
    <row r="14089" spans="1:14" x14ac:dyDescent="0.3">
      <c r="A14089" s="42"/>
      <c r="C14089" s="52"/>
      <c r="D14089"/>
      <c r="E14089"/>
      <c r="N14089" s="44"/>
    </row>
    <row r="14090" spans="1:14" x14ac:dyDescent="0.3">
      <c r="A14090" s="42"/>
      <c r="C14090" s="52"/>
      <c r="D14090"/>
      <c r="E14090"/>
      <c r="N14090" s="44"/>
    </row>
    <row r="14091" spans="1:14" x14ac:dyDescent="0.3">
      <c r="A14091" s="42"/>
      <c r="C14091" s="52"/>
      <c r="D14091"/>
      <c r="E14091"/>
      <c r="N14091" s="44"/>
    </row>
    <row r="14092" spans="1:14" x14ac:dyDescent="0.3">
      <c r="A14092" s="42"/>
      <c r="C14092" s="52"/>
      <c r="D14092"/>
      <c r="E14092"/>
      <c r="N14092" s="44"/>
    </row>
    <row r="14093" spans="1:14" x14ac:dyDescent="0.3">
      <c r="A14093" s="42"/>
      <c r="C14093" s="52"/>
      <c r="D14093"/>
      <c r="E14093"/>
      <c r="N14093" s="44"/>
    </row>
    <row r="14094" spans="1:14" x14ac:dyDescent="0.3">
      <c r="A14094" s="42"/>
      <c r="C14094" s="52"/>
      <c r="D14094"/>
      <c r="E14094"/>
      <c r="N14094" s="44"/>
    </row>
    <row r="14095" spans="1:14" x14ac:dyDescent="0.3">
      <c r="A14095" s="42"/>
      <c r="C14095" s="52"/>
      <c r="D14095"/>
      <c r="E14095"/>
      <c r="N14095" s="44"/>
    </row>
    <row r="14096" spans="1:14" x14ac:dyDescent="0.3">
      <c r="A14096" s="42"/>
      <c r="C14096" s="52"/>
      <c r="D14096"/>
      <c r="E14096"/>
      <c r="N14096" s="44"/>
    </row>
    <row r="14097" spans="1:14" x14ac:dyDescent="0.3">
      <c r="A14097" s="42"/>
      <c r="C14097" s="52"/>
      <c r="D14097"/>
      <c r="E14097"/>
      <c r="N14097" s="44"/>
    </row>
    <row r="14098" spans="1:14" x14ac:dyDescent="0.3">
      <c r="A14098" s="42"/>
      <c r="C14098" s="52"/>
      <c r="D14098"/>
      <c r="E14098"/>
      <c r="N14098" s="44"/>
    </row>
    <row r="14099" spans="1:14" x14ac:dyDescent="0.3">
      <c r="A14099" s="42"/>
      <c r="C14099" s="52"/>
      <c r="D14099"/>
      <c r="E14099"/>
      <c r="N14099" s="44"/>
    </row>
    <row r="14100" spans="1:14" x14ac:dyDescent="0.3">
      <c r="A14100" s="42"/>
      <c r="C14100" s="52"/>
      <c r="D14100"/>
      <c r="E14100"/>
      <c r="N14100" s="44"/>
    </row>
    <row r="14101" spans="1:14" x14ac:dyDescent="0.3">
      <c r="A14101" s="42"/>
      <c r="C14101" s="52"/>
      <c r="D14101"/>
      <c r="E14101"/>
      <c r="N14101" s="44"/>
    </row>
    <row r="14102" spans="1:14" x14ac:dyDescent="0.3">
      <c r="A14102" s="42"/>
      <c r="C14102" s="52"/>
      <c r="D14102"/>
      <c r="E14102"/>
      <c r="N14102" s="44"/>
    </row>
    <row r="14103" spans="1:14" x14ac:dyDescent="0.3">
      <c r="A14103" s="42"/>
      <c r="C14103" s="52"/>
      <c r="D14103"/>
      <c r="E14103"/>
      <c r="N14103" s="44"/>
    </row>
    <row r="14104" spans="1:14" x14ac:dyDescent="0.3">
      <c r="A14104" s="42"/>
      <c r="C14104" s="52"/>
      <c r="D14104"/>
      <c r="E14104"/>
      <c r="N14104" s="44"/>
    </row>
    <row r="14105" spans="1:14" x14ac:dyDescent="0.3">
      <c r="A14105" s="42"/>
      <c r="C14105" s="52"/>
      <c r="D14105"/>
      <c r="E14105"/>
      <c r="N14105" s="44"/>
    </row>
    <row r="14106" spans="1:14" x14ac:dyDescent="0.3">
      <c r="A14106" s="42"/>
      <c r="C14106" s="52"/>
      <c r="D14106"/>
      <c r="E14106"/>
      <c r="N14106" s="44"/>
    </row>
    <row r="14107" spans="1:14" x14ac:dyDescent="0.3">
      <c r="A14107" s="42"/>
      <c r="C14107" s="52"/>
      <c r="D14107"/>
      <c r="E14107"/>
      <c r="N14107" s="44"/>
    </row>
    <row r="14108" spans="1:14" x14ac:dyDescent="0.3">
      <c r="A14108" s="42"/>
      <c r="C14108" s="52"/>
      <c r="D14108"/>
      <c r="E14108"/>
      <c r="N14108" s="44"/>
    </row>
    <row r="14109" spans="1:14" x14ac:dyDescent="0.3">
      <c r="A14109" s="42"/>
      <c r="C14109" s="52"/>
      <c r="D14109"/>
      <c r="E14109"/>
      <c r="N14109" s="44"/>
    </row>
    <row r="14110" spans="1:14" x14ac:dyDescent="0.3">
      <c r="A14110" s="42"/>
      <c r="C14110" s="52"/>
      <c r="D14110"/>
      <c r="E14110"/>
      <c r="N14110" s="44"/>
    </row>
    <row r="14111" spans="1:14" x14ac:dyDescent="0.3">
      <c r="A14111" s="42"/>
      <c r="C14111" s="52"/>
      <c r="D14111"/>
      <c r="E14111"/>
      <c r="N14111" s="44"/>
    </row>
    <row r="14112" spans="1:14" x14ac:dyDescent="0.3">
      <c r="A14112" s="42"/>
      <c r="C14112" s="52"/>
      <c r="D14112"/>
      <c r="E14112"/>
      <c r="N14112" s="44"/>
    </row>
    <row r="14113" spans="1:14" x14ac:dyDescent="0.3">
      <c r="A14113" s="42"/>
      <c r="C14113" s="52"/>
      <c r="D14113"/>
      <c r="E14113"/>
      <c r="N14113" s="44"/>
    </row>
    <row r="14114" spans="1:14" x14ac:dyDescent="0.3">
      <c r="A14114" s="42"/>
      <c r="C14114" s="52"/>
      <c r="D14114"/>
      <c r="E14114"/>
      <c r="N14114" s="44"/>
    </row>
    <row r="14115" spans="1:14" x14ac:dyDescent="0.3">
      <c r="A14115" s="42"/>
      <c r="C14115" s="52"/>
      <c r="D14115"/>
      <c r="E14115"/>
      <c r="M14115" s="45"/>
      <c r="N14115" s="44"/>
    </row>
    <row r="14116" spans="1:14" x14ac:dyDescent="0.3">
      <c r="A14116" s="42"/>
      <c r="C14116" s="52"/>
      <c r="D14116"/>
      <c r="E14116"/>
      <c r="N14116" s="44"/>
    </row>
    <row r="14117" spans="1:14" x14ac:dyDescent="0.3">
      <c r="A14117" s="42"/>
      <c r="C14117" s="52"/>
      <c r="D14117"/>
      <c r="E14117"/>
      <c r="N14117" s="44"/>
    </row>
    <row r="14118" spans="1:14" x14ac:dyDescent="0.3">
      <c r="A14118" s="42"/>
      <c r="C14118" s="52"/>
      <c r="D14118"/>
      <c r="E14118"/>
      <c r="N14118" s="44"/>
    </row>
    <row r="14119" spans="1:14" x14ac:dyDescent="0.3">
      <c r="A14119" s="42"/>
      <c r="C14119" s="52"/>
      <c r="D14119"/>
      <c r="E14119"/>
      <c r="N14119" s="44"/>
    </row>
    <row r="14120" spans="1:14" x14ac:dyDescent="0.3">
      <c r="A14120" s="42"/>
      <c r="C14120" s="52"/>
      <c r="D14120"/>
      <c r="E14120"/>
      <c r="N14120" s="44"/>
    </row>
    <row r="14121" spans="1:14" x14ac:dyDescent="0.3">
      <c r="A14121" s="42"/>
      <c r="C14121" s="52"/>
      <c r="D14121"/>
      <c r="E14121"/>
      <c r="N14121" s="44"/>
    </row>
    <row r="14122" spans="1:14" x14ac:dyDescent="0.3">
      <c r="A14122" s="42"/>
      <c r="C14122" s="52"/>
      <c r="D14122"/>
      <c r="E14122"/>
      <c r="N14122" s="44"/>
    </row>
    <row r="14123" spans="1:14" x14ac:dyDescent="0.3">
      <c r="A14123" s="42"/>
      <c r="C14123" s="52"/>
      <c r="D14123"/>
      <c r="E14123"/>
      <c r="N14123" s="44"/>
    </row>
    <row r="14124" spans="1:14" x14ac:dyDescent="0.3">
      <c r="A14124" s="42"/>
      <c r="C14124" s="52"/>
      <c r="D14124"/>
      <c r="E14124"/>
      <c r="N14124" s="44"/>
    </row>
    <row r="14125" spans="1:14" x14ac:dyDescent="0.3">
      <c r="A14125" s="42"/>
      <c r="C14125" s="52"/>
      <c r="D14125"/>
      <c r="E14125"/>
      <c r="N14125" s="44"/>
    </row>
    <row r="14126" spans="1:14" x14ac:dyDescent="0.3">
      <c r="A14126" s="42"/>
      <c r="C14126" s="52"/>
      <c r="D14126"/>
      <c r="E14126"/>
      <c r="N14126" s="44"/>
    </row>
    <row r="14127" spans="1:14" x14ac:dyDescent="0.3">
      <c r="A14127" s="42"/>
      <c r="C14127" s="52"/>
      <c r="D14127"/>
      <c r="E14127"/>
      <c r="N14127" s="44"/>
    </row>
    <row r="14128" spans="1:14" x14ac:dyDescent="0.3">
      <c r="A14128" s="42"/>
      <c r="C14128" s="52"/>
      <c r="D14128"/>
      <c r="E14128"/>
      <c r="N14128" s="44"/>
    </row>
    <row r="14129" spans="1:14" x14ac:dyDescent="0.3">
      <c r="A14129" s="42"/>
      <c r="C14129" s="52"/>
      <c r="D14129"/>
      <c r="E14129"/>
      <c r="N14129" s="44"/>
    </row>
    <row r="14130" spans="1:14" x14ac:dyDescent="0.3">
      <c r="A14130" s="42"/>
      <c r="C14130" s="52"/>
      <c r="D14130"/>
      <c r="E14130"/>
      <c r="N14130" s="44"/>
    </row>
    <row r="14131" spans="1:14" x14ac:dyDescent="0.3">
      <c r="A14131" s="42"/>
      <c r="C14131" s="52"/>
      <c r="D14131"/>
      <c r="E14131"/>
      <c r="N14131" s="44"/>
    </row>
    <row r="14132" spans="1:14" x14ac:dyDescent="0.3">
      <c r="A14132" s="42"/>
      <c r="C14132" s="52"/>
      <c r="D14132"/>
      <c r="E14132"/>
      <c r="N14132" s="44"/>
    </row>
    <row r="14133" spans="1:14" x14ac:dyDescent="0.3">
      <c r="A14133" s="42"/>
      <c r="C14133" s="52"/>
      <c r="D14133"/>
      <c r="E14133"/>
      <c r="N14133" s="44"/>
    </row>
    <row r="14134" spans="1:14" x14ac:dyDescent="0.3">
      <c r="A14134" s="42"/>
      <c r="C14134" s="52"/>
      <c r="D14134"/>
      <c r="E14134"/>
      <c r="N14134" s="44"/>
    </row>
    <row r="14135" spans="1:14" x14ac:dyDescent="0.3">
      <c r="A14135" s="42"/>
      <c r="C14135" s="52"/>
      <c r="D14135"/>
      <c r="E14135"/>
      <c r="N14135" s="44"/>
    </row>
    <row r="14136" spans="1:14" x14ac:dyDescent="0.3">
      <c r="A14136" s="42"/>
      <c r="C14136" s="52"/>
      <c r="D14136"/>
      <c r="E14136"/>
      <c r="N14136" s="44"/>
    </row>
    <row r="14137" spans="1:14" x14ac:dyDescent="0.3">
      <c r="A14137" s="42"/>
      <c r="C14137" s="52"/>
      <c r="D14137"/>
      <c r="E14137"/>
      <c r="N14137" s="44"/>
    </row>
    <row r="14138" spans="1:14" x14ac:dyDescent="0.3">
      <c r="A14138" s="42"/>
      <c r="C14138" s="52"/>
      <c r="D14138"/>
      <c r="E14138"/>
      <c r="N14138" s="44"/>
    </row>
    <row r="14139" spans="1:14" x14ac:dyDescent="0.3">
      <c r="A14139" s="42"/>
      <c r="C14139" s="52"/>
      <c r="D14139"/>
      <c r="E14139"/>
      <c r="N14139" s="44"/>
    </row>
    <row r="14140" spans="1:14" x14ac:dyDescent="0.3">
      <c r="A14140" s="42"/>
      <c r="C14140" s="52"/>
      <c r="D14140"/>
      <c r="E14140"/>
      <c r="N14140" s="44"/>
    </row>
    <row r="14141" spans="1:14" x14ac:dyDescent="0.3">
      <c r="A14141" s="42"/>
      <c r="C14141" s="52"/>
      <c r="D14141"/>
      <c r="E14141"/>
      <c r="N14141" s="44"/>
    </row>
    <row r="14142" spans="1:14" x14ac:dyDescent="0.3">
      <c r="A14142" s="42"/>
      <c r="C14142" s="52"/>
      <c r="D14142"/>
      <c r="E14142"/>
      <c r="N14142" s="44"/>
    </row>
    <row r="14143" spans="1:14" x14ac:dyDescent="0.3">
      <c r="A14143" s="42"/>
      <c r="C14143" s="52"/>
      <c r="D14143"/>
      <c r="E14143"/>
      <c r="N14143" s="44"/>
    </row>
    <row r="14144" spans="1:14" x14ac:dyDescent="0.3">
      <c r="A14144" s="42"/>
      <c r="C14144" s="52"/>
      <c r="D14144"/>
      <c r="E14144"/>
      <c r="N14144" s="44"/>
    </row>
    <row r="14145" spans="1:14" x14ac:dyDescent="0.3">
      <c r="A14145" s="42"/>
      <c r="C14145" s="52"/>
      <c r="D14145"/>
      <c r="E14145"/>
      <c r="N14145" s="44"/>
    </row>
    <row r="14146" spans="1:14" x14ac:dyDescent="0.3">
      <c r="A14146" s="42"/>
      <c r="C14146" s="52"/>
      <c r="D14146"/>
      <c r="E14146"/>
      <c r="N14146" s="44"/>
    </row>
    <row r="14147" spans="1:14" x14ac:dyDescent="0.3">
      <c r="A14147" s="42"/>
      <c r="C14147" s="52"/>
      <c r="D14147"/>
      <c r="E14147"/>
      <c r="N14147" s="44"/>
    </row>
    <row r="14148" spans="1:14" x14ac:dyDescent="0.3">
      <c r="A14148" s="42"/>
      <c r="C14148" s="52"/>
      <c r="D14148"/>
      <c r="E14148"/>
      <c r="N14148" s="44"/>
    </row>
    <row r="14149" spans="1:14" x14ac:dyDescent="0.3">
      <c r="A14149" s="42"/>
      <c r="C14149" s="52"/>
      <c r="D14149"/>
      <c r="E14149"/>
      <c r="N14149" s="44"/>
    </row>
    <row r="14150" spans="1:14" x14ac:dyDescent="0.3">
      <c r="A14150" s="42"/>
      <c r="C14150" s="52"/>
      <c r="D14150"/>
      <c r="E14150"/>
      <c r="N14150" s="44"/>
    </row>
    <row r="14151" spans="1:14" x14ac:dyDescent="0.3">
      <c r="A14151" s="42"/>
      <c r="C14151" s="52"/>
      <c r="D14151"/>
      <c r="E14151"/>
      <c r="N14151" s="44"/>
    </row>
    <row r="14152" spans="1:14" x14ac:dyDescent="0.3">
      <c r="A14152" s="42"/>
      <c r="C14152" s="52"/>
      <c r="D14152"/>
      <c r="E14152"/>
      <c r="N14152" s="44"/>
    </row>
    <row r="14153" spans="1:14" x14ac:dyDescent="0.3">
      <c r="A14153" s="42"/>
      <c r="C14153" s="52"/>
      <c r="D14153"/>
      <c r="E14153"/>
      <c r="N14153" s="44"/>
    </row>
    <row r="14154" spans="1:14" x14ac:dyDescent="0.3">
      <c r="A14154" s="42"/>
      <c r="C14154" s="52"/>
      <c r="D14154"/>
      <c r="E14154"/>
      <c r="N14154" s="44"/>
    </row>
    <row r="14155" spans="1:14" x14ac:dyDescent="0.3">
      <c r="A14155" s="42"/>
      <c r="C14155" s="52"/>
      <c r="D14155"/>
      <c r="E14155"/>
      <c r="N14155" s="44"/>
    </row>
    <row r="14156" spans="1:14" x14ac:dyDescent="0.3">
      <c r="A14156" s="42"/>
      <c r="C14156" s="52"/>
      <c r="D14156"/>
      <c r="E14156"/>
      <c r="N14156" s="44"/>
    </row>
    <row r="14157" spans="1:14" x14ac:dyDescent="0.3">
      <c r="A14157" s="42"/>
      <c r="C14157" s="52"/>
      <c r="D14157"/>
      <c r="E14157"/>
      <c r="N14157" s="44"/>
    </row>
    <row r="14158" spans="1:14" x14ac:dyDescent="0.3">
      <c r="A14158" s="42"/>
      <c r="C14158" s="52"/>
      <c r="D14158"/>
      <c r="E14158"/>
      <c r="N14158" s="44"/>
    </row>
    <row r="14159" spans="1:14" x14ac:dyDescent="0.3">
      <c r="A14159" s="42"/>
      <c r="C14159" s="52"/>
      <c r="D14159"/>
      <c r="E14159"/>
      <c r="N14159" s="44"/>
    </row>
    <row r="14160" spans="1:14" x14ac:dyDescent="0.3">
      <c r="A14160" s="42"/>
      <c r="C14160" s="52"/>
      <c r="D14160"/>
      <c r="E14160"/>
      <c r="N14160" s="44"/>
    </row>
    <row r="14161" spans="1:14" x14ac:dyDescent="0.3">
      <c r="A14161" s="42"/>
      <c r="C14161" s="52"/>
      <c r="D14161"/>
      <c r="E14161"/>
      <c r="N14161" s="44"/>
    </row>
    <row r="14162" spans="1:14" x14ac:dyDescent="0.3">
      <c r="A14162" s="42"/>
      <c r="C14162" s="52"/>
      <c r="D14162"/>
      <c r="E14162"/>
      <c r="N14162" s="44"/>
    </row>
    <row r="14163" spans="1:14" x14ac:dyDescent="0.3">
      <c r="A14163" s="42"/>
      <c r="C14163" s="52"/>
      <c r="D14163"/>
      <c r="E14163"/>
      <c r="M14163" s="45"/>
      <c r="N14163" s="44"/>
    </row>
    <row r="14164" spans="1:14" x14ac:dyDescent="0.3">
      <c r="A14164" s="42"/>
      <c r="C14164" s="52"/>
      <c r="D14164"/>
      <c r="E14164"/>
      <c r="M14164" s="45"/>
      <c r="N14164" s="44"/>
    </row>
    <row r="14165" spans="1:14" x14ac:dyDescent="0.3">
      <c r="A14165" s="42"/>
      <c r="C14165" s="52"/>
      <c r="D14165"/>
      <c r="E14165"/>
      <c r="N14165" s="44"/>
    </row>
    <row r="14166" spans="1:14" x14ac:dyDescent="0.3">
      <c r="A14166" s="42"/>
      <c r="C14166" s="52"/>
      <c r="D14166"/>
      <c r="E14166"/>
      <c r="N14166" s="44"/>
    </row>
    <row r="14167" spans="1:14" x14ac:dyDescent="0.3">
      <c r="A14167" s="42"/>
      <c r="C14167" s="52"/>
      <c r="D14167"/>
      <c r="E14167"/>
      <c r="N14167" s="44"/>
    </row>
    <row r="14168" spans="1:14" x14ac:dyDescent="0.3">
      <c r="A14168" s="42"/>
      <c r="C14168" s="52"/>
      <c r="D14168"/>
      <c r="E14168"/>
      <c r="N14168" s="44"/>
    </row>
    <row r="14169" spans="1:14" x14ac:dyDescent="0.3">
      <c r="A14169" s="42"/>
      <c r="C14169" s="52"/>
      <c r="D14169"/>
      <c r="E14169"/>
      <c r="N14169" s="44"/>
    </row>
    <row r="14170" spans="1:14" x14ac:dyDescent="0.3">
      <c r="A14170" s="42"/>
      <c r="C14170" s="52"/>
      <c r="D14170"/>
      <c r="E14170"/>
      <c r="N14170" s="44"/>
    </row>
    <row r="14171" spans="1:14" x14ac:dyDescent="0.3">
      <c r="A14171" s="42"/>
      <c r="C14171" s="52"/>
      <c r="D14171"/>
      <c r="E14171"/>
      <c r="N14171" s="44"/>
    </row>
    <row r="14172" spans="1:14" x14ac:dyDescent="0.3">
      <c r="A14172" s="42"/>
      <c r="C14172" s="52"/>
      <c r="D14172"/>
      <c r="E14172"/>
      <c r="N14172" s="44"/>
    </row>
    <row r="14173" spans="1:14" x14ac:dyDescent="0.3">
      <c r="A14173" s="42"/>
      <c r="C14173" s="52"/>
      <c r="D14173"/>
      <c r="E14173"/>
      <c r="N14173" s="44"/>
    </row>
    <row r="14174" spans="1:14" x14ac:dyDescent="0.3">
      <c r="A14174" s="42"/>
      <c r="C14174" s="52"/>
      <c r="D14174"/>
      <c r="E14174"/>
      <c r="N14174" s="44"/>
    </row>
    <row r="14175" spans="1:14" x14ac:dyDescent="0.3">
      <c r="A14175" s="42"/>
      <c r="C14175" s="52"/>
      <c r="D14175"/>
      <c r="E14175"/>
      <c r="N14175" s="44"/>
    </row>
    <row r="14176" spans="1:14" x14ac:dyDescent="0.3">
      <c r="A14176" s="42"/>
      <c r="C14176" s="52"/>
      <c r="D14176"/>
      <c r="E14176"/>
      <c r="N14176" s="44"/>
    </row>
    <row r="14177" spans="1:14" x14ac:dyDescent="0.3">
      <c r="A14177" s="42"/>
      <c r="C14177" s="52"/>
      <c r="D14177"/>
      <c r="E14177"/>
      <c r="N14177" s="44"/>
    </row>
    <row r="14178" spans="1:14" x14ac:dyDescent="0.3">
      <c r="A14178" s="42"/>
      <c r="C14178" s="52"/>
      <c r="D14178"/>
      <c r="E14178"/>
      <c r="N14178" s="44"/>
    </row>
    <row r="14179" spans="1:14" x14ac:dyDescent="0.3">
      <c r="A14179" s="42"/>
      <c r="C14179" s="52"/>
      <c r="D14179"/>
      <c r="E14179"/>
      <c r="N14179" s="44"/>
    </row>
    <row r="14180" spans="1:14" x14ac:dyDescent="0.3">
      <c r="A14180" s="42"/>
      <c r="C14180" s="52"/>
      <c r="D14180"/>
      <c r="E14180"/>
      <c r="N14180" s="44"/>
    </row>
    <row r="14181" spans="1:14" x14ac:dyDescent="0.3">
      <c r="A14181" s="42"/>
      <c r="C14181" s="52"/>
      <c r="D14181"/>
      <c r="E14181"/>
      <c r="N14181" s="44"/>
    </row>
    <row r="14182" spans="1:14" x14ac:dyDescent="0.3">
      <c r="A14182" s="42"/>
      <c r="C14182" s="52"/>
      <c r="D14182"/>
      <c r="E14182"/>
      <c r="N14182" s="44"/>
    </row>
    <row r="14183" spans="1:14" x14ac:dyDescent="0.3">
      <c r="A14183" s="42"/>
      <c r="C14183" s="52"/>
      <c r="D14183"/>
      <c r="E14183"/>
      <c r="N14183" s="44"/>
    </row>
    <row r="14184" spans="1:14" x14ac:dyDescent="0.3">
      <c r="A14184" s="42"/>
      <c r="C14184" s="52"/>
      <c r="D14184"/>
      <c r="E14184"/>
      <c r="N14184" s="44"/>
    </row>
    <row r="14185" spans="1:14" x14ac:dyDescent="0.3">
      <c r="A14185" s="42"/>
      <c r="C14185" s="52"/>
      <c r="D14185"/>
      <c r="E14185"/>
      <c r="N14185" s="44"/>
    </row>
    <row r="14186" spans="1:14" x14ac:dyDescent="0.3">
      <c r="A14186" s="42"/>
      <c r="C14186" s="52"/>
      <c r="D14186"/>
      <c r="E14186"/>
      <c r="N14186" s="44"/>
    </row>
    <row r="14187" spans="1:14" x14ac:dyDescent="0.3">
      <c r="A14187" s="42"/>
      <c r="C14187" s="52"/>
      <c r="D14187"/>
      <c r="E14187"/>
      <c r="M14187" s="45"/>
      <c r="N14187" s="44"/>
    </row>
    <row r="14188" spans="1:14" x14ac:dyDescent="0.3">
      <c r="A14188" s="42"/>
      <c r="C14188" s="52"/>
      <c r="D14188"/>
      <c r="E14188"/>
      <c r="N14188" s="44"/>
    </row>
    <row r="14189" spans="1:14" x14ac:dyDescent="0.3">
      <c r="A14189" s="42"/>
      <c r="C14189" s="52"/>
      <c r="D14189"/>
      <c r="E14189"/>
      <c r="N14189" s="44"/>
    </row>
    <row r="14190" spans="1:14" x14ac:dyDescent="0.3">
      <c r="A14190" s="42"/>
      <c r="C14190" s="52"/>
      <c r="D14190"/>
      <c r="E14190"/>
      <c r="N14190" s="44"/>
    </row>
    <row r="14191" spans="1:14" x14ac:dyDescent="0.3">
      <c r="A14191" s="42"/>
      <c r="C14191" s="52"/>
      <c r="D14191"/>
      <c r="E14191"/>
      <c r="N14191" s="44"/>
    </row>
    <row r="14192" spans="1:14" x14ac:dyDescent="0.3">
      <c r="A14192" s="42"/>
      <c r="C14192" s="52"/>
      <c r="D14192"/>
      <c r="E14192"/>
      <c r="N14192" s="44"/>
    </row>
    <row r="14193" spans="1:14" x14ac:dyDescent="0.3">
      <c r="A14193" s="42"/>
      <c r="C14193" s="52"/>
      <c r="D14193"/>
      <c r="E14193"/>
      <c r="N14193" s="44"/>
    </row>
    <row r="14194" spans="1:14" x14ac:dyDescent="0.3">
      <c r="A14194" s="42"/>
      <c r="C14194" s="52"/>
      <c r="D14194"/>
      <c r="E14194"/>
      <c r="N14194" s="44"/>
    </row>
    <row r="14195" spans="1:14" x14ac:dyDescent="0.3">
      <c r="A14195" s="42"/>
      <c r="C14195" s="52"/>
      <c r="D14195"/>
      <c r="E14195"/>
      <c r="N14195" s="44"/>
    </row>
    <row r="14196" spans="1:14" x14ac:dyDescent="0.3">
      <c r="A14196" s="42"/>
      <c r="C14196" s="52"/>
      <c r="D14196"/>
      <c r="E14196"/>
      <c r="N14196" s="44"/>
    </row>
    <row r="14197" spans="1:14" x14ac:dyDescent="0.3">
      <c r="A14197" s="42"/>
      <c r="C14197" s="52"/>
      <c r="D14197"/>
      <c r="E14197"/>
      <c r="N14197" s="44"/>
    </row>
    <row r="14198" spans="1:14" x14ac:dyDescent="0.3">
      <c r="A14198" s="42"/>
      <c r="C14198" s="52"/>
      <c r="D14198"/>
      <c r="E14198"/>
      <c r="N14198" s="44"/>
    </row>
    <row r="14199" spans="1:14" x14ac:dyDescent="0.3">
      <c r="A14199" s="42"/>
      <c r="C14199" s="52"/>
      <c r="D14199"/>
      <c r="E14199"/>
      <c r="N14199" s="44"/>
    </row>
    <row r="14200" spans="1:14" x14ac:dyDescent="0.3">
      <c r="A14200" s="42"/>
      <c r="C14200" s="52"/>
      <c r="D14200"/>
      <c r="E14200"/>
      <c r="N14200" s="44"/>
    </row>
    <row r="14201" spans="1:14" x14ac:dyDescent="0.3">
      <c r="A14201" s="42"/>
      <c r="C14201" s="52"/>
      <c r="D14201"/>
      <c r="E14201"/>
      <c r="N14201" s="44"/>
    </row>
    <row r="14202" spans="1:14" x14ac:dyDescent="0.3">
      <c r="A14202" s="42"/>
      <c r="C14202" s="52"/>
      <c r="D14202"/>
      <c r="E14202"/>
      <c r="N14202" s="44"/>
    </row>
    <row r="14203" spans="1:14" x14ac:dyDescent="0.3">
      <c r="A14203" s="42"/>
      <c r="C14203" s="52"/>
      <c r="D14203"/>
      <c r="E14203"/>
      <c r="N14203" s="44"/>
    </row>
    <row r="14204" spans="1:14" x14ac:dyDescent="0.3">
      <c r="A14204" s="42"/>
      <c r="C14204" s="52"/>
      <c r="D14204"/>
      <c r="E14204"/>
      <c r="N14204" s="44"/>
    </row>
    <row r="14205" spans="1:14" x14ac:dyDescent="0.3">
      <c r="A14205" s="42"/>
      <c r="C14205" s="52"/>
      <c r="D14205"/>
      <c r="E14205"/>
      <c r="N14205" s="44"/>
    </row>
    <row r="14206" spans="1:14" x14ac:dyDescent="0.3">
      <c r="A14206" s="42"/>
      <c r="C14206" s="52"/>
      <c r="D14206"/>
      <c r="E14206"/>
      <c r="N14206" s="44"/>
    </row>
    <row r="14207" spans="1:14" x14ac:dyDescent="0.3">
      <c r="A14207" s="42"/>
      <c r="C14207" s="52"/>
      <c r="D14207"/>
      <c r="E14207"/>
      <c r="N14207" s="44"/>
    </row>
    <row r="14208" spans="1:14" x14ac:dyDescent="0.3">
      <c r="A14208" s="42"/>
      <c r="C14208" s="52"/>
      <c r="D14208"/>
      <c r="E14208"/>
      <c r="N14208" s="44"/>
    </row>
    <row r="14209" spans="1:14" x14ac:dyDescent="0.3">
      <c r="A14209" s="42"/>
      <c r="C14209" s="52"/>
      <c r="D14209"/>
      <c r="E14209"/>
      <c r="N14209" s="44"/>
    </row>
    <row r="14210" spans="1:14" x14ac:dyDescent="0.3">
      <c r="A14210" s="42"/>
      <c r="C14210" s="52"/>
      <c r="D14210"/>
      <c r="E14210"/>
      <c r="N14210" s="44"/>
    </row>
    <row r="14211" spans="1:14" x14ac:dyDescent="0.3">
      <c r="A14211" s="42"/>
      <c r="C14211" s="52"/>
      <c r="D14211"/>
      <c r="E14211"/>
      <c r="N14211" s="44"/>
    </row>
    <row r="14212" spans="1:14" x14ac:dyDescent="0.3">
      <c r="A14212" s="42"/>
      <c r="C14212" s="52"/>
      <c r="D14212"/>
      <c r="E14212"/>
      <c r="N14212" s="44"/>
    </row>
    <row r="14213" spans="1:14" x14ac:dyDescent="0.3">
      <c r="A14213" s="42"/>
      <c r="C14213" s="52"/>
      <c r="D14213"/>
      <c r="E14213"/>
      <c r="N14213" s="44"/>
    </row>
    <row r="14214" spans="1:14" x14ac:dyDescent="0.3">
      <c r="A14214" s="42"/>
      <c r="C14214" s="52"/>
      <c r="D14214"/>
      <c r="E14214"/>
      <c r="N14214" s="44"/>
    </row>
    <row r="14215" spans="1:14" x14ac:dyDescent="0.3">
      <c r="A14215" s="42"/>
      <c r="C14215" s="52"/>
      <c r="D14215"/>
      <c r="E14215"/>
      <c r="N14215" s="44"/>
    </row>
    <row r="14216" spans="1:14" x14ac:dyDescent="0.3">
      <c r="A14216" s="42"/>
      <c r="C14216" s="52"/>
      <c r="D14216"/>
      <c r="E14216"/>
      <c r="N14216" s="44"/>
    </row>
    <row r="14217" spans="1:14" x14ac:dyDescent="0.3">
      <c r="A14217" s="42"/>
      <c r="C14217" s="52"/>
      <c r="D14217"/>
      <c r="E14217"/>
      <c r="M14217" s="45"/>
      <c r="N14217" s="44"/>
    </row>
    <row r="14218" spans="1:14" x14ac:dyDescent="0.3">
      <c r="A14218" s="42"/>
      <c r="C14218" s="52"/>
      <c r="D14218"/>
      <c r="E14218"/>
      <c r="N14218" s="44"/>
    </row>
    <row r="14219" spans="1:14" x14ac:dyDescent="0.3">
      <c r="A14219" s="42"/>
      <c r="C14219" s="52"/>
      <c r="D14219"/>
      <c r="E14219"/>
      <c r="N14219" s="44"/>
    </row>
    <row r="14220" spans="1:14" x14ac:dyDescent="0.3">
      <c r="A14220" s="42"/>
      <c r="C14220" s="52"/>
      <c r="D14220"/>
      <c r="E14220"/>
      <c r="N14220" s="44"/>
    </row>
    <row r="14221" spans="1:14" x14ac:dyDescent="0.3">
      <c r="A14221" s="42"/>
      <c r="C14221" s="52"/>
      <c r="D14221"/>
      <c r="E14221"/>
      <c r="N14221" s="44"/>
    </row>
    <row r="14222" spans="1:14" x14ac:dyDescent="0.3">
      <c r="A14222" s="42"/>
      <c r="C14222" s="52"/>
      <c r="D14222"/>
      <c r="E14222"/>
      <c r="N14222" s="44"/>
    </row>
    <row r="14223" spans="1:14" x14ac:dyDescent="0.3">
      <c r="A14223" s="42"/>
      <c r="C14223" s="52"/>
      <c r="D14223"/>
      <c r="E14223"/>
      <c r="N14223" s="44"/>
    </row>
    <row r="14224" spans="1:14" x14ac:dyDescent="0.3">
      <c r="A14224" s="42"/>
      <c r="C14224" s="52"/>
      <c r="D14224"/>
      <c r="E14224"/>
      <c r="N14224" s="44"/>
    </row>
    <row r="14225" spans="1:14" x14ac:dyDescent="0.3">
      <c r="A14225" s="42"/>
      <c r="C14225" s="52"/>
      <c r="D14225"/>
      <c r="E14225"/>
      <c r="N14225" s="44"/>
    </row>
    <row r="14226" spans="1:14" x14ac:dyDescent="0.3">
      <c r="A14226" s="42"/>
      <c r="C14226" s="52"/>
      <c r="D14226"/>
      <c r="E14226"/>
      <c r="N14226" s="44"/>
    </row>
    <row r="14227" spans="1:14" x14ac:dyDescent="0.3">
      <c r="A14227" s="42"/>
      <c r="C14227" s="52"/>
      <c r="D14227"/>
      <c r="E14227"/>
      <c r="N14227" s="44"/>
    </row>
    <row r="14228" spans="1:14" x14ac:dyDescent="0.3">
      <c r="A14228" s="42"/>
      <c r="C14228" s="52"/>
      <c r="D14228"/>
      <c r="E14228"/>
      <c r="N14228" s="44"/>
    </row>
    <row r="14229" spans="1:14" x14ac:dyDescent="0.3">
      <c r="A14229" s="42"/>
      <c r="C14229" s="52"/>
      <c r="D14229"/>
      <c r="E14229"/>
      <c r="N14229" s="44"/>
    </row>
    <row r="14230" spans="1:14" x14ac:dyDescent="0.3">
      <c r="A14230" s="42"/>
      <c r="C14230" s="52"/>
      <c r="D14230"/>
      <c r="E14230"/>
      <c r="N14230" s="44"/>
    </row>
    <row r="14231" spans="1:14" x14ac:dyDescent="0.3">
      <c r="A14231" s="42"/>
      <c r="C14231" s="52"/>
      <c r="D14231"/>
      <c r="E14231"/>
      <c r="N14231" s="44"/>
    </row>
    <row r="14232" spans="1:14" x14ac:dyDescent="0.3">
      <c r="A14232" s="42"/>
      <c r="C14232" s="52"/>
      <c r="D14232"/>
      <c r="E14232"/>
      <c r="N14232" s="44"/>
    </row>
    <row r="14233" spans="1:14" x14ac:dyDescent="0.3">
      <c r="A14233" s="42"/>
      <c r="C14233" s="52"/>
      <c r="D14233"/>
      <c r="E14233"/>
      <c r="N14233" s="44"/>
    </row>
    <row r="14234" spans="1:14" x14ac:dyDescent="0.3">
      <c r="A14234" s="42"/>
      <c r="C14234" s="52"/>
      <c r="D14234"/>
      <c r="E14234"/>
      <c r="N14234" s="44"/>
    </row>
    <row r="14235" spans="1:14" x14ac:dyDescent="0.3">
      <c r="A14235" s="42"/>
      <c r="C14235" s="52"/>
      <c r="D14235"/>
      <c r="E14235"/>
      <c r="N14235" s="44"/>
    </row>
    <row r="14236" spans="1:14" x14ac:dyDescent="0.3">
      <c r="A14236" s="42"/>
      <c r="C14236" s="52"/>
      <c r="D14236"/>
      <c r="E14236"/>
      <c r="N14236" s="44"/>
    </row>
    <row r="14237" spans="1:14" x14ac:dyDescent="0.3">
      <c r="A14237" s="42"/>
      <c r="C14237" s="52"/>
      <c r="D14237"/>
      <c r="E14237"/>
      <c r="N14237" s="44"/>
    </row>
    <row r="14238" spans="1:14" x14ac:dyDescent="0.3">
      <c r="A14238" s="42"/>
      <c r="C14238" s="52"/>
      <c r="D14238"/>
      <c r="E14238"/>
      <c r="N14238" s="44"/>
    </row>
    <row r="14239" spans="1:14" x14ac:dyDescent="0.3">
      <c r="A14239" s="42"/>
      <c r="C14239" s="52"/>
      <c r="D14239"/>
      <c r="E14239"/>
      <c r="N14239" s="44"/>
    </row>
    <row r="14240" spans="1:14" x14ac:dyDescent="0.3">
      <c r="A14240" s="42"/>
      <c r="C14240" s="52"/>
      <c r="D14240"/>
      <c r="E14240"/>
      <c r="N14240" s="44"/>
    </row>
    <row r="14241" spans="1:14" x14ac:dyDescent="0.3">
      <c r="A14241" s="42"/>
      <c r="C14241" s="52"/>
      <c r="D14241"/>
      <c r="E14241"/>
      <c r="F14241"/>
      <c r="L14241" s="45"/>
      <c r="N14241" s="44"/>
    </row>
    <row r="14242" spans="1:14" x14ac:dyDescent="0.3">
      <c r="A14242" s="42"/>
      <c r="C14242" s="52"/>
      <c r="D14242"/>
      <c r="E14242"/>
      <c r="F14242"/>
      <c r="L14242" s="45"/>
      <c r="N14242" s="44"/>
    </row>
    <row r="14243" spans="1:14" x14ac:dyDescent="0.3">
      <c r="A14243" s="42"/>
      <c r="C14243" s="52"/>
      <c r="D14243"/>
      <c r="E14243"/>
      <c r="F14243"/>
      <c r="L14243" s="45"/>
      <c r="N14243" s="44"/>
    </row>
    <row r="14244" spans="1:14" x14ac:dyDescent="0.3">
      <c r="A14244" s="42"/>
      <c r="C14244" s="52"/>
      <c r="D14244"/>
      <c r="E14244"/>
      <c r="F14244"/>
      <c r="L14244" s="45"/>
      <c r="N14244" s="44"/>
    </row>
    <row r="14245" spans="1:14" x14ac:dyDescent="0.3">
      <c r="A14245" s="42"/>
      <c r="C14245" s="52"/>
      <c r="D14245"/>
      <c r="E14245"/>
      <c r="F14245"/>
      <c r="N14245" s="44"/>
    </row>
    <row r="14246" spans="1:14" x14ac:dyDescent="0.3">
      <c r="A14246" s="42"/>
      <c r="C14246" s="52"/>
      <c r="D14246"/>
      <c r="E14246"/>
      <c r="F14246"/>
      <c r="L14246" s="45"/>
      <c r="N14246" s="44"/>
    </row>
    <row r="14247" spans="1:14" x14ac:dyDescent="0.3">
      <c r="A14247" s="42"/>
      <c r="C14247" s="52"/>
      <c r="D14247"/>
      <c r="E14247"/>
      <c r="F14247"/>
      <c r="L14247" s="45"/>
      <c r="N14247" s="44"/>
    </row>
    <row r="14248" spans="1:14" x14ac:dyDescent="0.3">
      <c r="A14248" s="42"/>
      <c r="C14248" s="52"/>
      <c r="D14248"/>
      <c r="E14248"/>
      <c r="F14248"/>
      <c r="N14248" s="44"/>
    </row>
    <row r="14249" spans="1:14" x14ac:dyDescent="0.3">
      <c r="A14249" s="42"/>
      <c r="C14249" s="52"/>
      <c r="D14249"/>
      <c r="E14249"/>
      <c r="F14249"/>
      <c r="N14249" s="44"/>
    </row>
    <row r="14250" spans="1:14" x14ac:dyDescent="0.3">
      <c r="A14250" s="42"/>
      <c r="C14250" s="52"/>
      <c r="D14250"/>
      <c r="E14250"/>
      <c r="F14250"/>
      <c r="N14250" s="44"/>
    </row>
    <row r="14251" spans="1:14" x14ac:dyDescent="0.3">
      <c r="A14251" s="42"/>
      <c r="C14251" s="52"/>
      <c r="D14251"/>
      <c r="E14251"/>
      <c r="F14251"/>
      <c r="N14251" s="44"/>
    </row>
    <row r="14252" spans="1:14" x14ac:dyDescent="0.3">
      <c r="A14252" s="42"/>
      <c r="C14252" s="52"/>
      <c r="D14252"/>
      <c r="E14252"/>
      <c r="F14252"/>
      <c r="L14252" s="45"/>
      <c r="N14252" s="44"/>
    </row>
    <row r="14253" spans="1:14" x14ac:dyDescent="0.3">
      <c r="A14253" s="42"/>
      <c r="C14253" s="52"/>
      <c r="D14253"/>
      <c r="E14253"/>
      <c r="F14253"/>
      <c r="L14253" s="45"/>
      <c r="N14253" s="44"/>
    </row>
    <row r="14254" spans="1:14" x14ac:dyDescent="0.3">
      <c r="A14254" s="42"/>
      <c r="C14254" s="52"/>
      <c r="D14254"/>
      <c r="E14254"/>
      <c r="F14254"/>
      <c r="L14254" s="45"/>
      <c r="N14254" s="44"/>
    </row>
    <row r="14255" spans="1:14" x14ac:dyDescent="0.3">
      <c r="A14255" s="42"/>
      <c r="C14255" s="52"/>
      <c r="D14255"/>
      <c r="E14255"/>
      <c r="F14255"/>
      <c r="L14255" s="45"/>
      <c r="N14255" s="44"/>
    </row>
    <row r="14256" spans="1:14" x14ac:dyDescent="0.3">
      <c r="A14256" s="42"/>
      <c r="C14256" s="52"/>
      <c r="D14256"/>
      <c r="E14256"/>
      <c r="F14256"/>
      <c r="L14256" s="45"/>
      <c r="N14256" s="44"/>
    </row>
    <row r="14257" spans="1:14" x14ac:dyDescent="0.3">
      <c r="A14257" s="42"/>
      <c r="C14257" s="52"/>
      <c r="D14257"/>
      <c r="E14257"/>
      <c r="F14257"/>
      <c r="L14257" s="45"/>
      <c r="N14257" s="44"/>
    </row>
    <row r="14258" spans="1:14" x14ac:dyDescent="0.3">
      <c r="A14258" s="42"/>
      <c r="C14258" s="52"/>
      <c r="D14258"/>
      <c r="E14258"/>
      <c r="F14258"/>
      <c r="L14258" s="45"/>
      <c r="N14258" s="44"/>
    </row>
    <row r="14259" spans="1:14" x14ac:dyDescent="0.3">
      <c r="A14259" s="42"/>
      <c r="C14259" s="52"/>
      <c r="D14259"/>
      <c r="E14259"/>
      <c r="F14259"/>
      <c r="L14259" s="45"/>
      <c r="N14259" s="44"/>
    </row>
    <row r="14260" spans="1:14" x14ac:dyDescent="0.3">
      <c r="A14260" s="42"/>
      <c r="C14260" s="52"/>
      <c r="D14260"/>
      <c r="E14260"/>
      <c r="F14260"/>
      <c r="L14260" s="45"/>
      <c r="N14260" s="44"/>
    </row>
    <row r="14261" spans="1:14" x14ac:dyDescent="0.3">
      <c r="A14261" s="42"/>
      <c r="C14261" s="52"/>
      <c r="D14261"/>
      <c r="E14261"/>
      <c r="F14261"/>
      <c r="L14261" s="45"/>
      <c r="N14261" s="44"/>
    </row>
    <row r="14262" spans="1:14" x14ac:dyDescent="0.3">
      <c r="A14262" s="42"/>
      <c r="C14262" s="52"/>
      <c r="D14262"/>
      <c r="E14262"/>
      <c r="F14262"/>
      <c r="L14262" s="45"/>
      <c r="N14262" s="44"/>
    </row>
    <row r="14263" spans="1:14" x14ac:dyDescent="0.3">
      <c r="A14263" s="42"/>
      <c r="C14263" s="52"/>
      <c r="D14263"/>
      <c r="E14263"/>
      <c r="F14263"/>
      <c r="L14263" s="45"/>
      <c r="N14263" s="44"/>
    </row>
    <row r="14264" spans="1:14" x14ac:dyDescent="0.3">
      <c r="A14264" s="42"/>
      <c r="C14264" s="52"/>
      <c r="D14264"/>
      <c r="E14264"/>
      <c r="F14264"/>
      <c r="N14264" s="44"/>
    </row>
    <row r="14265" spans="1:14" x14ac:dyDescent="0.3">
      <c r="A14265" s="42"/>
      <c r="C14265" s="52"/>
      <c r="D14265"/>
      <c r="E14265"/>
      <c r="F14265"/>
      <c r="N14265" s="44"/>
    </row>
    <row r="14266" spans="1:14" x14ac:dyDescent="0.3">
      <c r="A14266" s="42"/>
      <c r="C14266" s="52"/>
      <c r="D14266"/>
      <c r="E14266"/>
      <c r="F14266"/>
      <c r="N14266" s="44"/>
    </row>
    <row r="14267" spans="1:14" x14ac:dyDescent="0.3">
      <c r="A14267" s="42"/>
      <c r="C14267" s="52"/>
      <c r="D14267"/>
      <c r="E14267"/>
      <c r="F14267"/>
      <c r="N14267" s="44"/>
    </row>
    <row r="14268" spans="1:14" x14ac:dyDescent="0.3">
      <c r="A14268" s="42"/>
      <c r="C14268" s="52"/>
      <c r="D14268"/>
      <c r="E14268"/>
      <c r="F14268"/>
      <c r="N14268" s="44"/>
    </row>
    <row r="14269" spans="1:14" x14ac:dyDescent="0.3">
      <c r="A14269" s="42"/>
      <c r="C14269" s="52"/>
      <c r="D14269"/>
      <c r="E14269"/>
      <c r="F14269"/>
      <c r="N14269" s="44"/>
    </row>
    <row r="14270" spans="1:14" x14ac:dyDescent="0.3">
      <c r="A14270" s="42"/>
      <c r="C14270" s="52"/>
      <c r="D14270"/>
      <c r="E14270"/>
      <c r="F14270"/>
      <c r="L14270" s="45"/>
      <c r="N14270" s="44"/>
    </row>
    <row r="14271" spans="1:14" x14ac:dyDescent="0.3">
      <c r="A14271" s="42"/>
      <c r="C14271" s="52"/>
      <c r="D14271"/>
      <c r="E14271"/>
      <c r="F14271"/>
      <c r="N14271" s="44"/>
    </row>
    <row r="14272" spans="1:14" x14ac:dyDescent="0.3">
      <c r="A14272" s="42"/>
      <c r="C14272" s="52"/>
      <c r="D14272"/>
      <c r="E14272"/>
      <c r="F14272"/>
      <c r="L14272" s="45"/>
      <c r="N14272" s="44"/>
    </row>
    <row r="14273" spans="1:14" x14ac:dyDescent="0.3">
      <c r="A14273" s="42"/>
      <c r="C14273" s="52"/>
      <c r="D14273"/>
      <c r="E14273"/>
      <c r="F14273"/>
      <c r="N14273" s="44"/>
    </row>
    <row r="14274" spans="1:14" x14ac:dyDescent="0.3">
      <c r="A14274" s="42"/>
      <c r="C14274" s="52"/>
      <c r="D14274"/>
      <c r="E14274"/>
      <c r="F14274"/>
      <c r="N14274" s="44"/>
    </row>
    <row r="14275" spans="1:14" x14ac:dyDescent="0.3">
      <c r="A14275" s="42"/>
      <c r="C14275" s="52"/>
      <c r="D14275"/>
      <c r="E14275"/>
      <c r="F14275"/>
      <c r="N14275" s="44"/>
    </row>
    <row r="14276" spans="1:14" x14ac:dyDescent="0.3">
      <c r="A14276" s="42"/>
      <c r="C14276" s="52"/>
      <c r="D14276"/>
      <c r="E14276"/>
      <c r="F14276"/>
      <c r="L14276" s="45"/>
      <c r="N14276" s="44"/>
    </row>
    <row r="14277" spans="1:14" x14ac:dyDescent="0.3">
      <c r="A14277" s="42"/>
      <c r="C14277" s="52"/>
      <c r="D14277"/>
      <c r="E14277"/>
      <c r="F14277"/>
      <c r="N14277" s="44"/>
    </row>
    <row r="14278" spans="1:14" x14ac:dyDescent="0.3">
      <c r="A14278" s="42"/>
      <c r="C14278" s="52"/>
      <c r="D14278"/>
      <c r="E14278"/>
      <c r="F14278"/>
      <c r="N14278" s="44"/>
    </row>
    <row r="14279" spans="1:14" x14ac:dyDescent="0.3">
      <c r="A14279" s="42"/>
      <c r="C14279" s="52"/>
      <c r="D14279"/>
      <c r="E14279"/>
      <c r="F14279"/>
      <c r="N14279" s="44"/>
    </row>
    <row r="14280" spans="1:14" x14ac:dyDescent="0.3">
      <c r="A14280" s="42"/>
      <c r="C14280" s="52"/>
      <c r="D14280"/>
      <c r="E14280"/>
      <c r="F14280"/>
      <c r="N14280" s="44"/>
    </row>
    <row r="14281" spans="1:14" x14ac:dyDescent="0.3">
      <c r="A14281" s="42"/>
      <c r="C14281" s="52"/>
      <c r="D14281"/>
      <c r="E14281"/>
      <c r="F14281"/>
      <c r="N14281" s="44"/>
    </row>
    <row r="14282" spans="1:14" x14ac:dyDescent="0.3">
      <c r="A14282" s="42"/>
      <c r="C14282" s="52"/>
      <c r="D14282"/>
      <c r="E14282"/>
      <c r="F14282"/>
      <c r="N14282" s="44"/>
    </row>
    <row r="14283" spans="1:14" x14ac:dyDescent="0.3">
      <c r="A14283" s="42"/>
      <c r="C14283" s="52"/>
      <c r="D14283"/>
      <c r="E14283"/>
      <c r="F14283"/>
      <c r="N14283" s="44"/>
    </row>
    <row r="14284" spans="1:14" x14ac:dyDescent="0.3">
      <c r="A14284" s="42"/>
      <c r="C14284" s="52"/>
      <c r="D14284"/>
      <c r="E14284"/>
      <c r="F14284"/>
      <c r="L14284" s="45"/>
      <c r="N14284" s="44"/>
    </row>
    <row r="14285" spans="1:14" x14ac:dyDescent="0.3">
      <c r="A14285" s="42"/>
      <c r="C14285" s="52"/>
      <c r="D14285"/>
      <c r="E14285"/>
      <c r="F14285"/>
      <c r="L14285" s="45"/>
      <c r="N14285" s="44"/>
    </row>
    <row r="14286" spans="1:14" x14ac:dyDescent="0.3">
      <c r="A14286" s="42"/>
      <c r="C14286" s="52"/>
      <c r="D14286"/>
      <c r="E14286"/>
      <c r="F14286"/>
      <c r="N14286" s="44"/>
    </row>
    <row r="14287" spans="1:14" x14ac:dyDescent="0.3">
      <c r="A14287" s="42"/>
      <c r="C14287" s="52"/>
      <c r="D14287"/>
      <c r="E14287"/>
      <c r="F14287"/>
      <c r="N14287" s="44"/>
    </row>
    <row r="14288" spans="1:14" x14ac:dyDescent="0.3">
      <c r="A14288" s="42"/>
      <c r="C14288" s="52"/>
      <c r="D14288"/>
      <c r="E14288"/>
      <c r="F14288"/>
      <c r="L14288" s="45"/>
      <c r="N14288" s="44"/>
    </row>
    <row r="14289" spans="1:14" x14ac:dyDescent="0.3">
      <c r="A14289" s="42"/>
      <c r="C14289" s="52"/>
      <c r="D14289"/>
      <c r="E14289"/>
      <c r="F14289"/>
      <c r="N14289" s="44"/>
    </row>
    <row r="14290" spans="1:14" x14ac:dyDescent="0.3">
      <c r="A14290" s="42"/>
      <c r="C14290" s="52"/>
      <c r="D14290"/>
      <c r="E14290"/>
      <c r="F14290"/>
      <c r="N14290" s="44"/>
    </row>
    <row r="14291" spans="1:14" x14ac:dyDescent="0.3">
      <c r="A14291" s="42"/>
      <c r="C14291" s="52"/>
      <c r="D14291"/>
      <c r="E14291"/>
      <c r="F14291"/>
      <c r="N14291" s="44"/>
    </row>
    <row r="14292" spans="1:14" x14ac:dyDescent="0.3">
      <c r="A14292" s="42"/>
      <c r="C14292" s="52"/>
      <c r="D14292"/>
      <c r="E14292"/>
      <c r="F14292"/>
      <c r="L14292" s="45"/>
      <c r="N14292" s="44"/>
    </row>
    <row r="14293" spans="1:14" x14ac:dyDescent="0.3">
      <c r="A14293" s="42"/>
      <c r="C14293" s="52"/>
      <c r="D14293"/>
      <c r="E14293"/>
      <c r="F14293"/>
      <c r="N14293" s="44"/>
    </row>
    <row r="14294" spans="1:14" x14ac:dyDescent="0.3">
      <c r="A14294" s="42"/>
      <c r="C14294" s="52"/>
      <c r="D14294"/>
      <c r="E14294"/>
      <c r="F14294"/>
      <c r="N14294" s="44"/>
    </row>
    <row r="14295" spans="1:14" x14ac:dyDescent="0.3">
      <c r="A14295" s="42"/>
      <c r="C14295" s="52"/>
      <c r="D14295"/>
      <c r="E14295"/>
      <c r="F14295"/>
      <c r="N14295" s="44"/>
    </row>
    <row r="14296" spans="1:14" x14ac:dyDescent="0.3">
      <c r="A14296" s="42"/>
      <c r="C14296" s="52"/>
      <c r="D14296"/>
      <c r="E14296"/>
      <c r="F14296"/>
      <c r="N14296" s="44"/>
    </row>
    <row r="14297" spans="1:14" x14ac:dyDescent="0.3">
      <c r="A14297" s="42"/>
      <c r="C14297" s="52"/>
      <c r="D14297"/>
      <c r="E14297"/>
      <c r="F14297"/>
      <c r="N14297" s="44"/>
    </row>
    <row r="14298" spans="1:14" x14ac:dyDescent="0.3">
      <c r="A14298" s="42"/>
      <c r="C14298" s="52"/>
      <c r="D14298"/>
      <c r="E14298"/>
      <c r="F14298"/>
      <c r="N14298" s="44"/>
    </row>
    <row r="14299" spans="1:14" x14ac:dyDescent="0.3">
      <c r="A14299" s="42"/>
      <c r="C14299" s="52"/>
      <c r="D14299"/>
      <c r="E14299"/>
      <c r="F14299"/>
      <c r="N14299" s="44"/>
    </row>
    <row r="14300" spans="1:14" x14ac:dyDescent="0.3">
      <c r="A14300" s="42"/>
      <c r="C14300" s="52"/>
      <c r="D14300"/>
      <c r="E14300"/>
      <c r="F14300"/>
      <c r="N14300" s="44"/>
    </row>
    <row r="14301" spans="1:14" x14ac:dyDescent="0.3">
      <c r="A14301" s="42"/>
      <c r="C14301" s="52"/>
      <c r="D14301"/>
      <c r="E14301"/>
      <c r="F14301"/>
      <c r="N14301" s="44"/>
    </row>
    <row r="14302" spans="1:14" x14ac:dyDescent="0.3">
      <c r="A14302" s="42"/>
      <c r="C14302" s="52"/>
      <c r="D14302"/>
      <c r="E14302"/>
      <c r="F14302"/>
      <c r="N14302" s="44"/>
    </row>
    <row r="14303" spans="1:14" x14ac:dyDescent="0.3">
      <c r="A14303" s="42"/>
      <c r="C14303" s="52"/>
      <c r="D14303"/>
      <c r="E14303"/>
      <c r="F14303"/>
      <c r="L14303" s="45"/>
      <c r="N14303" s="44"/>
    </row>
    <row r="14304" spans="1:14" x14ac:dyDescent="0.3">
      <c r="A14304" s="42"/>
      <c r="C14304" s="52"/>
      <c r="D14304"/>
      <c r="E14304"/>
      <c r="F14304"/>
      <c r="L14304" s="45"/>
      <c r="N14304" s="44"/>
    </row>
    <row r="14305" spans="1:14" x14ac:dyDescent="0.3">
      <c r="A14305" s="42"/>
      <c r="C14305" s="52"/>
      <c r="D14305"/>
      <c r="E14305"/>
      <c r="F14305"/>
      <c r="N14305" s="44"/>
    </row>
    <row r="14306" spans="1:14" x14ac:dyDescent="0.3">
      <c r="A14306" s="42"/>
      <c r="C14306" s="52"/>
      <c r="D14306"/>
      <c r="E14306"/>
      <c r="F14306"/>
      <c r="N14306" s="44"/>
    </row>
    <row r="14307" spans="1:14" x14ac:dyDescent="0.3">
      <c r="A14307" s="42"/>
      <c r="C14307" s="52"/>
      <c r="D14307"/>
      <c r="E14307"/>
      <c r="F14307"/>
      <c r="N14307" s="44"/>
    </row>
    <row r="14308" spans="1:14" x14ac:dyDescent="0.3">
      <c r="A14308" s="42"/>
      <c r="C14308" s="52"/>
      <c r="D14308"/>
      <c r="E14308"/>
      <c r="F14308"/>
      <c r="N14308" s="44"/>
    </row>
    <row r="14309" spans="1:14" x14ac:dyDescent="0.3">
      <c r="A14309" s="42"/>
      <c r="C14309" s="52"/>
      <c r="D14309"/>
      <c r="E14309"/>
      <c r="F14309"/>
      <c r="N14309" s="44"/>
    </row>
    <row r="14310" spans="1:14" x14ac:dyDescent="0.3">
      <c r="A14310" s="42"/>
      <c r="C14310" s="52"/>
      <c r="D14310"/>
      <c r="E14310"/>
      <c r="F14310"/>
      <c r="N14310" s="44"/>
    </row>
    <row r="14311" spans="1:14" x14ac:dyDescent="0.3">
      <c r="A14311" s="42"/>
      <c r="C14311" s="52"/>
      <c r="D14311"/>
      <c r="E14311"/>
      <c r="F14311"/>
      <c r="N14311" s="44"/>
    </row>
    <row r="14312" spans="1:14" x14ac:dyDescent="0.3">
      <c r="A14312" s="42"/>
      <c r="C14312" s="52"/>
      <c r="D14312"/>
      <c r="E14312"/>
      <c r="F14312"/>
      <c r="N14312" s="44"/>
    </row>
    <row r="14313" spans="1:14" x14ac:dyDescent="0.3">
      <c r="A14313" s="42"/>
      <c r="C14313" s="52"/>
      <c r="D14313"/>
      <c r="E14313"/>
      <c r="F14313"/>
      <c r="N14313" s="44"/>
    </row>
    <row r="14314" spans="1:14" x14ac:dyDescent="0.3">
      <c r="A14314" s="42"/>
      <c r="C14314" s="52"/>
      <c r="D14314"/>
      <c r="E14314"/>
      <c r="F14314"/>
      <c r="N14314" s="44"/>
    </row>
    <row r="14315" spans="1:14" x14ac:dyDescent="0.3">
      <c r="A14315" s="42"/>
      <c r="C14315" s="52"/>
      <c r="D14315"/>
      <c r="E14315"/>
      <c r="F14315"/>
      <c r="N14315" s="44"/>
    </row>
    <row r="14316" spans="1:14" x14ac:dyDescent="0.3">
      <c r="A14316" s="42"/>
      <c r="C14316" s="52"/>
      <c r="D14316"/>
      <c r="E14316"/>
      <c r="F14316"/>
      <c r="N14316" s="44"/>
    </row>
    <row r="14317" spans="1:14" x14ac:dyDescent="0.3">
      <c r="A14317" s="42"/>
      <c r="C14317" s="52"/>
      <c r="D14317"/>
      <c r="E14317"/>
      <c r="F14317"/>
      <c r="N14317" s="44"/>
    </row>
    <row r="14318" spans="1:14" x14ac:dyDescent="0.3">
      <c r="A14318" s="42"/>
      <c r="C14318" s="52"/>
      <c r="D14318"/>
      <c r="E14318"/>
      <c r="F14318"/>
      <c r="N14318" s="44"/>
    </row>
    <row r="14319" spans="1:14" x14ac:dyDescent="0.3">
      <c r="A14319" s="42"/>
      <c r="C14319" s="52"/>
      <c r="D14319"/>
      <c r="E14319"/>
      <c r="F14319"/>
      <c r="N14319" s="44"/>
    </row>
    <row r="14320" spans="1:14" x14ac:dyDescent="0.3">
      <c r="A14320" s="42"/>
      <c r="C14320" s="52"/>
      <c r="D14320"/>
      <c r="E14320"/>
      <c r="F14320"/>
      <c r="N14320" s="44"/>
    </row>
    <row r="14321" spans="1:14" x14ac:dyDescent="0.3">
      <c r="A14321" s="42"/>
      <c r="C14321" s="52"/>
      <c r="D14321"/>
      <c r="E14321"/>
      <c r="F14321"/>
      <c r="N14321" s="44"/>
    </row>
    <row r="14322" spans="1:14" x14ac:dyDescent="0.3">
      <c r="A14322" s="42"/>
      <c r="C14322" s="52"/>
      <c r="D14322"/>
      <c r="E14322"/>
      <c r="F14322"/>
      <c r="N14322" s="44"/>
    </row>
    <row r="14323" spans="1:14" x14ac:dyDescent="0.3">
      <c r="A14323" s="42"/>
      <c r="C14323" s="52"/>
      <c r="D14323"/>
      <c r="E14323"/>
      <c r="F14323"/>
      <c r="N14323" s="44"/>
    </row>
    <row r="14324" spans="1:14" x14ac:dyDescent="0.3">
      <c r="A14324" s="42"/>
      <c r="C14324" s="52"/>
      <c r="D14324"/>
      <c r="E14324"/>
      <c r="F14324"/>
      <c r="N14324" s="44"/>
    </row>
    <row r="14325" spans="1:14" x14ac:dyDescent="0.3">
      <c r="A14325" s="42"/>
      <c r="C14325" s="52"/>
      <c r="D14325"/>
      <c r="E14325"/>
      <c r="F14325"/>
      <c r="N14325" s="44"/>
    </row>
    <row r="14326" spans="1:14" x14ac:dyDescent="0.3">
      <c r="A14326" s="42"/>
      <c r="C14326" s="52"/>
      <c r="D14326"/>
      <c r="E14326"/>
      <c r="F14326"/>
      <c r="N14326" s="44"/>
    </row>
    <row r="14327" spans="1:14" x14ac:dyDescent="0.3">
      <c r="A14327" s="42"/>
      <c r="C14327" s="52"/>
      <c r="D14327"/>
      <c r="E14327"/>
      <c r="F14327"/>
      <c r="N14327" s="44"/>
    </row>
    <row r="14328" spans="1:14" x14ac:dyDescent="0.3">
      <c r="A14328" s="42"/>
      <c r="C14328" s="52"/>
      <c r="D14328"/>
      <c r="E14328"/>
      <c r="F14328"/>
      <c r="L14328" s="45"/>
      <c r="N14328" s="44"/>
    </row>
    <row r="14329" spans="1:14" x14ac:dyDescent="0.3">
      <c r="A14329" s="42"/>
      <c r="C14329" s="52"/>
      <c r="D14329"/>
      <c r="E14329"/>
      <c r="F14329"/>
      <c r="N14329" s="44"/>
    </row>
    <row r="14330" spans="1:14" x14ac:dyDescent="0.3">
      <c r="A14330" s="42"/>
      <c r="C14330" s="52"/>
      <c r="D14330"/>
      <c r="E14330"/>
      <c r="F14330"/>
      <c r="L14330" s="45"/>
      <c r="N14330" s="44"/>
    </row>
    <row r="14331" spans="1:14" x14ac:dyDescent="0.3">
      <c r="A14331" s="42"/>
      <c r="C14331" s="52"/>
      <c r="D14331"/>
      <c r="E14331"/>
      <c r="F14331"/>
      <c r="N14331" s="44"/>
    </row>
    <row r="14332" spans="1:14" x14ac:dyDescent="0.3">
      <c r="A14332" s="42"/>
      <c r="C14332" s="52"/>
      <c r="D14332"/>
      <c r="E14332"/>
      <c r="F14332"/>
      <c r="N14332" s="44"/>
    </row>
    <row r="14333" spans="1:14" x14ac:dyDescent="0.3">
      <c r="A14333" s="42"/>
      <c r="C14333" s="52"/>
      <c r="D14333"/>
      <c r="E14333"/>
      <c r="F14333"/>
      <c r="N14333" s="44"/>
    </row>
    <row r="14334" spans="1:14" x14ac:dyDescent="0.3">
      <c r="A14334" s="42"/>
      <c r="C14334" s="52"/>
      <c r="D14334"/>
      <c r="E14334"/>
      <c r="F14334"/>
      <c r="N14334" s="44"/>
    </row>
    <row r="14335" spans="1:14" x14ac:dyDescent="0.3">
      <c r="A14335" s="42"/>
      <c r="C14335" s="52"/>
      <c r="D14335"/>
      <c r="E14335"/>
      <c r="F14335"/>
      <c r="L14335" s="45"/>
      <c r="N14335" s="44"/>
    </row>
    <row r="14336" spans="1:14" x14ac:dyDescent="0.3">
      <c r="A14336" s="42"/>
      <c r="C14336" s="52"/>
      <c r="D14336"/>
      <c r="E14336"/>
      <c r="F14336"/>
      <c r="N14336" s="44"/>
    </row>
    <row r="14337" spans="1:14" x14ac:dyDescent="0.3">
      <c r="A14337" s="42"/>
      <c r="C14337" s="52"/>
      <c r="D14337"/>
      <c r="E14337"/>
      <c r="F14337"/>
      <c r="N14337" s="44"/>
    </row>
    <row r="14338" spans="1:14" x14ac:dyDescent="0.3">
      <c r="A14338" s="42"/>
      <c r="C14338" s="52"/>
      <c r="D14338"/>
      <c r="E14338"/>
      <c r="F14338"/>
      <c r="N14338" s="44"/>
    </row>
    <row r="14339" spans="1:14" x14ac:dyDescent="0.3">
      <c r="A14339" s="42"/>
      <c r="C14339" s="52"/>
      <c r="D14339"/>
      <c r="E14339"/>
      <c r="F14339"/>
      <c r="N14339" s="44"/>
    </row>
    <row r="14340" spans="1:14" x14ac:dyDescent="0.3">
      <c r="A14340" s="42"/>
      <c r="C14340" s="52"/>
      <c r="D14340"/>
      <c r="E14340"/>
      <c r="F14340"/>
      <c r="N14340" s="44"/>
    </row>
    <row r="14341" spans="1:14" x14ac:dyDescent="0.3">
      <c r="A14341" s="42"/>
      <c r="C14341" s="52"/>
      <c r="D14341"/>
      <c r="E14341"/>
      <c r="F14341"/>
      <c r="L14341" s="45"/>
      <c r="N14341" s="44"/>
    </row>
    <row r="14342" spans="1:14" x14ac:dyDescent="0.3">
      <c r="A14342" s="42"/>
      <c r="C14342" s="52"/>
      <c r="D14342"/>
      <c r="E14342"/>
      <c r="F14342"/>
      <c r="N14342" s="44"/>
    </row>
    <row r="14343" spans="1:14" x14ac:dyDescent="0.3">
      <c r="A14343" s="42"/>
      <c r="C14343" s="52"/>
      <c r="D14343"/>
      <c r="E14343"/>
      <c r="F14343"/>
      <c r="N14343" s="44"/>
    </row>
    <row r="14344" spans="1:14" x14ac:dyDescent="0.3">
      <c r="A14344" s="42"/>
      <c r="C14344" s="52"/>
      <c r="D14344"/>
      <c r="E14344"/>
      <c r="F14344"/>
      <c r="N14344" s="44"/>
    </row>
    <row r="14345" spans="1:14" x14ac:dyDescent="0.3">
      <c r="A14345" s="42"/>
      <c r="C14345" s="52"/>
      <c r="D14345"/>
      <c r="E14345"/>
      <c r="F14345"/>
      <c r="N14345" s="44"/>
    </row>
    <row r="14346" spans="1:14" x14ac:dyDescent="0.3">
      <c r="A14346" s="42"/>
      <c r="C14346" s="52"/>
      <c r="D14346"/>
      <c r="E14346"/>
      <c r="F14346"/>
      <c r="N14346" s="44"/>
    </row>
    <row r="14347" spans="1:14" x14ac:dyDescent="0.3">
      <c r="A14347" s="42"/>
      <c r="C14347" s="52"/>
      <c r="D14347"/>
      <c r="E14347"/>
      <c r="F14347"/>
      <c r="N14347" s="44"/>
    </row>
    <row r="14348" spans="1:14" x14ac:dyDescent="0.3">
      <c r="A14348" s="42"/>
      <c r="C14348" s="52"/>
      <c r="D14348"/>
      <c r="E14348"/>
      <c r="F14348"/>
      <c r="N14348" s="44"/>
    </row>
    <row r="14349" spans="1:14" x14ac:dyDescent="0.3">
      <c r="A14349" s="42"/>
      <c r="C14349" s="52"/>
      <c r="D14349"/>
      <c r="E14349"/>
      <c r="F14349"/>
      <c r="N14349" s="44"/>
    </row>
    <row r="14350" spans="1:14" x14ac:dyDescent="0.3">
      <c r="A14350" s="42"/>
      <c r="C14350" s="52"/>
      <c r="D14350"/>
      <c r="E14350"/>
      <c r="F14350"/>
      <c r="N14350" s="44"/>
    </row>
    <row r="14351" spans="1:14" x14ac:dyDescent="0.3">
      <c r="A14351" s="42"/>
      <c r="C14351" s="52"/>
      <c r="D14351"/>
      <c r="E14351"/>
      <c r="F14351"/>
      <c r="L14351" s="45"/>
      <c r="N14351" s="44"/>
    </row>
    <row r="14352" spans="1:14" x14ac:dyDescent="0.3">
      <c r="A14352" s="42"/>
      <c r="C14352" s="52"/>
      <c r="D14352"/>
      <c r="E14352"/>
      <c r="F14352"/>
      <c r="N14352" s="44"/>
    </row>
    <row r="14353" spans="1:14" x14ac:dyDescent="0.3">
      <c r="A14353" s="42"/>
      <c r="C14353" s="52"/>
      <c r="D14353"/>
      <c r="E14353"/>
      <c r="F14353"/>
      <c r="M14353" s="45"/>
      <c r="N14353" s="44"/>
    </row>
    <row r="14354" spans="1:14" x14ac:dyDescent="0.3">
      <c r="A14354" s="42"/>
      <c r="C14354" s="52"/>
      <c r="D14354"/>
      <c r="E14354"/>
      <c r="F14354"/>
      <c r="L14354" s="45"/>
      <c r="N14354" s="44"/>
    </row>
    <row r="14355" spans="1:14" x14ac:dyDescent="0.3">
      <c r="A14355" s="42"/>
      <c r="C14355" s="52"/>
      <c r="D14355"/>
      <c r="E14355"/>
      <c r="F14355"/>
      <c r="L14355" s="45"/>
      <c r="N14355" s="44"/>
    </row>
    <row r="14356" spans="1:14" x14ac:dyDescent="0.3">
      <c r="A14356" s="42"/>
      <c r="C14356" s="52"/>
      <c r="D14356"/>
      <c r="E14356"/>
      <c r="F14356"/>
      <c r="N14356" s="44"/>
    </row>
    <row r="14357" spans="1:14" x14ac:dyDescent="0.3">
      <c r="A14357" s="42"/>
      <c r="C14357" s="52"/>
      <c r="D14357"/>
      <c r="E14357"/>
      <c r="F14357"/>
      <c r="N14357" s="44"/>
    </row>
    <row r="14358" spans="1:14" x14ac:dyDescent="0.3">
      <c r="A14358" s="42"/>
      <c r="C14358" s="52"/>
      <c r="D14358"/>
      <c r="E14358"/>
      <c r="F14358"/>
      <c r="N14358" s="44"/>
    </row>
    <row r="14359" spans="1:14" x14ac:dyDescent="0.3">
      <c r="A14359" s="42"/>
      <c r="C14359" s="52"/>
      <c r="D14359"/>
      <c r="E14359"/>
      <c r="F14359"/>
      <c r="N14359" s="44"/>
    </row>
    <row r="14360" spans="1:14" x14ac:dyDescent="0.3">
      <c r="A14360" s="42"/>
      <c r="C14360" s="52"/>
      <c r="D14360"/>
      <c r="E14360"/>
      <c r="F14360"/>
      <c r="N14360" s="44"/>
    </row>
    <row r="14361" spans="1:14" x14ac:dyDescent="0.3">
      <c r="A14361" s="42"/>
      <c r="C14361" s="52"/>
      <c r="D14361"/>
      <c r="E14361"/>
      <c r="F14361"/>
      <c r="N14361" s="44"/>
    </row>
    <row r="14362" spans="1:14" x14ac:dyDescent="0.3">
      <c r="A14362" s="42"/>
      <c r="C14362" s="52"/>
      <c r="D14362"/>
      <c r="E14362"/>
      <c r="F14362"/>
      <c r="N14362" s="44"/>
    </row>
    <row r="14363" spans="1:14" x14ac:dyDescent="0.3">
      <c r="A14363" s="42"/>
      <c r="C14363" s="52"/>
      <c r="D14363"/>
      <c r="E14363"/>
      <c r="F14363"/>
      <c r="N14363" s="44"/>
    </row>
    <row r="14364" spans="1:14" x14ac:dyDescent="0.3">
      <c r="A14364" s="42"/>
      <c r="C14364" s="52"/>
      <c r="D14364"/>
      <c r="E14364"/>
      <c r="F14364"/>
      <c r="N14364" s="44"/>
    </row>
    <row r="14365" spans="1:14" x14ac:dyDescent="0.3">
      <c r="A14365" s="42"/>
      <c r="C14365" s="52"/>
      <c r="D14365"/>
      <c r="E14365"/>
      <c r="F14365"/>
      <c r="N14365" s="44"/>
    </row>
    <row r="14366" spans="1:14" x14ac:dyDescent="0.3">
      <c r="A14366" s="42"/>
      <c r="C14366" s="52"/>
      <c r="D14366"/>
      <c r="E14366"/>
      <c r="F14366"/>
      <c r="N14366" s="44"/>
    </row>
    <row r="14367" spans="1:14" x14ac:dyDescent="0.3">
      <c r="A14367" s="42"/>
      <c r="C14367" s="52"/>
      <c r="D14367"/>
      <c r="E14367"/>
      <c r="F14367"/>
      <c r="L14367" s="45"/>
      <c r="N14367" s="44"/>
    </row>
    <row r="14368" spans="1:14" x14ac:dyDescent="0.3">
      <c r="A14368" s="42"/>
      <c r="C14368" s="52"/>
      <c r="D14368"/>
      <c r="E14368"/>
      <c r="F14368"/>
      <c r="N14368" s="44"/>
    </row>
    <row r="14369" spans="1:14" x14ac:dyDescent="0.3">
      <c r="A14369" s="42"/>
      <c r="C14369" s="52"/>
      <c r="D14369"/>
      <c r="E14369"/>
      <c r="F14369"/>
      <c r="N14369" s="44"/>
    </row>
    <row r="14370" spans="1:14" x14ac:dyDescent="0.3">
      <c r="A14370" s="42"/>
      <c r="C14370" s="52"/>
      <c r="D14370"/>
      <c r="E14370"/>
      <c r="F14370"/>
      <c r="N14370" s="44"/>
    </row>
    <row r="14371" spans="1:14" x14ac:dyDescent="0.3">
      <c r="A14371" s="42"/>
      <c r="C14371" s="52"/>
      <c r="D14371"/>
      <c r="E14371"/>
      <c r="F14371"/>
      <c r="L14371" s="45"/>
      <c r="N14371" s="44"/>
    </row>
    <row r="14372" spans="1:14" x14ac:dyDescent="0.3">
      <c r="A14372" s="42"/>
      <c r="C14372" s="52"/>
      <c r="D14372"/>
      <c r="E14372"/>
      <c r="F14372"/>
      <c r="N14372" s="44"/>
    </row>
    <row r="14373" spans="1:14" x14ac:dyDescent="0.3">
      <c r="A14373" s="42"/>
      <c r="C14373" s="52"/>
      <c r="D14373"/>
      <c r="E14373"/>
      <c r="F14373"/>
      <c r="N14373" s="44"/>
    </row>
    <row r="14374" spans="1:14" x14ac:dyDescent="0.3">
      <c r="A14374" s="42"/>
      <c r="C14374" s="52"/>
      <c r="D14374"/>
      <c r="E14374"/>
      <c r="F14374"/>
      <c r="N14374" s="44"/>
    </row>
    <row r="14375" spans="1:14" x14ac:dyDescent="0.3">
      <c r="A14375" s="42"/>
      <c r="C14375" s="52"/>
      <c r="D14375"/>
      <c r="E14375"/>
      <c r="F14375"/>
      <c r="L14375" s="45"/>
      <c r="N14375" s="44"/>
    </row>
    <row r="14376" spans="1:14" x14ac:dyDescent="0.3">
      <c r="A14376" s="42"/>
      <c r="C14376" s="52"/>
      <c r="D14376"/>
      <c r="E14376"/>
      <c r="F14376"/>
      <c r="N14376" s="44"/>
    </row>
    <row r="14377" spans="1:14" x14ac:dyDescent="0.3">
      <c r="A14377" s="42"/>
      <c r="C14377" s="52"/>
      <c r="D14377"/>
      <c r="E14377"/>
      <c r="F14377"/>
      <c r="N14377" s="44"/>
    </row>
    <row r="14378" spans="1:14" x14ac:dyDescent="0.3">
      <c r="A14378" s="42"/>
      <c r="C14378" s="52"/>
      <c r="D14378"/>
      <c r="E14378"/>
      <c r="F14378"/>
      <c r="M14378" s="45"/>
      <c r="N14378" s="44"/>
    </row>
    <row r="14379" spans="1:14" x14ac:dyDescent="0.3">
      <c r="A14379" s="42"/>
      <c r="C14379" s="52"/>
      <c r="D14379"/>
      <c r="E14379"/>
      <c r="F14379"/>
      <c r="N14379" s="44"/>
    </row>
    <row r="14380" spans="1:14" x14ac:dyDescent="0.3">
      <c r="A14380" s="42"/>
      <c r="C14380" s="52"/>
      <c r="D14380"/>
      <c r="E14380"/>
      <c r="F14380"/>
      <c r="N14380" s="44"/>
    </row>
    <row r="14381" spans="1:14" x14ac:dyDescent="0.3">
      <c r="A14381" s="42"/>
      <c r="C14381" s="52"/>
      <c r="D14381"/>
      <c r="E14381"/>
      <c r="F14381"/>
      <c r="N14381" s="44"/>
    </row>
    <row r="14382" spans="1:14" x14ac:dyDescent="0.3">
      <c r="A14382" s="42"/>
      <c r="C14382" s="52"/>
      <c r="D14382"/>
      <c r="E14382"/>
      <c r="F14382"/>
      <c r="N14382" s="44"/>
    </row>
    <row r="14383" spans="1:14" x14ac:dyDescent="0.3">
      <c r="A14383" s="42"/>
      <c r="C14383" s="52"/>
      <c r="D14383"/>
      <c r="E14383"/>
      <c r="F14383"/>
      <c r="N14383" s="44"/>
    </row>
    <row r="14384" spans="1:14" x14ac:dyDescent="0.3">
      <c r="A14384" s="42"/>
      <c r="C14384" s="52"/>
      <c r="D14384"/>
      <c r="E14384"/>
      <c r="F14384"/>
      <c r="N14384" s="44"/>
    </row>
    <row r="14385" spans="1:14" x14ac:dyDescent="0.3">
      <c r="A14385" s="42"/>
      <c r="C14385" s="52"/>
      <c r="D14385"/>
      <c r="E14385"/>
      <c r="F14385"/>
      <c r="N14385" s="44"/>
    </row>
    <row r="14386" spans="1:14" x14ac:dyDescent="0.3">
      <c r="A14386" s="42"/>
      <c r="C14386" s="52"/>
      <c r="D14386"/>
      <c r="E14386"/>
      <c r="F14386"/>
      <c r="N14386" s="44"/>
    </row>
    <row r="14387" spans="1:14" x14ac:dyDescent="0.3">
      <c r="A14387" s="42"/>
      <c r="C14387" s="52"/>
      <c r="D14387"/>
      <c r="E14387"/>
      <c r="F14387"/>
      <c r="N14387" s="44"/>
    </row>
    <row r="14388" spans="1:14" x14ac:dyDescent="0.3">
      <c r="A14388" s="42"/>
      <c r="C14388" s="52"/>
      <c r="D14388"/>
      <c r="E14388"/>
      <c r="F14388"/>
      <c r="N14388" s="44"/>
    </row>
    <row r="14389" spans="1:14" x14ac:dyDescent="0.3">
      <c r="A14389" s="42"/>
      <c r="C14389" s="52"/>
      <c r="D14389"/>
      <c r="E14389"/>
      <c r="F14389"/>
      <c r="N14389" s="56"/>
    </row>
    <row r="14390" spans="1:14" x14ac:dyDescent="0.3">
      <c r="A14390" s="42"/>
      <c r="C14390" s="52"/>
      <c r="D14390"/>
      <c r="E14390"/>
      <c r="F14390"/>
      <c r="N14390" s="44"/>
    </row>
    <row r="14391" spans="1:14" x14ac:dyDescent="0.3">
      <c r="A14391" s="42"/>
      <c r="C14391" s="52"/>
      <c r="D14391"/>
      <c r="E14391"/>
      <c r="F14391"/>
      <c r="L14391" s="45"/>
      <c r="N14391" s="56"/>
    </row>
    <row r="14392" spans="1:14" x14ac:dyDescent="0.3">
      <c r="A14392" s="42"/>
      <c r="C14392" s="52"/>
      <c r="D14392"/>
      <c r="E14392"/>
      <c r="F14392"/>
      <c r="N14392" s="44"/>
    </row>
    <row r="14393" spans="1:14" x14ac:dyDescent="0.3">
      <c r="A14393" s="42"/>
      <c r="C14393" s="52"/>
      <c r="D14393"/>
      <c r="E14393"/>
      <c r="F14393"/>
      <c r="L14393" s="45"/>
      <c r="N14393" s="56"/>
    </row>
    <row r="14394" spans="1:14" x14ac:dyDescent="0.3">
      <c r="A14394" s="42"/>
      <c r="C14394" s="52"/>
      <c r="D14394"/>
      <c r="E14394"/>
      <c r="F14394"/>
      <c r="L14394" s="106"/>
      <c r="N14394" s="44"/>
    </row>
    <row r="14395" spans="1:14" x14ac:dyDescent="0.3">
      <c r="A14395" s="42"/>
      <c r="C14395" s="52"/>
      <c r="D14395"/>
      <c r="E14395"/>
      <c r="F14395"/>
      <c r="L14395" s="45"/>
      <c r="N14395" s="56"/>
    </row>
    <row r="14396" spans="1:14" x14ac:dyDescent="0.3">
      <c r="A14396" s="42"/>
      <c r="C14396" s="52"/>
      <c r="D14396"/>
      <c r="E14396"/>
      <c r="F14396"/>
      <c r="L14396" s="45"/>
      <c r="N14396" s="56"/>
    </row>
    <row r="14397" spans="1:14" x14ac:dyDescent="0.3">
      <c r="A14397" s="42"/>
      <c r="C14397" s="52"/>
      <c r="D14397"/>
      <c r="E14397"/>
      <c r="F14397"/>
      <c r="L14397" s="45"/>
      <c r="N14397" s="56"/>
    </row>
    <row r="14398" spans="1:14" x14ac:dyDescent="0.3">
      <c r="A14398" s="42"/>
      <c r="C14398" s="52"/>
      <c r="D14398"/>
      <c r="E14398"/>
      <c r="F14398"/>
      <c r="L14398" s="106"/>
      <c r="N14398" s="44"/>
    </row>
    <row r="14399" spans="1:14" x14ac:dyDescent="0.3">
      <c r="A14399" s="42"/>
      <c r="C14399" s="52"/>
      <c r="D14399"/>
      <c r="E14399"/>
      <c r="F14399"/>
      <c r="M14399" s="45"/>
      <c r="N14399" s="56"/>
    </row>
    <row r="14400" spans="1:14" x14ac:dyDescent="0.3">
      <c r="A14400" s="42"/>
      <c r="C14400" s="52"/>
      <c r="D14400"/>
      <c r="E14400"/>
      <c r="F14400"/>
      <c r="N14400" s="56"/>
    </row>
    <row r="14401" spans="1:14" x14ac:dyDescent="0.3">
      <c r="A14401" s="42"/>
      <c r="C14401" s="52"/>
      <c r="D14401"/>
      <c r="E14401"/>
      <c r="F14401"/>
      <c r="L14401" s="45"/>
      <c r="N14401" s="56"/>
    </row>
    <row r="14402" spans="1:14" x14ac:dyDescent="0.3">
      <c r="A14402" s="42"/>
      <c r="C14402" s="52"/>
      <c r="D14402"/>
      <c r="E14402"/>
      <c r="F14402"/>
      <c r="N14402" s="44"/>
    </row>
    <row r="14403" spans="1:14" x14ac:dyDescent="0.3">
      <c r="A14403" s="42"/>
      <c r="C14403" s="52"/>
      <c r="D14403"/>
      <c r="E14403"/>
      <c r="F14403"/>
      <c r="N14403" s="44"/>
    </row>
    <row r="14404" spans="1:14" x14ac:dyDescent="0.3">
      <c r="A14404" s="42"/>
      <c r="C14404" s="52"/>
      <c r="D14404"/>
      <c r="E14404"/>
      <c r="F14404"/>
      <c r="L14404" s="45"/>
      <c r="N14404" s="44"/>
    </row>
    <row r="14405" spans="1:14" x14ac:dyDescent="0.3">
      <c r="A14405" s="42"/>
      <c r="C14405" s="52"/>
      <c r="D14405"/>
      <c r="E14405"/>
      <c r="F14405"/>
      <c r="L14405" s="45"/>
      <c r="N14405" s="44"/>
    </row>
    <row r="14406" spans="1:14" x14ac:dyDescent="0.3">
      <c r="A14406" s="42"/>
      <c r="C14406" s="52"/>
      <c r="D14406"/>
      <c r="E14406"/>
      <c r="F14406"/>
      <c r="L14406" s="45"/>
      <c r="N14406" s="44"/>
    </row>
    <row r="14407" spans="1:14" x14ac:dyDescent="0.3">
      <c r="A14407" s="42"/>
      <c r="C14407" s="52"/>
      <c r="D14407"/>
      <c r="E14407"/>
      <c r="F14407"/>
      <c r="L14407" s="45"/>
      <c r="N14407" s="56"/>
    </row>
    <row r="14408" spans="1:14" x14ac:dyDescent="0.3">
      <c r="A14408" s="42"/>
      <c r="C14408" s="52"/>
      <c r="D14408"/>
      <c r="E14408"/>
      <c r="F14408"/>
      <c r="L14408" s="45"/>
      <c r="M14408" s="45"/>
      <c r="N14408" s="56"/>
    </row>
    <row r="14409" spans="1:14" x14ac:dyDescent="0.3">
      <c r="A14409" s="42"/>
      <c r="C14409" s="52"/>
      <c r="D14409"/>
      <c r="E14409"/>
      <c r="F14409"/>
      <c r="L14409" s="45"/>
      <c r="N14409" s="56"/>
    </row>
    <row r="14410" spans="1:14" x14ac:dyDescent="0.3">
      <c r="A14410" s="42"/>
      <c r="C14410" s="52"/>
      <c r="D14410"/>
      <c r="E14410"/>
      <c r="F14410"/>
      <c r="L14410" s="45"/>
      <c r="N14410" s="56"/>
    </row>
    <row r="14411" spans="1:14" x14ac:dyDescent="0.3">
      <c r="A14411" s="42"/>
      <c r="C14411" s="52"/>
      <c r="D14411"/>
      <c r="E14411"/>
      <c r="F14411"/>
      <c r="L14411" s="45"/>
      <c r="N14411" s="56"/>
    </row>
    <row r="14412" spans="1:14" x14ac:dyDescent="0.3">
      <c r="A14412" s="42"/>
      <c r="C14412" s="52"/>
      <c r="D14412"/>
      <c r="E14412"/>
      <c r="F14412"/>
      <c r="L14412" s="45"/>
      <c r="N14412" s="56"/>
    </row>
    <row r="14413" spans="1:14" x14ac:dyDescent="0.3">
      <c r="A14413" s="42"/>
      <c r="C14413" s="52"/>
      <c r="D14413"/>
      <c r="E14413"/>
      <c r="F14413"/>
      <c r="L14413" s="45"/>
      <c r="N14413" s="56"/>
    </row>
    <row r="14414" spans="1:14" x14ac:dyDescent="0.3">
      <c r="A14414" s="42"/>
      <c r="C14414" s="52"/>
      <c r="D14414"/>
      <c r="E14414"/>
      <c r="F14414"/>
      <c r="N14414" s="56"/>
    </row>
    <row r="14415" spans="1:14" x14ac:dyDescent="0.3">
      <c r="A14415" s="42"/>
      <c r="C14415" s="52"/>
      <c r="D14415"/>
      <c r="E14415"/>
      <c r="F14415"/>
      <c r="N14415" s="44"/>
    </row>
    <row r="14416" spans="1:14" x14ac:dyDescent="0.3">
      <c r="A14416" s="42"/>
      <c r="C14416" s="52"/>
      <c r="D14416"/>
      <c r="E14416"/>
      <c r="F14416"/>
      <c r="N14416" s="56"/>
    </row>
    <row r="14417" spans="1:14" x14ac:dyDescent="0.3">
      <c r="A14417" s="42"/>
      <c r="C14417" s="52"/>
      <c r="D14417"/>
      <c r="E14417"/>
      <c r="F14417"/>
      <c r="L14417" s="106"/>
      <c r="N14417" s="44"/>
    </row>
    <row r="14418" spans="1:14" x14ac:dyDescent="0.3">
      <c r="A14418" s="42"/>
      <c r="C14418" s="52"/>
      <c r="D14418"/>
      <c r="E14418"/>
      <c r="F14418"/>
      <c r="M14418" s="45"/>
      <c r="N14418" s="56"/>
    </row>
    <row r="14419" spans="1:14" x14ac:dyDescent="0.3">
      <c r="A14419" s="42"/>
      <c r="C14419" s="52"/>
      <c r="D14419"/>
      <c r="E14419"/>
      <c r="F14419"/>
      <c r="N14419" s="56"/>
    </row>
    <row r="14420" spans="1:14" x14ac:dyDescent="0.3">
      <c r="A14420" s="42"/>
      <c r="C14420" s="52"/>
      <c r="D14420"/>
      <c r="E14420"/>
      <c r="F14420"/>
      <c r="L14420" s="45"/>
      <c r="N14420" s="56"/>
    </row>
    <row r="14421" spans="1:14" x14ac:dyDescent="0.3">
      <c r="A14421" s="42"/>
      <c r="C14421" s="52"/>
      <c r="D14421"/>
      <c r="E14421"/>
      <c r="F14421"/>
      <c r="N14421" s="44"/>
    </row>
    <row r="14422" spans="1:14" x14ac:dyDescent="0.3">
      <c r="A14422" s="42"/>
      <c r="C14422" s="52"/>
      <c r="D14422"/>
      <c r="E14422"/>
      <c r="F14422"/>
      <c r="N14422" s="56"/>
    </row>
    <row r="14423" spans="1:14" x14ac:dyDescent="0.3">
      <c r="A14423" s="42"/>
      <c r="C14423" s="52"/>
      <c r="D14423"/>
      <c r="E14423"/>
      <c r="F14423"/>
      <c r="N14423" s="44"/>
    </row>
    <row r="14424" spans="1:14" x14ac:dyDescent="0.3">
      <c r="A14424" s="42"/>
      <c r="C14424" s="52"/>
      <c r="D14424"/>
      <c r="E14424"/>
      <c r="F14424"/>
      <c r="N14424" s="56"/>
    </row>
    <row r="14425" spans="1:14" x14ac:dyDescent="0.3">
      <c r="A14425" s="42"/>
      <c r="C14425" s="52"/>
      <c r="D14425"/>
      <c r="E14425"/>
      <c r="F14425"/>
      <c r="M14425" s="45"/>
      <c r="N14425" s="56"/>
    </row>
    <row r="14426" spans="1:14" x14ac:dyDescent="0.3">
      <c r="A14426" s="42"/>
      <c r="C14426" s="52"/>
      <c r="D14426"/>
      <c r="E14426"/>
      <c r="F14426"/>
      <c r="N14426" s="44"/>
    </row>
    <row r="14427" spans="1:14" x14ac:dyDescent="0.3">
      <c r="A14427" s="42"/>
      <c r="C14427" s="52"/>
      <c r="D14427"/>
      <c r="E14427"/>
      <c r="F14427"/>
      <c r="N14427" s="44"/>
    </row>
    <row r="14428" spans="1:14" x14ac:dyDescent="0.3">
      <c r="A14428" s="42"/>
      <c r="C14428" s="52"/>
      <c r="D14428"/>
      <c r="E14428"/>
      <c r="F14428"/>
      <c r="N14428" s="44"/>
    </row>
    <row r="14429" spans="1:14" x14ac:dyDescent="0.3">
      <c r="A14429" s="42"/>
      <c r="C14429" s="52"/>
      <c r="D14429"/>
      <c r="E14429"/>
      <c r="F14429"/>
      <c r="L14429" s="45"/>
      <c r="N14429" s="56"/>
    </row>
    <row r="14430" spans="1:14" x14ac:dyDescent="0.3">
      <c r="A14430" s="42"/>
      <c r="C14430" s="52"/>
      <c r="D14430"/>
      <c r="E14430"/>
      <c r="F14430"/>
      <c r="N14430" s="56"/>
    </row>
    <row r="14431" spans="1:14" x14ac:dyDescent="0.3">
      <c r="A14431" s="42"/>
      <c r="C14431" s="52"/>
      <c r="D14431"/>
      <c r="E14431"/>
      <c r="F14431"/>
      <c r="N14431" s="56"/>
    </row>
    <row r="14432" spans="1:14" x14ac:dyDescent="0.3">
      <c r="A14432" s="42"/>
      <c r="C14432" s="52"/>
      <c r="D14432"/>
      <c r="E14432"/>
      <c r="F14432"/>
      <c r="N14432" s="56"/>
    </row>
    <row r="14433" spans="1:14" x14ac:dyDescent="0.3">
      <c r="A14433" s="42"/>
      <c r="C14433" s="52"/>
      <c r="D14433"/>
      <c r="E14433"/>
      <c r="F14433"/>
      <c r="N14433" s="44"/>
    </row>
    <row r="14434" spans="1:14" x14ac:dyDescent="0.3">
      <c r="A14434" s="42"/>
      <c r="C14434" s="52"/>
      <c r="D14434"/>
      <c r="E14434"/>
      <c r="F14434"/>
      <c r="N14434" s="56"/>
    </row>
    <row r="14435" spans="1:14" x14ac:dyDescent="0.3">
      <c r="A14435" s="42"/>
      <c r="C14435" s="52"/>
      <c r="D14435"/>
      <c r="E14435"/>
      <c r="F14435"/>
      <c r="N14435" s="56"/>
    </row>
    <row r="14436" spans="1:14" x14ac:dyDescent="0.3">
      <c r="A14436" s="42"/>
      <c r="C14436" s="52"/>
      <c r="D14436"/>
      <c r="E14436"/>
      <c r="F14436"/>
      <c r="L14436" s="106"/>
      <c r="N14436" s="44"/>
    </row>
    <row r="14437" spans="1:14" x14ac:dyDescent="0.3">
      <c r="A14437" s="42"/>
      <c r="C14437" s="52"/>
      <c r="D14437"/>
      <c r="E14437"/>
      <c r="F14437"/>
      <c r="N14437" s="56"/>
    </row>
    <row r="14438" spans="1:14" x14ac:dyDescent="0.3">
      <c r="A14438" s="42"/>
      <c r="C14438" s="52"/>
      <c r="D14438"/>
      <c r="E14438"/>
      <c r="F14438"/>
      <c r="N14438" s="56"/>
    </row>
    <row r="14439" spans="1:14" x14ac:dyDescent="0.3">
      <c r="A14439" s="42"/>
      <c r="C14439" s="52"/>
      <c r="D14439"/>
      <c r="E14439"/>
      <c r="F14439"/>
      <c r="L14439" s="45"/>
      <c r="N14439" s="56"/>
    </row>
    <row r="14440" spans="1:14" x14ac:dyDescent="0.3">
      <c r="A14440" s="42"/>
      <c r="C14440" s="52"/>
      <c r="D14440"/>
      <c r="E14440"/>
      <c r="F14440"/>
      <c r="N14440" s="56"/>
    </row>
    <row r="14441" spans="1:14" x14ac:dyDescent="0.3">
      <c r="A14441" s="42"/>
      <c r="C14441" s="52"/>
      <c r="D14441"/>
      <c r="E14441"/>
      <c r="F14441"/>
      <c r="N14441" s="44"/>
    </row>
    <row r="14442" spans="1:14" x14ac:dyDescent="0.3">
      <c r="A14442" s="42"/>
      <c r="C14442" s="52"/>
      <c r="D14442"/>
      <c r="E14442"/>
      <c r="F14442"/>
      <c r="N14442" s="44"/>
    </row>
    <row r="14443" spans="1:14" x14ac:dyDescent="0.3">
      <c r="A14443" s="42"/>
      <c r="C14443" s="52"/>
      <c r="D14443"/>
      <c r="E14443"/>
      <c r="F14443"/>
      <c r="N14443" s="56"/>
    </row>
    <row r="14444" spans="1:14" x14ac:dyDescent="0.3">
      <c r="A14444" s="42"/>
      <c r="C14444" s="52"/>
      <c r="D14444"/>
      <c r="E14444"/>
      <c r="F14444"/>
      <c r="N14444" s="56"/>
    </row>
    <row r="14445" spans="1:14" x14ac:dyDescent="0.3">
      <c r="A14445" s="42"/>
      <c r="C14445" s="52"/>
      <c r="D14445"/>
      <c r="E14445"/>
      <c r="F14445"/>
      <c r="N14445" s="44"/>
    </row>
    <row r="14446" spans="1:14" x14ac:dyDescent="0.3">
      <c r="A14446" s="42"/>
      <c r="C14446" s="52"/>
      <c r="D14446"/>
      <c r="E14446"/>
      <c r="F14446"/>
      <c r="N14446" s="44"/>
    </row>
    <row r="14447" spans="1:14" x14ac:dyDescent="0.3">
      <c r="A14447" s="42"/>
      <c r="C14447" s="52"/>
      <c r="D14447"/>
      <c r="E14447"/>
      <c r="F14447"/>
      <c r="N14447" s="44"/>
    </row>
    <row r="14448" spans="1:14" x14ac:dyDescent="0.3">
      <c r="A14448" s="42"/>
      <c r="C14448" s="52"/>
      <c r="D14448"/>
      <c r="E14448"/>
      <c r="F14448"/>
      <c r="N14448" s="56"/>
    </row>
    <row r="14449" spans="1:14" x14ac:dyDescent="0.3">
      <c r="A14449" s="42"/>
      <c r="C14449" s="52"/>
      <c r="D14449"/>
      <c r="E14449"/>
      <c r="F14449"/>
      <c r="N14449" s="56"/>
    </row>
    <row r="14450" spans="1:14" x14ac:dyDescent="0.3">
      <c r="A14450" s="42"/>
      <c r="C14450" s="52"/>
      <c r="D14450"/>
      <c r="E14450"/>
      <c r="F14450"/>
      <c r="N14450" s="56"/>
    </row>
    <row r="14451" spans="1:14" x14ac:dyDescent="0.3">
      <c r="A14451" s="42"/>
      <c r="C14451" s="52"/>
      <c r="D14451"/>
      <c r="E14451"/>
      <c r="F14451"/>
      <c r="N14451" s="56"/>
    </row>
    <row r="14452" spans="1:14" x14ac:dyDescent="0.3">
      <c r="A14452" s="42"/>
      <c r="C14452" s="52"/>
      <c r="D14452"/>
      <c r="E14452"/>
      <c r="F14452"/>
      <c r="N14452" s="56"/>
    </row>
    <row r="14453" spans="1:14" x14ac:dyDescent="0.3">
      <c r="A14453" s="42"/>
      <c r="C14453" s="52"/>
      <c r="D14453"/>
      <c r="E14453"/>
      <c r="F14453"/>
      <c r="N14453" s="56"/>
    </row>
    <row r="14454" spans="1:14" x14ac:dyDescent="0.3">
      <c r="A14454" s="42"/>
      <c r="C14454" s="52"/>
      <c r="D14454"/>
      <c r="E14454"/>
      <c r="F14454"/>
      <c r="N14454" s="44"/>
    </row>
    <row r="14455" spans="1:14" x14ac:dyDescent="0.3">
      <c r="A14455" s="42"/>
      <c r="C14455" s="52"/>
      <c r="D14455"/>
      <c r="E14455"/>
      <c r="F14455"/>
      <c r="N14455" s="56"/>
    </row>
    <row r="14456" spans="1:14" x14ac:dyDescent="0.3">
      <c r="A14456" s="42"/>
      <c r="C14456" s="52"/>
      <c r="D14456"/>
      <c r="E14456"/>
      <c r="F14456"/>
      <c r="N14456" s="44"/>
    </row>
    <row r="14457" spans="1:14" x14ac:dyDescent="0.3">
      <c r="A14457" s="42"/>
      <c r="C14457" s="52"/>
      <c r="D14457"/>
      <c r="E14457"/>
      <c r="F14457"/>
      <c r="M14457" s="45"/>
      <c r="N14457" s="44"/>
    </row>
    <row r="14458" spans="1:14" x14ac:dyDescent="0.3">
      <c r="A14458" s="42"/>
      <c r="C14458" s="52"/>
      <c r="D14458"/>
      <c r="E14458"/>
      <c r="F14458"/>
      <c r="N14458" s="44"/>
    </row>
    <row r="14459" spans="1:14" x14ac:dyDescent="0.3">
      <c r="A14459" s="42"/>
      <c r="C14459" s="52"/>
      <c r="D14459"/>
      <c r="E14459"/>
      <c r="F14459"/>
      <c r="N14459" s="44"/>
    </row>
    <row r="14460" spans="1:14" x14ac:dyDescent="0.3">
      <c r="A14460" s="42"/>
      <c r="C14460" s="52"/>
      <c r="D14460"/>
      <c r="E14460"/>
      <c r="F14460"/>
      <c r="M14460" s="45"/>
      <c r="N14460" s="56"/>
    </row>
    <row r="14461" spans="1:14" x14ac:dyDescent="0.3">
      <c r="A14461" s="42"/>
      <c r="C14461" s="52"/>
      <c r="D14461"/>
      <c r="E14461"/>
      <c r="F14461"/>
      <c r="N14461" s="56"/>
    </row>
    <row r="14462" spans="1:14" x14ac:dyDescent="0.3">
      <c r="A14462" s="42"/>
      <c r="C14462" s="52"/>
      <c r="D14462"/>
      <c r="E14462"/>
      <c r="F14462"/>
      <c r="N14462" s="56"/>
    </row>
    <row r="14463" spans="1:14" x14ac:dyDescent="0.3">
      <c r="A14463" s="42"/>
      <c r="C14463" s="52"/>
      <c r="D14463"/>
      <c r="E14463"/>
      <c r="F14463"/>
      <c r="N14463" s="56"/>
    </row>
    <row r="14464" spans="1:14" x14ac:dyDescent="0.3">
      <c r="A14464" s="42"/>
      <c r="C14464" s="52"/>
      <c r="D14464"/>
      <c r="E14464"/>
      <c r="F14464"/>
      <c r="N14464" s="56"/>
    </row>
    <row r="14465" spans="1:14" x14ac:dyDescent="0.3">
      <c r="A14465" s="42"/>
      <c r="C14465" s="52"/>
      <c r="D14465"/>
      <c r="E14465"/>
      <c r="F14465"/>
      <c r="N14465" s="56"/>
    </row>
    <row r="14466" spans="1:14" x14ac:dyDescent="0.3">
      <c r="A14466" s="42"/>
      <c r="C14466" s="52"/>
      <c r="D14466"/>
      <c r="E14466"/>
      <c r="F14466"/>
      <c r="N14466" s="56"/>
    </row>
    <row r="14467" spans="1:14" x14ac:dyDescent="0.3">
      <c r="A14467" s="42"/>
      <c r="C14467" s="52"/>
      <c r="D14467"/>
      <c r="E14467"/>
      <c r="F14467"/>
      <c r="N14467" s="56"/>
    </row>
    <row r="14468" spans="1:14" x14ac:dyDescent="0.3">
      <c r="A14468" s="42"/>
      <c r="C14468" s="52"/>
      <c r="D14468"/>
      <c r="E14468"/>
      <c r="F14468"/>
      <c r="N14468" s="56"/>
    </row>
    <row r="14469" spans="1:14" x14ac:dyDescent="0.3">
      <c r="A14469" s="42"/>
      <c r="C14469" s="52"/>
      <c r="D14469"/>
      <c r="E14469"/>
      <c r="F14469"/>
      <c r="N14469" s="56"/>
    </row>
    <row r="14470" spans="1:14" x14ac:dyDescent="0.3">
      <c r="A14470" s="42"/>
      <c r="C14470" s="52"/>
      <c r="D14470"/>
      <c r="E14470"/>
      <c r="F14470"/>
      <c r="M14470" s="45"/>
      <c r="N14470" s="56"/>
    </row>
    <row r="14471" spans="1:14" x14ac:dyDescent="0.3">
      <c r="A14471" s="42"/>
      <c r="C14471" s="52"/>
      <c r="D14471"/>
      <c r="E14471"/>
      <c r="F14471"/>
      <c r="L14471" s="45"/>
      <c r="N14471" s="44"/>
    </row>
    <row r="14472" spans="1:14" x14ac:dyDescent="0.3">
      <c r="A14472" s="42"/>
      <c r="C14472" s="52"/>
      <c r="D14472"/>
      <c r="E14472"/>
      <c r="F14472"/>
      <c r="L14472" s="45"/>
      <c r="M14472" s="45"/>
      <c r="N14472" s="56"/>
    </row>
    <row r="14473" spans="1:14" x14ac:dyDescent="0.3">
      <c r="A14473" s="42"/>
      <c r="C14473" s="52"/>
      <c r="D14473"/>
      <c r="E14473"/>
      <c r="F14473"/>
      <c r="N14473" s="44"/>
    </row>
    <row r="14474" spans="1:14" x14ac:dyDescent="0.3">
      <c r="A14474" s="42"/>
      <c r="C14474" s="52"/>
      <c r="D14474"/>
      <c r="E14474"/>
      <c r="F14474"/>
      <c r="N14474" s="44"/>
    </row>
    <row r="14475" spans="1:14" x14ac:dyDescent="0.3">
      <c r="A14475" s="42"/>
      <c r="C14475" s="52"/>
      <c r="D14475"/>
      <c r="E14475"/>
      <c r="F14475"/>
      <c r="N14475" s="56"/>
    </row>
    <row r="14476" spans="1:14" x14ac:dyDescent="0.3">
      <c r="A14476" s="42"/>
      <c r="C14476" s="52"/>
      <c r="D14476"/>
      <c r="E14476"/>
      <c r="F14476"/>
      <c r="N14476" s="56"/>
    </row>
    <row r="14477" spans="1:14" x14ac:dyDescent="0.3">
      <c r="A14477" s="42"/>
      <c r="C14477" s="52"/>
      <c r="D14477"/>
      <c r="E14477"/>
      <c r="F14477"/>
      <c r="N14477" s="56"/>
    </row>
    <row r="14478" spans="1:14" x14ac:dyDescent="0.3">
      <c r="A14478" s="42"/>
      <c r="C14478" s="52"/>
      <c r="D14478"/>
      <c r="E14478"/>
      <c r="F14478"/>
      <c r="N14478" s="56"/>
    </row>
    <row r="14479" spans="1:14" x14ac:dyDescent="0.3">
      <c r="A14479" s="42"/>
      <c r="C14479" s="52"/>
      <c r="D14479"/>
      <c r="E14479"/>
      <c r="F14479"/>
      <c r="L14479" s="45"/>
      <c r="N14479" s="44"/>
    </row>
    <row r="14480" spans="1:14" x14ac:dyDescent="0.3">
      <c r="A14480" s="42"/>
      <c r="C14480" s="52"/>
      <c r="D14480"/>
      <c r="E14480"/>
      <c r="F14480"/>
      <c r="L14480" s="45"/>
      <c r="N14480" s="56"/>
    </row>
    <row r="14481" spans="1:14" x14ac:dyDescent="0.3">
      <c r="A14481" s="42"/>
      <c r="C14481" s="52"/>
      <c r="D14481"/>
      <c r="E14481"/>
      <c r="F14481"/>
      <c r="L14481" s="106"/>
      <c r="N14481" s="44"/>
    </row>
    <row r="14482" spans="1:14" x14ac:dyDescent="0.3">
      <c r="A14482" s="42"/>
      <c r="C14482" s="52"/>
      <c r="D14482"/>
      <c r="E14482"/>
      <c r="F14482"/>
      <c r="N14482" s="56"/>
    </row>
    <row r="14483" spans="1:14" x14ac:dyDescent="0.3">
      <c r="A14483" s="42"/>
      <c r="C14483" s="52"/>
      <c r="D14483"/>
      <c r="E14483"/>
      <c r="F14483"/>
      <c r="N14483" s="56"/>
    </row>
    <row r="14484" spans="1:14" x14ac:dyDescent="0.3">
      <c r="A14484" s="42"/>
      <c r="C14484" s="52"/>
      <c r="D14484"/>
      <c r="E14484"/>
      <c r="F14484"/>
      <c r="L14484" s="45"/>
      <c r="N14484" s="56"/>
    </row>
    <row r="14485" spans="1:14" x14ac:dyDescent="0.3">
      <c r="A14485" s="42"/>
      <c r="C14485" s="52"/>
      <c r="D14485"/>
      <c r="E14485"/>
      <c r="F14485"/>
      <c r="N14485" s="44"/>
    </row>
    <row r="14486" spans="1:14" x14ac:dyDescent="0.3">
      <c r="A14486" s="42"/>
      <c r="C14486" s="52"/>
      <c r="D14486"/>
      <c r="E14486"/>
      <c r="F14486"/>
      <c r="N14486" s="56"/>
    </row>
    <row r="14487" spans="1:14" x14ac:dyDescent="0.3">
      <c r="A14487" s="42"/>
      <c r="C14487" s="52"/>
      <c r="D14487"/>
      <c r="E14487"/>
      <c r="F14487"/>
      <c r="N14487" s="56"/>
    </row>
    <row r="14488" spans="1:14" x14ac:dyDescent="0.3">
      <c r="A14488" s="42"/>
      <c r="C14488" s="52"/>
      <c r="D14488"/>
      <c r="E14488"/>
      <c r="F14488"/>
      <c r="N14488" s="56"/>
    </row>
    <row r="14489" spans="1:14" x14ac:dyDescent="0.3">
      <c r="A14489" s="42"/>
      <c r="C14489" s="52"/>
      <c r="D14489"/>
      <c r="E14489"/>
      <c r="F14489"/>
      <c r="L14489" s="45"/>
      <c r="N14489" s="44"/>
    </row>
    <row r="14490" spans="1:14" x14ac:dyDescent="0.3">
      <c r="A14490" s="42"/>
      <c r="C14490" s="52"/>
      <c r="D14490"/>
      <c r="E14490"/>
      <c r="F14490"/>
      <c r="L14490" s="45"/>
      <c r="N14490" s="56"/>
    </row>
    <row r="14491" spans="1:14" x14ac:dyDescent="0.3">
      <c r="A14491" s="42"/>
      <c r="C14491" s="52"/>
      <c r="D14491"/>
      <c r="E14491"/>
      <c r="F14491"/>
      <c r="N14491" s="44"/>
    </row>
    <row r="14492" spans="1:14" x14ac:dyDescent="0.3">
      <c r="A14492" s="42"/>
      <c r="C14492" s="52"/>
      <c r="D14492"/>
      <c r="E14492"/>
      <c r="F14492"/>
      <c r="N14492" s="44"/>
    </row>
    <row r="14493" spans="1:14" x14ac:dyDescent="0.3">
      <c r="A14493" s="42"/>
      <c r="C14493" s="52"/>
      <c r="D14493"/>
      <c r="E14493"/>
      <c r="F14493"/>
      <c r="N14493" s="56"/>
    </row>
    <row r="14494" spans="1:14" x14ac:dyDescent="0.3">
      <c r="A14494" s="42"/>
      <c r="C14494" s="52"/>
      <c r="D14494"/>
      <c r="E14494"/>
      <c r="F14494"/>
      <c r="N14494" s="56"/>
    </row>
    <row r="14495" spans="1:14" x14ac:dyDescent="0.3">
      <c r="A14495" s="42"/>
      <c r="C14495" s="52"/>
      <c r="D14495"/>
      <c r="E14495"/>
      <c r="F14495"/>
      <c r="N14495" s="56"/>
    </row>
    <row r="14496" spans="1:14" x14ac:dyDescent="0.3">
      <c r="A14496" s="42"/>
      <c r="C14496" s="52"/>
      <c r="D14496"/>
      <c r="E14496"/>
      <c r="F14496"/>
      <c r="N14496" s="44"/>
    </row>
    <row r="14497" spans="1:14" x14ac:dyDescent="0.3">
      <c r="A14497" s="42"/>
      <c r="C14497" s="52"/>
      <c r="D14497"/>
      <c r="E14497"/>
      <c r="F14497"/>
      <c r="N14497" s="44"/>
    </row>
    <row r="14498" spans="1:14" x14ac:dyDescent="0.3">
      <c r="A14498" s="42"/>
      <c r="C14498" s="52"/>
      <c r="D14498"/>
      <c r="E14498"/>
      <c r="F14498"/>
      <c r="N14498" s="56"/>
    </row>
    <row r="14499" spans="1:14" x14ac:dyDescent="0.3">
      <c r="A14499" s="42"/>
      <c r="C14499" s="52"/>
      <c r="D14499"/>
      <c r="E14499"/>
      <c r="F14499"/>
      <c r="N14499" s="44"/>
    </row>
    <row r="14500" spans="1:14" x14ac:dyDescent="0.3">
      <c r="A14500" s="42"/>
      <c r="C14500" s="52"/>
      <c r="D14500"/>
      <c r="E14500"/>
      <c r="F14500"/>
      <c r="N14500" s="56"/>
    </row>
    <row r="14501" spans="1:14" x14ac:dyDescent="0.3">
      <c r="A14501" s="42"/>
      <c r="C14501" s="52"/>
      <c r="D14501"/>
      <c r="E14501"/>
      <c r="F14501"/>
      <c r="L14501" s="106"/>
      <c r="N14501" s="44"/>
    </row>
    <row r="14502" spans="1:14" x14ac:dyDescent="0.3">
      <c r="A14502" s="42"/>
      <c r="C14502" s="52"/>
      <c r="D14502"/>
      <c r="E14502"/>
      <c r="F14502"/>
      <c r="N14502" s="56"/>
    </row>
    <row r="14503" spans="1:14" x14ac:dyDescent="0.3">
      <c r="A14503" s="42"/>
      <c r="C14503" s="52"/>
      <c r="D14503"/>
      <c r="E14503"/>
      <c r="F14503"/>
      <c r="L14503" s="45"/>
      <c r="N14503" s="56"/>
    </row>
    <row r="14504" spans="1:14" x14ac:dyDescent="0.3">
      <c r="A14504" s="42"/>
      <c r="C14504" s="52"/>
      <c r="D14504"/>
      <c r="E14504"/>
      <c r="F14504"/>
      <c r="L14504" s="45"/>
      <c r="N14504" s="56"/>
    </row>
    <row r="14505" spans="1:14" x14ac:dyDescent="0.3">
      <c r="A14505" s="42"/>
      <c r="C14505" s="52"/>
      <c r="D14505"/>
      <c r="E14505"/>
      <c r="F14505"/>
      <c r="N14505" s="44"/>
    </row>
    <row r="14506" spans="1:14" x14ac:dyDescent="0.3">
      <c r="A14506" s="42"/>
      <c r="C14506" s="52"/>
      <c r="D14506"/>
      <c r="E14506"/>
      <c r="F14506"/>
      <c r="L14506" s="45"/>
      <c r="N14506" s="56"/>
    </row>
    <row r="14507" spans="1:14" x14ac:dyDescent="0.3">
      <c r="A14507" s="42"/>
      <c r="C14507" s="52"/>
      <c r="D14507"/>
      <c r="E14507"/>
      <c r="F14507"/>
      <c r="N14507" s="44"/>
    </row>
    <row r="14508" spans="1:14" x14ac:dyDescent="0.3">
      <c r="A14508" s="42"/>
      <c r="C14508" s="52"/>
      <c r="D14508"/>
      <c r="E14508"/>
      <c r="F14508"/>
      <c r="N14508" s="44"/>
    </row>
    <row r="14509" spans="1:14" x14ac:dyDescent="0.3">
      <c r="A14509" s="42"/>
      <c r="C14509" s="52"/>
      <c r="D14509"/>
      <c r="E14509"/>
      <c r="F14509"/>
      <c r="N14509" s="44"/>
    </row>
    <row r="14510" spans="1:14" x14ac:dyDescent="0.3">
      <c r="A14510" s="42"/>
      <c r="C14510" s="52"/>
      <c r="D14510"/>
      <c r="E14510"/>
      <c r="F14510"/>
      <c r="N14510" s="44"/>
    </row>
    <row r="14511" spans="1:14" x14ac:dyDescent="0.3">
      <c r="A14511" s="42"/>
      <c r="C14511" s="52"/>
      <c r="D14511"/>
      <c r="E14511"/>
      <c r="F14511"/>
      <c r="N14511" s="44"/>
    </row>
    <row r="14512" spans="1:14" x14ac:dyDescent="0.3">
      <c r="A14512" s="42"/>
      <c r="C14512" s="52"/>
      <c r="D14512"/>
      <c r="E14512"/>
      <c r="F14512"/>
      <c r="N14512" s="56"/>
    </row>
    <row r="14513" spans="1:14" x14ac:dyDescent="0.3">
      <c r="A14513" s="42"/>
      <c r="C14513" s="52"/>
      <c r="D14513"/>
      <c r="E14513"/>
      <c r="F14513"/>
      <c r="N14513" s="56"/>
    </row>
    <row r="14514" spans="1:14" x14ac:dyDescent="0.3">
      <c r="A14514" s="42"/>
      <c r="C14514" s="52"/>
      <c r="D14514"/>
      <c r="E14514"/>
      <c r="F14514"/>
      <c r="N14514" s="56"/>
    </row>
    <row r="14515" spans="1:14" x14ac:dyDescent="0.3">
      <c r="A14515" s="42"/>
      <c r="C14515" s="52"/>
      <c r="D14515"/>
      <c r="E14515"/>
      <c r="F14515"/>
      <c r="N14515" s="56"/>
    </row>
    <row r="14516" spans="1:14" x14ac:dyDescent="0.3">
      <c r="A14516" s="42"/>
      <c r="C14516" s="52"/>
      <c r="D14516"/>
      <c r="E14516"/>
      <c r="F14516"/>
      <c r="N14516" s="56"/>
    </row>
    <row r="14517" spans="1:14" x14ac:dyDescent="0.3">
      <c r="A14517" s="42"/>
      <c r="C14517" s="52"/>
      <c r="D14517"/>
      <c r="E14517"/>
      <c r="F14517"/>
      <c r="N14517" s="44"/>
    </row>
    <row r="14518" spans="1:14" x14ac:dyDescent="0.3">
      <c r="A14518" s="42"/>
      <c r="C14518" s="52"/>
      <c r="D14518"/>
      <c r="E14518"/>
      <c r="F14518"/>
      <c r="N14518" s="56"/>
    </row>
    <row r="14519" spans="1:14" x14ac:dyDescent="0.3">
      <c r="A14519" s="42"/>
      <c r="C14519" s="52"/>
      <c r="D14519"/>
      <c r="E14519"/>
      <c r="F14519"/>
      <c r="L14519" s="45"/>
      <c r="N14519" s="44"/>
    </row>
    <row r="14520" spans="1:14" x14ac:dyDescent="0.3">
      <c r="A14520" s="42"/>
      <c r="C14520" s="52"/>
      <c r="D14520"/>
      <c r="E14520"/>
      <c r="F14520"/>
      <c r="L14520" s="45"/>
      <c r="N14520" s="56"/>
    </row>
    <row r="14521" spans="1:14" x14ac:dyDescent="0.3">
      <c r="A14521" s="42"/>
      <c r="C14521" s="52"/>
      <c r="D14521"/>
      <c r="E14521"/>
      <c r="F14521"/>
      <c r="N14521" s="56"/>
    </row>
    <row r="14522" spans="1:14" x14ac:dyDescent="0.3">
      <c r="A14522" s="42"/>
      <c r="C14522" s="52"/>
      <c r="D14522"/>
      <c r="E14522"/>
      <c r="F14522"/>
      <c r="L14522" s="45"/>
      <c r="N14522" s="44"/>
    </row>
    <row r="14523" spans="1:14" x14ac:dyDescent="0.3">
      <c r="A14523" s="42"/>
      <c r="C14523" s="52"/>
      <c r="D14523"/>
      <c r="E14523"/>
      <c r="F14523"/>
      <c r="L14523" s="45"/>
      <c r="N14523" s="56"/>
    </row>
    <row r="14524" spans="1:14" x14ac:dyDescent="0.3">
      <c r="A14524" s="42"/>
      <c r="C14524" s="52"/>
      <c r="D14524"/>
      <c r="E14524"/>
      <c r="F14524"/>
      <c r="N14524" s="56"/>
    </row>
    <row r="14525" spans="1:14" x14ac:dyDescent="0.3">
      <c r="A14525" s="42"/>
      <c r="C14525" s="52"/>
      <c r="D14525"/>
      <c r="E14525"/>
      <c r="F14525"/>
      <c r="N14525" s="44"/>
    </row>
    <row r="14526" spans="1:14" x14ac:dyDescent="0.3">
      <c r="A14526" s="42"/>
      <c r="C14526" s="52"/>
      <c r="D14526"/>
      <c r="E14526"/>
      <c r="F14526"/>
      <c r="L14526" s="45"/>
      <c r="M14526" s="45"/>
      <c r="N14526" s="56"/>
    </row>
    <row r="14527" spans="1:14" x14ac:dyDescent="0.3">
      <c r="A14527" s="42"/>
      <c r="C14527" s="52"/>
      <c r="D14527"/>
      <c r="E14527"/>
      <c r="F14527"/>
      <c r="N14527" s="44"/>
    </row>
    <row r="14528" spans="1:14" x14ac:dyDescent="0.3">
      <c r="A14528" s="42"/>
      <c r="C14528" s="52"/>
      <c r="D14528"/>
      <c r="E14528"/>
      <c r="F14528"/>
      <c r="N14528" s="44"/>
    </row>
    <row r="14529" spans="1:14" x14ac:dyDescent="0.3">
      <c r="A14529" s="42"/>
      <c r="C14529" s="52"/>
      <c r="D14529"/>
      <c r="E14529"/>
      <c r="F14529"/>
      <c r="N14529" s="56"/>
    </row>
    <row r="14530" spans="1:14" x14ac:dyDescent="0.3">
      <c r="A14530" s="42"/>
      <c r="C14530" s="52"/>
      <c r="D14530"/>
      <c r="E14530"/>
      <c r="F14530"/>
      <c r="N14530" s="56"/>
    </row>
    <row r="14531" spans="1:14" x14ac:dyDescent="0.3">
      <c r="A14531" s="42"/>
      <c r="C14531" s="52"/>
      <c r="D14531"/>
      <c r="E14531"/>
      <c r="F14531"/>
      <c r="N14531" s="56"/>
    </row>
    <row r="14532" spans="1:14" x14ac:dyDescent="0.3">
      <c r="A14532" s="42"/>
      <c r="C14532" s="52"/>
      <c r="D14532"/>
      <c r="E14532"/>
      <c r="F14532"/>
      <c r="N14532" s="56"/>
    </row>
    <row r="14533" spans="1:14" x14ac:dyDescent="0.3">
      <c r="A14533" s="42"/>
      <c r="C14533" s="52"/>
      <c r="D14533"/>
      <c r="E14533"/>
      <c r="F14533"/>
      <c r="N14533" s="56"/>
    </row>
    <row r="14534" spans="1:14" x14ac:dyDescent="0.3">
      <c r="A14534" s="42"/>
      <c r="C14534" s="52"/>
      <c r="D14534"/>
      <c r="E14534"/>
      <c r="F14534"/>
      <c r="N14534" s="56"/>
    </row>
    <row r="14535" spans="1:14" x14ac:dyDescent="0.3">
      <c r="A14535" s="42"/>
      <c r="C14535" s="52"/>
      <c r="D14535"/>
      <c r="E14535"/>
      <c r="F14535"/>
      <c r="N14535" s="44"/>
    </row>
    <row r="14536" spans="1:14" x14ac:dyDescent="0.3">
      <c r="A14536" s="42"/>
      <c r="C14536" s="52"/>
      <c r="D14536"/>
      <c r="E14536"/>
      <c r="F14536"/>
      <c r="N14536" s="56"/>
    </row>
    <row r="14537" spans="1:14" x14ac:dyDescent="0.3">
      <c r="A14537" s="42"/>
      <c r="C14537" s="52"/>
      <c r="D14537"/>
      <c r="E14537"/>
      <c r="F14537"/>
      <c r="N14537" s="44"/>
    </row>
    <row r="14538" spans="1:14" x14ac:dyDescent="0.3">
      <c r="A14538" s="42"/>
      <c r="C14538" s="52"/>
      <c r="D14538"/>
      <c r="E14538"/>
      <c r="F14538"/>
      <c r="N14538" s="56"/>
    </row>
    <row r="14539" spans="1:14" x14ac:dyDescent="0.3">
      <c r="A14539" s="42"/>
      <c r="C14539" s="52"/>
      <c r="D14539"/>
      <c r="E14539"/>
      <c r="F14539"/>
      <c r="N14539" s="56"/>
    </row>
    <row r="14540" spans="1:14" x14ac:dyDescent="0.3">
      <c r="A14540" s="42"/>
      <c r="C14540" s="52"/>
      <c r="D14540"/>
      <c r="E14540"/>
      <c r="F14540"/>
      <c r="N14540" s="44"/>
    </row>
    <row r="14541" spans="1:14" x14ac:dyDescent="0.3">
      <c r="A14541" s="42"/>
      <c r="C14541" s="52"/>
      <c r="D14541"/>
      <c r="E14541"/>
      <c r="F14541"/>
      <c r="N14541" s="56"/>
    </row>
    <row r="14542" spans="1:14" x14ac:dyDescent="0.3">
      <c r="A14542" s="42"/>
      <c r="C14542" s="52"/>
      <c r="D14542"/>
      <c r="E14542"/>
      <c r="F14542"/>
      <c r="N14542" s="56"/>
    </row>
    <row r="14543" spans="1:14" x14ac:dyDescent="0.3">
      <c r="A14543" s="42"/>
      <c r="C14543" s="52"/>
      <c r="D14543"/>
      <c r="E14543"/>
      <c r="F14543"/>
      <c r="N14543" s="44"/>
    </row>
    <row r="14544" spans="1:14" x14ac:dyDescent="0.3">
      <c r="A14544" s="42"/>
      <c r="C14544" s="52"/>
      <c r="D14544"/>
      <c r="E14544"/>
      <c r="F14544"/>
      <c r="L14544" s="45"/>
      <c r="N14544" s="56"/>
    </row>
    <row r="14545" spans="1:14" x14ac:dyDescent="0.3">
      <c r="A14545" s="42"/>
      <c r="C14545" s="52"/>
      <c r="D14545"/>
      <c r="E14545"/>
      <c r="F14545"/>
      <c r="N14545" s="44"/>
    </row>
    <row r="14546" spans="1:14" x14ac:dyDescent="0.3">
      <c r="A14546" s="42"/>
      <c r="C14546" s="52"/>
      <c r="D14546"/>
      <c r="E14546"/>
      <c r="F14546"/>
      <c r="L14546" s="45"/>
      <c r="N14546" s="56"/>
    </row>
    <row r="14547" spans="1:14" x14ac:dyDescent="0.3">
      <c r="A14547" s="42"/>
      <c r="C14547" s="52"/>
      <c r="D14547"/>
      <c r="E14547"/>
      <c r="F14547"/>
      <c r="N14547" s="56"/>
    </row>
    <row r="14548" spans="1:14" x14ac:dyDescent="0.3">
      <c r="A14548" s="42"/>
      <c r="C14548" s="52"/>
      <c r="D14548"/>
      <c r="E14548"/>
      <c r="F14548"/>
      <c r="N14548" s="44"/>
    </row>
    <row r="14549" spans="1:14" x14ac:dyDescent="0.3">
      <c r="A14549" s="42"/>
      <c r="C14549" s="52"/>
      <c r="D14549"/>
      <c r="E14549"/>
      <c r="F14549"/>
      <c r="L14549" s="45"/>
      <c r="N14549" s="56"/>
    </row>
    <row r="14550" spans="1:14" x14ac:dyDescent="0.3">
      <c r="A14550" s="42"/>
      <c r="C14550" s="52"/>
      <c r="D14550"/>
      <c r="E14550"/>
      <c r="F14550"/>
      <c r="L14550" s="106"/>
      <c r="N14550" s="44"/>
    </row>
    <row r="14551" spans="1:14" x14ac:dyDescent="0.3">
      <c r="A14551" s="42"/>
      <c r="C14551" s="52"/>
      <c r="D14551"/>
      <c r="E14551"/>
      <c r="F14551"/>
      <c r="N14551" s="56"/>
    </row>
    <row r="14552" spans="1:14" x14ac:dyDescent="0.3">
      <c r="A14552" s="42"/>
      <c r="C14552" s="52"/>
      <c r="D14552"/>
      <c r="E14552"/>
      <c r="F14552"/>
      <c r="N14552" s="56"/>
    </row>
    <row r="14553" spans="1:14" x14ac:dyDescent="0.3">
      <c r="A14553" s="42"/>
      <c r="C14553" s="52"/>
      <c r="D14553"/>
      <c r="E14553"/>
      <c r="F14553"/>
      <c r="N14553" s="44"/>
    </row>
    <row r="14554" spans="1:14" x14ac:dyDescent="0.3">
      <c r="A14554" s="42"/>
      <c r="C14554" s="52"/>
      <c r="D14554"/>
      <c r="E14554"/>
      <c r="F14554"/>
      <c r="L14554" s="45"/>
      <c r="N14554" s="56"/>
    </row>
    <row r="14555" spans="1:14" x14ac:dyDescent="0.3">
      <c r="A14555" s="42"/>
      <c r="C14555" s="52"/>
      <c r="D14555"/>
      <c r="E14555"/>
      <c r="F14555"/>
      <c r="N14555" s="56"/>
    </row>
    <row r="14556" spans="1:14" x14ac:dyDescent="0.3">
      <c r="A14556" s="42"/>
      <c r="C14556" s="52"/>
      <c r="D14556"/>
      <c r="E14556"/>
      <c r="F14556"/>
      <c r="N14556" s="56"/>
    </row>
    <row r="14557" spans="1:14" x14ac:dyDescent="0.3">
      <c r="A14557" s="42"/>
      <c r="C14557" s="52"/>
      <c r="D14557"/>
      <c r="E14557"/>
      <c r="F14557"/>
      <c r="N14557" s="44"/>
    </row>
    <row r="14558" spans="1:14" x14ac:dyDescent="0.3">
      <c r="A14558" s="42"/>
      <c r="C14558" s="52"/>
      <c r="D14558"/>
      <c r="E14558"/>
      <c r="F14558"/>
      <c r="N14558" s="44"/>
    </row>
    <row r="14559" spans="1:14" x14ac:dyDescent="0.3">
      <c r="A14559" s="42"/>
      <c r="C14559" s="52"/>
      <c r="D14559"/>
      <c r="E14559"/>
      <c r="F14559"/>
      <c r="N14559" s="44"/>
    </row>
    <row r="14560" spans="1:14" x14ac:dyDescent="0.3">
      <c r="A14560" s="42"/>
      <c r="C14560" s="52"/>
      <c r="D14560"/>
      <c r="E14560"/>
      <c r="F14560"/>
      <c r="N14560" s="56"/>
    </row>
    <row r="14561" spans="1:14" x14ac:dyDescent="0.3">
      <c r="A14561" s="42"/>
      <c r="C14561" s="52"/>
      <c r="D14561"/>
      <c r="E14561"/>
      <c r="F14561"/>
      <c r="M14561" s="45"/>
      <c r="N14561" s="56"/>
    </row>
    <row r="14562" spans="1:14" x14ac:dyDescent="0.3">
      <c r="A14562" s="42"/>
      <c r="C14562" s="52"/>
      <c r="D14562"/>
      <c r="E14562"/>
      <c r="F14562"/>
      <c r="N14562" s="56"/>
    </row>
    <row r="14563" spans="1:14" x14ac:dyDescent="0.3">
      <c r="A14563" s="42"/>
      <c r="C14563" s="52"/>
      <c r="D14563"/>
      <c r="E14563"/>
      <c r="F14563"/>
      <c r="N14563" s="44"/>
    </row>
    <row r="14564" spans="1:14" x14ac:dyDescent="0.3">
      <c r="A14564" s="42"/>
      <c r="C14564" s="52"/>
      <c r="D14564"/>
      <c r="E14564"/>
      <c r="F14564"/>
      <c r="N14564" s="44"/>
    </row>
    <row r="14565" spans="1:14" x14ac:dyDescent="0.3">
      <c r="A14565" s="42"/>
      <c r="C14565" s="52"/>
      <c r="D14565"/>
      <c r="E14565"/>
      <c r="F14565"/>
      <c r="N14565" s="44"/>
    </row>
    <row r="14566" spans="1:14" x14ac:dyDescent="0.3">
      <c r="A14566" s="42"/>
      <c r="C14566" s="52"/>
      <c r="D14566"/>
      <c r="E14566"/>
      <c r="F14566"/>
      <c r="N14566" s="44"/>
    </row>
    <row r="14567" spans="1:14" x14ac:dyDescent="0.3">
      <c r="A14567" s="42"/>
      <c r="C14567" s="52"/>
      <c r="D14567"/>
      <c r="E14567"/>
      <c r="F14567"/>
      <c r="N14567" s="44"/>
    </row>
    <row r="14568" spans="1:14" x14ac:dyDescent="0.3">
      <c r="A14568" s="42"/>
      <c r="C14568" s="52"/>
      <c r="D14568"/>
      <c r="E14568"/>
      <c r="F14568"/>
      <c r="N14568" s="44"/>
    </row>
    <row r="14569" spans="1:14" x14ac:dyDescent="0.3">
      <c r="A14569" s="42"/>
      <c r="C14569" s="52"/>
      <c r="D14569"/>
      <c r="E14569"/>
      <c r="F14569"/>
      <c r="N14569" s="44"/>
    </row>
    <row r="14570" spans="1:14" x14ac:dyDescent="0.3">
      <c r="A14570" s="42"/>
      <c r="C14570" s="52"/>
      <c r="D14570"/>
      <c r="E14570"/>
      <c r="F14570"/>
      <c r="N14570" s="56"/>
    </row>
    <row r="14571" spans="1:14" x14ac:dyDescent="0.3">
      <c r="A14571" s="42"/>
      <c r="C14571" s="52"/>
      <c r="D14571"/>
      <c r="E14571"/>
      <c r="F14571"/>
      <c r="N14571" s="56"/>
    </row>
    <row r="14572" spans="1:14" x14ac:dyDescent="0.3">
      <c r="A14572" s="42"/>
      <c r="C14572" s="52"/>
      <c r="D14572"/>
      <c r="E14572"/>
      <c r="F14572"/>
      <c r="N14572" s="56"/>
    </row>
    <row r="14573" spans="1:14" x14ac:dyDescent="0.3">
      <c r="A14573" s="42"/>
      <c r="C14573" s="52"/>
      <c r="D14573"/>
      <c r="E14573"/>
      <c r="F14573"/>
      <c r="N14573" s="56"/>
    </row>
    <row r="14574" spans="1:14" x14ac:dyDescent="0.3">
      <c r="A14574" s="42"/>
      <c r="C14574" s="52"/>
      <c r="D14574"/>
      <c r="E14574"/>
      <c r="F14574"/>
      <c r="N14574" s="56"/>
    </row>
    <row r="14575" spans="1:14" x14ac:dyDescent="0.3">
      <c r="A14575" s="42"/>
      <c r="C14575" s="52"/>
      <c r="D14575"/>
      <c r="E14575"/>
      <c r="F14575"/>
      <c r="N14575" s="56"/>
    </row>
    <row r="14576" spans="1:14" x14ac:dyDescent="0.3">
      <c r="A14576" s="42"/>
      <c r="C14576" s="52"/>
      <c r="D14576"/>
      <c r="E14576"/>
      <c r="F14576"/>
      <c r="N14576" s="56"/>
    </row>
    <row r="14577" spans="1:14" x14ac:dyDescent="0.3">
      <c r="A14577" s="42"/>
      <c r="C14577" s="52"/>
      <c r="D14577"/>
      <c r="E14577"/>
      <c r="F14577"/>
      <c r="N14577" s="56"/>
    </row>
    <row r="14578" spans="1:14" x14ac:dyDescent="0.3">
      <c r="A14578" s="42"/>
      <c r="C14578" s="52"/>
      <c r="D14578"/>
      <c r="E14578"/>
      <c r="F14578"/>
      <c r="N14578" s="56"/>
    </row>
    <row r="14579" spans="1:14" x14ac:dyDescent="0.3">
      <c r="A14579" s="42"/>
      <c r="C14579" s="52"/>
      <c r="D14579"/>
      <c r="E14579"/>
      <c r="F14579"/>
      <c r="N14579" s="56"/>
    </row>
    <row r="14580" spans="1:14" x14ac:dyDescent="0.3">
      <c r="A14580" s="42"/>
      <c r="C14580" s="52"/>
      <c r="D14580"/>
      <c r="E14580"/>
      <c r="F14580"/>
      <c r="N14580" s="56"/>
    </row>
    <row r="14581" spans="1:14" x14ac:dyDescent="0.3">
      <c r="A14581" s="42"/>
      <c r="C14581" s="52"/>
      <c r="D14581"/>
      <c r="E14581"/>
      <c r="F14581"/>
      <c r="L14581" s="45"/>
      <c r="N14581" s="44"/>
    </row>
    <row r="14582" spans="1:14" x14ac:dyDescent="0.3">
      <c r="A14582" s="42"/>
      <c r="C14582" s="52"/>
      <c r="D14582"/>
      <c r="E14582"/>
      <c r="F14582"/>
      <c r="N14582" s="44"/>
    </row>
    <row r="14583" spans="1:14" x14ac:dyDescent="0.3">
      <c r="A14583" s="42"/>
      <c r="C14583" s="52"/>
      <c r="D14583"/>
      <c r="E14583"/>
      <c r="F14583"/>
      <c r="N14583" s="56"/>
    </row>
    <row r="14584" spans="1:14" x14ac:dyDescent="0.3">
      <c r="A14584" s="42"/>
      <c r="C14584" s="52"/>
      <c r="D14584"/>
      <c r="E14584"/>
      <c r="F14584"/>
      <c r="N14584" s="44"/>
    </row>
    <row r="14585" spans="1:14" x14ac:dyDescent="0.3">
      <c r="A14585" s="42"/>
      <c r="C14585" s="52"/>
      <c r="D14585"/>
      <c r="E14585"/>
      <c r="F14585"/>
      <c r="N14585" s="44"/>
    </row>
    <row r="14586" spans="1:14" x14ac:dyDescent="0.3">
      <c r="A14586" s="42"/>
      <c r="C14586" s="52"/>
      <c r="D14586"/>
      <c r="E14586"/>
      <c r="F14586"/>
      <c r="N14586" s="56"/>
    </row>
    <row r="14587" spans="1:14" x14ac:dyDescent="0.3">
      <c r="A14587" s="42"/>
      <c r="C14587" s="52"/>
      <c r="D14587"/>
      <c r="E14587"/>
      <c r="F14587"/>
      <c r="N14587" s="56"/>
    </row>
    <row r="14588" spans="1:14" x14ac:dyDescent="0.3">
      <c r="A14588" s="42"/>
      <c r="C14588" s="52"/>
      <c r="D14588"/>
      <c r="E14588"/>
      <c r="F14588"/>
      <c r="N14588" s="56"/>
    </row>
    <row r="14589" spans="1:14" x14ac:dyDescent="0.3">
      <c r="A14589" s="42"/>
      <c r="C14589" s="52"/>
      <c r="D14589"/>
      <c r="E14589"/>
      <c r="F14589"/>
      <c r="N14589" s="44"/>
    </row>
    <row r="14590" spans="1:14" x14ac:dyDescent="0.3">
      <c r="A14590" s="42"/>
      <c r="C14590" s="52"/>
      <c r="D14590"/>
      <c r="E14590"/>
      <c r="F14590"/>
      <c r="N14590" s="44"/>
    </row>
    <row r="14591" spans="1:14" x14ac:dyDescent="0.3">
      <c r="A14591" s="42"/>
      <c r="C14591" s="52"/>
      <c r="D14591"/>
      <c r="E14591"/>
      <c r="F14591"/>
      <c r="N14591" s="56"/>
    </row>
    <row r="14592" spans="1:14" x14ac:dyDescent="0.3">
      <c r="A14592" s="42"/>
      <c r="C14592" s="52"/>
      <c r="D14592"/>
      <c r="E14592"/>
      <c r="F14592"/>
      <c r="N14592" s="56"/>
    </row>
    <row r="14593" spans="1:14" x14ac:dyDescent="0.3">
      <c r="A14593" s="42"/>
      <c r="C14593" s="52"/>
      <c r="D14593"/>
      <c r="E14593"/>
      <c r="F14593"/>
      <c r="L14593" s="106"/>
      <c r="M14593" s="45"/>
      <c r="N14593" s="44"/>
    </row>
    <row r="14594" spans="1:14" x14ac:dyDescent="0.3">
      <c r="A14594" s="42"/>
      <c r="C14594" s="52"/>
      <c r="D14594"/>
      <c r="E14594"/>
      <c r="F14594"/>
      <c r="N14594" s="44"/>
    </row>
    <row r="14595" spans="1:14" x14ac:dyDescent="0.3">
      <c r="A14595" s="42"/>
      <c r="C14595" s="52"/>
      <c r="D14595"/>
      <c r="E14595"/>
      <c r="F14595"/>
      <c r="N14595" s="56"/>
    </row>
    <row r="14596" spans="1:14" x14ac:dyDescent="0.3">
      <c r="A14596" s="42"/>
      <c r="C14596" s="52"/>
      <c r="D14596"/>
      <c r="E14596"/>
      <c r="F14596"/>
      <c r="N14596" s="56"/>
    </row>
    <row r="14597" spans="1:14" x14ac:dyDescent="0.3">
      <c r="A14597" s="42"/>
      <c r="C14597" s="52"/>
      <c r="D14597"/>
      <c r="E14597"/>
      <c r="F14597"/>
      <c r="L14597" s="45"/>
      <c r="N14597" s="56"/>
    </row>
    <row r="14598" spans="1:14" x14ac:dyDescent="0.3">
      <c r="A14598" s="42"/>
      <c r="C14598" s="52"/>
      <c r="D14598"/>
      <c r="E14598"/>
      <c r="F14598"/>
      <c r="N14598" s="56"/>
    </row>
    <row r="14599" spans="1:14" x14ac:dyDescent="0.3">
      <c r="A14599" s="42"/>
      <c r="C14599" s="52"/>
      <c r="D14599"/>
      <c r="E14599"/>
      <c r="F14599"/>
      <c r="N14599" s="56"/>
    </row>
    <row r="14600" spans="1:14" x14ac:dyDescent="0.3">
      <c r="A14600" s="42"/>
      <c r="C14600" s="52"/>
      <c r="D14600"/>
      <c r="E14600"/>
      <c r="F14600"/>
      <c r="L14600" s="106"/>
      <c r="N14600" s="44"/>
    </row>
    <row r="14601" spans="1:14" x14ac:dyDescent="0.3">
      <c r="A14601" s="42"/>
      <c r="C14601" s="52"/>
      <c r="D14601"/>
      <c r="E14601"/>
      <c r="F14601"/>
      <c r="N14601" s="44"/>
    </row>
    <row r="14602" spans="1:14" x14ac:dyDescent="0.3">
      <c r="A14602" s="42"/>
      <c r="C14602" s="52"/>
      <c r="D14602"/>
      <c r="E14602"/>
      <c r="F14602"/>
      <c r="N14602" s="56"/>
    </row>
    <row r="14603" spans="1:14" x14ac:dyDescent="0.3">
      <c r="A14603" s="42"/>
      <c r="C14603" s="52"/>
      <c r="D14603"/>
      <c r="E14603"/>
      <c r="F14603"/>
      <c r="N14603" s="56"/>
    </row>
    <row r="14604" spans="1:14" x14ac:dyDescent="0.3">
      <c r="A14604" s="42"/>
      <c r="C14604" s="52"/>
      <c r="D14604"/>
      <c r="E14604"/>
      <c r="F14604"/>
      <c r="N14604" s="56"/>
    </row>
    <row r="14605" spans="1:14" x14ac:dyDescent="0.3">
      <c r="A14605" s="42"/>
      <c r="C14605" s="52"/>
      <c r="D14605"/>
      <c r="E14605"/>
      <c r="F14605"/>
      <c r="L14605" s="45"/>
      <c r="N14605" s="56"/>
    </row>
    <row r="14606" spans="1:14" x14ac:dyDescent="0.3">
      <c r="A14606" s="42"/>
      <c r="C14606" s="52"/>
      <c r="D14606"/>
      <c r="E14606"/>
      <c r="F14606"/>
      <c r="N14606" s="44"/>
    </row>
    <row r="14607" spans="1:14" x14ac:dyDescent="0.3">
      <c r="A14607" s="42"/>
      <c r="C14607" s="52"/>
      <c r="D14607"/>
      <c r="E14607"/>
      <c r="F14607"/>
      <c r="N14607" s="44"/>
    </row>
    <row r="14608" spans="1:14" x14ac:dyDescent="0.3">
      <c r="A14608" s="42"/>
      <c r="C14608" s="52"/>
      <c r="D14608"/>
      <c r="E14608"/>
      <c r="F14608"/>
      <c r="N14608" s="44"/>
    </row>
    <row r="14609" spans="1:14" x14ac:dyDescent="0.3">
      <c r="A14609" s="42"/>
      <c r="C14609" s="52"/>
      <c r="D14609"/>
      <c r="E14609"/>
      <c r="F14609"/>
      <c r="N14609" s="44"/>
    </row>
    <row r="14610" spans="1:14" x14ac:dyDescent="0.3">
      <c r="A14610" s="42"/>
      <c r="C14610" s="52"/>
      <c r="D14610"/>
      <c r="E14610"/>
      <c r="F14610"/>
      <c r="N14610" s="44"/>
    </row>
    <row r="14611" spans="1:14" x14ac:dyDescent="0.3">
      <c r="A14611" s="42"/>
      <c r="C14611" s="52"/>
      <c r="D14611"/>
      <c r="E14611"/>
      <c r="F14611"/>
      <c r="L14611" s="45"/>
      <c r="N14611" s="56"/>
    </row>
    <row r="14612" spans="1:14" x14ac:dyDescent="0.3">
      <c r="A14612" s="42"/>
      <c r="C14612" s="52"/>
      <c r="D14612"/>
      <c r="E14612"/>
      <c r="F14612"/>
      <c r="N14612" s="56"/>
    </row>
    <row r="14613" spans="1:14" x14ac:dyDescent="0.3">
      <c r="A14613" s="42"/>
      <c r="C14613" s="52"/>
      <c r="D14613"/>
      <c r="E14613"/>
      <c r="F14613"/>
      <c r="L14613" s="45"/>
      <c r="N14613" s="56"/>
    </row>
    <row r="14614" spans="1:14" x14ac:dyDescent="0.3">
      <c r="A14614" s="42"/>
      <c r="C14614" s="52"/>
      <c r="D14614"/>
      <c r="E14614"/>
      <c r="F14614"/>
      <c r="L14614" s="45"/>
      <c r="N14614" s="56"/>
    </row>
    <row r="14615" spans="1:14" x14ac:dyDescent="0.3">
      <c r="A14615" s="42"/>
      <c r="C14615" s="52"/>
      <c r="D14615"/>
      <c r="E14615"/>
      <c r="F14615"/>
      <c r="N14615" s="56"/>
    </row>
    <row r="14616" spans="1:14" x14ac:dyDescent="0.3">
      <c r="A14616" s="42"/>
      <c r="C14616" s="52"/>
      <c r="D14616"/>
      <c r="E14616"/>
      <c r="F14616"/>
      <c r="N14616" s="44"/>
    </row>
    <row r="14617" spans="1:14" x14ac:dyDescent="0.3">
      <c r="A14617" s="42"/>
      <c r="C14617" s="52"/>
      <c r="D14617"/>
      <c r="E14617"/>
      <c r="F14617"/>
      <c r="N14617" s="44"/>
    </row>
    <row r="14618" spans="1:14" x14ac:dyDescent="0.3">
      <c r="A14618" s="42"/>
      <c r="C14618" s="52"/>
      <c r="D14618"/>
      <c r="E14618"/>
      <c r="F14618"/>
      <c r="N14618" s="44"/>
    </row>
    <row r="14619" spans="1:14" x14ac:dyDescent="0.3">
      <c r="A14619" s="42"/>
      <c r="C14619" s="52"/>
      <c r="D14619"/>
      <c r="E14619"/>
      <c r="F14619"/>
      <c r="N14619" s="56"/>
    </row>
    <row r="14620" spans="1:14" x14ac:dyDescent="0.3">
      <c r="A14620" s="42"/>
      <c r="C14620" s="52"/>
      <c r="D14620"/>
      <c r="E14620"/>
      <c r="F14620"/>
      <c r="N14620" s="56"/>
    </row>
    <row r="14621" spans="1:14" x14ac:dyDescent="0.3">
      <c r="A14621" s="42"/>
      <c r="C14621" s="52"/>
      <c r="D14621"/>
      <c r="E14621"/>
      <c r="F14621"/>
      <c r="N14621" s="56"/>
    </row>
    <row r="14622" spans="1:14" x14ac:dyDescent="0.3">
      <c r="A14622" s="42"/>
      <c r="C14622" s="52"/>
      <c r="D14622"/>
      <c r="E14622"/>
      <c r="F14622"/>
      <c r="N14622" s="44"/>
    </row>
    <row r="14623" spans="1:14" x14ac:dyDescent="0.3">
      <c r="A14623" s="42"/>
      <c r="C14623" s="52"/>
      <c r="D14623"/>
      <c r="E14623"/>
      <c r="F14623"/>
      <c r="L14623" s="45"/>
      <c r="N14623" s="44"/>
    </row>
    <row r="14624" spans="1:14" x14ac:dyDescent="0.3">
      <c r="A14624" s="42"/>
      <c r="C14624" s="52"/>
      <c r="D14624"/>
      <c r="E14624"/>
      <c r="F14624"/>
      <c r="L14624" s="45"/>
      <c r="N14624" s="56"/>
    </row>
    <row r="14625" spans="1:14" x14ac:dyDescent="0.3">
      <c r="A14625" s="42"/>
      <c r="C14625" s="52"/>
      <c r="D14625"/>
      <c r="E14625"/>
      <c r="F14625"/>
      <c r="L14625" s="45"/>
      <c r="N14625" s="56"/>
    </row>
    <row r="14626" spans="1:14" x14ac:dyDescent="0.3">
      <c r="A14626" s="42"/>
      <c r="C14626" s="52"/>
      <c r="D14626"/>
      <c r="E14626"/>
      <c r="F14626"/>
      <c r="N14626" s="56"/>
    </row>
    <row r="14627" spans="1:14" x14ac:dyDescent="0.3">
      <c r="A14627" s="42"/>
      <c r="C14627" s="52"/>
      <c r="D14627"/>
      <c r="E14627"/>
      <c r="F14627"/>
      <c r="N14627" s="44"/>
    </row>
    <row r="14628" spans="1:14" x14ac:dyDescent="0.3">
      <c r="A14628" s="42"/>
      <c r="C14628" s="52"/>
      <c r="D14628"/>
      <c r="E14628"/>
      <c r="F14628"/>
      <c r="N14628" s="44"/>
    </row>
    <row r="14629" spans="1:14" x14ac:dyDescent="0.3">
      <c r="A14629" s="42"/>
      <c r="C14629" s="52"/>
      <c r="D14629"/>
      <c r="E14629"/>
      <c r="F14629"/>
      <c r="N14629" s="56"/>
    </row>
    <row r="14630" spans="1:14" x14ac:dyDescent="0.3">
      <c r="A14630" s="42"/>
      <c r="C14630" s="52"/>
      <c r="D14630"/>
      <c r="E14630"/>
      <c r="F14630"/>
      <c r="N14630" s="44"/>
    </row>
    <row r="14631" spans="1:14" x14ac:dyDescent="0.3">
      <c r="A14631" s="42"/>
      <c r="C14631" s="52"/>
      <c r="D14631"/>
      <c r="E14631"/>
      <c r="F14631"/>
      <c r="N14631" s="44"/>
    </row>
    <row r="14632" spans="1:14" x14ac:dyDescent="0.3">
      <c r="A14632" s="42"/>
      <c r="C14632" s="52"/>
      <c r="D14632"/>
      <c r="E14632"/>
      <c r="F14632"/>
      <c r="N14632" s="56"/>
    </row>
    <row r="14633" spans="1:14" x14ac:dyDescent="0.3">
      <c r="A14633" s="42"/>
      <c r="C14633" s="52"/>
      <c r="D14633"/>
      <c r="E14633"/>
      <c r="F14633"/>
      <c r="N14633" s="56"/>
    </row>
    <row r="14634" spans="1:14" x14ac:dyDescent="0.3">
      <c r="A14634" s="42"/>
      <c r="C14634" s="52"/>
      <c r="D14634"/>
      <c r="E14634"/>
      <c r="F14634"/>
      <c r="N14634" s="56"/>
    </row>
    <row r="14635" spans="1:14" x14ac:dyDescent="0.3">
      <c r="A14635" s="42"/>
      <c r="C14635" s="52"/>
      <c r="D14635"/>
      <c r="E14635"/>
      <c r="F14635"/>
      <c r="N14635" s="44"/>
    </row>
    <row r="14636" spans="1:14" x14ac:dyDescent="0.3">
      <c r="A14636" s="42"/>
      <c r="C14636" s="52"/>
      <c r="D14636"/>
      <c r="E14636"/>
      <c r="F14636"/>
      <c r="N14636" s="56"/>
    </row>
    <row r="14637" spans="1:14" x14ac:dyDescent="0.3">
      <c r="A14637" s="42"/>
      <c r="C14637" s="52"/>
      <c r="D14637"/>
      <c r="E14637"/>
      <c r="F14637"/>
      <c r="N14637" s="56"/>
    </row>
    <row r="14638" spans="1:14" x14ac:dyDescent="0.3">
      <c r="A14638" s="42"/>
      <c r="C14638" s="52"/>
      <c r="D14638"/>
      <c r="E14638"/>
      <c r="F14638"/>
      <c r="N14638" s="44"/>
    </row>
    <row r="14639" spans="1:14" x14ac:dyDescent="0.3">
      <c r="A14639" s="42"/>
      <c r="C14639" s="52"/>
      <c r="D14639"/>
      <c r="E14639"/>
      <c r="F14639"/>
      <c r="N14639" s="56"/>
    </row>
    <row r="14640" spans="1:14" x14ac:dyDescent="0.3">
      <c r="A14640" s="42"/>
      <c r="C14640" s="52"/>
      <c r="D14640"/>
      <c r="E14640"/>
      <c r="F14640"/>
      <c r="N14640" s="44"/>
    </row>
    <row r="14641" spans="1:14" x14ac:dyDescent="0.3">
      <c r="A14641" s="42"/>
      <c r="C14641" s="52"/>
      <c r="D14641"/>
      <c r="E14641"/>
      <c r="F14641"/>
      <c r="L14641" s="45"/>
      <c r="N14641" s="56"/>
    </row>
    <row r="14642" spans="1:14" x14ac:dyDescent="0.3">
      <c r="A14642" s="42"/>
      <c r="C14642" s="52"/>
      <c r="D14642"/>
      <c r="E14642"/>
      <c r="F14642"/>
      <c r="N14642" s="44"/>
    </row>
    <row r="14643" spans="1:14" x14ac:dyDescent="0.3">
      <c r="A14643" s="42"/>
      <c r="C14643" s="52"/>
      <c r="D14643"/>
      <c r="E14643"/>
      <c r="F14643"/>
      <c r="N14643" s="44"/>
    </row>
    <row r="14644" spans="1:14" x14ac:dyDescent="0.3">
      <c r="A14644" s="42"/>
      <c r="C14644" s="52"/>
      <c r="D14644"/>
      <c r="E14644"/>
      <c r="F14644"/>
      <c r="N14644" s="56"/>
    </row>
    <row r="14645" spans="1:14" x14ac:dyDescent="0.3">
      <c r="A14645" s="42"/>
      <c r="C14645" s="52"/>
      <c r="D14645"/>
      <c r="E14645"/>
      <c r="F14645"/>
      <c r="M14645" s="45"/>
      <c r="N14645" s="56"/>
    </row>
    <row r="14646" spans="1:14" x14ac:dyDescent="0.3">
      <c r="A14646" s="42"/>
      <c r="C14646" s="52"/>
      <c r="D14646"/>
      <c r="E14646"/>
      <c r="F14646"/>
      <c r="L14646" s="106"/>
      <c r="N14646" s="44"/>
    </row>
    <row r="14647" spans="1:14" x14ac:dyDescent="0.3">
      <c r="A14647" s="42"/>
      <c r="C14647" s="52"/>
      <c r="D14647"/>
      <c r="E14647"/>
      <c r="F14647"/>
      <c r="L14647" s="45"/>
      <c r="N14647" s="56"/>
    </row>
    <row r="14648" spans="1:14" x14ac:dyDescent="0.3">
      <c r="A14648" s="42"/>
      <c r="C14648" s="52"/>
      <c r="D14648"/>
      <c r="E14648"/>
      <c r="F14648"/>
      <c r="L14648" s="45"/>
      <c r="N14648" s="56"/>
    </row>
    <row r="14649" spans="1:14" x14ac:dyDescent="0.3">
      <c r="A14649" s="42"/>
      <c r="C14649" s="52"/>
      <c r="D14649"/>
      <c r="E14649"/>
      <c r="F14649"/>
      <c r="L14649" s="45"/>
      <c r="N14649" s="56"/>
    </row>
    <row r="14650" spans="1:14" x14ac:dyDescent="0.3">
      <c r="A14650" s="42"/>
      <c r="C14650" s="52"/>
      <c r="D14650"/>
      <c r="E14650"/>
      <c r="F14650"/>
      <c r="L14650" s="45"/>
      <c r="N14650" s="44"/>
    </row>
    <row r="14651" spans="1:14" x14ac:dyDescent="0.3">
      <c r="A14651" s="42"/>
      <c r="C14651" s="52"/>
      <c r="D14651"/>
      <c r="E14651"/>
      <c r="F14651"/>
      <c r="L14651" s="45"/>
      <c r="N14651" s="56"/>
    </row>
    <row r="14652" spans="1:14" x14ac:dyDescent="0.3">
      <c r="A14652" s="42"/>
      <c r="C14652" s="52"/>
      <c r="D14652"/>
      <c r="E14652"/>
      <c r="F14652"/>
      <c r="N14652" s="44"/>
    </row>
    <row r="14653" spans="1:14" x14ac:dyDescent="0.3">
      <c r="A14653" s="42"/>
      <c r="C14653" s="52"/>
      <c r="D14653"/>
      <c r="E14653"/>
      <c r="F14653"/>
      <c r="N14653" s="56"/>
    </row>
    <row r="14654" spans="1:14" x14ac:dyDescent="0.3">
      <c r="A14654" s="42"/>
      <c r="C14654" s="52"/>
      <c r="D14654"/>
      <c r="E14654"/>
      <c r="F14654"/>
      <c r="N14654" s="44"/>
    </row>
    <row r="14655" spans="1:14" x14ac:dyDescent="0.3">
      <c r="A14655" s="42"/>
      <c r="C14655" s="52"/>
      <c r="D14655"/>
      <c r="E14655"/>
      <c r="F14655"/>
      <c r="N14655" s="44"/>
    </row>
    <row r="14656" spans="1:14" x14ac:dyDescent="0.3">
      <c r="A14656" s="42"/>
      <c r="C14656" s="52"/>
      <c r="D14656"/>
      <c r="E14656"/>
      <c r="F14656"/>
      <c r="N14656" s="44"/>
    </row>
    <row r="14657" spans="1:14" x14ac:dyDescent="0.3">
      <c r="A14657" s="42"/>
      <c r="C14657" s="52"/>
      <c r="D14657"/>
      <c r="E14657"/>
      <c r="F14657"/>
      <c r="N14657" s="44"/>
    </row>
    <row r="14658" spans="1:14" x14ac:dyDescent="0.3">
      <c r="A14658" s="42"/>
      <c r="C14658" s="52"/>
      <c r="D14658"/>
      <c r="E14658"/>
      <c r="F14658"/>
      <c r="N14658" s="56"/>
    </row>
    <row r="14659" spans="1:14" x14ac:dyDescent="0.3">
      <c r="A14659" s="42"/>
      <c r="C14659" s="52"/>
      <c r="D14659"/>
      <c r="E14659"/>
      <c r="F14659"/>
      <c r="N14659" s="56"/>
    </row>
    <row r="14660" spans="1:14" x14ac:dyDescent="0.3">
      <c r="A14660" s="42"/>
      <c r="C14660" s="52"/>
      <c r="D14660"/>
      <c r="E14660"/>
      <c r="F14660"/>
      <c r="N14660" s="56"/>
    </row>
    <row r="14661" spans="1:14" x14ac:dyDescent="0.3">
      <c r="A14661" s="42"/>
      <c r="C14661" s="52"/>
      <c r="D14661"/>
      <c r="E14661"/>
      <c r="F14661"/>
      <c r="N14661" s="44"/>
    </row>
    <row r="14662" spans="1:14" x14ac:dyDescent="0.3">
      <c r="A14662" s="42"/>
      <c r="C14662" s="52"/>
      <c r="D14662"/>
      <c r="E14662"/>
      <c r="F14662"/>
      <c r="N14662" s="44"/>
    </row>
    <row r="14663" spans="1:14" x14ac:dyDescent="0.3">
      <c r="A14663" s="42"/>
      <c r="C14663" s="52"/>
      <c r="D14663"/>
      <c r="E14663"/>
      <c r="F14663"/>
      <c r="N14663" s="56"/>
    </row>
    <row r="14664" spans="1:14" x14ac:dyDescent="0.3">
      <c r="A14664" s="42"/>
      <c r="C14664" s="52"/>
      <c r="D14664"/>
      <c r="E14664"/>
      <c r="F14664"/>
      <c r="L14664" s="45"/>
      <c r="N14664" s="44"/>
    </row>
    <row r="14665" spans="1:14" x14ac:dyDescent="0.3">
      <c r="A14665" s="42"/>
      <c r="C14665" s="52"/>
      <c r="D14665"/>
      <c r="E14665"/>
      <c r="F14665"/>
      <c r="L14665" s="45"/>
      <c r="N14665" s="56"/>
    </row>
    <row r="14666" spans="1:14" x14ac:dyDescent="0.3">
      <c r="A14666" s="42"/>
      <c r="C14666" s="52"/>
      <c r="D14666"/>
      <c r="E14666"/>
      <c r="F14666"/>
      <c r="L14666" s="45"/>
      <c r="N14666" s="56"/>
    </row>
    <row r="14667" spans="1:14" x14ac:dyDescent="0.3">
      <c r="A14667" s="42"/>
      <c r="C14667" s="52"/>
      <c r="D14667"/>
      <c r="E14667"/>
      <c r="F14667"/>
      <c r="N14667" s="44"/>
    </row>
    <row r="14668" spans="1:14" x14ac:dyDescent="0.3">
      <c r="A14668" s="42"/>
      <c r="C14668" s="52"/>
      <c r="D14668"/>
      <c r="E14668"/>
      <c r="F14668"/>
      <c r="N14668" s="56"/>
    </row>
    <row r="14669" spans="1:14" x14ac:dyDescent="0.3">
      <c r="A14669" s="42"/>
      <c r="C14669" s="52"/>
      <c r="D14669"/>
      <c r="E14669"/>
      <c r="F14669"/>
      <c r="L14669" s="45"/>
      <c r="N14669" s="44"/>
    </row>
    <row r="14670" spans="1:14" x14ac:dyDescent="0.3">
      <c r="A14670" s="42"/>
      <c r="C14670" s="52"/>
      <c r="D14670"/>
      <c r="E14670"/>
      <c r="F14670"/>
      <c r="N14670" s="56"/>
    </row>
    <row r="14671" spans="1:14" x14ac:dyDescent="0.3">
      <c r="A14671" s="42"/>
      <c r="C14671" s="52"/>
      <c r="D14671"/>
      <c r="E14671"/>
      <c r="F14671"/>
      <c r="N14671" s="56"/>
    </row>
    <row r="14672" spans="1:14" x14ac:dyDescent="0.3">
      <c r="A14672" s="42"/>
      <c r="C14672" s="52"/>
      <c r="D14672"/>
      <c r="E14672"/>
      <c r="F14672"/>
      <c r="N14672" s="56"/>
    </row>
    <row r="14673" spans="1:14" x14ac:dyDescent="0.3">
      <c r="A14673" s="42"/>
      <c r="C14673" s="52"/>
      <c r="D14673"/>
      <c r="E14673"/>
      <c r="F14673"/>
      <c r="N14673" s="56"/>
    </row>
    <row r="14674" spans="1:14" x14ac:dyDescent="0.3">
      <c r="A14674" s="42"/>
      <c r="C14674" s="52"/>
      <c r="D14674"/>
      <c r="E14674"/>
      <c r="F14674"/>
      <c r="N14674" s="56"/>
    </row>
    <row r="14675" spans="1:14" x14ac:dyDescent="0.3">
      <c r="A14675" s="42"/>
      <c r="C14675" s="52"/>
      <c r="D14675"/>
      <c r="E14675"/>
      <c r="F14675"/>
      <c r="N14675" s="56"/>
    </row>
    <row r="14676" spans="1:14" x14ac:dyDescent="0.3">
      <c r="A14676" s="42"/>
      <c r="C14676" s="52"/>
      <c r="D14676"/>
      <c r="E14676"/>
      <c r="F14676"/>
      <c r="N14676" s="56"/>
    </row>
    <row r="14677" spans="1:14" x14ac:dyDescent="0.3">
      <c r="A14677" s="42"/>
      <c r="C14677" s="52"/>
      <c r="D14677"/>
      <c r="E14677"/>
      <c r="F14677"/>
      <c r="N14677" s="56"/>
    </row>
    <row r="14678" spans="1:14" x14ac:dyDescent="0.3">
      <c r="A14678" s="42"/>
      <c r="C14678" s="52"/>
      <c r="D14678"/>
      <c r="E14678"/>
      <c r="F14678"/>
      <c r="N14678" s="56"/>
    </row>
    <row r="14679" spans="1:14" x14ac:dyDescent="0.3">
      <c r="A14679" s="42"/>
      <c r="C14679" s="52"/>
      <c r="D14679"/>
      <c r="E14679"/>
      <c r="F14679"/>
      <c r="N14679" s="56"/>
    </row>
    <row r="14680" spans="1:14" x14ac:dyDescent="0.3">
      <c r="A14680" s="42"/>
      <c r="C14680" s="52"/>
      <c r="D14680"/>
      <c r="E14680"/>
      <c r="F14680"/>
      <c r="N14680" s="56"/>
    </row>
    <row r="14681" spans="1:14" x14ac:dyDescent="0.3">
      <c r="A14681" s="42"/>
      <c r="C14681" s="52"/>
      <c r="D14681"/>
      <c r="E14681"/>
      <c r="F14681"/>
      <c r="N14681" s="56"/>
    </row>
    <row r="14682" spans="1:14" x14ac:dyDescent="0.3">
      <c r="A14682" s="42"/>
      <c r="C14682" s="52"/>
      <c r="D14682"/>
      <c r="E14682"/>
      <c r="F14682"/>
      <c r="N14682" s="56"/>
    </row>
    <row r="14683" spans="1:14" x14ac:dyDescent="0.3">
      <c r="A14683" s="42"/>
      <c r="C14683" s="52"/>
      <c r="D14683"/>
      <c r="E14683"/>
      <c r="F14683"/>
      <c r="N14683" s="56"/>
    </row>
    <row r="14684" spans="1:14" x14ac:dyDescent="0.3">
      <c r="A14684" s="42"/>
      <c r="C14684" s="52"/>
      <c r="D14684"/>
      <c r="E14684"/>
      <c r="F14684"/>
      <c r="N14684" s="56"/>
    </row>
    <row r="14685" spans="1:14" x14ac:dyDescent="0.3">
      <c r="A14685" s="42"/>
      <c r="C14685" s="52"/>
      <c r="D14685"/>
      <c r="E14685"/>
      <c r="F14685"/>
      <c r="N14685" s="56"/>
    </row>
    <row r="14686" spans="1:14" x14ac:dyDescent="0.3">
      <c r="A14686" s="42"/>
      <c r="C14686" s="52"/>
      <c r="D14686"/>
      <c r="E14686"/>
      <c r="F14686"/>
      <c r="N14686" s="56"/>
    </row>
    <row r="14687" spans="1:14" x14ac:dyDescent="0.3">
      <c r="A14687" s="42"/>
      <c r="C14687" s="52"/>
      <c r="D14687"/>
      <c r="E14687"/>
      <c r="F14687"/>
      <c r="N14687" s="56"/>
    </row>
    <row r="14688" spans="1:14" x14ac:dyDescent="0.3">
      <c r="A14688" s="42"/>
      <c r="C14688" s="52"/>
      <c r="D14688"/>
      <c r="E14688"/>
      <c r="F14688"/>
      <c r="N14688" s="56"/>
    </row>
    <row r="14689" spans="1:14" x14ac:dyDescent="0.3">
      <c r="A14689" s="42"/>
      <c r="C14689" s="52"/>
      <c r="D14689"/>
      <c r="E14689"/>
      <c r="F14689"/>
      <c r="N14689" s="56"/>
    </row>
    <row r="14690" spans="1:14" x14ac:dyDescent="0.3">
      <c r="A14690" s="42"/>
      <c r="C14690" s="52"/>
      <c r="D14690"/>
      <c r="E14690"/>
      <c r="F14690"/>
      <c r="N14690" s="56"/>
    </row>
    <row r="14691" spans="1:14" x14ac:dyDescent="0.3">
      <c r="A14691" s="42"/>
      <c r="C14691" s="52"/>
      <c r="D14691"/>
      <c r="E14691"/>
      <c r="F14691"/>
      <c r="N14691" s="56"/>
    </row>
    <row r="14692" spans="1:14" x14ac:dyDescent="0.3">
      <c r="A14692" s="42"/>
      <c r="C14692" s="52"/>
      <c r="D14692"/>
      <c r="E14692"/>
      <c r="F14692"/>
      <c r="N14692" s="56"/>
    </row>
    <row r="14693" spans="1:14" x14ac:dyDescent="0.3">
      <c r="A14693" s="42"/>
      <c r="C14693" s="52"/>
      <c r="D14693"/>
      <c r="E14693"/>
      <c r="F14693"/>
      <c r="N14693" s="56"/>
    </row>
    <row r="14694" spans="1:14" x14ac:dyDescent="0.3">
      <c r="A14694" s="42"/>
      <c r="C14694" s="52"/>
      <c r="D14694"/>
      <c r="E14694"/>
      <c r="F14694"/>
      <c r="N14694" s="56"/>
    </row>
    <row r="14695" spans="1:14" x14ac:dyDescent="0.3">
      <c r="A14695" s="42"/>
      <c r="C14695" s="52"/>
      <c r="D14695"/>
      <c r="E14695"/>
      <c r="F14695"/>
      <c r="N14695" s="56"/>
    </row>
    <row r="14696" spans="1:14" x14ac:dyDescent="0.3">
      <c r="A14696" s="42"/>
      <c r="C14696" s="52"/>
      <c r="D14696"/>
      <c r="E14696"/>
      <c r="F14696"/>
      <c r="N14696" s="56"/>
    </row>
    <row r="14697" spans="1:14" x14ac:dyDescent="0.3">
      <c r="A14697" s="42"/>
      <c r="C14697" s="52"/>
      <c r="D14697"/>
      <c r="E14697"/>
      <c r="F14697"/>
      <c r="N14697" s="56"/>
    </row>
    <row r="14698" spans="1:14" x14ac:dyDescent="0.3">
      <c r="A14698" s="42"/>
      <c r="C14698" s="52"/>
      <c r="D14698"/>
      <c r="E14698"/>
      <c r="F14698"/>
      <c r="N14698" s="56"/>
    </row>
    <row r="14699" spans="1:14" x14ac:dyDescent="0.3">
      <c r="A14699" s="42"/>
      <c r="C14699" s="52"/>
      <c r="D14699"/>
      <c r="E14699"/>
      <c r="F14699"/>
      <c r="N14699" s="56"/>
    </row>
    <row r="14700" spans="1:14" x14ac:dyDescent="0.3">
      <c r="A14700" s="42"/>
      <c r="C14700" s="52"/>
      <c r="D14700"/>
      <c r="E14700"/>
      <c r="F14700"/>
      <c r="N14700" s="56"/>
    </row>
    <row r="14701" spans="1:14" x14ac:dyDescent="0.3">
      <c r="A14701" s="42"/>
      <c r="C14701" s="52"/>
      <c r="D14701"/>
      <c r="E14701"/>
      <c r="F14701"/>
      <c r="N14701" s="56"/>
    </row>
    <row r="14702" spans="1:14" x14ac:dyDescent="0.3">
      <c r="A14702" s="42"/>
      <c r="C14702" s="52"/>
      <c r="D14702"/>
      <c r="E14702"/>
      <c r="F14702"/>
      <c r="N14702" s="56"/>
    </row>
    <row r="14703" spans="1:14" x14ac:dyDescent="0.3">
      <c r="A14703" s="42"/>
      <c r="C14703" s="52"/>
      <c r="D14703"/>
      <c r="E14703"/>
      <c r="F14703"/>
      <c r="N14703" s="56"/>
    </row>
    <row r="14704" spans="1:14" x14ac:dyDescent="0.3">
      <c r="A14704" s="42"/>
      <c r="C14704" s="52"/>
      <c r="D14704"/>
      <c r="E14704"/>
      <c r="F14704"/>
      <c r="N14704" s="56"/>
    </row>
    <row r="14705" spans="1:14" x14ac:dyDescent="0.3">
      <c r="A14705" s="42"/>
      <c r="C14705" s="52"/>
      <c r="D14705"/>
      <c r="E14705"/>
      <c r="F14705"/>
      <c r="N14705" s="56"/>
    </row>
    <row r="14706" spans="1:14" x14ac:dyDescent="0.3">
      <c r="A14706" s="42"/>
      <c r="C14706" s="52"/>
      <c r="D14706"/>
      <c r="E14706"/>
      <c r="F14706"/>
      <c r="N14706" s="56"/>
    </row>
    <row r="14707" spans="1:14" x14ac:dyDescent="0.3">
      <c r="A14707" s="42"/>
      <c r="C14707" s="52"/>
      <c r="D14707"/>
      <c r="E14707"/>
      <c r="F14707"/>
      <c r="N14707" s="56"/>
    </row>
    <row r="14708" spans="1:14" x14ac:dyDescent="0.3">
      <c r="A14708" s="42"/>
      <c r="C14708" s="52"/>
      <c r="D14708"/>
      <c r="E14708"/>
      <c r="F14708"/>
      <c r="N14708" s="56"/>
    </row>
    <row r="14709" spans="1:14" x14ac:dyDescent="0.3">
      <c r="A14709" s="42"/>
      <c r="C14709" s="52"/>
      <c r="D14709"/>
      <c r="E14709"/>
      <c r="F14709"/>
      <c r="N14709" s="56"/>
    </row>
    <row r="14710" spans="1:14" x14ac:dyDescent="0.3">
      <c r="A14710" s="42"/>
      <c r="C14710" s="52"/>
      <c r="D14710"/>
      <c r="E14710"/>
      <c r="F14710"/>
      <c r="N14710" s="56"/>
    </row>
    <row r="14711" spans="1:14" x14ac:dyDescent="0.3">
      <c r="A14711" s="42"/>
      <c r="C14711" s="52"/>
      <c r="D14711"/>
      <c r="E14711"/>
      <c r="F14711"/>
      <c r="N14711" s="56"/>
    </row>
    <row r="14712" spans="1:14" x14ac:dyDescent="0.3">
      <c r="A14712" s="42"/>
      <c r="C14712" s="52"/>
      <c r="D14712"/>
      <c r="E14712"/>
      <c r="F14712"/>
      <c r="N14712" s="56"/>
    </row>
    <row r="14713" spans="1:14" x14ac:dyDescent="0.3">
      <c r="A14713" s="42"/>
      <c r="C14713" s="52"/>
      <c r="D14713"/>
      <c r="E14713"/>
      <c r="F14713"/>
      <c r="N14713" s="56"/>
    </row>
    <row r="14714" spans="1:14" x14ac:dyDescent="0.3">
      <c r="A14714" s="42"/>
      <c r="C14714" s="52"/>
      <c r="D14714"/>
      <c r="E14714"/>
      <c r="F14714"/>
      <c r="N14714" s="56"/>
    </row>
    <row r="14715" spans="1:14" x14ac:dyDescent="0.3">
      <c r="A14715" s="42"/>
      <c r="C14715" s="52"/>
      <c r="D14715"/>
      <c r="E14715"/>
      <c r="F14715"/>
      <c r="N14715" s="56"/>
    </row>
    <row r="14716" spans="1:14" x14ac:dyDescent="0.3">
      <c r="A14716" s="42"/>
      <c r="C14716" s="52"/>
      <c r="D14716"/>
      <c r="E14716"/>
      <c r="F14716"/>
      <c r="M14716" s="45"/>
      <c r="N14716" s="56"/>
    </row>
    <row r="14717" spans="1:14" x14ac:dyDescent="0.3">
      <c r="A14717" s="42"/>
      <c r="C14717" s="52"/>
      <c r="D14717"/>
      <c r="E14717"/>
      <c r="F14717"/>
      <c r="N14717" s="56"/>
    </row>
    <row r="14718" spans="1:14" x14ac:dyDescent="0.3">
      <c r="A14718" s="42"/>
      <c r="C14718" s="52"/>
      <c r="D14718"/>
      <c r="E14718"/>
      <c r="F14718"/>
      <c r="M14718" s="45"/>
      <c r="N14718" s="56"/>
    </row>
    <row r="14719" spans="1:14" x14ac:dyDescent="0.3">
      <c r="A14719" s="42"/>
      <c r="C14719" s="52"/>
      <c r="D14719"/>
      <c r="E14719"/>
      <c r="F14719"/>
      <c r="N14719" s="56"/>
    </row>
    <row r="14720" spans="1:14" x14ac:dyDescent="0.3">
      <c r="A14720" s="42"/>
      <c r="C14720" s="52"/>
      <c r="D14720"/>
      <c r="E14720"/>
      <c r="F14720"/>
      <c r="N14720" s="56"/>
    </row>
    <row r="14721" spans="1:14" x14ac:dyDescent="0.3">
      <c r="A14721" s="42"/>
      <c r="C14721" s="52"/>
      <c r="D14721"/>
      <c r="E14721"/>
      <c r="F14721"/>
      <c r="N14721" s="56"/>
    </row>
    <row r="14722" spans="1:14" x14ac:dyDescent="0.3">
      <c r="A14722" s="42"/>
      <c r="C14722" s="52"/>
      <c r="D14722"/>
      <c r="E14722"/>
      <c r="F14722"/>
      <c r="N14722" s="56"/>
    </row>
    <row r="14723" spans="1:14" x14ac:dyDescent="0.3">
      <c r="A14723" s="42"/>
      <c r="C14723" s="52"/>
      <c r="D14723"/>
      <c r="E14723"/>
      <c r="F14723"/>
      <c r="N14723" s="56"/>
    </row>
    <row r="14724" spans="1:14" x14ac:dyDescent="0.3">
      <c r="A14724" s="42"/>
      <c r="C14724" s="52"/>
      <c r="D14724"/>
      <c r="E14724"/>
      <c r="F14724"/>
      <c r="N14724" s="56"/>
    </row>
    <row r="14725" spans="1:14" x14ac:dyDescent="0.3">
      <c r="A14725" s="42"/>
      <c r="C14725" s="52"/>
      <c r="D14725"/>
      <c r="E14725"/>
      <c r="F14725"/>
      <c r="N14725" s="56"/>
    </row>
    <row r="14726" spans="1:14" x14ac:dyDescent="0.3">
      <c r="A14726" s="42"/>
      <c r="C14726" s="52"/>
      <c r="D14726"/>
      <c r="E14726"/>
      <c r="F14726"/>
      <c r="N14726" s="56"/>
    </row>
    <row r="14727" spans="1:14" x14ac:dyDescent="0.3">
      <c r="A14727" s="42"/>
      <c r="C14727" s="52"/>
      <c r="D14727"/>
      <c r="E14727"/>
      <c r="F14727"/>
      <c r="N14727" s="56"/>
    </row>
    <row r="14728" spans="1:14" x14ac:dyDescent="0.3">
      <c r="A14728" s="42"/>
      <c r="C14728" s="52"/>
      <c r="D14728"/>
      <c r="E14728"/>
      <c r="F14728"/>
      <c r="N14728" s="56"/>
    </row>
    <row r="14729" spans="1:14" x14ac:dyDescent="0.3">
      <c r="A14729" s="42"/>
      <c r="C14729" s="52"/>
      <c r="D14729"/>
      <c r="E14729"/>
      <c r="F14729"/>
      <c r="N14729" s="56"/>
    </row>
    <row r="14730" spans="1:14" x14ac:dyDescent="0.3">
      <c r="A14730" s="42"/>
      <c r="C14730" s="52"/>
      <c r="D14730"/>
      <c r="E14730"/>
      <c r="F14730"/>
      <c r="N14730" s="56"/>
    </row>
    <row r="14731" spans="1:14" x14ac:dyDescent="0.3">
      <c r="A14731" s="42"/>
      <c r="C14731" s="52"/>
      <c r="D14731"/>
      <c r="E14731"/>
      <c r="F14731"/>
      <c r="N14731" s="56"/>
    </row>
    <row r="14732" spans="1:14" x14ac:dyDescent="0.3">
      <c r="A14732" s="42"/>
      <c r="C14732" s="52"/>
      <c r="D14732"/>
      <c r="E14732"/>
      <c r="F14732"/>
      <c r="N14732" s="56"/>
    </row>
    <row r="14733" spans="1:14" x14ac:dyDescent="0.3">
      <c r="A14733" s="42"/>
      <c r="C14733" s="52"/>
      <c r="D14733"/>
      <c r="E14733"/>
      <c r="F14733"/>
      <c r="N14733" s="56"/>
    </row>
    <row r="14734" spans="1:14" x14ac:dyDescent="0.3">
      <c r="A14734" s="42"/>
      <c r="C14734" s="52"/>
      <c r="D14734"/>
      <c r="E14734"/>
      <c r="F14734"/>
      <c r="N14734" s="56"/>
    </row>
    <row r="14735" spans="1:14" x14ac:dyDescent="0.3">
      <c r="A14735" s="42"/>
      <c r="C14735" s="52"/>
      <c r="D14735"/>
      <c r="E14735"/>
      <c r="F14735"/>
      <c r="N14735" s="56"/>
    </row>
    <row r="14736" spans="1:14" x14ac:dyDescent="0.3">
      <c r="A14736" s="42"/>
      <c r="C14736" s="52"/>
      <c r="D14736"/>
      <c r="E14736"/>
      <c r="F14736"/>
      <c r="N14736" s="56"/>
    </row>
    <row r="14737" spans="1:14" x14ac:dyDescent="0.3">
      <c r="A14737" s="42"/>
      <c r="C14737" s="52"/>
      <c r="D14737"/>
      <c r="E14737"/>
      <c r="F14737"/>
      <c r="N14737" s="56"/>
    </row>
    <row r="14738" spans="1:14" x14ac:dyDescent="0.3">
      <c r="A14738" s="42"/>
      <c r="C14738" s="52"/>
      <c r="D14738"/>
      <c r="E14738"/>
      <c r="F14738"/>
      <c r="N14738" s="56"/>
    </row>
    <row r="14739" spans="1:14" x14ac:dyDescent="0.3">
      <c r="A14739" s="42"/>
      <c r="C14739" s="52"/>
      <c r="D14739"/>
      <c r="E14739"/>
      <c r="F14739"/>
      <c r="N14739" s="56"/>
    </row>
    <row r="14740" spans="1:14" x14ac:dyDescent="0.3">
      <c r="A14740" s="42"/>
      <c r="C14740" s="52"/>
      <c r="D14740"/>
      <c r="E14740"/>
      <c r="F14740"/>
      <c r="N14740" s="56"/>
    </row>
    <row r="14741" spans="1:14" x14ac:dyDescent="0.3">
      <c r="A14741" s="42"/>
      <c r="C14741" s="52"/>
      <c r="D14741"/>
      <c r="E14741"/>
      <c r="F14741"/>
      <c r="N14741" s="56"/>
    </row>
    <row r="14742" spans="1:14" x14ac:dyDescent="0.3">
      <c r="A14742" s="42"/>
      <c r="C14742" s="52"/>
      <c r="D14742"/>
      <c r="E14742"/>
      <c r="F14742"/>
      <c r="N14742" s="56"/>
    </row>
    <row r="14743" spans="1:14" x14ac:dyDescent="0.3">
      <c r="A14743" s="42"/>
      <c r="C14743" s="52"/>
      <c r="D14743"/>
      <c r="E14743"/>
      <c r="F14743"/>
      <c r="N14743" s="56"/>
    </row>
    <row r="14744" spans="1:14" x14ac:dyDescent="0.3">
      <c r="A14744" s="42"/>
      <c r="C14744" s="52"/>
      <c r="D14744"/>
      <c r="E14744"/>
      <c r="F14744"/>
      <c r="N14744" s="56"/>
    </row>
    <row r="14745" spans="1:14" x14ac:dyDescent="0.3">
      <c r="A14745" s="42"/>
      <c r="C14745" s="52"/>
      <c r="D14745"/>
      <c r="E14745"/>
      <c r="F14745"/>
      <c r="N14745" s="56"/>
    </row>
    <row r="14746" spans="1:14" x14ac:dyDescent="0.3">
      <c r="A14746" s="42"/>
      <c r="C14746" s="52"/>
      <c r="D14746"/>
      <c r="E14746"/>
      <c r="F14746"/>
      <c r="N14746" s="56"/>
    </row>
    <row r="14747" spans="1:14" x14ac:dyDescent="0.3">
      <c r="A14747" s="42"/>
      <c r="C14747" s="52"/>
      <c r="D14747"/>
      <c r="E14747"/>
      <c r="F14747"/>
      <c r="N14747" s="56"/>
    </row>
    <row r="14748" spans="1:14" x14ac:dyDescent="0.3">
      <c r="A14748" s="42"/>
      <c r="C14748" s="52"/>
      <c r="D14748"/>
      <c r="E14748"/>
      <c r="F14748"/>
      <c r="N14748" s="56"/>
    </row>
    <row r="14749" spans="1:14" x14ac:dyDescent="0.3">
      <c r="A14749" s="42"/>
      <c r="C14749" s="52"/>
      <c r="D14749"/>
      <c r="E14749"/>
      <c r="F14749"/>
      <c r="N14749" s="56"/>
    </row>
    <row r="14750" spans="1:14" x14ac:dyDescent="0.3">
      <c r="A14750" s="42"/>
      <c r="C14750" s="52"/>
      <c r="D14750"/>
      <c r="E14750"/>
      <c r="F14750"/>
      <c r="N14750" s="56"/>
    </row>
    <row r="14751" spans="1:14" x14ac:dyDescent="0.3">
      <c r="A14751" s="42"/>
      <c r="C14751" s="52"/>
      <c r="D14751"/>
      <c r="E14751"/>
      <c r="F14751"/>
      <c r="N14751" s="56"/>
    </row>
    <row r="14752" spans="1:14" x14ac:dyDescent="0.3">
      <c r="A14752" s="42"/>
      <c r="C14752" s="52"/>
      <c r="D14752"/>
      <c r="E14752"/>
      <c r="F14752"/>
      <c r="N14752" s="56"/>
    </row>
    <row r="14753" spans="1:14" x14ac:dyDescent="0.3">
      <c r="A14753" s="42"/>
      <c r="C14753" s="52"/>
      <c r="D14753"/>
      <c r="E14753"/>
      <c r="F14753"/>
      <c r="N14753" s="56"/>
    </row>
    <row r="14754" spans="1:14" x14ac:dyDescent="0.3">
      <c r="A14754" s="42"/>
      <c r="C14754" s="52"/>
      <c r="D14754"/>
      <c r="E14754"/>
      <c r="F14754"/>
      <c r="N14754" s="56"/>
    </row>
    <row r="14755" spans="1:14" x14ac:dyDescent="0.3">
      <c r="A14755" s="42"/>
      <c r="C14755" s="52"/>
      <c r="D14755"/>
      <c r="E14755"/>
      <c r="F14755"/>
      <c r="N14755" s="56"/>
    </row>
    <row r="14756" spans="1:14" x14ac:dyDescent="0.3">
      <c r="A14756" s="42"/>
      <c r="C14756" s="52"/>
      <c r="D14756"/>
      <c r="E14756"/>
      <c r="F14756"/>
      <c r="N14756" s="56"/>
    </row>
    <row r="14757" spans="1:14" x14ac:dyDescent="0.3">
      <c r="A14757" s="42"/>
      <c r="C14757" s="52"/>
      <c r="D14757"/>
      <c r="E14757"/>
      <c r="F14757"/>
      <c r="N14757" s="56"/>
    </row>
    <row r="14758" spans="1:14" x14ac:dyDescent="0.3">
      <c r="A14758" s="42"/>
      <c r="C14758" s="52"/>
      <c r="D14758"/>
      <c r="E14758"/>
      <c r="F14758"/>
      <c r="N14758" s="56"/>
    </row>
    <row r="14759" spans="1:14" x14ac:dyDescent="0.3">
      <c r="A14759" s="42"/>
      <c r="C14759" s="52"/>
      <c r="D14759"/>
      <c r="E14759"/>
      <c r="F14759"/>
      <c r="N14759" s="56"/>
    </row>
    <row r="14760" spans="1:14" x14ac:dyDescent="0.3">
      <c r="A14760" s="42"/>
      <c r="C14760" s="52"/>
      <c r="D14760"/>
      <c r="E14760"/>
      <c r="F14760"/>
      <c r="N14760" s="56"/>
    </row>
    <row r="14761" spans="1:14" x14ac:dyDescent="0.3">
      <c r="A14761" s="42"/>
      <c r="C14761" s="52"/>
      <c r="D14761"/>
      <c r="E14761"/>
      <c r="F14761"/>
      <c r="N14761" s="56"/>
    </row>
    <row r="14762" spans="1:14" x14ac:dyDescent="0.3">
      <c r="A14762" s="42"/>
      <c r="C14762" s="52"/>
      <c r="D14762"/>
      <c r="E14762"/>
      <c r="F14762"/>
      <c r="N14762" s="56"/>
    </row>
    <row r="14763" spans="1:14" x14ac:dyDescent="0.3">
      <c r="A14763" s="42"/>
      <c r="C14763" s="52"/>
      <c r="D14763"/>
      <c r="E14763"/>
      <c r="F14763"/>
      <c r="N14763" s="56"/>
    </row>
    <row r="14764" spans="1:14" x14ac:dyDescent="0.3">
      <c r="A14764" s="42"/>
      <c r="C14764" s="52"/>
      <c r="D14764"/>
      <c r="E14764"/>
      <c r="F14764"/>
      <c r="N14764" s="56"/>
    </row>
    <row r="14765" spans="1:14" x14ac:dyDescent="0.3">
      <c r="A14765" s="42"/>
      <c r="C14765" s="52"/>
      <c r="D14765"/>
      <c r="E14765"/>
      <c r="F14765"/>
      <c r="N14765" s="56"/>
    </row>
    <row r="14766" spans="1:14" x14ac:dyDescent="0.3">
      <c r="A14766" s="42"/>
      <c r="C14766" s="52"/>
      <c r="D14766"/>
      <c r="E14766"/>
      <c r="F14766"/>
      <c r="N14766" s="56"/>
    </row>
    <row r="14767" spans="1:14" x14ac:dyDescent="0.3">
      <c r="A14767" s="42"/>
      <c r="C14767" s="52"/>
      <c r="D14767"/>
      <c r="E14767"/>
      <c r="F14767"/>
      <c r="N14767" s="56"/>
    </row>
    <row r="14768" spans="1:14" x14ac:dyDescent="0.3">
      <c r="A14768" s="42"/>
      <c r="C14768" s="52"/>
      <c r="D14768"/>
      <c r="E14768"/>
      <c r="F14768"/>
      <c r="N14768" s="56"/>
    </row>
    <row r="14769" spans="1:14" x14ac:dyDescent="0.3">
      <c r="A14769" s="42"/>
      <c r="C14769" s="52"/>
      <c r="D14769"/>
      <c r="E14769"/>
      <c r="F14769"/>
      <c r="N14769" s="56"/>
    </row>
    <row r="14770" spans="1:14" x14ac:dyDescent="0.3">
      <c r="A14770" s="42"/>
      <c r="C14770" s="52"/>
      <c r="D14770"/>
      <c r="E14770"/>
      <c r="F14770"/>
      <c r="N14770" s="56"/>
    </row>
    <row r="14771" spans="1:14" x14ac:dyDescent="0.3">
      <c r="A14771" s="42"/>
      <c r="C14771" s="52"/>
      <c r="D14771"/>
      <c r="E14771"/>
      <c r="F14771"/>
      <c r="N14771" s="56"/>
    </row>
    <row r="14772" spans="1:14" x14ac:dyDescent="0.3">
      <c r="A14772" s="42"/>
      <c r="C14772" s="52"/>
      <c r="D14772"/>
      <c r="E14772"/>
      <c r="F14772"/>
      <c r="N14772" s="56"/>
    </row>
    <row r="14773" spans="1:14" x14ac:dyDescent="0.3">
      <c r="A14773" s="42"/>
      <c r="C14773" s="52"/>
      <c r="D14773"/>
      <c r="E14773"/>
      <c r="F14773"/>
      <c r="N14773" s="56"/>
    </row>
    <row r="14774" spans="1:14" x14ac:dyDescent="0.3">
      <c r="A14774" s="42"/>
      <c r="C14774" s="52"/>
      <c r="D14774"/>
      <c r="E14774"/>
      <c r="F14774"/>
      <c r="N14774" s="56"/>
    </row>
    <row r="14775" spans="1:14" x14ac:dyDescent="0.3">
      <c r="A14775" s="42"/>
      <c r="C14775" s="52"/>
      <c r="D14775"/>
      <c r="E14775"/>
      <c r="F14775"/>
      <c r="N14775" s="56"/>
    </row>
    <row r="14776" spans="1:14" x14ac:dyDescent="0.3">
      <c r="A14776" s="42"/>
      <c r="C14776" s="52"/>
      <c r="D14776"/>
      <c r="E14776"/>
      <c r="F14776"/>
      <c r="N14776" s="56"/>
    </row>
    <row r="14777" spans="1:14" x14ac:dyDescent="0.3">
      <c r="A14777" s="42"/>
      <c r="C14777" s="52"/>
      <c r="D14777"/>
      <c r="E14777"/>
      <c r="F14777"/>
      <c r="N14777" s="56"/>
    </row>
    <row r="14778" spans="1:14" x14ac:dyDescent="0.3">
      <c r="A14778" s="42"/>
      <c r="C14778" s="52"/>
      <c r="D14778"/>
      <c r="E14778"/>
      <c r="F14778"/>
      <c r="N14778" s="56"/>
    </row>
    <row r="14779" spans="1:14" x14ac:dyDescent="0.3">
      <c r="A14779" s="42"/>
      <c r="C14779" s="52"/>
      <c r="D14779"/>
      <c r="E14779"/>
      <c r="F14779"/>
      <c r="N14779" s="56"/>
    </row>
    <row r="14780" spans="1:14" x14ac:dyDescent="0.3">
      <c r="A14780" s="42"/>
      <c r="C14780" s="52"/>
      <c r="D14780"/>
      <c r="E14780"/>
      <c r="F14780"/>
      <c r="N14780" s="56"/>
    </row>
    <row r="14781" spans="1:14" x14ac:dyDescent="0.3">
      <c r="A14781" s="42"/>
      <c r="C14781" s="52"/>
      <c r="D14781"/>
      <c r="E14781"/>
      <c r="F14781"/>
      <c r="N14781" s="56"/>
    </row>
    <row r="14782" spans="1:14" x14ac:dyDescent="0.3">
      <c r="A14782" s="42"/>
      <c r="C14782" s="52"/>
      <c r="D14782"/>
      <c r="E14782"/>
      <c r="F14782"/>
      <c r="N14782" s="56"/>
    </row>
    <row r="14783" spans="1:14" x14ac:dyDescent="0.3">
      <c r="A14783" s="42"/>
      <c r="C14783" s="52"/>
      <c r="D14783"/>
      <c r="E14783"/>
      <c r="F14783"/>
      <c r="N14783" s="56"/>
    </row>
    <row r="14784" spans="1:14" x14ac:dyDescent="0.3">
      <c r="A14784" s="42"/>
      <c r="C14784" s="52"/>
      <c r="D14784"/>
      <c r="E14784"/>
      <c r="F14784"/>
      <c r="N14784" s="56"/>
    </row>
    <row r="14785" spans="1:14" x14ac:dyDescent="0.3">
      <c r="A14785" s="42"/>
      <c r="C14785" s="52"/>
      <c r="D14785"/>
      <c r="E14785"/>
      <c r="F14785"/>
      <c r="N14785" s="56"/>
    </row>
    <row r="14786" spans="1:14" x14ac:dyDescent="0.3">
      <c r="A14786" s="42"/>
      <c r="C14786" s="52"/>
      <c r="D14786"/>
      <c r="E14786"/>
      <c r="F14786"/>
      <c r="N14786" s="56"/>
    </row>
    <row r="14787" spans="1:14" x14ac:dyDescent="0.3">
      <c r="A14787" s="42"/>
      <c r="C14787" s="52"/>
      <c r="D14787"/>
      <c r="E14787"/>
      <c r="F14787"/>
      <c r="N14787" s="56"/>
    </row>
    <row r="14788" spans="1:14" x14ac:dyDescent="0.3">
      <c r="A14788" s="42"/>
      <c r="C14788" s="52"/>
      <c r="D14788"/>
      <c r="E14788"/>
      <c r="F14788"/>
      <c r="N14788" s="56"/>
    </row>
    <row r="14789" spans="1:14" x14ac:dyDescent="0.3">
      <c r="A14789" s="42"/>
      <c r="C14789" s="52"/>
      <c r="D14789"/>
      <c r="E14789"/>
      <c r="F14789"/>
      <c r="N14789" s="56"/>
    </row>
    <row r="14790" spans="1:14" x14ac:dyDescent="0.3">
      <c r="A14790" s="42"/>
      <c r="C14790" s="52"/>
      <c r="D14790"/>
      <c r="E14790"/>
      <c r="F14790"/>
      <c r="N14790" s="56"/>
    </row>
    <row r="14791" spans="1:14" x14ac:dyDescent="0.3">
      <c r="A14791" s="42"/>
      <c r="C14791" s="52"/>
      <c r="D14791"/>
      <c r="E14791"/>
      <c r="F14791"/>
      <c r="N14791" s="56"/>
    </row>
    <row r="14792" spans="1:14" x14ac:dyDescent="0.3">
      <c r="A14792" s="42"/>
      <c r="C14792" s="52"/>
      <c r="D14792"/>
      <c r="E14792"/>
      <c r="F14792"/>
      <c r="N14792" s="56"/>
    </row>
    <row r="14793" spans="1:14" x14ac:dyDescent="0.3">
      <c r="A14793" s="42"/>
      <c r="C14793" s="52"/>
      <c r="D14793"/>
      <c r="E14793"/>
      <c r="F14793"/>
      <c r="N14793" s="56"/>
    </row>
    <row r="14794" spans="1:14" x14ac:dyDescent="0.3">
      <c r="A14794" s="42"/>
      <c r="C14794" s="52"/>
      <c r="D14794"/>
      <c r="E14794"/>
      <c r="F14794"/>
      <c r="N14794" s="56"/>
    </row>
    <row r="14795" spans="1:14" x14ac:dyDescent="0.3">
      <c r="A14795" s="42"/>
      <c r="C14795" s="52"/>
      <c r="D14795"/>
      <c r="E14795"/>
      <c r="F14795"/>
      <c r="N14795" s="56"/>
    </row>
    <row r="14796" spans="1:14" x14ac:dyDescent="0.3">
      <c r="A14796" s="42"/>
      <c r="C14796" s="52"/>
      <c r="D14796"/>
      <c r="E14796"/>
      <c r="F14796"/>
      <c r="N14796" s="56"/>
    </row>
    <row r="14797" spans="1:14" x14ac:dyDescent="0.3">
      <c r="A14797" s="42"/>
      <c r="C14797" s="52"/>
      <c r="D14797"/>
      <c r="E14797"/>
      <c r="F14797"/>
      <c r="N14797" s="56"/>
    </row>
    <row r="14798" spans="1:14" x14ac:dyDescent="0.3">
      <c r="A14798" s="42"/>
      <c r="C14798" s="52"/>
      <c r="D14798"/>
      <c r="E14798"/>
      <c r="F14798"/>
      <c r="N14798" s="56"/>
    </row>
    <row r="14799" spans="1:14" x14ac:dyDescent="0.3">
      <c r="A14799" s="42"/>
      <c r="C14799" s="52"/>
      <c r="D14799"/>
      <c r="E14799"/>
      <c r="F14799"/>
      <c r="N14799" s="56"/>
    </row>
    <row r="14800" spans="1:14" x14ac:dyDescent="0.3">
      <c r="A14800" s="42"/>
      <c r="C14800" s="52"/>
      <c r="D14800"/>
      <c r="E14800"/>
      <c r="F14800"/>
      <c r="N14800" s="56"/>
    </row>
    <row r="14801" spans="1:14" x14ac:dyDescent="0.3">
      <c r="A14801" s="42"/>
      <c r="C14801" s="52"/>
      <c r="D14801"/>
      <c r="E14801"/>
      <c r="F14801"/>
      <c r="N14801" s="56"/>
    </row>
    <row r="14802" spans="1:14" x14ac:dyDescent="0.3">
      <c r="A14802" s="42"/>
      <c r="C14802" s="52"/>
      <c r="D14802"/>
      <c r="E14802"/>
      <c r="F14802"/>
      <c r="N14802" s="56"/>
    </row>
    <row r="14803" spans="1:14" x14ac:dyDescent="0.3">
      <c r="A14803" s="42"/>
      <c r="C14803" s="52"/>
      <c r="D14803"/>
      <c r="E14803"/>
      <c r="F14803"/>
      <c r="N14803" s="56"/>
    </row>
    <row r="14804" spans="1:14" x14ac:dyDescent="0.3">
      <c r="A14804" s="42"/>
      <c r="C14804" s="52"/>
      <c r="D14804"/>
      <c r="E14804"/>
      <c r="F14804"/>
      <c r="N14804" s="56"/>
    </row>
    <row r="14805" spans="1:14" x14ac:dyDescent="0.3">
      <c r="A14805" s="42"/>
      <c r="C14805" s="52"/>
      <c r="D14805"/>
      <c r="E14805"/>
      <c r="F14805"/>
      <c r="N14805" s="56"/>
    </row>
    <row r="14806" spans="1:14" x14ac:dyDescent="0.3">
      <c r="A14806" s="42"/>
      <c r="C14806" s="52"/>
      <c r="D14806"/>
      <c r="E14806"/>
      <c r="F14806"/>
      <c r="N14806" s="56"/>
    </row>
    <row r="14807" spans="1:14" x14ac:dyDescent="0.3">
      <c r="A14807" s="42"/>
      <c r="C14807" s="52"/>
      <c r="D14807"/>
      <c r="E14807"/>
      <c r="F14807"/>
      <c r="N14807" s="56"/>
    </row>
    <row r="14808" spans="1:14" x14ac:dyDescent="0.3">
      <c r="A14808" s="42"/>
      <c r="C14808" s="52"/>
      <c r="D14808"/>
      <c r="E14808"/>
      <c r="F14808"/>
      <c r="N14808" s="56"/>
    </row>
    <row r="14809" spans="1:14" x14ac:dyDescent="0.3">
      <c r="A14809" s="42"/>
      <c r="C14809" s="52"/>
      <c r="D14809"/>
      <c r="E14809"/>
      <c r="F14809"/>
      <c r="N14809" s="56"/>
    </row>
    <row r="14810" spans="1:14" x14ac:dyDescent="0.3">
      <c r="A14810" s="42"/>
      <c r="C14810" s="52"/>
      <c r="D14810"/>
      <c r="E14810"/>
      <c r="F14810"/>
      <c r="M14810" s="45"/>
      <c r="N14810" s="56"/>
    </row>
    <row r="14811" spans="1:14" x14ac:dyDescent="0.3">
      <c r="A14811" s="42"/>
      <c r="C14811" s="52"/>
      <c r="D14811"/>
      <c r="E14811"/>
      <c r="F14811"/>
      <c r="N14811" s="56"/>
    </row>
    <row r="14812" spans="1:14" x14ac:dyDescent="0.3">
      <c r="A14812" s="42"/>
      <c r="C14812" s="52"/>
      <c r="D14812"/>
      <c r="E14812"/>
      <c r="F14812"/>
      <c r="N14812" s="56"/>
    </row>
    <row r="14813" spans="1:14" x14ac:dyDescent="0.3">
      <c r="A14813" s="42"/>
      <c r="C14813" s="52"/>
      <c r="D14813"/>
      <c r="E14813"/>
      <c r="F14813"/>
      <c r="N14813" s="56"/>
    </row>
    <row r="14814" spans="1:14" x14ac:dyDescent="0.3">
      <c r="A14814" s="42"/>
      <c r="C14814" s="52"/>
      <c r="D14814"/>
      <c r="E14814"/>
      <c r="F14814"/>
      <c r="N14814" s="56"/>
    </row>
    <row r="14815" spans="1:14" x14ac:dyDescent="0.3">
      <c r="A14815" s="42"/>
      <c r="C14815" s="52"/>
      <c r="D14815"/>
      <c r="E14815"/>
      <c r="F14815"/>
      <c r="N14815" s="56"/>
    </row>
    <row r="14816" spans="1:14" x14ac:dyDescent="0.3">
      <c r="A14816" s="42"/>
      <c r="C14816" s="52"/>
      <c r="D14816"/>
      <c r="E14816"/>
      <c r="F14816"/>
      <c r="N14816" s="56"/>
    </row>
    <row r="14817" spans="1:14" x14ac:dyDescent="0.3">
      <c r="A14817" s="42"/>
      <c r="C14817" s="52"/>
      <c r="D14817"/>
      <c r="E14817"/>
      <c r="F14817"/>
      <c r="N14817" s="56"/>
    </row>
    <row r="14818" spans="1:14" x14ac:dyDescent="0.3">
      <c r="A14818" s="42"/>
      <c r="C14818" s="52"/>
      <c r="D14818"/>
      <c r="E14818"/>
      <c r="F14818"/>
      <c r="N14818" s="56"/>
    </row>
    <row r="14819" spans="1:14" x14ac:dyDescent="0.3">
      <c r="A14819" s="42"/>
      <c r="C14819" s="52"/>
      <c r="D14819"/>
      <c r="E14819"/>
      <c r="F14819"/>
      <c r="N14819" s="56"/>
    </row>
    <row r="14820" spans="1:14" x14ac:dyDescent="0.3">
      <c r="A14820" s="42"/>
      <c r="C14820" s="52"/>
      <c r="D14820"/>
      <c r="E14820"/>
      <c r="F14820"/>
      <c r="N14820" s="56"/>
    </row>
    <row r="14821" spans="1:14" x14ac:dyDescent="0.3">
      <c r="A14821" s="42"/>
      <c r="C14821" s="52"/>
      <c r="D14821"/>
      <c r="E14821"/>
      <c r="F14821"/>
      <c r="N14821" s="56"/>
    </row>
    <row r="14822" spans="1:14" x14ac:dyDescent="0.3">
      <c r="A14822" s="42"/>
      <c r="C14822" s="52"/>
      <c r="D14822"/>
      <c r="E14822"/>
      <c r="F14822"/>
      <c r="N14822" s="56"/>
    </row>
    <row r="14823" spans="1:14" x14ac:dyDescent="0.3">
      <c r="A14823" s="42"/>
      <c r="C14823" s="52"/>
      <c r="D14823"/>
      <c r="E14823"/>
      <c r="F14823"/>
      <c r="N14823" s="56"/>
    </row>
    <row r="14824" spans="1:14" x14ac:dyDescent="0.3">
      <c r="A14824" s="42"/>
      <c r="C14824" s="52"/>
      <c r="D14824"/>
      <c r="E14824"/>
      <c r="F14824"/>
      <c r="N14824" s="56"/>
    </row>
    <row r="14825" spans="1:14" x14ac:dyDescent="0.3">
      <c r="A14825" s="42"/>
      <c r="C14825" s="52"/>
      <c r="D14825"/>
      <c r="E14825"/>
      <c r="F14825"/>
      <c r="N14825" s="56"/>
    </row>
    <row r="14826" spans="1:14" x14ac:dyDescent="0.3">
      <c r="A14826" s="42"/>
      <c r="C14826" s="52"/>
      <c r="D14826"/>
      <c r="E14826"/>
      <c r="F14826"/>
      <c r="N14826" s="56"/>
    </row>
    <row r="14827" spans="1:14" x14ac:dyDescent="0.3">
      <c r="A14827" s="42"/>
      <c r="C14827" s="52"/>
      <c r="D14827"/>
      <c r="E14827"/>
      <c r="F14827"/>
      <c r="N14827" s="56"/>
    </row>
    <row r="14828" spans="1:14" x14ac:dyDescent="0.3">
      <c r="A14828" s="42"/>
      <c r="C14828" s="52"/>
      <c r="D14828"/>
      <c r="E14828"/>
      <c r="F14828"/>
      <c r="N14828" s="56"/>
    </row>
    <row r="14829" spans="1:14" x14ac:dyDescent="0.3">
      <c r="A14829" s="42"/>
      <c r="C14829" s="52"/>
      <c r="D14829"/>
      <c r="E14829"/>
      <c r="F14829"/>
      <c r="N14829" s="56"/>
    </row>
    <row r="14830" spans="1:14" x14ac:dyDescent="0.3">
      <c r="A14830" s="42"/>
      <c r="C14830" s="52"/>
      <c r="D14830"/>
      <c r="E14830"/>
      <c r="F14830"/>
      <c r="N14830" s="56"/>
    </row>
    <row r="14831" spans="1:14" x14ac:dyDescent="0.3">
      <c r="A14831" s="42"/>
      <c r="C14831" s="52"/>
      <c r="D14831"/>
      <c r="E14831"/>
      <c r="F14831"/>
      <c r="N14831" s="56"/>
    </row>
    <row r="14832" spans="1:14" x14ac:dyDescent="0.3">
      <c r="A14832" s="42"/>
      <c r="C14832" s="52"/>
      <c r="D14832"/>
      <c r="E14832"/>
      <c r="F14832"/>
      <c r="N14832" s="56"/>
    </row>
    <row r="14833" spans="1:14" x14ac:dyDescent="0.3">
      <c r="A14833" s="42"/>
      <c r="C14833" s="52"/>
      <c r="D14833"/>
      <c r="E14833"/>
      <c r="F14833"/>
      <c r="N14833" s="56"/>
    </row>
    <row r="14834" spans="1:14" x14ac:dyDescent="0.3">
      <c r="A14834" s="42"/>
      <c r="C14834" s="52"/>
      <c r="D14834"/>
      <c r="E14834"/>
      <c r="F14834"/>
      <c r="N14834" s="56"/>
    </row>
    <row r="14835" spans="1:14" x14ac:dyDescent="0.3">
      <c r="A14835" s="42"/>
      <c r="C14835" s="52"/>
      <c r="D14835"/>
      <c r="E14835"/>
      <c r="F14835"/>
      <c r="N14835" s="56"/>
    </row>
    <row r="14836" spans="1:14" x14ac:dyDescent="0.3">
      <c r="A14836" s="42"/>
      <c r="C14836" s="52"/>
      <c r="D14836"/>
      <c r="E14836"/>
      <c r="F14836"/>
      <c r="N14836" s="56"/>
    </row>
    <row r="14837" spans="1:14" x14ac:dyDescent="0.3">
      <c r="A14837" s="42"/>
      <c r="C14837" s="52"/>
      <c r="D14837"/>
      <c r="E14837"/>
      <c r="F14837"/>
      <c r="N14837" s="56"/>
    </row>
    <row r="14838" spans="1:14" x14ac:dyDescent="0.3">
      <c r="A14838" s="42"/>
      <c r="C14838" s="52"/>
      <c r="D14838"/>
      <c r="E14838"/>
      <c r="F14838"/>
      <c r="N14838" s="56"/>
    </row>
    <row r="14839" spans="1:14" x14ac:dyDescent="0.3">
      <c r="A14839" s="42"/>
      <c r="C14839" s="52"/>
      <c r="D14839"/>
      <c r="E14839"/>
      <c r="F14839"/>
      <c r="N14839" s="56"/>
    </row>
    <row r="14840" spans="1:14" x14ac:dyDescent="0.3">
      <c r="A14840" s="42"/>
      <c r="C14840" s="52"/>
      <c r="D14840"/>
      <c r="E14840"/>
      <c r="F14840"/>
      <c r="N14840" s="56"/>
    </row>
    <row r="14841" spans="1:14" x14ac:dyDescent="0.3">
      <c r="A14841" s="42"/>
      <c r="C14841" s="52"/>
      <c r="D14841"/>
      <c r="E14841"/>
      <c r="F14841"/>
      <c r="N14841" s="56"/>
    </row>
    <row r="14842" spans="1:14" x14ac:dyDescent="0.3">
      <c r="A14842" s="42"/>
      <c r="C14842" s="52"/>
      <c r="D14842"/>
      <c r="E14842"/>
      <c r="F14842"/>
      <c r="N14842" s="56"/>
    </row>
    <row r="14843" spans="1:14" x14ac:dyDescent="0.3">
      <c r="A14843" s="42"/>
      <c r="C14843" s="52"/>
      <c r="D14843"/>
      <c r="E14843"/>
      <c r="F14843"/>
      <c r="N14843" s="56"/>
    </row>
    <row r="14844" spans="1:14" x14ac:dyDescent="0.3">
      <c r="A14844" s="42"/>
      <c r="C14844" s="52"/>
      <c r="D14844"/>
      <c r="E14844"/>
      <c r="F14844"/>
      <c r="N14844" s="56"/>
    </row>
    <row r="14845" spans="1:14" x14ac:dyDescent="0.3">
      <c r="A14845" s="42"/>
      <c r="C14845" s="52"/>
      <c r="D14845"/>
      <c r="E14845"/>
      <c r="F14845"/>
      <c r="N14845" s="56"/>
    </row>
    <row r="14846" spans="1:14" x14ac:dyDescent="0.3">
      <c r="A14846" s="42"/>
      <c r="C14846" s="52"/>
      <c r="D14846"/>
      <c r="E14846"/>
      <c r="F14846"/>
      <c r="N14846" s="56"/>
    </row>
    <row r="14847" spans="1:14" x14ac:dyDescent="0.3">
      <c r="A14847" s="42"/>
      <c r="C14847" s="52"/>
      <c r="D14847"/>
      <c r="E14847"/>
      <c r="F14847"/>
      <c r="N14847" s="56"/>
    </row>
    <row r="14848" spans="1:14" x14ac:dyDescent="0.3">
      <c r="A14848" s="42"/>
      <c r="C14848" s="52"/>
      <c r="D14848"/>
      <c r="E14848"/>
      <c r="F14848"/>
      <c r="N14848" s="56"/>
    </row>
    <row r="14849" spans="1:14" x14ac:dyDescent="0.3">
      <c r="A14849" s="42"/>
      <c r="C14849" s="52"/>
      <c r="D14849"/>
      <c r="E14849"/>
      <c r="F14849"/>
      <c r="N14849" s="56"/>
    </row>
    <row r="14850" spans="1:14" x14ac:dyDescent="0.3">
      <c r="A14850" s="42"/>
      <c r="C14850" s="52"/>
      <c r="D14850"/>
      <c r="E14850"/>
      <c r="F14850"/>
      <c r="M14850" s="45"/>
      <c r="N14850" s="56"/>
    </row>
    <row r="14851" spans="1:14" x14ac:dyDescent="0.3">
      <c r="A14851" s="42"/>
      <c r="C14851" s="52"/>
      <c r="D14851"/>
      <c r="E14851"/>
      <c r="F14851"/>
      <c r="N14851" s="56"/>
    </row>
    <row r="14852" spans="1:14" x14ac:dyDescent="0.3">
      <c r="A14852" s="42"/>
      <c r="C14852" s="52"/>
      <c r="D14852"/>
      <c r="E14852"/>
      <c r="F14852"/>
      <c r="M14852" s="45"/>
      <c r="N14852" s="56"/>
    </row>
    <row r="14853" spans="1:14" x14ac:dyDescent="0.3">
      <c r="A14853" s="42"/>
      <c r="C14853" s="52"/>
      <c r="D14853"/>
      <c r="E14853"/>
      <c r="F14853"/>
      <c r="N14853" s="56"/>
    </row>
    <row r="14854" spans="1:14" x14ac:dyDescent="0.3">
      <c r="A14854" s="42"/>
      <c r="C14854" s="52"/>
      <c r="D14854"/>
      <c r="E14854"/>
      <c r="F14854"/>
      <c r="N14854" s="56"/>
    </row>
    <row r="14855" spans="1:14" x14ac:dyDescent="0.3">
      <c r="A14855" s="42"/>
      <c r="C14855" s="52"/>
      <c r="D14855"/>
      <c r="E14855"/>
      <c r="F14855"/>
      <c r="N14855" s="56"/>
    </row>
    <row r="14856" spans="1:14" x14ac:dyDescent="0.3">
      <c r="A14856" s="42"/>
      <c r="C14856" s="52"/>
      <c r="D14856"/>
      <c r="E14856"/>
      <c r="F14856"/>
      <c r="N14856" s="56"/>
    </row>
    <row r="14857" spans="1:14" x14ac:dyDescent="0.3">
      <c r="A14857" s="42"/>
      <c r="C14857" s="52"/>
      <c r="D14857"/>
      <c r="E14857"/>
      <c r="F14857"/>
      <c r="N14857" s="56"/>
    </row>
    <row r="14858" spans="1:14" x14ac:dyDescent="0.3">
      <c r="A14858" s="42"/>
      <c r="C14858" s="52"/>
      <c r="D14858"/>
      <c r="E14858"/>
      <c r="F14858"/>
      <c r="N14858" s="56"/>
    </row>
    <row r="14859" spans="1:14" x14ac:dyDescent="0.3">
      <c r="A14859" s="42"/>
      <c r="C14859" s="52"/>
      <c r="D14859"/>
      <c r="E14859"/>
      <c r="F14859"/>
      <c r="N14859" s="56"/>
    </row>
    <row r="14860" spans="1:14" x14ac:dyDescent="0.3">
      <c r="A14860" s="42"/>
      <c r="C14860" s="52"/>
      <c r="D14860"/>
      <c r="E14860"/>
      <c r="F14860"/>
      <c r="N14860" s="56"/>
    </row>
    <row r="14861" spans="1:14" x14ac:dyDescent="0.3">
      <c r="A14861" s="42"/>
      <c r="C14861" s="52"/>
      <c r="D14861"/>
      <c r="E14861"/>
      <c r="F14861"/>
      <c r="N14861" s="56"/>
    </row>
    <row r="14862" spans="1:14" x14ac:dyDescent="0.3">
      <c r="A14862" s="42"/>
      <c r="C14862" s="52"/>
      <c r="D14862"/>
      <c r="E14862"/>
      <c r="F14862"/>
      <c r="N14862" s="56"/>
    </row>
    <row r="14863" spans="1:14" x14ac:dyDescent="0.3">
      <c r="A14863" s="42"/>
      <c r="C14863" s="52"/>
      <c r="D14863"/>
      <c r="E14863"/>
      <c r="F14863"/>
      <c r="N14863" s="56"/>
    </row>
    <row r="14864" spans="1:14" x14ac:dyDescent="0.3">
      <c r="A14864" s="42"/>
      <c r="C14864" s="52"/>
      <c r="D14864"/>
      <c r="E14864"/>
      <c r="F14864"/>
      <c r="N14864" s="56"/>
    </row>
    <row r="14865" spans="1:14" x14ac:dyDescent="0.3">
      <c r="A14865" s="42"/>
      <c r="C14865" s="52"/>
      <c r="D14865"/>
      <c r="E14865"/>
      <c r="F14865"/>
      <c r="N14865" s="56"/>
    </row>
    <row r="14866" spans="1:14" x14ac:dyDescent="0.3">
      <c r="A14866" s="42"/>
      <c r="C14866" s="52"/>
      <c r="D14866"/>
      <c r="E14866"/>
      <c r="F14866"/>
      <c r="N14866" s="56"/>
    </row>
    <row r="14867" spans="1:14" x14ac:dyDescent="0.3">
      <c r="A14867" s="42"/>
      <c r="C14867" s="52"/>
      <c r="D14867"/>
      <c r="E14867"/>
      <c r="F14867"/>
      <c r="N14867" s="56"/>
    </row>
    <row r="14868" spans="1:14" x14ac:dyDescent="0.3">
      <c r="A14868" s="42"/>
      <c r="C14868" s="52"/>
      <c r="D14868"/>
      <c r="E14868"/>
      <c r="F14868"/>
      <c r="N14868" s="56"/>
    </row>
    <row r="14869" spans="1:14" x14ac:dyDescent="0.3">
      <c r="A14869" s="42"/>
      <c r="C14869" s="52"/>
      <c r="D14869"/>
      <c r="E14869"/>
      <c r="F14869"/>
      <c r="N14869" s="56"/>
    </row>
    <row r="14870" spans="1:14" x14ac:dyDescent="0.3">
      <c r="A14870" s="42"/>
      <c r="C14870" s="52"/>
      <c r="D14870"/>
      <c r="E14870"/>
      <c r="F14870"/>
      <c r="N14870" s="56"/>
    </row>
    <row r="14871" spans="1:14" x14ac:dyDescent="0.3">
      <c r="A14871" s="42"/>
      <c r="C14871" s="52"/>
      <c r="D14871"/>
      <c r="E14871"/>
      <c r="F14871"/>
      <c r="N14871" s="56"/>
    </row>
    <row r="14872" spans="1:14" x14ac:dyDescent="0.3">
      <c r="A14872" s="42"/>
      <c r="C14872" s="52"/>
      <c r="D14872"/>
      <c r="E14872"/>
      <c r="F14872"/>
      <c r="N14872" s="56"/>
    </row>
    <row r="14873" spans="1:14" x14ac:dyDescent="0.3">
      <c r="A14873" s="42"/>
      <c r="C14873" s="52"/>
      <c r="D14873"/>
      <c r="E14873"/>
      <c r="F14873"/>
      <c r="N14873" s="56"/>
    </row>
    <row r="14874" spans="1:14" x14ac:dyDescent="0.3">
      <c r="A14874" s="42"/>
      <c r="C14874" s="52"/>
      <c r="D14874"/>
      <c r="E14874"/>
      <c r="F14874"/>
      <c r="N14874" s="56"/>
    </row>
    <row r="14875" spans="1:14" x14ac:dyDescent="0.3">
      <c r="A14875" s="42"/>
      <c r="C14875" s="52"/>
      <c r="D14875"/>
      <c r="E14875"/>
      <c r="F14875"/>
      <c r="N14875" s="56"/>
    </row>
    <row r="14876" spans="1:14" x14ac:dyDescent="0.3">
      <c r="A14876" s="42"/>
      <c r="C14876" s="52"/>
      <c r="D14876"/>
      <c r="E14876"/>
      <c r="F14876"/>
      <c r="N14876" s="56"/>
    </row>
    <row r="14877" spans="1:14" x14ac:dyDescent="0.3">
      <c r="A14877" s="42"/>
      <c r="C14877" s="52"/>
      <c r="D14877"/>
      <c r="E14877"/>
      <c r="F14877"/>
      <c r="N14877" s="56"/>
    </row>
    <row r="14878" spans="1:14" x14ac:dyDescent="0.3">
      <c r="A14878" s="42"/>
      <c r="C14878" s="52"/>
      <c r="D14878"/>
      <c r="E14878"/>
      <c r="F14878"/>
      <c r="N14878" s="56"/>
    </row>
    <row r="14879" spans="1:14" x14ac:dyDescent="0.3">
      <c r="A14879" s="42"/>
      <c r="C14879" s="52"/>
      <c r="D14879"/>
      <c r="E14879"/>
      <c r="F14879"/>
      <c r="N14879" s="56"/>
    </row>
    <row r="14880" spans="1:14" x14ac:dyDescent="0.3">
      <c r="A14880" s="42"/>
      <c r="C14880" s="52"/>
      <c r="D14880"/>
      <c r="E14880"/>
      <c r="F14880"/>
      <c r="N14880" s="56"/>
    </row>
    <row r="14881" spans="1:14" x14ac:dyDescent="0.3">
      <c r="A14881" s="42"/>
      <c r="C14881" s="52"/>
      <c r="D14881"/>
      <c r="E14881"/>
      <c r="F14881"/>
      <c r="N14881" s="56"/>
    </row>
    <row r="14882" spans="1:14" x14ac:dyDescent="0.3">
      <c r="A14882" s="42"/>
      <c r="C14882" s="52"/>
      <c r="D14882"/>
      <c r="E14882"/>
      <c r="F14882"/>
      <c r="M14882" s="45"/>
      <c r="N14882" s="56"/>
    </row>
    <row r="14883" spans="1:14" x14ac:dyDescent="0.3">
      <c r="A14883" s="42"/>
      <c r="C14883" s="52"/>
      <c r="D14883"/>
      <c r="E14883"/>
      <c r="F14883"/>
      <c r="N14883" s="56"/>
    </row>
    <row r="14884" spans="1:14" x14ac:dyDescent="0.3">
      <c r="A14884" s="42"/>
      <c r="C14884" s="52"/>
      <c r="D14884"/>
      <c r="E14884"/>
      <c r="F14884"/>
      <c r="N14884" s="56"/>
    </row>
    <row r="14885" spans="1:14" x14ac:dyDescent="0.3">
      <c r="A14885" s="42"/>
      <c r="C14885" s="52"/>
      <c r="D14885"/>
      <c r="E14885"/>
      <c r="F14885"/>
      <c r="N14885" s="56"/>
    </row>
    <row r="14886" spans="1:14" x14ac:dyDescent="0.3">
      <c r="A14886" s="42"/>
      <c r="C14886" s="52"/>
      <c r="D14886"/>
      <c r="E14886"/>
      <c r="F14886"/>
      <c r="N14886" s="56"/>
    </row>
    <row r="14887" spans="1:14" x14ac:dyDescent="0.3">
      <c r="A14887" s="42"/>
      <c r="C14887" s="52"/>
      <c r="D14887"/>
      <c r="E14887"/>
      <c r="F14887"/>
      <c r="N14887" s="56"/>
    </row>
    <row r="14888" spans="1:14" x14ac:dyDescent="0.3">
      <c r="A14888" s="42"/>
      <c r="C14888" s="52"/>
      <c r="D14888"/>
      <c r="E14888"/>
      <c r="F14888"/>
      <c r="N14888" s="56"/>
    </row>
    <row r="14889" spans="1:14" x14ac:dyDescent="0.3">
      <c r="A14889" s="42"/>
      <c r="C14889" s="52"/>
      <c r="D14889"/>
      <c r="E14889"/>
      <c r="F14889"/>
      <c r="N14889" s="56"/>
    </row>
    <row r="14890" spans="1:14" x14ac:dyDescent="0.3">
      <c r="A14890" s="42"/>
      <c r="C14890" s="52"/>
      <c r="D14890"/>
      <c r="E14890"/>
      <c r="F14890"/>
      <c r="N14890" s="56"/>
    </row>
    <row r="14891" spans="1:14" x14ac:dyDescent="0.3">
      <c r="A14891" s="42"/>
      <c r="C14891" s="52"/>
      <c r="D14891"/>
      <c r="E14891"/>
      <c r="F14891"/>
      <c r="N14891" s="56"/>
    </row>
    <row r="14892" spans="1:14" x14ac:dyDescent="0.3">
      <c r="A14892" s="42"/>
      <c r="C14892" s="52"/>
      <c r="D14892"/>
      <c r="E14892"/>
      <c r="F14892"/>
      <c r="N14892" s="56"/>
    </row>
    <row r="14893" spans="1:14" x14ac:dyDescent="0.3">
      <c r="A14893" s="42"/>
      <c r="C14893" s="52"/>
      <c r="D14893"/>
      <c r="E14893"/>
      <c r="F14893"/>
      <c r="N14893" s="56"/>
    </row>
    <row r="14894" spans="1:14" x14ac:dyDescent="0.3">
      <c r="A14894" s="42"/>
      <c r="C14894" s="52"/>
      <c r="D14894"/>
      <c r="E14894"/>
      <c r="F14894"/>
      <c r="N14894" s="56"/>
    </row>
    <row r="14895" spans="1:14" x14ac:dyDescent="0.3">
      <c r="A14895" s="42"/>
      <c r="C14895" s="52"/>
      <c r="D14895"/>
      <c r="E14895"/>
      <c r="F14895"/>
      <c r="N14895" s="56"/>
    </row>
    <row r="14896" spans="1:14" x14ac:dyDescent="0.3">
      <c r="A14896" s="42"/>
      <c r="C14896" s="52"/>
      <c r="D14896"/>
      <c r="E14896"/>
      <c r="F14896"/>
      <c r="N14896" s="56"/>
    </row>
    <row r="14897" spans="1:14" x14ac:dyDescent="0.3">
      <c r="A14897" s="42"/>
      <c r="C14897" s="52"/>
      <c r="D14897"/>
      <c r="E14897"/>
      <c r="F14897"/>
      <c r="N14897" s="56"/>
    </row>
    <row r="14898" spans="1:14" x14ac:dyDescent="0.3">
      <c r="A14898" s="42"/>
      <c r="C14898" s="52"/>
      <c r="D14898"/>
      <c r="E14898"/>
      <c r="F14898"/>
      <c r="N14898" s="56"/>
    </row>
    <row r="14899" spans="1:14" x14ac:dyDescent="0.3">
      <c r="A14899" s="42"/>
      <c r="C14899" s="52"/>
      <c r="D14899"/>
      <c r="E14899"/>
      <c r="F14899"/>
      <c r="N14899" s="56"/>
    </row>
    <row r="14900" spans="1:14" x14ac:dyDescent="0.3">
      <c r="A14900" s="42"/>
      <c r="C14900" s="52"/>
      <c r="D14900"/>
      <c r="E14900"/>
      <c r="F14900"/>
      <c r="N14900" s="56"/>
    </row>
    <row r="14901" spans="1:14" x14ac:dyDescent="0.3">
      <c r="A14901" s="42"/>
      <c r="C14901" s="52"/>
      <c r="D14901"/>
      <c r="E14901"/>
      <c r="F14901"/>
      <c r="N14901" s="56"/>
    </row>
    <row r="14902" spans="1:14" x14ac:dyDescent="0.3">
      <c r="A14902" s="42"/>
      <c r="C14902" s="52"/>
      <c r="D14902"/>
      <c r="E14902"/>
      <c r="F14902"/>
      <c r="N14902" s="56"/>
    </row>
    <row r="14903" spans="1:14" x14ac:dyDescent="0.3">
      <c r="A14903" s="42"/>
      <c r="C14903" s="52"/>
      <c r="D14903"/>
      <c r="E14903"/>
      <c r="F14903"/>
      <c r="N14903" s="56"/>
    </row>
    <row r="14904" spans="1:14" x14ac:dyDescent="0.3">
      <c r="A14904" s="42"/>
      <c r="C14904" s="52"/>
      <c r="D14904"/>
      <c r="E14904"/>
      <c r="F14904"/>
      <c r="N14904" s="56"/>
    </row>
    <row r="14905" spans="1:14" x14ac:dyDescent="0.3">
      <c r="A14905" s="42"/>
      <c r="C14905" s="52"/>
      <c r="D14905"/>
      <c r="E14905"/>
      <c r="F14905"/>
      <c r="N14905" s="56"/>
    </row>
    <row r="14906" spans="1:14" x14ac:dyDescent="0.3">
      <c r="A14906" s="42"/>
      <c r="C14906" s="52"/>
      <c r="D14906"/>
      <c r="E14906"/>
      <c r="F14906"/>
      <c r="N14906" s="56"/>
    </row>
    <row r="14907" spans="1:14" x14ac:dyDescent="0.3">
      <c r="A14907" s="42"/>
      <c r="C14907" s="52"/>
      <c r="D14907"/>
      <c r="E14907"/>
      <c r="F14907"/>
      <c r="N14907" s="56"/>
    </row>
    <row r="14908" spans="1:14" x14ac:dyDescent="0.3">
      <c r="A14908" s="42"/>
      <c r="C14908" s="52"/>
      <c r="D14908"/>
      <c r="E14908"/>
      <c r="F14908"/>
      <c r="N14908" s="56"/>
    </row>
    <row r="14909" spans="1:14" x14ac:dyDescent="0.3">
      <c r="A14909" s="42"/>
      <c r="C14909" s="52"/>
      <c r="D14909"/>
      <c r="E14909"/>
      <c r="F14909"/>
      <c r="N14909" s="56"/>
    </row>
    <row r="14910" spans="1:14" x14ac:dyDescent="0.3">
      <c r="A14910" s="42"/>
      <c r="C14910" s="52"/>
      <c r="D14910"/>
      <c r="E14910"/>
      <c r="F14910"/>
      <c r="N14910" s="56"/>
    </row>
    <row r="14911" spans="1:14" x14ac:dyDescent="0.3">
      <c r="A14911" s="42"/>
      <c r="C14911" s="52"/>
      <c r="D14911"/>
      <c r="E14911"/>
      <c r="F14911"/>
      <c r="N14911" s="56"/>
    </row>
    <row r="14912" spans="1:14" x14ac:dyDescent="0.3">
      <c r="A14912" s="42"/>
      <c r="C14912" s="52"/>
      <c r="D14912"/>
      <c r="E14912"/>
      <c r="F14912"/>
      <c r="M14912" s="45"/>
      <c r="N14912" s="56"/>
    </row>
    <row r="14913" spans="1:14" x14ac:dyDescent="0.3">
      <c r="A14913" s="42"/>
      <c r="C14913" s="52"/>
      <c r="D14913"/>
      <c r="E14913"/>
      <c r="F14913"/>
      <c r="N14913" s="56"/>
    </row>
    <row r="14914" spans="1:14" x14ac:dyDescent="0.3">
      <c r="A14914" s="42"/>
      <c r="C14914" s="52"/>
      <c r="D14914"/>
      <c r="E14914"/>
      <c r="F14914"/>
      <c r="N14914" s="56"/>
    </row>
    <row r="14915" spans="1:14" x14ac:dyDescent="0.3">
      <c r="A14915" s="42"/>
      <c r="C14915" s="52"/>
      <c r="D14915"/>
      <c r="E14915"/>
      <c r="F14915"/>
      <c r="N14915" s="56"/>
    </row>
    <row r="14916" spans="1:14" x14ac:dyDescent="0.3">
      <c r="A14916" s="42"/>
      <c r="C14916" s="52"/>
      <c r="D14916"/>
      <c r="E14916"/>
      <c r="F14916"/>
      <c r="N14916" s="56"/>
    </row>
    <row r="14917" spans="1:14" x14ac:dyDescent="0.3">
      <c r="A14917" s="42"/>
      <c r="C14917" s="52"/>
      <c r="D14917"/>
      <c r="E14917"/>
      <c r="F14917"/>
      <c r="N14917" s="56"/>
    </row>
    <row r="14918" spans="1:14" x14ac:dyDescent="0.3">
      <c r="A14918" s="42"/>
      <c r="C14918" s="52"/>
      <c r="D14918"/>
      <c r="E14918"/>
      <c r="F14918"/>
      <c r="N14918" s="56"/>
    </row>
    <row r="14919" spans="1:14" x14ac:dyDescent="0.3">
      <c r="A14919" s="42"/>
      <c r="C14919" s="52"/>
      <c r="D14919"/>
      <c r="E14919"/>
      <c r="F14919"/>
      <c r="N14919" s="56"/>
    </row>
    <row r="14920" spans="1:14" x14ac:dyDescent="0.3">
      <c r="A14920" s="42"/>
      <c r="C14920" s="52"/>
      <c r="D14920"/>
      <c r="E14920"/>
      <c r="F14920"/>
      <c r="N14920" s="56"/>
    </row>
    <row r="14921" spans="1:14" x14ac:dyDescent="0.3">
      <c r="A14921" s="42"/>
      <c r="C14921" s="52"/>
      <c r="D14921"/>
      <c r="E14921"/>
      <c r="F14921"/>
      <c r="N14921" s="56"/>
    </row>
    <row r="14922" spans="1:14" x14ac:dyDescent="0.3">
      <c r="A14922" s="42"/>
      <c r="C14922" s="52"/>
      <c r="D14922"/>
      <c r="E14922"/>
      <c r="F14922"/>
      <c r="N14922" s="56"/>
    </row>
    <row r="14923" spans="1:14" x14ac:dyDescent="0.3">
      <c r="A14923" s="42"/>
      <c r="C14923" s="52"/>
      <c r="D14923"/>
      <c r="E14923"/>
      <c r="F14923"/>
      <c r="N14923" s="56"/>
    </row>
    <row r="14924" spans="1:14" x14ac:dyDescent="0.3">
      <c r="A14924" s="42"/>
      <c r="C14924" s="52"/>
      <c r="D14924"/>
      <c r="E14924"/>
      <c r="F14924"/>
      <c r="N14924" s="56"/>
    </row>
    <row r="14925" spans="1:14" x14ac:dyDescent="0.3">
      <c r="A14925" s="42"/>
      <c r="C14925" s="52"/>
      <c r="D14925"/>
      <c r="E14925"/>
      <c r="F14925"/>
      <c r="N14925" s="56"/>
    </row>
    <row r="14926" spans="1:14" x14ac:dyDescent="0.3">
      <c r="A14926" s="42"/>
      <c r="C14926" s="52"/>
      <c r="D14926"/>
      <c r="E14926"/>
      <c r="F14926"/>
      <c r="N14926" s="56"/>
    </row>
    <row r="14927" spans="1:14" x14ac:dyDescent="0.3">
      <c r="A14927" s="42"/>
      <c r="C14927" s="52"/>
      <c r="D14927"/>
      <c r="E14927"/>
      <c r="F14927"/>
      <c r="N14927" s="56"/>
    </row>
    <row r="14928" spans="1:14" x14ac:dyDescent="0.3">
      <c r="A14928" s="42"/>
      <c r="C14928" s="52"/>
      <c r="D14928"/>
      <c r="E14928"/>
      <c r="F14928"/>
      <c r="N14928" s="56"/>
    </row>
    <row r="14929" spans="1:14" x14ac:dyDescent="0.3">
      <c r="A14929" s="42"/>
      <c r="C14929" s="52"/>
      <c r="D14929"/>
      <c r="E14929"/>
      <c r="F14929"/>
      <c r="N14929" s="56"/>
    </row>
    <row r="14930" spans="1:14" x14ac:dyDescent="0.3">
      <c r="A14930" s="42"/>
      <c r="C14930" s="52"/>
      <c r="D14930"/>
      <c r="E14930"/>
      <c r="F14930"/>
      <c r="N14930" s="56"/>
    </row>
    <row r="14931" spans="1:14" x14ac:dyDescent="0.3">
      <c r="A14931" s="42"/>
      <c r="C14931" s="52"/>
      <c r="D14931"/>
      <c r="E14931"/>
      <c r="F14931"/>
      <c r="N14931" s="56"/>
    </row>
    <row r="14932" spans="1:14" x14ac:dyDescent="0.3">
      <c r="A14932" s="42"/>
      <c r="C14932" s="52"/>
      <c r="D14932"/>
      <c r="E14932"/>
      <c r="F14932"/>
      <c r="N14932" s="56"/>
    </row>
    <row r="14933" spans="1:14" x14ac:dyDescent="0.3">
      <c r="A14933" s="42"/>
      <c r="C14933" s="52"/>
      <c r="D14933"/>
      <c r="E14933"/>
      <c r="F14933"/>
      <c r="N14933" s="56"/>
    </row>
    <row r="14934" spans="1:14" x14ac:dyDescent="0.3">
      <c r="A14934" s="42"/>
      <c r="C14934" s="52"/>
      <c r="D14934"/>
      <c r="E14934"/>
      <c r="F14934"/>
      <c r="N14934" s="56"/>
    </row>
    <row r="14935" spans="1:14" x14ac:dyDescent="0.3">
      <c r="A14935" s="42"/>
      <c r="C14935" s="52"/>
      <c r="D14935"/>
      <c r="E14935"/>
      <c r="F14935"/>
      <c r="N14935" s="56"/>
    </row>
    <row r="14936" spans="1:14" x14ac:dyDescent="0.3">
      <c r="A14936" s="42"/>
      <c r="C14936" s="52"/>
      <c r="D14936"/>
      <c r="E14936"/>
      <c r="F14936"/>
      <c r="N14936" s="56"/>
    </row>
    <row r="14937" spans="1:14" x14ac:dyDescent="0.3">
      <c r="A14937" s="42"/>
      <c r="C14937" s="52"/>
      <c r="D14937"/>
      <c r="E14937"/>
      <c r="F14937"/>
      <c r="N14937" s="56"/>
    </row>
    <row r="14938" spans="1:14" x14ac:dyDescent="0.3">
      <c r="A14938" s="42"/>
      <c r="C14938" s="52"/>
      <c r="D14938"/>
      <c r="E14938"/>
      <c r="F14938"/>
      <c r="N14938" s="56"/>
    </row>
    <row r="14939" spans="1:14" x14ac:dyDescent="0.3">
      <c r="A14939" s="42"/>
      <c r="C14939" s="52"/>
      <c r="D14939"/>
      <c r="E14939"/>
      <c r="F14939"/>
      <c r="N14939" s="56"/>
    </row>
    <row r="14940" spans="1:14" x14ac:dyDescent="0.3">
      <c r="A14940" s="42"/>
      <c r="C14940" s="52"/>
      <c r="D14940"/>
      <c r="E14940"/>
      <c r="F14940"/>
      <c r="N14940" s="56"/>
    </row>
    <row r="14941" spans="1:14" x14ac:dyDescent="0.3">
      <c r="A14941" s="42"/>
      <c r="C14941" s="52"/>
      <c r="D14941"/>
      <c r="E14941"/>
      <c r="F14941"/>
      <c r="N14941" s="56"/>
    </row>
    <row r="14942" spans="1:14" x14ac:dyDescent="0.3">
      <c r="A14942" s="42"/>
      <c r="C14942" s="52"/>
      <c r="D14942"/>
      <c r="E14942"/>
      <c r="F14942"/>
      <c r="N14942" s="56"/>
    </row>
    <row r="14943" spans="1:14" x14ac:dyDescent="0.3">
      <c r="A14943" s="42"/>
      <c r="C14943" s="52"/>
      <c r="D14943"/>
      <c r="E14943"/>
      <c r="F14943"/>
      <c r="N14943" s="56"/>
    </row>
    <row r="14944" spans="1:14" x14ac:dyDescent="0.3">
      <c r="A14944" s="42"/>
      <c r="C14944" s="52"/>
      <c r="D14944"/>
      <c r="E14944"/>
      <c r="F14944"/>
      <c r="N14944" s="56"/>
    </row>
    <row r="14945" spans="1:14" x14ac:dyDescent="0.3">
      <c r="A14945" s="42"/>
      <c r="C14945" s="52"/>
      <c r="D14945"/>
      <c r="E14945"/>
      <c r="F14945"/>
      <c r="N14945" s="56"/>
    </row>
    <row r="14946" spans="1:14" x14ac:dyDescent="0.3">
      <c r="A14946" s="42"/>
      <c r="C14946" s="52"/>
      <c r="D14946"/>
      <c r="E14946"/>
      <c r="F14946"/>
      <c r="N14946" s="56"/>
    </row>
    <row r="14947" spans="1:14" x14ac:dyDescent="0.3">
      <c r="A14947" s="42"/>
      <c r="C14947" s="52"/>
      <c r="D14947"/>
      <c r="E14947"/>
      <c r="F14947"/>
      <c r="N14947" s="56"/>
    </row>
    <row r="14948" spans="1:14" x14ac:dyDescent="0.3">
      <c r="A14948" s="42"/>
      <c r="C14948" s="52"/>
      <c r="D14948"/>
      <c r="E14948"/>
      <c r="F14948"/>
      <c r="N14948" s="56"/>
    </row>
    <row r="14949" spans="1:14" x14ac:dyDescent="0.3">
      <c r="A14949" s="42"/>
      <c r="C14949" s="52"/>
      <c r="D14949"/>
      <c r="E14949"/>
      <c r="F14949"/>
      <c r="N14949" s="56"/>
    </row>
    <row r="14950" spans="1:14" x14ac:dyDescent="0.3">
      <c r="A14950" s="42"/>
      <c r="C14950" s="52"/>
      <c r="D14950"/>
      <c r="E14950"/>
      <c r="F14950"/>
      <c r="N14950" s="56"/>
    </row>
    <row r="14951" spans="1:14" x14ac:dyDescent="0.3">
      <c r="A14951" s="42"/>
      <c r="C14951" s="52"/>
      <c r="D14951"/>
      <c r="E14951"/>
      <c r="F14951"/>
      <c r="N14951" s="56"/>
    </row>
    <row r="14952" spans="1:14" x14ac:dyDescent="0.3">
      <c r="A14952" s="42"/>
      <c r="C14952" s="52"/>
      <c r="D14952"/>
      <c r="E14952"/>
      <c r="F14952"/>
      <c r="N14952" s="56"/>
    </row>
    <row r="14953" spans="1:14" x14ac:dyDescent="0.3">
      <c r="A14953" s="42"/>
      <c r="C14953" s="52"/>
      <c r="D14953"/>
      <c r="E14953"/>
      <c r="F14953"/>
      <c r="N14953" s="56"/>
    </row>
    <row r="14954" spans="1:14" x14ac:dyDescent="0.3">
      <c r="A14954" s="42"/>
      <c r="C14954" s="52"/>
      <c r="D14954"/>
      <c r="E14954"/>
      <c r="F14954"/>
      <c r="N14954" s="56"/>
    </row>
    <row r="14955" spans="1:14" x14ac:dyDescent="0.3">
      <c r="A14955" s="42"/>
      <c r="C14955" s="52"/>
      <c r="D14955"/>
      <c r="E14955"/>
      <c r="F14955"/>
      <c r="N14955" s="56"/>
    </row>
    <row r="14956" spans="1:14" x14ac:dyDescent="0.3">
      <c r="A14956" s="42"/>
      <c r="C14956" s="52"/>
      <c r="D14956"/>
      <c r="E14956"/>
      <c r="F14956"/>
      <c r="N14956" s="56"/>
    </row>
    <row r="14957" spans="1:14" x14ac:dyDescent="0.3">
      <c r="A14957" s="42"/>
      <c r="C14957" s="52"/>
      <c r="D14957"/>
      <c r="E14957"/>
      <c r="F14957"/>
      <c r="N14957" s="56"/>
    </row>
    <row r="14958" spans="1:14" x14ac:dyDescent="0.3">
      <c r="A14958" s="42"/>
      <c r="C14958" s="52"/>
      <c r="D14958"/>
      <c r="E14958"/>
      <c r="F14958"/>
      <c r="N14958" s="56"/>
    </row>
    <row r="14959" spans="1:14" x14ac:dyDescent="0.3">
      <c r="A14959" s="42"/>
      <c r="C14959" s="52"/>
      <c r="D14959"/>
      <c r="E14959"/>
      <c r="F14959"/>
      <c r="N14959" s="56"/>
    </row>
    <row r="14960" spans="1:14" x14ac:dyDescent="0.3">
      <c r="A14960" s="42"/>
      <c r="C14960" s="52"/>
      <c r="D14960"/>
      <c r="E14960"/>
      <c r="F14960"/>
      <c r="N14960" s="56"/>
    </row>
    <row r="14961" spans="1:14" x14ac:dyDescent="0.3">
      <c r="A14961" s="42"/>
      <c r="C14961" s="52"/>
      <c r="D14961"/>
      <c r="E14961"/>
      <c r="F14961"/>
      <c r="N14961" s="56"/>
    </row>
    <row r="14962" spans="1:14" x14ac:dyDescent="0.3">
      <c r="A14962" s="42"/>
      <c r="C14962" s="52"/>
      <c r="D14962"/>
      <c r="E14962"/>
      <c r="F14962"/>
      <c r="N14962" s="56"/>
    </row>
    <row r="14963" spans="1:14" x14ac:dyDescent="0.3">
      <c r="A14963" s="42"/>
      <c r="C14963" s="52"/>
      <c r="D14963"/>
      <c r="E14963"/>
      <c r="F14963"/>
      <c r="N14963" s="56"/>
    </row>
    <row r="14964" spans="1:14" x14ac:dyDescent="0.3">
      <c r="A14964" s="42"/>
      <c r="C14964" s="52"/>
      <c r="D14964"/>
      <c r="E14964"/>
      <c r="F14964"/>
      <c r="N14964" s="56"/>
    </row>
    <row r="14965" spans="1:14" x14ac:dyDescent="0.3">
      <c r="A14965" s="42"/>
      <c r="C14965" s="52"/>
      <c r="D14965"/>
      <c r="E14965"/>
      <c r="F14965"/>
      <c r="N14965" s="56"/>
    </row>
    <row r="14966" spans="1:14" x14ac:dyDescent="0.3">
      <c r="A14966" s="42"/>
      <c r="C14966" s="52"/>
      <c r="D14966"/>
      <c r="E14966"/>
      <c r="F14966"/>
      <c r="N14966" s="56"/>
    </row>
    <row r="14967" spans="1:14" x14ac:dyDescent="0.3">
      <c r="A14967" s="42"/>
      <c r="C14967" s="52"/>
      <c r="D14967"/>
      <c r="E14967"/>
      <c r="F14967"/>
      <c r="N14967" s="56"/>
    </row>
    <row r="14968" spans="1:14" x14ac:dyDescent="0.3">
      <c r="A14968" s="42"/>
      <c r="C14968" s="52"/>
      <c r="D14968"/>
      <c r="E14968"/>
      <c r="F14968"/>
      <c r="N14968" s="56"/>
    </row>
    <row r="14969" spans="1:14" x14ac:dyDescent="0.3">
      <c r="A14969" s="42"/>
      <c r="C14969" s="52"/>
      <c r="D14969"/>
      <c r="E14969"/>
      <c r="F14969"/>
      <c r="N14969" s="56"/>
    </row>
    <row r="14970" spans="1:14" x14ac:dyDescent="0.3">
      <c r="A14970" s="42"/>
      <c r="C14970" s="52"/>
      <c r="D14970"/>
      <c r="E14970"/>
      <c r="F14970"/>
      <c r="N14970" s="56"/>
    </row>
    <row r="14971" spans="1:14" x14ac:dyDescent="0.3">
      <c r="A14971" s="42"/>
      <c r="C14971" s="52"/>
      <c r="D14971"/>
      <c r="E14971"/>
      <c r="F14971"/>
      <c r="N14971" s="56"/>
    </row>
    <row r="14972" spans="1:14" x14ac:dyDescent="0.3">
      <c r="A14972" s="42"/>
      <c r="C14972" s="52"/>
      <c r="D14972"/>
      <c r="E14972"/>
      <c r="F14972"/>
      <c r="N14972" s="56"/>
    </row>
    <row r="14973" spans="1:14" x14ac:dyDescent="0.3">
      <c r="A14973" s="42"/>
      <c r="C14973" s="52"/>
      <c r="D14973"/>
      <c r="E14973"/>
      <c r="F14973"/>
      <c r="N14973" s="56"/>
    </row>
    <row r="14974" spans="1:14" x14ac:dyDescent="0.3">
      <c r="A14974" s="42"/>
      <c r="C14974" s="52"/>
      <c r="D14974"/>
      <c r="E14974"/>
      <c r="F14974"/>
      <c r="N14974" s="56"/>
    </row>
    <row r="14975" spans="1:14" x14ac:dyDescent="0.3">
      <c r="A14975" s="42"/>
      <c r="C14975" s="52"/>
      <c r="D14975"/>
      <c r="E14975"/>
      <c r="F14975"/>
      <c r="N14975" s="56"/>
    </row>
    <row r="14976" spans="1:14" x14ac:dyDescent="0.3">
      <c r="A14976" s="42"/>
      <c r="C14976" s="52"/>
      <c r="D14976"/>
      <c r="E14976"/>
      <c r="F14976"/>
      <c r="N14976" s="56"/>
    </row>
    <row r="14977" spans="1:14" x14ac:dyDescent="0.3">
      <c r="A14977" s="42"/>
      <c r="C14977" s="52"/>
      <c r="D14977"/>
      <c r="E14977"/>
      <c r="F14977"/>
      <c r="N14977" s="56"/>
    </row>
    <row r="14978" spans="1:14" x14ac:dyDescent="0.3">
      <c r="A14978" s="42"/>
      <c r="C14978" s="52"/>
      <c r="D14978"/>
      <c r="E14978"/>
      <c r="F14978"/>
      <c r="N14978" s="56"/>
    </row>
    <row r="14979" spans="1:14" x14ac:dyDescent="0.3">
      <c r="A14979" s="42"/>
      <c r="C14979" s="52"/>
      <c r="D14979"/>
      <c r="E14979"/>
      <c r="F14979"/>
      <c r="N14979" s="56"/>
    </row>
    <row r="14980" spans="1:14" x14ac:dyDescent="0.3">
      <c r="A14980" s="42"/>
      <c r="C14980" s="52"/>
      <c r="D14980"/>
      <c r="E14980"/>
      <c r="F14980"/>
      <c r="N14980" s="56"/>
    </row>
    <row r="14981" spans="1:14" x14ac:dyDescent="0.3">
      <c r="A14981" s="42"/>
      <c r="C14981" s="52"/>
      <c r="D14981"/>
      <c r="E14981"/>
      <c r="F14981"/>
      <c r="N14981" s="56"/>
    </row>
    <row r="14982" spans="1:14" x14ac:dyDescent="0.3">
      <c r="A14982" s="42"/>
      <c r="C14982" s="52"/>
      <c r="D14982"/>
      <c r="E14982"/>
      <c r="F14982"/>
      <c r="N14982" s="56"/>
    </row>
    <row r="14983" spans="1:14" x14ac:dyDescent="0.3">
      <c r="A14983" s="42"/>
      <c r="C14983" s="52"/>
      <c r="D14983"/>
      <c r="E14983"/>
      <c r="F14983"/>
      <c r="N14983" s="56"/>
    </row>
    <row r="14984" spans="1:14" x14ac:dyDescent="0.3">
      <c r="A14984" s="42"/>
      <c r="C14984" s="52"/>
      <c r="D14984"/>
      <c r="E14984"/>
      <c r="F14984"/>
      <c r="N14984" s="56"/>
    </row>
    <row r="14985" spans="1:14" x14ac:dyDescent="0.3">
      <c r="A14985" s="42"/>
      <c r="C14985" s="52"/>
      <c r="D14985"/>
      <c r="E14985"/>
      <c r="F14985"/>
      <c r="N14985" s="56"/>
    </row>
    <row r="14986" spans="1:14" x14ac:dyDescent="0.3">
      <c r="A14986" s="42"/>
      <c r="C14986" s="52"/>
      <c r="D14986"/>
      <c r="E14986"/>
      <c r="F14986"/>
      <c r="N14986" s="56"/>
    </row>
    <row r="14987" spans="1:14" x14ac:dyDescent="0.3">
      <c r="A14987" s="42"/>
      <c r="C14987" s="52"/>
      <c r="D14987"/>
      <c r="E14987"/>
      <c r="F14987"/>
      <c r="N14987" s="56"/>
    </row>
    <row r="14988" spans="1:14" x14ac:dyDescent="0.3">
      <c r="A14988" s="42"/>
      <c r="C14988" s="52"/>
      <c r="D14988"/>
      <c r="E14988"/>
      <c r="F14988"/>
      <c r="N14988" s="56"/>
    </row>
    <row r="14989" spans="1:14" x14ac:dyDescent="0.3">
      <c r="A14989" s="42"/>
      <c r="C14989" s="52"/>
      <c r="D14989"/>
      <c r="E14989"/>
      <c r="F14989"/>
      <c r="M14989" s="45"/>
      <c r="N14989" s="56"/>
    </row>
    <row r="14990" spans="1:14" x14ac:dyDescent="0.3">
      <c r="A14990" s="42"/>
      <c r="C14990" s="52"/>
      <c r="D14990"/>
      <c r="E14990"/>
      <c r="F14990"/>
      <c r="N14990" s="56"/>
    </row>
    <row r="14991" spans="1:14" x14ac:dyDescent="0.3">
      <c r="A14991" s="42"/>
      <c r="C14991" s="52"/>
      <c r="D14991"/>
      <c r="E14991"/>
      <c r="F14991"/>
      <c r="N14991" s="56"/>
    </row>
    <row r="14992" spans="1:14" x14ac:dyDescent="0.3">
      <c r="A14992" s="42"/>
      <c r="C14992" s="52"/>
      <c r="D14992"/>
      <c r="E14992"/>
      <c r="F14992"/>
      <c r="N14992" s="56"/>
    </row>
    <row r="14993" spans="1:14" x14ac:dyDescent="0.3">
      <c r="A14993" s="42"/>
      <c r="C14993" s="52"/>
      <c r="D14993"/>
      <c r="E14993"/>
      <c r="F14993"/>
      <c r="N14993" s="56"/>
    </row>
    <row r="14994" spans="1:14" x14ac:dyDescent="0.3">
      <c r="A14994" s="42"/>
      <c r="C14994" s="52"/>
      <c r="D14994"/>
      <c r="E14994"/>
      <c r="F14994"/>
      <c r="N14994" s="56"/>
    </row>
    <row r="14995" spans="1:14" x14ac:dyDescent="0.3">
      <c r="A14995" s="42"/>
      <c r="C14995" s="52"/>
      <c r="D14995"/>
      <c r="E14995"/>
      <c r="F14995"/>
      <c r="N14995" s="56"/>
    </row>
    <row r="14996" spans="1:14" x14ac:dyDescent="0.3">
      <c r="A14996" s="42"/>
      <c r="C14996" s="52"/>
      <c r="D14996"/>
      <c r="E14996"/>
      <c r="F14996"/>
      <c r="M14996" s="45"/>
      <c r="N14996" s="56"/>
    </row>
    <row r="14997" spans="1:14" x14ac:dyDescent="0.3">
      <c r="A14997" s="42"/>
      <c r="C14997" s="52"/>
      <c r="D14997"/>
      <c r="E14997"/>
      <c r="F14997"/>
      <c r="M14997" s="45"/>
      <c r="N14997" s="56"/>
    </row>
    <row r="14998" spans="1:14" x14ac:dyDescent="0.3">
      <c r="A14998" s="42"/>
      <c r="C14998" s="52"/>
      <c r="D14998"/>
      <c r="E14998"/>
      <c r="F14998"/>
      <c r="N14998" s="56"/>
    </row>
    <row r="14999" spans="1:14" x14ac:dyDescent="0.3">
      <c r="A14999" s="42"/>
      <c r="C14999" s="52"/>
      <c r="D14999"/>
      <c r="E14999"/>
      <c r="F14999"/>
      <c r="N14999" s="56"/>
    </row>
    <row r="15000" spans="1:14" x14ac:dyDescent="0.3">
      <c r="A15000" s="42"/>
      <c r="C15000" s="52"/>
      <c r="D15000"/>
      <c r="E15000"/>
      <c r="F15000"/>
      <c r="N15000" s="56"/>
    </row>
    <row r="15001" spans="1:14" x14ac:dyDescent="0.3">
      <c r="A15001" s="42"/>
      <c r="C15001" s="52"/>
      <c r="D15001"/>
      <c r="E15001"/>
      <c r="F15001"/>
      <c r="N15001" s="56"/>
    </row>
    <row r="15002" spans="1:14" x14ac:dyDescent="0.3">
      <c r="A15002" s="42"/>
      <c r="C15002" s="52"/>
      <c r="D15002"/>
      <c r="E15002"/>
      <c r="F15002"/>
      <c r="N15002" s="56"/>
    </row>
    <row r="15003" spans="1:14" x14ac:dyDescent="0.3">
      <c r="A15003" s="42"/>
      <c r="C15003" s="52"/>
      <c r="D15003"/>
      <c r="E15003"/>
      <c r="F15003"/>
      <c r="N15003" s="56"/>
    </row>
    <row r="15004" spans="1:14" x14ac:dyDescent="0.3">
      <c r="A15004" s="42"/>
      <c r="C15004" s="52"/>
      <c r="D15004"/>
      <c r="E15004"/>
      <c r="F15004"/>
      <c r="N15004" s="56"/>
    </row>
    <row r="15005" spans="1:14" x14ac:dyDescent="0.3">
      <c r="A15005" s="42"/>
      <c r="C15005" s="52"/>
      <c r="D15005"/>
      <c r="E15005"/>
      <c r="F15005"/>
      <c r="N15005" s="56"/>
    </row>
    <row r="15006" spans="1:14" x14ac:dyDescent="0.3">
      <c r="A15006" s="42"/>
      <c r="C15006" s="52"/>
      <c r="D15006"/>
      <c r="E15006"/>
      <c r="F15006"/>
      <c r="N15006" s="56"/>
    </row>
    <row r="15007" spans="1:14" x14ac:dyDescent="0.3">
      <c r="A15007" s="42"/>
      <c r="C15007" s="52"/>
      <c r="D15007"/>
      <c r="E15007"/>
      <c r="F15007"/>
      <c r="N15007" s="56"/>
    </row>
    <row r="15008" spans="1:14" x14ac:dyDescent="0.3">
      <c r="A15008" s="42"/>
      <c r="C15008" s="52"/>
      <c r="D15008"/>
      <c r="E15008"/>
      <c r="F15008"/>
      <c r="N15008" s="56"/>
    </row>
    <row r="15009" spans="1:14" x14ac:dyDescent="0.3">
      <c r="A15009" s="42"/>
      <c r="C15009" s="52"/>
      <c r="D15009"/>
      <c r="E15009"/>
      <c r="F15009"/>
      <c r="N15009" s="56"/>
    </row>
    <row r="15010" spans="1:14" x14ac:dyDescent="0.3">
      <c r="A15010" s="42"/>
      <c r="C15010" s="52"/>
      <c r="D15010"/>
      <c r="E15010"/>
      <c r="F15010"/>
      <c r="N15010" s="56"/>
    </row>
    <row r="15011" spans="1:14" x14ac:dyDescent="0.3">
      <c r="A15011" s="42"/>
      <c r="C15011" s="52"/>
      <c r="D15011"/>
      <c r="E15011"/>
      <c r="F15011"/>
      <c r="N15011" s="56"/>
    </row>
    <row r="15012" spans="1:14" x14ac:dyDescent="0.3">
      <c r="A15012" s="42"/>
      <c r="C15012" s="52"/>
      <c r="D15012"/>
      <c r="E15012"/>
      <c r="F15012"/>
      <c r="N15012" s="56"/>
    </row>
    <row r="15013" spans="1:14" x14ac:dyDescent="0.3">
      <c r="A15013" s="42"/>
      <c r="C15013" s="52"/>
      <c r="D15013"/>
      <c r="E15013"/>
      <c r="F15013"/>
      <c r="N15013" s="56"/>
    </row>
    <row r="15014" spans="1:14" x14ac:dyDescent="0.3">
      <c r="A15014" s="42"/>
      <c r="C15014" s="52"/>
      <c r="D15014"/>
      <c r="E15014"/>
      <c r="F15014"/>
      <c r="N15014" s="56"/>
    </row>
    <row r="15015" spans="1:14" x14ac:dyDescent="0.3">
      <c r="A15015" s="42"/>
      <c r="C15015" s="52"/>
      <c r="D15015"/>
      <c r="E15015"/>
      <c r="F15015"/>
      <c r="N15015" s="56"/>
    </row>
    <row r="15016" spans="1:14" x14ac:dyDescent="0.3">
      <c r="A15016" s="42"/>
      <c r="C15016" s="52"/>
      <c r="D15016"/>
      <c r="E15016"/>
      <c r="F15016"/>
      <c r="N15016" s="56"/>
    </row>
    <row r="15017" spans="1:14" x14ac:dyDescent="0.3">
      <c r="A15017" s="42"/>
      <c r="C15017" s="52"/>
      <c r="D15017"/>
      <c r="E15017"/>
      <c r="F15017"/>
      <c r="N15017" s="56"/>
    </row>
    <row r="15018" spans="1:14" x14ac:dyDescent="0.3">
      <c r="A15018" s="42"/>
      <c r="C15018" s="52"/>
      <c r="D15018"/>
      <c r="E15018"/>
      <c r="F15018"/>
      <c r="N15018" s="56"/>
    </row>
    <row r="15019" spans="1:14" x14ac:dyDescent="0.3">
      <c r="A15019" s="42"/>
      <c r="C15019" s="52"/>
      <c r="D15019"/>
      <c r="E15019"/>
      <c r="F15019"/>
      <c r="N15019" s="56"/>
    </row>
    <row r="15020" spans="1:14" x14ac:dyDescent="0.3">
      <c r="A15020" s="42"/>
      <c r="C15020" s="52"/>
      <c r="D15020"/>
      <c r="E15020"/>
      <c r="F15020"/>
      <c r="N15020" s="56"/>
    </row>
    <row r="15021" spans="1:14" x14ac:dyDescent="0.3">
      <c r="A15021" s="42"/>
      <c r="C15021" s="52"/>
      <c r="D15021"/>
      <c r="E15021"/>
      <c r="F15021"/>
      <c r="N15021" s="56"/>
    </row>
    <row r="15022" spans="1:14" x14ac:dyDescent="0.3">
      <c r="A15022" s="42"/>
      <c r="C15022" s="52"/>
      <c r="D15022"/>
      <c r="E15022"/>
      <c r="F15022"/>
      <c r="N15022" s="56"/>
    </row>
    <row r="15023" spans="1:14" x14ac:dyDescent="0.3">
      <c r="A15023" s="42"/>
      <c r="C15023" s="52"/>
      <c r="D15023"/>
      <c r="E15023"/>
      <c r="F15023"/>
      <c r="N15023" s="56"/>
    </row>
    <row r="15024" spans="1:14" x14ac:dyDescent="0.3">
      <c r="A15024" s="42"/>
      <c r="C15024" s="52"/>
      <c r="D15024"/>
      <c r="E15024"/>
      <c r="F15024"/>
      <c r="N15024" s="56"/>
    </row>
    <row r="15025" spans="1:14" x14ac:dyDescent="0.3">
      <c r="A15025" s="42"/>
      <c r="C15025" s="52"/>
      <c r="D15025"/>
      <c r="E15025"/>
      <c r="F15025"/>
      <c r="N15025" s="56"/>
    </row>
    <row r="15026" spans="1:14" x14ac:dyDescent="0.3">
      <c r="A15026" s="42"/>
      <c r="C15026" s="52"/>
      <c r="D15026"/>
      <c r="E15026"/>
      <c r="F15026"/>
      <c r="N15026" s="56"/>
    </row>
    <row r="15027" spans="1:14" x14ac:dyDescent="0.3">
      <c r="A15027" s="42"/>
      <c r="C15027" s="52"/>
      <c r="D15027"/>
      <c r="E15027"/>
      <c r="F15027"/>
      <c r="N15027" s="56"/>
    </row>
    <row r="15028" spans="1:14" x14ac:dyDescent="0.3">
      <c r="A15028" s="42"/>
      <c r="C15028" s="52"/>
      <c r="D15028"/>
      <c r="E15028"/>
      <c r="F15028"/>
      <c r="N15028" s="56"/>
    </row>
    <row r="15029" spans="1:14" x14ac:dyDescent="0.3">
      <c r="A15029" s="42"/>
      <c r="C15029" s="52"/>
      <c r="D15029"/>
      <c r="E15029"/>
      <c r="F15029"/>
      <c r="N15029" s="56"/>
    </row>
    <row r="15030" spans="1:14" x14ac:dyDescent="0.3">
      <c r="A15030" s="42"/>
      <c r="C15030" s="52"/>
      <c r="D15030"/>
      <c r="E15030"/>
      <c r="F15030"/>
      <c r="N15030" s="56"/>
    </row>
    <row r="15031" spans="1:14" x14ac:dyDescent="0.3">
      <c r="A15031" s="42"/>
      <c r="C15031" s="52"/>
      <c r="D15031"/>
      <c r="E15031"/>
      <c r="F15031"/>
      <c r="N15031" s="56"/>
    </row>
    <row r="15032" spans="1:14" x14ac:dyDescent="0.3">
      <c r="A15032" s="42"/>
      <c r="C15032" s="52"/>
      <c r="D15032"/>
      <c r="E15032"/>
      <c r="F15032"/>
      <c r="N15032" s="56"/>
    </row>
    <row r="15033" spans="1:14" x14ac:dyDescent="0.3">
      <c r="A15033" s="42"/>
      <c r="C15033" s="52"/>
      <c r="D15033"/>
      <c r="E15033"/>
      <c r="F15033"/>
      <c r="N15033" s="56"/>
    </row>
    <row r="15034" spans="1:14" x14ac:dyDescent="0.3">
      <c r="A15034" s="42"/>
      <c r="C15034" s="52"/>
      <c r="D15034"/>
      <c r="E15034"/>
      <c r="F15034"/>
      <c r="N15034" s="56"/>
    </row>
    <row r="15035" spans="1:14" x14ac:dyDescent="0.3">
      <c r="A15035" s="42"/>
      <c r="C15035" s="52"/>
      <c r="D15035"/>
      <c r="E15035"/>
      <c r="F15035"/>
      <c r="N15035" s="56"/>
    </row>
    <row r="15036" spans="1:14" x14ac:dyDescent="0.3">
      <c r="A15036" s="42"/>
      <c r="C15036" s="52"/>
      <c r="D15036"/>
      <c r="E15036"/>
      <c r="F15036"/>
      <c r="N15036" s="56"/>
    </row>
    <row r="15037" spans="1:14" x14ac:dyDescent="0.3">
      <c r="A15037" s="42"/>
      <c r="C15037" s="52"/>
      <c r="D15037"/>
      <c r="E15037"/>
      <c r="F15037"/>
      <c r="N15037" s="56"/>
    </row>
    <row r="15038" spans="1:14" x14ac:dyDescent="0.3">
      <c r="A15038" s="42"/>
      <c r="C15038" s="52"/>
      <c r="D15038"/>
      <c r="E15038"/>
      <c r="F15038"/>
      <c r="N15038" s="56"/>
    </row>
    <row r="15039" spans="1:14" x14ac:dyDescent="0.3">
      <c r="A15039" s="42"/>
      <c r="C15039" s="52"/>
      <c r="D15039"/>
      <c r="E15039"/>
      <c r="F15039"/>
      <c r="N15039" s="56"/>
    </row>
    <row r="15040" spans="1:14" x14ac:dyDescent="0.3">
      <c r="A15040" s="42"/>
      <c r="C15040" s="52"/>
      <c r="D15040"/>
      <c r="E15040"/>
      <c r="F15040"/>
      <c r="N15040" s="56"/>
    </row>
    <row r="15041" spans="1:14" x14ac:dyDescent="0.3">
      <c r="A15041" s="42"/>
      <c r="C15041" s="52"/>
      <c r="D15041"/>
      <c r="E15041"/>
      <c r="F15041"/>
      <c r="N15041" s="56"/>
    </row>
    <row r="15042" spans="1:14" x14ac:dyDescent="0.3">
      <c r="A15042" s="42"/>
      <c r="C15042" s="52"/>
      <c r="D15042"/>
      <c r="E15042"/>
      <c r="F15042"/>
      <c r="N15042" s="56"/>
    </row>
    <row r="15043" spans="1:14" x14ac:dyDescent="0.3">
      <c r="A15043" s="42"/>
      <c r="C15043" s="52"/>
      <c r="D15043"/>
      <c r="E15043"/>
      <c r="F15043"/>
      <c r="N15043" s="56"/>
    </row>
    <row r="15044" spans="1:14" x14ac:dyDescent="0.3">
      <c r="A15044" s="42"/>
      <c r="C15044" s="52"/>
      <c r="D15044"/>
      <c r="E15044"/>
      <c r="F15044"/>
      <c r="N15044" s="56"/>
    </row>
    <row r="15045" spans="1:14" x14ac:dyDescent="0.3">
      <c r="A15045" s="42"/>
      <c r="C15045" s="52"/>
      <c r="D15045"/>
      <c r="E15045"/>
      <c r="F15045"/>
      <c r="N15045" s="56"/>
    </row>
    <row r="15046" spans="1:14" x14ac:dyDescent="0.3">
      <c r="A15046" s="42"/>
      <c r="C15046" s="52"/>
      <c r="D15046"/>
      <c r="E15046"/>
      <c r="F15046"/>
      <c r="N15046" s="56"/>
    </row>
    <row r="15047" spans="1:14" x14ac:dyDescent="0.3">
      <c r="A15047" s="42"/>
      <c r="C15047" s="52"/>
      <c r="D15047"/>
      <c r="E15047"/>
      <c r="F15047"/>
      <c r="N15047" s="56"/>
    </row>
    <row r="15048" spans="1:14" x14ac:dyDescent="0.3">
      <c r="A15048" s="42"/>
      <c r="C15048" s="52"/>
      <c r="D15048"/>
      <c r="E15048"/>
      <c r="F15048"/>
      <c r="N15048" s="56"/>
    </row>
    <row r="15049" spans="1:14" x14ac:dyDescent="0.3">
      <c r="A15049" s="42"/>
      <c r="C15049" s="52"/>
      <c r="D15049"/>
      <c r="E15049"/>
      <c r="F15049"/>
      <c r="N15049" s="56"/>
    </row>
    <row r="15050" spans="1:14" x14ac:dyDescent="0.3">
      <c r="A15050" s="42"/>
      <c r="C15050" s="52"/>
      <c r="D15050"/>
      <c r="E15050"/>
      <c r="F15050"/>
      <c r="N15050" s="56"/>
    </row>
    <row r="15051" spans="1:14" x14ac:dyDescent="0.3">
      <c r="A15051" s="42"/>
      <c r="C15051" s="52"/>
      <c r="D15051"/>
      <c r="E15051"/>
      <c r="F15051"/>
      <c r="N15051" s="56"/>
    </row>
    <row r="15052" spans="1:14" x14ac:dyDescent="0.3">
      <c r="A15052" s="42"/>
      <c r="C15052" s="52"/>
      <c r="D15052"/>
      <c r="E15052"/>
      <c r="F15052"/>
      <c r="N15052" s="56"/>
    </row>
    <row r="15053" spans="1:14" x14ac:dyDescent="0.3">
      <c r="A15053" s="42"/>
      <c r="C15053" s="52"/>
      <c r="D15053"/>
      <c r="E15053"/>
      <c r="F15053"/>
      <c r="N15053" s="56"/>
    </row>
    <row r="15054" spans="1:14" x14ac:dyDescent="0.3">
      <c r="A15054" s="42"/>
      <c r="C15054" s="52"/>
      <c r="D15054"/>
      <c r="E15054"/>
      <c r="F15054"/>
      <c r="N15054" s="56"/>
    </row>
    <row r="15055" spans="1:14" x14ac:dyDescent="0.3">
      <c r="A15055" s="42"/>
      <c r="C15055" s="52"/>
      <c r="D15055"/>
      <c r="E15055"/>
      <c r="F15055"/>
      <c r="N15055" s="56"/>
    </row>
    <row r="15056" spans="1:14" x14ac:dyDescent="0.3">
      <c r="A15056" s="42"/>
      <c r="C15056" s="52"/>
      <c r="D15056"/>
      <c r="E15056"/>
      <c r="F15056"/>
      <c r="N15056" s="56"/>
    </row>
    <row r="15057" spans="1:14" x14ac:dyDescent="0.3">
      <c r="A15057" s="42"/>
      <c r="C15057" s="52"/>
      <c r="D15057"/>
      <c r="E15057"/>
      <c r="F15057"/>
      <c r="N15057" s="56"/>
    </row>
    <row r="15058" spans="1:14" x14ac:dyDescent="0.3">
      <c r="A15058" s="42"/>
      <c r="C15058" s="52"/>
      <c r="D15058"/>
      <c r="E15058"/>
      <c r="F15058"/>
      <c r="N15058" s="56"/>
    </row>
    <row r="15059" spans="1:14" x14ac:dyDescent="0.3">
      <c r="A15059" s="42"/>
      <c r="C15059" s="52"/>
      <c r="D15059"/>
      <c r="E15059"/>
      <c r="F15059"/>
      <c r="N15059" s="56"/>
    </row>
    <row r="15060" spans="1:14" x14ac:dyDescent="0.3">
      <c r="A15060" s="42"/>
      <c r="C15060" s="52"/>
      <c r="D15060"/>
      <c r="E15060"/>
      <c r="F15060"/>
      <c r="N15060" s="56"/>
    </row>
    <row r="15061" spans="1:14" x14ac:dyDescent="0.3">
      <c r="A15061" s="42"/>
      <c r="C15061" s="52"/>
      <c r="D15061"/>
      <c r="E15061"/>
      <c r="F15061"/>
      <c r="N15061" s="56"/>
    </row>
    <row r="15062" spans="1:14" x14ac:dyDescent="0.3">
      <c r="A15062" s="42"/>
      <c r="C15062" s="52"/>
      <c r="D15062"/>
      <c r="E15062"/>
      <c r="F15062"/>
      <c r="N15062" s="56"/>
    </row>
    <row r="15063" spans="1:14" x14ac:dyDescent="0.3">
      <c r="A15063" s="42"/>
      <c r="C15063" s="52"/>
      <c r="D15063"/>
      <c r="E15063"/>
      <c r="F15063"/>
      <c r="N15063" s="56"/>
    </row>
    <row r="15064" spans="1:14" x14ac:dyDescent="0.3">
      <c r="A15064" s="42"/>
      <c r="C15064" s="52"/>
      <c r="D15064"/>
      <c r="E15064"/>
      <c r="F15064"/>
      <c r="N15064" s="56"/>
    </row>
    <row r="15065" spans="1:14" x14ac:dyDescent="0.3">
      <c r="A15065" s="42"/>
      <c r="C15065" s="52"/>
      <c r="D15065"/>
      <c r="E15065"/>
      <c r="F15065"/>
      <c r="N15065" s="56"/>
    </row>
    <row r="15066" spans="1:14" x14ac:dyDescent="0.3">
      <c r="A15066" s="42"/>
      <c r="C15066" s="52"/>
      <c r="D15066"/>
      <c r="E15066"/>
      <c r="F15066"/>
      <c r="N15066" s="56"/>
    </row>
    <row r="15067" spans="1:14" x14ac:dyDescent="0.3">
      <c r="A15067" s="42"/>
      <c r="C15067" s="52"/>
      <c r="D15067"/>
      <c r="E15067"/>
      <c r="F15067"/>
      <c r="N15067" s="56"/>
    </row>
    <row r="15068" spans="1:14" x14ac:dyDescent="0.3">
      <c r="A15068" s="42"/>
      <c r="C15068" s="52"/>
      <c r="D15068"/>
      <c r="E15068"/>
      <c r="F15068"/>
      <c r="N15068" s="56"/>
    </row>
    <row r="15069" spans="1:14" x14ac:dyDescent="0.3">
      <c r="A15069" s="42"/>
      <c r="C15069" s="52"/>
      <c r="D15069"/>
      <c r="E15069"/>
      <c r="F15069"/>
      <c r="N15069" s="56"/>
    </row>
    <row r="15070" spans="1:14" x14ac:dyDescent="0.3">
      <c r="A15070" s="42"/>
      <c r="C15070" s="52"/>
      <c r="D15070"/>
      <c r="E15070"/>
      <c r="F15070"/>
      <c r="N15070" s="56"/>
    </row>
    <row r="15071" spans="1:14" x14ac:dyDescent="0.3">
      <c r="A15071" s="42"/>
      <c r="C15071" s="52"/>
      <c r="D15071"/>
      <c r="E15071"/>
      <c r="F15071"/>
      <c r="N15071" s="56"/>
    </row>
    <row r="15072" spans="1:14" x14ac:dyDescent="0.3">
      <c r="A15072" s="42"/>
      <c r="C15072" s="52"/>
      <c r="D15072"/>
      <c r="E15072"/>
      <c r="F15072"/>
      <c r="N15072" s="56"/>
    </row>
    <row r="15073" spans="1:14" x14ac:dyDescent="0.3">
      <c r="A15073" s="42"/>
      <c r="C15073" s="52"/>
      <c r="D15073"/>
      <c r="E15073"/>
      <c r="F15073"/>
      <c r="N15073" s="56"/>
    </row>
    <row r="15074" spans="1:14" x14ac:dyDescent="0.3">
      <c r="A15074" s="42"/>
      <c r="C15074" s="52"/>
      <c r="D15074"/>
      <c r="E15074"/>
      <c r="F15074"/>
      <c r="N15074" s="56"/>
    </row>
    <row r="15075" spans="1:14" x14ac:dyDescent="0.3">
      <c r="A15075" s="42"/>
      <c r="C15075" s="52"/>
      <c r="D15075"/>
      <c r="E15075"/>
      <c r="F15075"/>
      <c r="N15075" s="56"/>
    </row>
    <row r="15076" spans="1:14" x14ac:dyDescent="0.3">
      <c r="A15076" s="42"/>
      <c r="C15076" s="52"/>
      <c r="D15076"/>
      <c r="E15076"/>
      <c r="F15076"/>
      <c r="N15076" s="56"/>
    </row>
    <row r="15077" spans="1:14" x14ac:dyDescent="0.3">
      <c r="A15077" s="42"/>
      <c r="C15077" s="52"/>
      <c r="D15077"/>
      <c r="E15077"/>
      <c r="F15077"/>
      <c r="N15077" s="56"/>
    </row>
    <row r="15078" spans="1:14" x14ac:dyDescent="0.3">
      <c r="A15078" s="42"/>
      <c r="C15078" s="52"/>
      <c r="D15078"/>
      <c r="E15078"/>
      <c r="F15078"/>
      <c r="N15078" s="56"/>
    </row>
    <row r="15079" spans="1:14" x14ac:dyDescent="0.3">
      <c r="A15079" s="42"/>
      <c r="C15079" s="52"/>
      <c r="D15079"/>
      <c r="E15079"/>
      <c r="F15079"/>
      <c r="N15079" s="56"/>
    </row>
    <row r="15080" spans="1:14" x14ac:dyDescent="0.3">
      <c r="A15080" s="42"/>
      <c r="C15080" s="52"/>
      <c r="D15080"/>
      <c r="E15080"/>
      <c r="F15080"/>
      <c r="N15080" s="56"/>
    </row>
    <row r="15081" spans="1:14" x14ac:dyDescent="0.3">
      <c r="A15081" s="42"/>
      <c r="C15081" s="52"/>
      <c r="D15081"/>
      <c r="E15081"/>
      <c r="F15081"/>
      <c r="N15081" s="56"/>
    </row>
    <row r="15082" spans="1:14" x14ac:dyDescent="0.3">
      <c r="A15082" s="42"/>
      <c r="C15082" s="52"/>
      <c r="D15082"/>
      <c r="E15082"/>
      <c r="F15082"/>
      <c r="N15082" s="56"/>
    </row>
    <row r="15083" spans="1:14" x14ac:dyDescent="0.3">
      <c r="A15083" s="42"/>
      <c r="C15083" s="52"/>
      <c r="D15083"/>
      <c r="E15083"/>
      <c r="F15083"/>
      <c r="N15083" s="56"/>
    </row>
    <row r="15084" spans="1:14" x14ac:dyDescent="0.3">
      <c r="A15084" s="42"/>
      <c r="C15084" s="52"/>
      <c r="D15084"/>
      <c r="E15084"/>
      <c r="F15084"/>
      <c r="N15084" s="56"/>
    </row>
    <row r="15085" spans="1:14" x14ac:dyDescent="0.3">
      <c r="A15085" s="42"/>
      <c r="C15085" s="52"/>
      <c r="D15085"/>
      <c r="E15085"/>
      <c r="F15085"/>
      <c r="N15085" s="56"/>
    </row>
    <row r="15086" spans="1:14" x14ac:dyDescent="0.3">
      <c r="A15086" s="42"/>
      <c r="C15086" s="52"/>
      <c r="D15086"/>
      <c r="E15086"/>
      <c r="F15086"/>
      <c r="N15086" s="56"/>
    </row>
    <row r="15087" spans="1:14" x14ac:dyDescent="0.3">
      <c r="A15087" s="42"/>
      <c r="C15087" s="52"/>
      <c r="D15087"/>
      <c r="E15087"/>
      <c r="F15087"/>
      <c r="N15087" s="56"/>
    </row>
    <row r="15088" spans="1:14" x14ac:dyDescent="0.3">
      <c r="A15088" s="42"/>
      <c r="C15088" s="52"/>
      <c r="D15088"/>
      <c r="E15088"/>
      <c r="F15088"/>
      <c r="N15088" s="56"/>
    </row>
    <row r="15089" spans="1:14" x14ac:dyDescent="0.3">
      <c r="A15089" s="42"/>
      <c r="C15089" s="52"/>
      <c r="D15089"/>
      <c r="E15089"/>
      <c r="F15089"/>
      <c r="N15089" s="56"/>
    </row>
    <row r="15090" spans="1:14" x14ac:dyDescent="0.3">
      <c r="A15090" s="42"/>
      <c r="C15090" s="52"/>
      <c r="D15090"/>
      <c r="E15090"/>
      <c r="F15090"/>
      <c r="N15090" s="56"/>
    </row>
    <row r="15091" spans="1:14" x14ac:dyDescent="0.3">
      <c r="A15091" s="42"/>
      <c r="C15091" s="52"/>
      <c r="D15091"/>
      <c r="E15091"/>
      <c r="F15091"/>
      <c r="N15091" s="56"/>
    </row>
    <row r="15092" spans="1:14" x14ac:dyDescent="0.3">
      <c r="A15092" s="42"/>
      <c r="C15092" s="52"/>
      <c r="D15092"/>
      <c r="E15092"/>
      <c r="F15092"/>
      <c r="N15092" s="56"/>
    </row>
    <row r="15093" spans="1:14" x14ac:dyDescent="0.3">
      <c r="A15093" s="42"/>
      <c r="C15093" s="52"/>
      <c r="D15093"/>
      <c r="E15093"/>
      <c r="F15093"/>
      <c r="N15093" s="56"/>
    </row>
    <row r="15094" spans="1:14" x14ac:dyDescent="0.3">
      <c r="A15094" s="42"/>
      <c r="C15094" s="52"/>
      <c r="D15094"/>
      <c r="E15094"/>
      <c r="F15094"/>
      <c r="N15094" s="56"/>
    </row>
    <row r="15095" spans="1:14" x14ac:dyDescent="0.3">
      <c r="A15095" s="42"/>
      <c r="C15095" s="52"/>
      <c r="D15095"/>
      <c r="E15095"/>
      <c r="F15095"/>
      <c r="N15095" s="56"/>
    </row>
    <row r="15096" spans="1:14" x14ac:dyDescent="0.3">
      <c r="A15096" s="42"/>
      <c r="C15096" s="52"/>
      <c r="D15096"/>
      <c r="E15096"/>
      <c r="F15096"/>
      <c r="N15096" s="56"/>
    </row>
    <row r="15097" spans="1:14" x14ac:dyDescent="0.3">
      <c r="A15097" s="42"/>
      <c r="C15097" s="52"/>
      <c r="D15097"/>
      <c r="E15097"/>
      <c r="F15097"/>
      <c r="N15097" s="56"/>
    </row>
    <row r="15098" spans="1:14" x14ac:dyDescent="0.3">
      <c r="A15098" s="42"/>
      <c r="C15098" s="52"/>
      <c r="D15098"/>
      <c r="E15098"/>
      <c r="F15098"/>
      <c r="N15098" s="56"/>
    </row>
    <row r="15099" spans="1:14" x14ac:dyDescent="0.3">
      <c r="A15099" s="42"/>
      <c r="C15099" s="52"/>
      <c r="D15099"/>
      <c r="E15099"/>
      <c r="F15099"/>
      <c r="N15099" s="56"/>
    </row>
    <row r="15100" spans="1:14" x14ac:dyDescent="0.3">
      <c r="A15100" s="42"/>
      <c r="C15100" s="52"/>
      <c r="D15100"/>
      <c r="E15100"/>
      <c r="F15100"/>
      <c r="N15100" s="56"/>
    </row>
    <row r="15101" spans="1:14" x14ac:dyDescent="0.3">
      <c r="A15101" s="42"/>
      <c r="C15101" s="52"/>
      <c r="D15101"/>
      <c r="E15101"/>
      <c r="F15101"/>
      <c r="N15101" s="56"/>
    </row>
    <row r="15102" spans="1:14" x14ac:dyDescent="0.3">
      <c r="A15102" s="42"/>
      <c r="C15102" s="52"/>
      <c r="D15102"/>
      <c r="E15102"/>
      <c r="F15102"/>
      <c r="N15102" s="56"/>
    </row>
    <row r="15103" spans="1:14" x14ac:dyDescent="0.3">
      <c r="A15103" s="42"/>
      <c r="C15103" s="52"/>
      <c r="D15103"/>
      <c r="E15103"/>
      <c r="F15103"/>
      <c r="N15103" s="56"/>
    </row>
    <row r="15104" spans="1:14" x14ac:dyDescent="0.3">
      <c r="A15104" s="42"/>
      <c r="C15104" s="52"/>
      <c r="D15104"/>
      <c r="E15104"/>
      <c r="F15104"/>
      <c r="N15104" s="56"/>
    </row>
    <row r="15105" spans="1:14" x14ac:dyDescent="0.3">
      <c r="A15105" s="42"/>
      <c r="C15105" s="52"/>
      <c r="D15105"/>
      <c r="E15105"/>
      <c r="F15105"/>
      <c r="N15105" s="56"/>
    </row>
    <row r="15106" spans="1:14" x14ac:dyDescent="0.3">
      <c r="A15106" s="42"/>
      <c r="C15106" s="52"/>
      <c r="D15106"/>
      <c r="E15106"/>
      <c r="F15106"/>
      <c r="N15106" s="56"/>
    </row>
    <row r="15107" spans="1:14" x14ac:dyDescent="0.3">
      <c r="A15107" s="42"/>
      <c r="C15107" s="52"/>
      <c r="D15107"/>
      <c r="E15107"/>
      <c r="F15107"/>
      <c r="N15107" s="56"/>
    </row>
    <row r="15108" spans="1:14" x14ac:dyDescent="0.3">
      <c r="A15108" s="42"/>
      <c r="C15108" s="52"/>
      <c r="D15108"/>
      <c r="E15108"/>
      <c r="F15108"/>
      <c r="N15108" s="56"/>
    </row>
    <row r="15109" spans="1:14" x14ac:dyDescent="0.3">
      <c r="A15109" s="42"/>
      <c r="C15109" s="52"/>
      <c r="D15109"/>
      <c r="E15109"/>
      <c r="F15109"/>
      <c r="N15109" s="56"/>
    </row>
    <row r="15110" spans="1:14" x14ac:dyDescent="0.3">
      <c r="A15110" s="42"/>
      <c r="C15110" s="52"/>
      <c r="D15110"/>
      <c r="E15110"/>
      <c r="F15110"/>
      <c r="N15110" s="56"/>
    </row>
    <row r="15111" spans="1:14" x14ac:dyDescent="0.3">
      <c r="A15111" s="42"/>
      <c r="C15111" s="52"/>
      <c r="D15111"/>
      <c r="E15111"/>
      <c r="F15111"/>
      <c r="N15111" s="56"/>
    </row>
    <row r="15112" spans="1:14" x14ac:dyDescent="0.3">
      <c r="A15112" s="42"/>
      <c r="C15112" s="52"/>
      <c r="D15112"/>
      <c r="E15112"/>
      <c r="F15112"/>
      <c r="N15112" s="56"/>
    </row>
    <row r="15113" spans="1:14" x14ac:dyDescent="0.3">
      <c r="A15113" s="42"/>
      <c r="C15113" s="52"/>
      <c r="D15113"/>
      <c r="E15113"/>
      <c r="F15113"/>
      <c r="N15113" s="56"/>
    </row>
    <row r="15114" spans="1:14" x14ac:dyDescent="0.3">
      <c r="A15114" s="42"/>
      <c r="C15114" s="52"/>
      <c r="D15114"/>
      <c r="E15114"/>
      <c r="F15114"/>
      <c r="N15114" s="56"/>
    </row>
    <row r="15115" spans="1:14" x14ac:dyDescent="0.3">
      <c r="A15115" s="42"/>
      <c r="C15115" s="52"/>
      <c r="D15115"/>
      <c r="E15115"/>
      <c r="F15115"/>
      <c r="N15115" s="56"/>
    </row>
    <row r="15116" spans="1:14" x14ac:dyDescent="0.3">
      <c r="A15116" s="42"/>
      <c r="C15116" s="52"/>
      <c r="D15116"/>
      <c r="E15116"/>
      <c r="F15116"/>
      <c r="M15116" s="45"/>
      <c r="N15116" s="56"/>
    </row>
    <row r="15117" spans="1:14" x14ac:dyDescent="0.3">
      <c r="A15117" s="42"/>
      <c r="C15117" s="52"/>
      <c r="D15117"/>
      <c r="E15117"/>
      <c r="F15117"/>
      <c r="N15117" s="56"/>
    </row>
    <row r="15118" spans="1:14" x14ac:dyDescent="0.3">
      <c r="A15118" s="42"/>
      <c r="C15118" s="52"/>
      <c r="D15118"/>
      <c r="E15118"/>
      <c r="F15118"/>
      <c r="N15118" s="56"/>
    </row>
    <row r="15119" spans="1:14" x14ac:dyDescent="0.3">
      <c r="A15119" s="42"/>
      <c r="C15119" s="52"/>
      <c r="D15119"/>
      <c r="E15119"/>
      <c r="F15119"/>
      <c r="N15119" s="56"/>
    </row>
    <row r="15120" spans="1:14" x14ac:dyDescent="0.3">
      <c r="A15120" s="42"/>
      <c r="C15120" s="52"/>
      <c r="D15120"/>
      <c r="E15120"/>
      <c r="F15120"/>
      <c r="N15120" s="56"/>
    </row>
    <row r="15121" spans="1:14" x14ac:dyDescent="0.3">
      <c r="A15121" s="42"/>
      <c r="C15121" s="52"/>
      <c r="D15121"/>
      <c r="E15121"/>
      <c r="F15121"/>
      <c r="N15121" s="56"/>
    </row>
    <row r="15122" spans="1:14" x14ac:dyDescent="0.3">
      <c r="A15122" s="42"/>
      <c r="C15122" s="52"/>
      <c r="D15122"/>
      <c r="E15122"/>
      <c r="F15122"/>
      <c r="N15122" s="56"/>
    </row>
    <row r="15123" spans="1:14" x14ac:dyDescent="0.3">
      <c r="A15123" s="42"/>
      <c r="C15123" s="52"/>
      <c r="D15123"/>
      <c r="E15123"/>
      <c r="F15123"/>
      <c r="N15123" s="56"/>
    </row>
    <row r="15124" spans="1:14" x14ac:dyDescent="0.3">
      <c r="A15124" s="42"/>
      <c r="C15124" s="52"/>
      <c r="D15124"/>
      <c r="E15124"/>
      <c r="F15124"/>
      <c r="N15124" s="56"/>
    </row>
    <row r="15125" spans="1:14" x14ac:dyDescent="0.3">
      <c r="A15125" s="42"/>
      <c r="C15125" s="52"/>
      <c r="D15125"/>
      <c r="E15125"/>
      <c r="F15125"/>
      <c r="N15125" s="56"/>
    </row>
    <row r="15126" spans="1:14" x14ac:dyDescent="0.3">
      <c r="A15126" s="42"/>
      <c r="C15126" s="52"/>
      <c r="D15126"/>
      <c r="E15126"/>
      <c r="F15126"/>
      <c r="N15126" s="56"/>
    </row>
    <row r="15127" spans="1:14" x14ac:dyDescent="0.3">
      <c r="A15127" s="42"/>
      <c r="C15127" s="52"/>
      <c r="D15127"/>
      <c r="E15127"/>
      <c r="F15127"/>
      <c r="N15127" s="56"/>
    </row>
    <row r="15128" spans="1:14" x14ac:dyDescent="0.3">
      <c r="A15128" s="42"/>
      <c r="C15128" s="52"/>
      <c r="D15128"/>
      <c r="E15128"/>
      <c r="F15128"/>
      <c r="N15128" s="56"/>
    </row>
    <row r="15129" spans="1:14" x14ac:dyDescent="0.3">
      <c r="A15129" s="42"/>
      <c r="C15129" s="52"/>
      <c r="D15129"/>
      <c r="E15129"/>
      <c r="F15129"/>
      <c r="N15129" s="56"/>
    </row>
    <row r="15130" spans="1:14" x14ac:dyDescent="0.3">
      <c r="A15130" s="42"/>
      <c r="C15130" s="52"/>
      <c r="D15130"/>
      <c r="E15130"/>
      <c r="F15130"/>
      <c r="N15130" s="56"/>
    </row>
    <row r="15131" spans="1:14" x14ac:dyDescent="0.3">
      <c r="A15131" s="42"/>
      <c r="C15131" s="52"/>
      <c r="D15131"/>
      <c r="E15131"/>
      <c r="F15131"/>
      <c r="N15131" s="56"/>
    </row>
    <row r="15132" spans="1:14" x14ac:dyDescent="0.3">
      <c r="A15132" s="42"/>
      <c r="C15132" s="52"/>
      <c r="D15132"/>
      <c r="E15132"/>
      <c r="F15132"/>
      <c r="N15132" s="56"/>
    </row>
    <row r="15133" spans="1:14" x14ac:dyDescent="0.3">
      <c r="A15133" s="42"/>
      <c r="C15133" s="52"/>
      <c r="D15133"/>
      <c r="E15133"/>
      <c r="F15133"/>
      <c r="N15133" s="56"/>
    </row>
    <row r="15134" spans="1:14" x14ac:dyDescent="0.3">
      <c r="A15134" s="42"/>
      <c r="C15134" s="52"/>
      <c r="D15134"/>
      <c r="E15134"/>
      <c r="F15134"/>
      <c r="N15134" s="56"/>
    </row>
    <row r="15135" spans="1:14" x14ac:dyDescent="0.3">
      <c r="A15135" s="42"/>
      <c r="C15135" s="52"/>
      <c r="D15135"/>
      <c r="E15135"/>
      <c r="F15135"/>
      <c r="N15135" s="56"/>
    </row>
    <row r="15136" spans="1:14" x14ac:dyDescent="0.3">
      <c r="A15136" s="42"/>
      <c r="C15136" s="52"/>
      <c r="D15136"/>
      <c r="E15136"/>
      <c r="F15136"/>
      <c r="N15136" s="56"/>
    </row>
    <row r="15137" spans="1:14" x14ac:dyDescent="0.3">
      <c r="A15137" s="42"/>
      <c r="C15137" s="52"/>
      <c r="D15137"/>
      <c r="E15137"/>
      <c r="F15137"/>
      <c r="N15137" s="56"/>
    </row>
    <row r="15138" spans="1:14" x14ac:dyDescent="0.3">
      <c r="A15138" s="42"/>
      <c r="C15138" s="52"/>
      <c r="D15138"/>
      <c r="E15138"/>
      <c r="F15138"/>
      <c r="N15138" s="56"/>
    </row>
    <row r="15139" spans="1:14" x14ac:dyDescent="0.3">
      <c r="A15139" s="42"/>
      <c r="C15139" s="52"/>
      <c r="D15139"/>
      <c r="E15139"/>
      <c r="F15139"/>
      <c r="N15139" s="56"/>
    </row>
    <row r="15140" spans="1:14" x14ac:dyDescent="0.3">
      <c r="A15140" s="42"/>
      <c r="C15140" s="52"/>
      <c r="D15140"/>
      <c r="E15140"/>
      <c r="F15140"/>
      <c r="N15140" s="56"/>
    </row>
    <row r="15141" spans="1:14" x14ac:dyDescent="0.3">
      <c r="A15141" s="42"/>
      <c r="C15141" s="52"/>
      <c r="D15141"/>
      <c r="E15141"/>
      <c r="F15141"/>
      <c r="N15141" s="56"/>
    </row>
    <row r="15142" spans="1:14" x14ac:dyDescent="0.3">
      <c r="A15142" s="42"/>
      <c r="C15142" s="52"/>
      <c r="D15142"/>
      <c r="E15142"/>
      <c r="F15142"/>
      <c r="N15142" s="56"/>
    </row>
    <row r="15143" spans="1:14" x14ac:dyDescent="0.3">
      <c r="A15143" s="42"/>
      <c r="C15143" s="52"/>
      <c r="D15143"/>
      <c r="E15143"/>
      <c r="F15143"/>
      <c r="N15143" s="56"/>
    </row>
    <row r="15144" spans="1:14" x14ac:dyDescent="0.3">
      <c r="A15144" s="42"/>
      <c r="C15144" s="52"/>
      <c r="D15144"/>
      <c r="E15144"/>
      <c r="F15144"/>
      <c r="N15144" s="56"/>
    </row>
    <row r="15145" spans="1:14" x14ac:dyDescent="0.3">
      <c r="A15145" s="42"/>
      <c r="C15145" s="52"/>
      <c r="D15145"/>
      <c r="E15145"/>
      <c r="F15145"/>
      <c r="N15145" s="56"/>
    </row>
    <row r="15146" spans="1:14" x14ac:dyDescent="0.3">
      <c r="A15146" s="42"/>
      <c r="C15146" s="52"/>
      <c r="D15146"/>
      <c r="E15146"/>
      <c r="F15146"/>
      <c r="N15146" s="56"/>
    </row>
    <row r="15147" spans="1:14" x14ac:dyDescent="0.3">
      <c r="A15147" s="42"/>
      <c r="C15147" s="52"/>
      <c r="D15147"/>
      <c r="E15147"/>
      <c r="F15147"/>
      <c r="N15147" s="56"/>
    </row>
    <row r="15148" spans="1:14" x14ac:dyDescent="0.3">
      <c r="A15148" s="42"/>
      <c r="C15148" s="52"/>
      <c r="D15148"/>
      <c r="E15148"/>
      <c r="F15148"/>
      <c r="N15148" s="56"/>
    </row>
    <row r="15149" spans="1:14" x14ac:dyDescent="0.3">
      <c r="A15149" s="42"/>
      <c r="C15149" s="52"/>
      <c r="D15149"/>
      <c r="E15149"/>
      <c r="F15149"/>
      <c r="N15149" s="56"/>
    </row>
    <row r="15150" spans="1:14" x14ac:dyDescent="0.3">
      <c r="A15150" s="42"/>
      <c r="C15150" s="52"/>
      <c r="D15150"/>
      <c r="E15150"/>
      <c r="F15150"/>
      <c r="N15150" s="56"/>
    </row>
    <row r="15151" spans="1:14" x14ac:dyDescent="0.3">
      <c r="A15151" s="42"/>
      <c r="C15151" s="52"/>
      <c r="D15151"/>
      <c r="E15151"/>
      <c r="F15151"/>
      <c r="N15151" s="56"/>
    </row>
    <row r="15152" spans="1:14" x14ac:dyDescent="0.3">
      <c r="A15152" s="42"/>
      <c r="C15152" s="52"/>
      <c r="D15152"/>
      <c r="E15152"/>
      <c r="F15152"/>
      <c r="N15152" s="56"/>
    </row>
    <row r="15153" spans="1:14" x14ac:dyDescent="0.3">
      <c r="A15153" s="42"/>
      <c r="C15153" s="52"/>
      <c r="D15153"/>
      <c r="E15153"/>
      <c r="F15153"/>
      <c r="M15153" s="45"/>
      <c r="N15153" s="56"/>
    </row>
    <row r="15154" spans="1:14" x14ac:dyDescent="0.3">
      <c r="A15154" s="42"/>
      <c r="C15154" s="52"/>
      <c r="D15154"/>
      <c r="E15154"/>
      <c r="F15154"/>
      <c r="N15154" s="56"/>
    </row>
    <row r="15155" spans="1:14" x14ac:dyDescent="0.3">
      <c r="A15155" s="42"/>
      <c r="C15155" s="52"/>
      <c r="D15155"/>
      <c r="E15155"/>
      <c r="F15155"/>
      <c r="N15155" s="56"/>
    </row>
    <row r="15156" spans="1:14" x14ac:dyDescent="0.3">
      <c r="A15156" s="42"/>
      <c r="C15156" s="52"/>
      <c r="D15156"/>
      <c r="E15156"/>
      <c r="F15156"/>
      <c r="N15156" s="56"/>
    </row>
    <row r="15157" spans="1:14" x14ac:dyDescent="0.3">
      <c r="A15157" s="42"/>
      <c r="C15157" s="52"/>
      <c r="D15157"/>
      <c r="E15157"/>
      <c r="F15157"/>
      <c r="N15157" s="56"/>
    </row>
    <row r="15158" spans="1:14" x14ac:dyDescent="0.3">
      <c r="A15158" s="42"/>
      <c r="C15158" s="52"/>
      <c r="D15158"/>
      <c r="E15158"/>
      <c r="F15158"/>
      <c r="N15158" s="56"/>
    </row>
    <row r="15159" spans="1:14" x14ac:dyDescent="0.3">
      <c r="A15159" s="42"/>
      <c r="C15159" s="52"/>
      <c r="D15159"/>
      <c r="E15159"/>
      <c r="F15159"/>
      <c r="N15159" s="56"/>
    </row>
    <row r="15160" spans="1:14" x14ac:dyDescent="0.3">
      <c r="A15160" s="42"/>
      <c r="C15160" s="52"/>
      <c r="D15160"/>
      <c r="E15160"/>
      <c r="F15160"/>
      <c r="N15160" s="56"/>
    </row>
    <row r="15161" spans="1:14" x14ac:dyDescent="0.3">
      <c r="A15161" s="42"/>
      <c r="C15161" s="52"/>
      <c r="D15161"/>
      <c r="E15161"/>
      <c r="F15161"/>
      <c r="N15161" s="56"/>
    </row>
    <row r="15162" spans="1:14" x14ac:dyDescent="0.3">
      <c r="A15162" s="42"/>
      <c r="C15162" s="52"/>
      <c r="D15162"/>
      <c r="E15162"/>
      <c r="F15162"/>
      <c r="N15162" s="56"/>
    </row>
    <row r="15163" spans="1:14" x14ac:dyDescent="0.3">
      <c r="A15163" s="42"/>
      <c r="C15163" s="52"/>
      <c r="D15163"/>
      <c r="E15163"/>
      <c r="F15163"/>
      <c r="N15163" s="56"/>
    </row>
    <row r="15164" spans="1:14" x14ac:dyDescent="0.3">
      <c r="A15164" s="42"/>
      <c r="C15164" s="52"/>
      <c r="D15164"/>
      <c r="E15164"/>
      <c r="F15164"/>
      <c r="N15164" s="56"/>
    </row>
    <row r="15165" spans="1:14" x14ac:dyDescent="0.3">
      <c r="A15165" s="42"/>
      <c r="C15165" s="52"/>
      <c r="D15165"/>
      <c r="E15165"/>
      <c r="F15165"/>
      <c r="N15165" s="56"/>
    </row>
    <row r="15166" spans="1:14" x14ac:dyDescent="0.3">
      <c r="A15166" s="42"/>
      <c r="C15166" s="52"/>
      <c r="D15166"/>
      <c r="E15166"/>
      <c r="F15166"/>
      <c r="N15166" s="56"/>
    </row>
    <row r="15167" spans="1:14" x14ac:dyDescent="0.3">
      <c r="A15167" s="42"/>
      <c r="C15167" s="52"/>
      <c r="D15167"/>
      <c r="E15167"/>
      <c r="F15167"/>
      <c r="N15167" s="56"/>
    </row>
    <row r="15168" spans="1:14" x14ac:dyDescent="0.3">
      <c r="A15168" s="42"/>
      <c r="C15168" s="52"/>
      <c r="D15168"/>
      <c r="E15168"/>
      <c r="F15168"/>
      <c r="N15168" s="56"/>
    </row>
    <row r="15169" spans="1:14" x14ac:dyDescent="0.3">
      <c r="A15169" s="42"/>
      <c r="C15169" s="52"/>
      <c r="D15169"/>
      <c r="E15169"/>
      <c r="F15169"/>
      <c r="N15169" s="56"/>
    </row>
    <row r="15170" spans="1:14" x14ac:dyDescent="0.3">
      <c r="A15170" s="42"/>
      <c r="C15170" s="52"/>
      <c r="D15170"/>
      <c r="E15170"/>
      <c r="F15170"/>
      <c r="N15170" s="56"/>
    </row>
    <row r="15171" spans="1:14" x14ac:dyDescent="0.3">
      <c r="A15171" s="42"/>
      <c r="C15171" s="52"/>
      <c r="D15171"/>
      <c r="E15171"/>
      <c r="F15171"/>
      <c r="N15171" s="56"/>
    </row>
    <row r="15172" spans="1:14" x14ac:dyDescent="0.3">
      <c r="A15172" s="42"/>
      <c r="C15172" s="52"/>
      <c r="D15172"/>
      <c r="E15172"/>
      <c r="F15172"/>
      <c r="N15172" s="56"/>
    </row>
    <row r="15173" spans="1:14" x14ac:dyDescent="0.3">
      <c r="A15173" s="42"/>
      <c r="C15173" s="52"/>
      <c r="D15173"/>
      <c r="E15173"/>
      <c r="F15173"/>
      <c r="N15173" s="56"/>
    </row>
    <row r="15174" spans="1:14" x14ac:dyDescent="0.3">
      <c r="A15174" s="42"/>
      <c r="C15174" s="52"/>
      <c r="D15174"/>
      <c r="E15174"/>
      <c r="F15174"/>
      <c r="N15174" s="56"/>
    </row>
    <row r="15175" spans="1:14" x14ac:dyDescent="0.3">
      <c r="A15175" s="42"/>
      <c r="C15175" s="52"/>
      <c r="D15175"/>
      <c r="E15175"/>
      <c r="F15175"/>
      <c r="N15175" s="56"/>
    </row>
    <row r="15176" spans="1:14" x14ac:dyDescent="0.3">
      <c r="A15176" s="42"/>
      <c r="C15176" s="52"/>
      <c r="D15176"/>
      <c r="E15176"/>
      <c r="F15176"/>
      <c r="N15176" s="56"/>
    </row>
    <row r="15177" spans="1:14" x14ac:dyDescent="0.3">
      <c r="A15177" s="42"/>
      <c r="C15177" s="52"/>
      <c r="D15177"/>
      <c r="E15177"/>
      <c r="F15177"/>
      <c r="N15177" s="56"/>
    </row>
    <row r="15178" spans="1:14" x14ac:dyDescent="0.3">
      <c r="A15178" s="42"/>
      <c r="C15178" s="52"/>
      <c r="D15178"/>
      <c r="E15178"/>
      <c r="F15178"/>
      <c r="N15178" s="56"/>
    </row>
    <row r="15179" spans="1:14" x14ac:dyDescent="0.3">
      <c r="A15179" s="42"/>
      <c r="C15179" s="52"/>
      <c r="D15179"/>
      <c r="E15179"/>
      <c r="F15179"/>
      <c r="N15179" s="56"/>
    </row>
    <row r="15180" spans="1:14" x14ac:dyDescent="0.3">
      <c r="A15180" s="42"/>
      <c r="C15180" s="52"/>
      <c r="D15180"/>
      <c r="E15180"/>
      <c r="F15180"/>
      <c r="N15180" s="56"/>
    </row>
    <row r="15181" spans="1:14" x14ac:dyDescent="0.3">
      <c r="A15181" s="42"/>
      <c r="C15181" s="52"/>
      <c r="D15181"/>
      <c r="E15181"/>
      <c r="F15181"/>
      <c r="N15181" s="56"/>
    </row>
    <row r="15182" spans="1:14" x14ac:dyDescent="0.3">
      <c r="A15182" s="42"/>
      <c r="C15182" s="52"/>
      <c r="D15182"/>
      <c r="E15182"/>
      <c r="F15182"/>
      <c r="N15182" s="56"/>
    </row>
    <row r="15183" spans="1:14" x14ac:dyDescent="0.3">
      <c r="A15183" s="42"/>
      <c r="C15183" s="52"/>
      <c r="D15183"/>
      <c r="E15183"/>
      <c r="F15183"/>
      <c r="N15183" s="56"/>
    </row>
    <row r="15184" spans="1:14" x14ac:dyDescent="0.3">
      <c r="A15184" s="42"/>
      <c r="C15184" s="52"/>
      <c r="D15184"/>
      <c r="E15184"/>
      <c r="F15184"/>
      <c r="N15184" s="56"/>
    </row>
    <row r="15185" spans="1:14" x14ac:dyDescent="0.3">
      <c r="A15185" s="42"/>
      <c r="C15185" s="52"/>
      <c r="D15185"/>
      <c r="E15185"/>
      <c r="F15185"/>
      <c r="N15185" s="56"/>
    </row>
    <row r="15186" spans="1:14" x14ac:dyDescent="0.3">
      <c r="A15186" s="42"/>
      <c r="C15186" s="52"/>
      <c r="D15186"/>
      <c r="E15186"/>
      <c r="F15186"/>
      <c r="N15186" s="56"/>
    </row>
    <row r="15187" spans="1:14" x14ac:dyDescent="0.3">
      <c r="A15187" s="42"/>
      <c r="C15187" s="52"/>
      <c r="D15187"/>
      <c r="E15187"/>
      <c r="F15187"/>
      <c r="N15187" s="56"/>
    </row>
    <row r="15188" spans="1:14" x14ac:dyDescent="0.3">
      <c r="A15188" s="42"/>
      <c r="C15188" s="52"/>
      <c r="D15188"/>
      <c r="E15188"/>
      <c r="F15188"/>
      <c r="N15188" s="56"/>
    </row>
    <row r="15189" spans="1:14" x14ac:dyDescent="0.3">
      <c r="A15189" s="42"/>
      <c r="C15189" s="52"/>
      <c r="D15189"/>
      <c r="E15189"/>
      <c r="F15189"/>
      <c r="N15189" s="56"/>
    </row>
    <row r="15190" spans="1:14" x14ac:dyDescent="0.3">
      <c r="A15190" s="42"/>
      <c r="C15190" s="52"/>
      <c r="D15190"/>
      <c r="E15190"/>
      <c r="F15190"/>
      <c r="M15190" s="45"/>
      <c r="N15190" s="56"/>
    </row>
    <row r="15191" spans="1:14" x14ac:dyDescent="0.3">
      <c r="A15191" s="42"/>
      <c r="C15191" s="52"/>
      <c r="D15191"/>
      <c r="E15191"/>
      <c r="F15191"/>
      <c r="N15191" s="56"/>
    </row>
    <row r="15192" spans="1:14" x14ac:dyDescent="0.3">
      <c r="A15192" s="42"/>
      <c r="C15192" s="52"/>
      <c r="D15192"/>
      <c r="E15192"/>
      <c r="F15192"/>
      <c r="N15192" s="56"/>
    </row>
    <row r="15193" spans="1:14" x14ac:dyDescent="0.3">
      <c r="A15193" s="42"/>
      <c r="C15193" s="52"/>
      <c r="D15193"/>
      <c r="E15193"/>
      <c r="F15193"/>
      <c r="N15193" s="56"/>
    </row>
    <row r="15194" spans="1:14" x14ac:dyDescent="0.3">
      <c r="A15194" s="42"/>
      <c r="C15194" s="52"/>
      <c r="D15194"/>
      <c r="E15194"/>
      <c r="F15194"/>
      <c r="N15194" s="56"/>
    </row>
    <row r="15195" spans="1:14" x14ac:dyDescent="0.3">
      <c r="A15195" s="42"/>
      <c r="C15195" s="52"/>
      <c r="D15195"/>
      <c r="E15195"/>
      <c r="F15195"/>
      <c r="N15195" s="56"/>
    </row>
    <row r="15196" spans="1:14" x14ac:dyDescent="0.3">
      <c r="A15196" s="42"/>
      <c r="C15196" s="52"/>
      <c r="D15196"/>
      <c r="E15196"/>
      <c r="F15196"/>
      <c r="N15196" s="56"/>
    </row>
    <row r="15197" spans="1:14" x14ac:dyDescent="0.3">
      <c r="A15197" s="42"/>
      <c r="C15197" s="52"/>
      <c r="D15197"/>
      <c r="E15197"/>
      <c r="F15197"/>
      <c r="N15197" s="56"/>
    </row>
    <row r="15198" spans="1:14" x14ac:dyDescent="0.3">
      <c r="A15198" s="42"/>
      <c r="C15198" s="52"/>
      <c r="D15198"/>
      <c r="E15198"/>
      <c r="F15198"/>
      <c r="N15198" s="56"/>
    </row>
    <row r="15199" spans="1:14" x14ac:dyDescent="0.3">
      <c r="A15199" s="42"/>
      <c r="C15199" s="52"/>
      <c r="D15199"/>
      <c r="E15199"/>
      <c r="F15199"/>
      <c r="N15199" s="56"/>
    </row>
    <row r="15200" spans="1:14" x14ac:dyDescent="0.3">
      <c r="A15200" s="42"/>
      <c r="C15200" s="52"/>
      <c r="D15200"/>
      <c r="E15200"/>
      <c r="F15200"/>
      <c r="N15200" s="56"/>
    </row>
    <row r="15201" spans="1:14" x14ac:dyDescent="0.3">
      <c r="A15201" s="42"/>
      <c r="C15201" s="52"/>
      <c r="D15201"/>
      <c r="E15201"/>
      <c r="F15201"/>
      <c r="N15201" s="56"/>
    </row>
    <row r="15202" spans="1:14" x14ac:dyDescent="0.3">
      <c r="A15202" s="42"/>
      <c r="C15202" s="52"/>
      <c r="D15202"/>
      <c r="E15202"/>
      <c r="F15202"/>
      <c r="N15202" s="56"/>
    </row>
    <row r="15203" spans="1:14" x14ac:dyDescent="0.3">
      <c r="A15203" s="42"/>
      <c r="C15203" s="52"/>
      <c r="D15203"/>
      <c r="E15203"/>
      <c r="F15203"/>
      <c r="N15203" s="56"/>
    </row>
    <row r="15204" spans="1:14" x14ac:dyDescent="0.3">
      <c r="A15204" s="42"/>
      <c r="C15204" s="52"/>
      <c r="D15204"/>
      <c r="E15204"/>
      <c r="F15204"/>
      <c r="N15204" s="56"/>
    </row>
    <row r="15205" spans="1:14" x14ac:dyDescent="0.3">
      <c r="A15205" s="42"/>
      <c r="C15205" s="52"/>
      <c r="D15205"/>
      <c r="E15205"/>
      <c r="F15205"/>
      <c r="N15205" s="56"/>
    </row>
    <row r="15206" spans="1:14" x14ac:dyDescent="0.3">
      <c r="A15206" s="42"/>
      <c r="C15206" s="52"/>
      <c r="D15206"/>
      <c r="E15206"/>
      <c r="F15206"/>
      <c r="N15206" s="56"/>
    </row>
    <row r="15207" spans="1:14" x14ac:dyDescent="0.3">
      <c r="A15207" s="42"/>
      <c r="C15207" s="52"/>
      <c r="D15207"/>
      <c r="E15207"/>
      <c r="F15207"/>
      <c r="N15207" s="56"/>
    </row>
    <row r="15208" spans="1:14" x14ac:dyDescent="0.3">
      <c r="A15208" s="42"/>
      <c r="C15208" s="52"/>
      <c r="D15208"/>
      <c r="E15208"/>
      <c r="F15208"/>
      <c r="N15208" s="56"/>
    </row>
    <row r="15209" spans="1:14" x14ac:dyDescent="0.3">
      <c r="A15209" s="42"/>
      <c r="C15209" s="52"/>
      <c r="D15209"/>
      <c r="E15209"/>
      <c r="F15209"/>
      <c r="N15209" s="56"/>
    </row>
    <row r="15210" spans="1:14" x14ac:dyDescent="0.3">
      <c r="A15210" s="42"/>
      <c r="C15210" s="52"/>
      <c r="D15210"/>
      <c r="E15210"/>
      <c r="F15210"/>
      <c r="N15210" s="56"/>
    </row>
    <row r="15211" spans="1:14" x14ac:dyDescent="0.3">
      <c r="A15211" s="42"/>
      <c r="C15211" s="52"/>
      <c r="D15211"/>
      <c r="E15211"/>
      <c r="F15211"/>
      <c r="N15211" s="56"/>
    </row>
    <row r="15212" spans="1:14" x14ac:dyDescent="0.3">
      <c r="A15212" s="42"/>
      <c r="C15212" s="52"/>
      <c r="D15212"/>
      <c r="E15212"/>
      <c r="F15212"/>
      <c r="N15212" s="56"/>
    </row>
    <row r="15213" spans="1:14" x14ac:dyDescent="0.3">
      <c r="A15213" s="42"/>
      <c r="C15213" s="52"/>
      <c r="D15213"/>
      <c r="E15213"/>
      <c r="F15213"/>
      <c r="N15213" s="56"/>
    </row>
    <row r="15214" spans="1:14" x14ac:dyDescent="0.3">
      <c r="A15214" s="42"/>
      <c r="C15214" s="52"/>
      <c r="D15214"/>
      <c r="E15214"/>
      <c r="F15214"/>
      <c r="N15214" s="56"/>
    </row>
    <row r="15215" spans="1:14" x14ac:dyDescent="0.3">
      <c r="A15215" s="42"/>
      <c r="C15215" s="52"/>
      <c r="D15215"/>
      <c r="E15215"/>
      <c r="F15215"/>
      <c r="N15215" s="56"/>
    </row>
    <row r="15216" spans="1:14" x14ac:dyDescent="0.3">
      <c r="A15216" s="42"/>
      <c r="C15216" s="52"/>
      <c r="D15216"/>
      <c r="E15216"/>
      <c r="F15216"/>
      <c r="N15216" s="56"/>
    </row>
    <row r="15217" spans="1:14" x14ac:dyDescent="0.3">
      <c r="A15217" s="42"/>
      <c r="C15217" s="52"/>
      <c r="D15217"/>
      <c r="E15217"/>
      <c r="F15217"/>
      <c r="N15217" s="56"/>
    </row>
    <row r="15218" spans="1:14" x14ac:dyDescent="0.3">
      <c r="A15218" s="42"/>
      <c r="C15218" s="52"/>
      <c r="D15218"/>
      <c r="E15218"/>
      <c r="F15218"/>
      <c r="N15218" s="56"/>
    </row>
    <row r="15219" spans="1:14" x14ac:dyDescent="0.3">
      <c r="A15219" s="42"/>
      <c r="C15219" s="52"/>
      <c r="D15219"/>
      <c r="E15219"/>
      <c r="F15219"/>
      <c r="N15219" s="56"/>
    </row>
    <row r="15220" spans="1:14" x14ac:dyDescent="0.3">
      <c r="A15220" s="42"/>
      <c r="C15220" s="52"/>
      <c r="D15220"/>
      <c r="E15220"/>
      <c r="F15220"/>
      <c r="N15220" s="56"/>
    </row>
    <row r="15221" spans="1:14" x14ac:dyDescent="0.3">
      <c r="A15221" s="42"/>
      <c r="C15221" s="52"/>
      <c r="D15221"/>
      <c r="E15221"/>
      <c r="F15221"/>
      <c r="N15221" s="56"/>
    </row>
    <row r="15222" spans="1:14" x14ac:dyDescent="0.3">
      <c r="A15222" s="42"/>
      <c r="C15222" s="52"/>
      <c r="D15222"/>
      <c r="E15222"/>
      <c r="F15222"/>
      <c r="N15222" s="56"/>
    </row>
    <row r="15223" spans="1:14" x14ac:dyDescent="0.3">
      <c r="A15223" s="42"/>
      <c r="C15223" s="52"/>
      <c r="D15223"/>
      <c r="E15223"/>
      <c r="F15223"/>
      <c r="N15223" s="56"/>
    </row>
    <row r="15224" spans="1:14" x14ac:dyDescent="0.3">
      <c r="A15224" s="42"/>
      <c r="C15224" s="52"/>
      <c r="D15224"/>
      <c r="E15224"/>
      <c r="F15224"/>
      <c r="N15224" s="56"/>
    </row>
    <row r="15225" spans="1:14" x14ac:dyDescent="0.3">
      <c r="A15225" s="42"/>
      <c r="C15225" s="52"/>
      <c r="D15225"/>
      <c r="E15225"/>
      <c r="F15225"/>
      <c r="N15225" s="56"/>
    </row>
    <row r="15226" spans="1:14" x14ac:dyDescent="0.3">
      <c r="A15226" s="42"/>
      <c r="C15226" s="52"/>
      <c r="D15226"/>
      <c r="E15226"/>
      <c r="F15226"/>
      <c r="N15226" s="56"/>
    </row>
    <row r="15227" spans="1:14" x14ac:dyDescent="0.3">
      <c r="A15227" s="42"/>
      <c r="C15227" s="52"/>
      <c r="D15227"/>
      <c r="E15227"/>
      <c r="F15227"/>
      <c r="N15227" s="56"/>
    </row>
    <row r="15228" spans="1:14" x14ac:dyDescent="0.3">
      <c r="A15228" s="42"/>
      <c r="C15228" s="52"/>
      <c r="D15228"/>
      <c r="E15228"/>
      <c r="F15228"/>
      <c r="N15228" s="56"/>
    </row>
    <row r="15229" spans="1:14" x14ac:dyDescent="0.3">
      <c r="A15229" s="42"/>
      <c r="C15229" s="52"/>
      <c r="D15229"/>
      <c r="E15229"/>
      <c r="F15229"/>
      <c r="N15229" s="56"/>
    </row>
    <row r="15230" spans="1:14" x14ac:dyDescent="0.3">
      <c r="A15230" s="42"/>
      <c r="C15230" s="52"/>
      <c r="D15230"/>
      <c r="E15230"/>
      <c r="F15230"/>
      <c r="N15230" s="56"/>
    </row>
    <row r="15231" spans="1:14" x14ac:dyDescent="0.3">
      <c r="A15231" s="42"/>
      <c r="C15231" s="52"/>
      <c r="D15231"/>
      <c r="E15231"/>
      <c r="F15231"/>
      <c r="N15231" s="56"/>
    </row>
    <row r="15232" spans="1:14" x14ac:dyDescent="0.3">
      <c r="A15232" s="42"/>
      <c r="C15232" s="52"/>
      <c r="D15232"/>
      <c r="E15232"/>
      <c r="F15232"/>
      <c r="N15232" s="56"/>
    </row>
    <row r="15233" spans="1:14" x14ac:dyDescent="0.3">
      <c r="A15233" s="42"/>
      <c r="C15233" s="52"/>
      <c r="D15233"/>
      <c r="E15233"/>
      <c r="F15233"/>
      <c r="N15233" s="56"/>
    </row>
    <row r="15234" spans="1:14" x14ac:dyDescent="0.3">
      <c r="A15234" s="42"/>
      <c r="C15234" s="52"/>
      <c r="D15234"/>
      <c r="E15234"/>
      <c r="F15234"/>
      <c r="N15234" s="56"/>
    </row>
    <row r="15235" spans="1:14" x14ac:dyDescent="0.3">
      <c r="A15235" s="42"/>
      <c r="C15235" s="52"/>
      <c r="D15235"/>
      <c r="E15235"/>
      <c r="F15235"/>
      <c r="N15235" s="56"/>
    </row>
    <row r="15236" spans="1:14" x14ac:dyDescent="0.3">
      <c r="A15236" s="42"/>
      <c r="C15236" s="52"/>
      <c r="D15236"/>
      <c r="E15236"/>
      <c r="F15236"/>
      <c r="N15236" s="56"/>
    </row>
    <row r="15237" spans="1:14" x14ac:dyDescent="0.3">
      <c r="A15237" s="42"/>
      <c r="C15237" s="52"/>
      <c r="D15237"/>
      <c r="E15237"/>
      <c r="F15237"/>
      <c r="N15237" s="56"/>
    </row>
    <row r="15238" spans="1:14" x14ac:dyDescent="0.3">
      <c r="A15238" s="42"/>
      <c r="C15238" s="52"/>
      <c r="D15238"/>
      <c r="E15238"/>
      <c r="F15238"/>
      <c r="N15238" s="56"/>
    </row>
    <row r="15239" spans="1:14" x14ac:dyDescent="0.3">
      <c r="A15239" s="42"/>
      <c r="C15239" s="52"/>
      <c r="D15239"/>
      <c r="E15239"/>
      <c r="F15239"/>
      <c r="N15239" s="56"/>
    </row>
    <row r="15240" spans="1:14" x14ac:dyDescent="0.3">
      <c r="A15240" s="42"/>
      <c r="C15240" s="52"/>
      <c r="D15240"/>
      <c r="E15240"/>
      <c r="F15240"/>
      <c r="N15240" s="56"/>
    </row>
    <row r="15241" spans="1:14" x14ac:dyDescent="0.3">
      <c r="A15241" s="42"/>
      <c r="C15241" s="52"/>
      <c r="D15241"/>
      <c r="E15241"/>
      <c r="F15241"/>
      <c r="N15241" s="56"/>
    </row>
    <row r="15242" spans="1:14" x14ac:dyDescent="0.3">
      <c r="A15242" s="42"/>
      <c r="C15242" s="52"/>
      <c r="D15242"/>
      <c r="E15242"/>
      <c r="F15242"/>
      <c r="N15242" s="56"/>
    </row>
    <row r="15243" spans="1:14" x14ac:dyDescent="0.3">
      <c r="A15243" s="42"/>
      <c r="C15243" s="52"/>
      <c r="D15243"/>
      <c r="E15243"/>
      <c r="F15243"/>
      <c r="N15243" s="56"/>
    </row>
    <row r="15244" spans="1:14" x14ac:dyDescent="0.3">
      <c r="A15244" s="42"/>
      <c r="C15244" s="52"/>
      <c r="D15244"/>
      <c r="E15244"/>
      <c r="F15244"/>
      <c r="N15244" s="56"/>
    </row>
    <row r="15245" spans="1:14" x14ac:dyDescent="0.3">
      <c r="A15245" s="42"/>
      <c r="C15245" s="52"/>
      <c r="D15245"/>
      <c r="E15245"/>
      <c r="F15245"/>
      <c r="N15245" s="56"/>
    </row>
    <row r="15246" spans="1:14" x14ac:dyDescent="0.3">
      <c r="A15246" s="42"/>
      <c r="C15246" s="52"/>
      <c r="D15246"/>
      <c r="E15246"/>
      <c r="F15246"/>
      <c r="N15246" s="56"/>
    </row>
    <row r="15247" spans="1:14" x14ac:dyDescent="0.3">
      <c r="A15247" s="42"/>
      <c r="C15247" s="52"/>
      <c r="D15247"/>
      <c r="E15247"/>
      <c r="F15247"/>
      <c r="N15247" s="56"/>
    </row>
    <row r="15248" spans="1:14" x14ac:dyDescent="0.3">
      <c r="A15248" s="42"/>
      <c r="C15248" s="52"/>
      <c r="D15248"/>
      <c r="E15248"/>
      <c r="F15248"/>
      <c r="N15248" s="56"/>
    </row>
    <row r="15249" spans="1:14" x14ac:dyDescent="0.3">
      <c r="A15249" s="42"/>
      <c r="C15249" s="52"/>
      <c r="D15249"/>
      <c r="E15249"/>
      <c r="F15249"/>
      <c r="N15249" s="56"/>
    </row>
    <row r="15250" spans="1:14" x14ac:dyDescent="0.3">
      <c r="A15250" s="42"/>
      <c r="C15250" s="52"/>
      <c r="D15250"/>
      <c r="E15250"/>
      <c r="F15250"/>
      <c r="N15250" s="56"/>
    </row>
    <row r="15251" spans="1:14" x14ac:dyDescent="0.3">
      <c r="A15251" s="42"/>
      <c r="C15251" s="52"/>
      <c r="D15251"/>
      <c r="E15251"/>
      <c r="F15251"/>
      <c r="N15251" s="56"/>
    </row>
    <row r="15252" spans="1:14" x14ac:dyDescent="0.3">
      <c r="A15252" s="42"/>
      <c r="C15252" s="52"/>
      <c r="D15252"/>
      <c r="E15252"/>
      <c r="F15252"/>
      <c r="N15252" s="56"/>
    </row>
    <row r="15253" spans="1:14" x14ac:dyDescent="0.3">
      <c r="A15253" s="42"/>
      <c r="C15253" s="52"/>
      <c r="D15253"/>
      <c r="E15253"/>
      <c r="F15253"/>
      <c r="N15253" s="56"/>
    </row>
    <row r="15254" spans="1:14" x14ac:dyDescent="0.3">
      <c r="A15254" s="42"/>
      <c r="C15254" s="52"/>
      <c r="D15254"/>
      <c r="E15254"/>
      <c r="F15254"/>
      <c r="N15254" s="56"/>
    </row>
    <row r="15255" spans="1:14" x14ac:dyDescent="0.3">
      <c r="A15255" s="42"/>
      <c r="C15255" s="52"/>
      <c r="D15255"/>
      <c r="E15255"/>
      <c r="F15255"/>
      <c r="N15255" s="56"/>
    </row>
    <row r="15256" spans="1:14" x14ac:dyDescent="0.3">
      <c r="A15256" s="42"/>
      <c r="C15256" s="52"/>
      <c r="D15256"/>
      <c r="E15256"/>
      <c r="F15256"/>
      <c r="N15256" s="56"/>
    </row>
    <row r="15257" spans="1:14" x14ac:dyDescent="0.3">
      <c r="A15257" s="42"/>
      <c r="C15257" s="52"/>
      <c r="D15257"/>
      <c r="E15257"/>
      <c r="F15257"/>
      <c r="N15257" s="56"/>
    </row>
    <row r="15258" spans="1:14" x14ac:dyDescent="0.3">
      <c r="A15258" s="42"/>
      <c r="C15258" s="52"/>
      <c r="D15258"/>
      <c r="E15258"/>
      <c r="F15258"/>
      <c r="N15258" s="56"/>
    </row>
    <row r="15259" spans="1:14" x14ac:dyDescent="0.3">
      <c r="A15259" s="42"/>
      <c r="C15259" s="52"/>
      <c r="D15259"/>
      <c r="E15259"/>
      <c r="F15259"/>
      <c r="N15259" s="56"/>
    </row>
    <row r="15260" spans="1:14" x14ac:dyDescent="0.3">
      <c r="A15260" s="42"/>
      <c r="C15260" s="52"/>
      <c r="D15260"/>
      <c r="E15260"/>
      <c r="F15260"/>
      <c r="N15260" s="56"/>
    </row>
    <row r="15261" spans="1:14" x14ac:dyDescent="0.3">
      <c r="A15261" s="42"/>
      <c r="C15261" s="52"/>
      <c r="D15261"/>
      <c r="E15261"/>
      <c r="F15261"/>
      <c r="M15261" s="45"/>
      <c r="N15261" s="56"/>
    </row>
    <row r="15262" spans="1:14" x14ac:dyDescent="0.3">
      <c r="A15262" s="42"/>
      <c r="C15262" s="52"/>
      <c r="D15262"/>
      <c r="E15262"/>
      <c r="F15262"/>
      <c r="N15262" s="56"/>
    </row>
    <row r="15263" spans="1:14" x14ac:dyDescent="0.3">
      <c r="A15263" s="42"/>
      <c r="C15263" s="52"/>
      <c r="D15263"/>
      <c r="E15263"/>
      <c r="F15263"/>
      <c r="N15263" s="56"/>
    </row>
    <row r="15264" spans="1:14" x14ac:dyDescent="0.3">
      <c r="A15264" s="42"/>
      <c r="C15264" s="52"/>
      <c r="D15264"/>
      <c r="E15264"/>
      <c r="F15264"/>
      <c r="N15264" s="56"/>
    </row>
    <row r="15265" spans="1:14" x14ac:dyDescent="0.3">
      <c r="A15265" s="42"/>
      <c r="C15265" s="52"/>
      <c r="D15265"/>
      <c r="E15265"/>
      <c r="F15265"/>
      <c r="M15265" s="45"/>
      <c r="N15265" s="56"/>
    </row>
    <row r="15266" spans="1:14" x14ac:dyDescent="0.3">
      <c r="A15266" s="42"/>
      <c r="C15266" s="52"/>
      <c r="D15266"/>
      <c r="E15266"/>
      <c r="F15266"/>
      <c r="M15266" s="45"/>
      <c r="N15266" s="56"/>
    </row>
    <row r="15267" spans="1:14" x14ac:dyDescent="0.3">
      <c r="A15267" s="42"/>
      <c r="C15267" s="52"/>
      <c r="D15267"/>
      <c r="E15267"/>
      <c r="F15267"/>
      <c r="N15267" s="56"/>
    </row>
    <row r="15268" spans="1:14" x14ac:dyDescent="0.3">
      <c r="A15268" s="42"/>
      <c r="C15268" s="52"/>
      <c r="D15268"/>
      <c r="E15268"/>
      <c r="F15268"/>
      <c r="N15268" s="56"/>
    </row>
    <row r="15269" spans="1:14" x14ac:dyDescent="0.3">
      <c r="A15269" s="42"/>
      <c r="C15269" s="52"/>
      <c r="D15269"/>
      <c r="E15269"/>
      <c r="F15269"/>
      <c r="N15269" s="56"/>
    </row>
    <row r="15270" spans="1:14" x14ac:dyDescent="0.3">
      <c r="A15270" s="42"/>
      <c r="C15270" s="52"/>
      <c r="D15270"/>
      <c r="E15270"/>
      <c r="F15270"/>
      <c r="N15270" s="56"/>
    </row>
    <row r="15271" spans="1:14" x14ac:dyDescent="0.3">
      <c r="A15271" s="42"/>
      <c r="C15271" s="52"/>
      <c r="D15271"/>
      <c r="E15271"/>
      <c r="F15271"/>
      <c r="N15271" s="56"/>
    </row>
    <row r="15272" spans="1:14" x14ac:dyDescent="0.3">
      <c r="A15272" s="42"/>
      <c r="C15272" s="52"/>
      <c r="D15272"/>
      <c r="E15272"/>
      <c r="F15272"/>
      <c r="N15272" s="56"/>
    </row>
    <row r="15273" spans="1:14" x14ac:dyDescent="0.3">
      <c r="A15273" s="42"/>
      <c r="C15273" s="52"/>
      <c r="D15273"/>
      <c r="E15273"/>
      <c r="F15273"/>
      <c r="N15273" s="56"/>
    </row>
    <row r="15274" spans="1:14" x14ac:dyDescent="0.3">
      <c r="A15274" s="42"/>
      <c r="C15274" s="52"/>
      <c r="D15274"/>
      <c r="E15274"/>
      <c r="F15274"/>
      <c r="N15274" s="56"/>
    </row>
    <row r="15275" spans="1:14" x14ac:dyDescent="0.3">
      <c r="A15275" s="42"/>
      <c r="C15275" s="52"/>
      <c r="D15275"/>
      <c r="E15275"/>
      <c r="F15275"/>
      <c r="N15275" s="56"/>
    </row>
    <row r="15276" spans="1:14" x14ac:dyDescent="0.3">
      <c r="A15276" s="42"/>
      <c r="C15276" s="52"/>
      <c r="D15276"/>
      <c r="E15276"/>
      <c r="F15276"/>
      <c r="N15276" s="56"/>
    </row>
    <row r="15277" spans="1:14" x14ac:dyDescent="0.3">
      <c r="A15277" s="42"/>
      <c r="C15277" s="52"/>
      <c r="D15277"/>
      <c r="E15277"/>
      <c r="F15277"/>
      <c r="N15277" s="56"/>
    </row>
    <row r="15278" spans="1:14" x14ac:dyDescent="0.3">
      <c r="A15278" s="42"/>
      <c r="C15278" s="52"/>
      <c r="D15278"/>
      <c r="E15278"/>
      <c r="F15278"/>
      <c r="N15278" s="56"/>
    </row>
    <row r="15279" spans="1:14" x14ac:dyDescent="0.3">
      <c r="A15279" s="42"/>
      <c r="C15279" s="52"/>
      <c r="D15279"/>
      <c r="E15279"/>
      <c r="F15279"/>
      <c r="N15279" s="56"/>
    </row>
    <row r="15280" spans="1:14" x14ac:dyDescent="0.3">
      <c r="A15280" s="42"/>
      <c r="C15280" s="52"/>
      <c r="D15280"/>
      <c r="E15280"/>
      <c r="F15280"/>
      <c r="N15280" s="56"/>
    </row>
    <row r="15281" spans="1:14" x14ac:dyDescent="0.3">
      <c r="A15281" s="42"/>
      <c r="C15281" s="52"/>
      <c r="D15281"/>
      <c r="E15281"/>
      <c r="F15281"/>
      <c r="N15281" s="56"/>
    </row>
    <row r="15282" spans="1:14" x14ac:dyDescent="0.3">
      <c r="A15282" s="42"/>
      <c r="C15282" s="52"/>
      <c r="D15282"/>
      <c r="E15282"/>
      <c r="F15282"/>
      <c r="N15282" s="56"/>
    </row>
    <row r="15283" spans="1:14" x14ac:dyDescent="0.3">
      <c r="A15283" s="42"/>
      <c r="C15283" s="52"/>
      <c r="D15283"/>
      <c r="E15283"/>
      <c r="F15283"/>
      <c r="N15283" s="56"/>
    </row>
    <row r="15284" spans="1:14" x14ac:dyDescent="0.3">
      <c r="A15284" s="42"/>
      <c r="C15284" s="52"/>
      <c r="D15284"/>
      <c r="E15284"/>
      <c r="F15284"/>
      <c r="N15284" s="56"/>
    </row>
    <row r="15285" spans="1:14" x14ac:dyDescent="0.3">
      <c r="A15285" s="42"/>
      <c r="C15285" s="52"/>
      <c r="D15285"/>
      <c r="E15285"/>
      <c r="F15285"/>
      <c r="N15285" s="56"/>
    </row>
    <row r="15286" spans="1:14" x14ac:dyDescent="0.3">
      <c r="A15286" s="42"/>
      <c r="C15286" s="52"/>
      <c r="D15286"/>
      <c r="E15286"/>
      <c r="F15286"/>
      <c r="N15286" s="56"/>
    </row>
    <row r="15287" spans="1:14" x14ac:dyDescent="0.3">
      <c r="A15287" s="42"/>
      <c r="C15287" s="52"/>
      <c r="D15287"/>
      <c r="E15287"/>
      <c r="F15287"/>
      <c r="N15287" s="56"/>
    </row>
    <row r="15288" spans="1:14" x14ac:dyDescent="0.3">
      <c r="A15288" s="42"/>
      <c r="C15288" s="52"/>
      <c r="D15288"/>
      <c r="E15288"/>
      <c r="F15288"/>
      <c r="N15288" s="56"/>
    </row>
    <row r="15289" spans="1:14" x14ac:dyDescent="0.3">
      <c r="A15289" s="42"/>
      <c r="C15289" s="52"/>
      <c r="D15289"/>
      <c r="E15289"/>
      <c r="F15289"/>
      <c r="N15289" s="56"/>
    </row>
    <row r="15290" spans="1:14" x14ac:dyDescent="0.3">
      <c r="A15290" s="42"/>
      <c r="C15290" s="52"/>
      <c r="D15290"/>
      <c r="E15290"/>
      <c r="F15290"/>
      <c r="N15290" s="56"/>
    </row>
    <row r="15291" spans="1:14" x14ac:dyDescent="0.3">
      <c r="A15291" s="42"/>
      <c r="C15291" s="52"/>
      <c r="D15291"/>
      <c r="E15291"/>
      <c r="F15291"/>
      <c r="N15291" s="56"/>
    </row>
    <row r="15292" spans="1:14" x14ac:dyDescent="0.3">
      <c r="A15292" s="42"/>
      <c r="C15292" s="52"/>
      <c r="D15292"/>
      <c r="E15292"/>
      <c r="F15292"/>
      <c r="N15292" s="56"/>
    </row>
    <row r="15293" spans="1:14" x14ac:dyDescent="0.3">
      <c r="A15293" s="42"/>
      <c r="C15293" s="52"/>
      <c r="D15293"/>
      <c r="E15293"/>
      <c r="F15293"/>
      <c r="N15293" s="56"/>
    </row>
    <row r="15294" spans="1:14" x14ac:dyDescent="0.3">
      <c r="A15294" s="42"/>
      <c r="C15294" s="52"/>
      <c r="D15294"/>
      <c r="E15294"/>
      <c r="F15294"/>
      <c r="N15294" s="56"/>
    </row>
    <row r="15295" spans="1:14" x14ac:dyDescent="0.3">
      <c r="A15295" s="42"/>
      <c r="C15295" s="52"/>
      <c r="D15295"/>
      <c r="E15295"/>
      <c r="F15295"/>
      <c r="N15295" s="56"/>
    </row>
    <row r="15296" spans="1:14" x14ac:dyDescent="0.3">
      <c r="A15296" s="42"/>
      <c r="C15296" s="52"/>
      <c r="D15296"/>
      <c r="E15296"/>
      <c r="F15296"/>
      <c r="N15296" s="56"/>
    </row>
    <row r="15297" spans="1:14" x14ac:dyDescent="0.3">
      <c r="A15297" s="42"/>
      <c r="C15297" s="52"/>
      <c r="D15297"/>
      <c r="E15297"/>
      <c r="F15297"/>
      <c r="N15297" s="56"/>
    </row>
    <row r="15298" spans="1:14" x14ac:dyDescent="0.3">
      <c r="A15298" s="42"/>
      <c r="C15298" s="52"/>
      <c r="D15298"/>
      <c r="E15298"/>
      <c r="F15298"/>
      <c r="N15298" s="56"/>
    </row>
    <row r="15299" spans="1:14" x14ac:dyDescent="0.3">
      <c r="A15299" s="42"/>
      <c r="C15299" s="52"/>
      <c r="D15299"/>
      <c r="E15299"/>
      <c r="F15299"/>
      <c r="N15299" s="56"/>
    </row>
    <row r="15300" spans="1:14" x14ac:dyDescent="0.3">
      <c r="A15300" s="42"/>
      <c r="C15300" s="52"/>
      <c r="D15300"/>
      <c r="E15300"/>
      <c r="F15300"/>
      <c r="N15300" s="56"/>
    </row>
    <row r="15301" spans="1:14" x14ac:dyDescent="0.3">
      <c r="A15301" s="42"/>
      <c r="C15301" s="52"/>
      <c r="D15301"/>
      <c r="E15301"/>
      <c r="F15301"/>
      <c r="N15301" s="56"/>
    </row>
    <row r="15302" spans="1:14" x14ac:dyDescent="0.3">
      <c r="A15302" s="42"/>
      <c r="C15302" s="52"/>
      <c r="D15302"/>
      <c r="E15302"/>
      <c r="F15302"/>
      <c r="N15302" s="56"/>
    </row>
    <row r="15303" spans="1:14" x14ac:dyDescent="0.3">
      <c r="A15303" s="42"/>
      <c r="C15303" s="52"/>
      <c r="D15303"/>
      <c r="E15303"/>
      <c r="F15303"/>
      <c r="N15303" s="56"/>
    </row>
    <row r="15304" spans="1:14" x14ac:dyDescent="0.3">
      <c r="A15304" s="42"/>
      <c r="C15304" s="52"/>
      <c r="D15304"/>
      <c r="E15304"/>
      <c r="F15304"/>
      <c r="N15304" s="56"/>
    </row>
    <row r="15305" spans="1:14" x14ac:dyDescent="0.3">
      <c r="A15305" s="42"/>
      <c r="C15305" s="52"/>
      <c r="D15305"/>
      <c r="E15305"/>
      <c r="F15305"/>
      <c r="N15305" s="56"/>
    </row>
    <row r="15306" spans="1:14" x14ac:dyDescent="0.3">
      <c r="A15306" s="42"/>
      <c r="C15306" s="52"/>
      <c r="D15306"/>
      <c r="E15306"/>
      <c r="F15306"/>
      <c r="N15306" s="56"/>
    </row>
    <row r="15307" spans="1:14" x14ac:dyDescent="0.3">
      <c r="A15307" s="42"/>
      <c r="C15307" s="52"/>
      <c r="D15307"/>
      <c r="E15307"/>
      <c r="F15307"/>
      <c r="N15307" s="56"/>
    </row>
    <row r="15308" spans="1:14" x14ac:dyDescent="0.3">
      <c r="A15308" s="42"/>
      <c r="C15308" s="52"/>
      <c r="D15308"/>
      <c r="E15308"/>
      <c r="F15308"/>
      <c r="N15308" s="56"/>
    </row>
    <row r="15309" spans="1:14" x14ac:dyDescent="0.3">
      <c r="A15309" s="42"/>
      <c r="C15309" s="52"/>
      <c r="D15309"/>
      <c r="E15309"/>
      <c r="F15309"/>
      <c r="N15309" s="56"/>
    </row>
    <row r="15310" spans="1:14" x14ac:dyDescent="0.3">
      <c r="A15310" s="42"/>
      <c r="C15310" s="52"/>
      <c r="D15310"/>
      <c r="E15310"/>
      <c r="F15310"/>
      <c r="N15310" s="56"/>
    </row>
    <row r="15311" spans="1:14" x14ac:dyDescent="0.3">
      <c r="A15311" s="42"/>
      <c r="C15311" s="52"/>
      <c r="D15311"/>
      <c r="E15311"/>
      <c r="F15311"/>
      <c r="N15311" s="56"/>
    </row>
    <row r="15312" spans="1:14" x14ac:dyDescent="0.3">
      <c r="A15312" s="42"/>
      <c r="C15312" s="52"/>
      <c r="D15312"/>
      <c r="E15312"/>
      <c r="F15312"/>
      <c r="N15312" s="56"/>
    </row>
    <row r="15313" spans="1:14" x14ac:dyDescent="0.3">
      <c r="A15313" s="42"/>
      <c r="C15313" s="52"/>
      <c r="D15313"/>
      <c r="E15313"/>
      <c r="F15313"/>
      <c r="N15313" s="56"/>
    </row>
    <row r="15314" spans="1:14" x14ac:dyDescent="0.3">
      <c r="A15314" s="42"/>
      <c r="C15314" s="52"/>
      <c r="D15314"/>
      <c r="E15314"/>
      <c r="F15314"/>
      <c r="N15314" s="56"/>
    </row>
    <row r="15315" spans="1:14" x14ac:dyDescent="0.3">
      <c r="A15315" s="42"/>
      <c r="C15315" s="52"/>
      <c r="D15315"/>
      <c r="E15315"/>
      <c r="F15315"/>
      <c r="N15315" s="56"/>
    </row>
    <row r="15316" spans="1:14" x14ac:dyDescent="0.3">
      <c r="A15316" s="42"/>
      <c r="C15316" s="52"/>
      <c r="D15316"/>
      <c r="E15316"/>
      <c r="F15316"/>
      <c r="N15316" s="56"/>
    </row>
    <row r="15317" spans="1:14" x14ac:dyDescent="0.3">
      <c r="A15317" s="42"/>
      <c r="C15317" s="52"/>
      <c r="D15317"/>
      <c r="E15317"/>
      <c r="F15317"/>
      <c r="N15317" s="56"/>
    </row>
    <row r="15318" spans="1:14" x14ac:dyDescent="0.3">
      <c r="A15318" s="42"/>
      <c r="C15318" s="52"/>
      <c r="D15318"/>
      <c r="E15318"/>
      <c r="F15318"/>
      <c r="N15318" s="56"/>
    </row>
    <row r="15319" spans="1:14" x14ac:dyDescent="0.3">
      <c r="A15319" s="42"/>
      <c r="C15319" s="52"/>
      <c r="D15319"/>
      <c r="E15319"/>
      <c r="F15319"/>
      <c r="N15319" s="56"/>
    </row>
    <row r="15320" spans="1:14" x14ac:dyDescent="0.3">
      <c r="A15320" s="42"/>
      <c r="C15320" s="52"/>
      <c r="D15320"/>
      <c r="E15320"/>
      <c r="F15320"/>
      <c r="N15320" s="56"/>
    </row>
    <row r="15321" spans="1:14" x14ac:dyDescent="0.3">
      <c r="A15321" s="42"/>
      <c r="C15321" s="52"/>
      <c r="D15321"/>
      <c r="E15321"/>
      <c r="F15321"/>
      <c r="N15321" s="56"/>
    </row>
    <row r="15322" spans="1:14" x14ac:dyDescent="0.3">
      <c r="A15322" s="42"/>
      <c r="C15322" s="52"/>
      <c r="D15322"/>
      <c r="E15322"/>
      <c r="F15322"/>
      <c r="N15322" s="56"/>
    </row>
    <row r="15323" spans="1:14" x14ac:dyDescent="0.3">
      <c r="A15323" s="42"/>
      <c r="C15323" s="52"/>
      <c r="D15323"/>
      <c r="E15323"/>
      <c r="F15323"/>
      <c r="N15323" s="56"/>
    </row>
    <row r="15324" spans="1:14" x14ac:dyDescent="0.3">
      <c r="A15324" s="42"/>
      <c r="C15324" s="52"/>
      <c r="D15324"/>
      <c r="E15324"/>
      <c r="F15324"/>
      <c r="N15324" s="56"/>
    </row>
    <row r="15325" spans="1:14" x14ac:dyDescent="0.3">
      <c r="A15325" s="42"/>
      <c r="C15325" s="52"/>
      <c r="D15325"/>
      <c r="E15325"/>
      <c r="F15325"/>
      <c r="N15325" s="56"/>
    </row>
    <row r="15326" spans="1:14" x14ac:dyDescent="0.3">
      <c r="A15326" s="42"/>
      <c r="C15326" s="52"/>
      <c r="D15326"/>
      <c r="E15326"/>
      <c r="F15326"/>
      <c r="N15326" s="56"/>
    </row>
    <row r="15327" spans="1:14" x14ac:dyDescent="0.3">
      <c r="A15327" s="42"/>
      <c r="C15327" s="52"/>
      <c r="D15327"/>
      <c r="E15327"/>
      <c r="F15327"/>
      <c r="N15327" s="56"/>
    </row>
    <row r="15328" spans="1:14" x14ac:dyDescent="0.3">
      <c r="A15328" s="42"/>
      <c r="C15328" s="52"/>
      <c r="D15328"/>
      <c r="E15328"/>
      <c r="F15328"/>
      <c r="N15328" s="56"/>
    </row>
    <row r="15329" spans="1:14" x14ac:dyDescent="0.3">
      <c r="A15329" s="42"/>
      <c r="C15329" s="52"/>
      <c r="D15329"/>
      <c r="E15329"/>
      <c r="F15329"/>
      <c r="N15329" s="56"/>
    </row>
    <row r="15330" spans="1:14" x14ac:dyDescent="0.3">
      <c r="A15330" s="42"/>
      <c r="C15330" s="52"/>
      <c r="D15330"/>
      <c r="E15330"/>
      <c r="F15330"/>
      <c r="N15330" s="56"/>
    </row>
    <row r="15331" spans="1:14" x14ac:dyDescent="0.3">
      <c r="A15331" s="42"/>
      <c r="C15331" s="52"/>
      <c r="D15331"/>
      <c r="E15331"/>
      <c r="F15331"/>
      <c r="N15331" s="56"/>
    </row>
    <row r="15332" spans="1:14" x14ac:dyDescent="0.3">
      <c r="A15332" s="42"/>
      <c r="C15332" s="52"/>
      <c r="D15332"/>
      <c r="E15332"/>
      <c r="F15332"/>
      <c r="N15332" s="56"/>
    </row>
    <row r="15333" spans="1:14" x14ac:dyDescent="0.3">
      <c r="A15333" s="42"/>
      <c r="C15333" s="52"/>
      <c r="D15333"/>
      <c r="E15333"/>
      <c r="F15333"/>
      <c r="N15333" s="56"/>
    </row>
    <row r="15334" spans="1:14" x14ac:dyDescent="0.3">
      <c r="A15334" s="42"/>
      <c r="C15334" s="52"/>
      <c r="D15334"/>
      <c r="E15334"/>
      <c r="F15334"/>
      <c r="M15334" s="45"/>
      <c r="N15334" s="56"/>
    </row>
    <row r="15335" spans="1:14" x14ac:dyDescent="0.3">
      <c r="A15335" s="42"/>
      <c r="C15335" s="52"/>
      <c r="D15335"/>
      <c r="E15335"/>
      <c r="F15335"/>
      <c r="N15335" s="56"/>
    </row>
    <row r="15336" spans="1:14" x14ac:dyDescent="0.3">
      <c r="A15336" s="42"/>
      <c r="C15336" s="52"/>
      <c r="D15336"/>
      <c r="E15336"/>
      <c r="F15336"/>
      <c r="N15336" s="56"/>
    </row>
    <row r="15337" spans="1:14" x14ac:dyDescent="0.3">
      <c r="A15337" s="42"/>
      <c r="C15337" s="52"/>
      <c r="D15337"/>
      <c r="E15337"/>
      <c r="F15337"/>
      <c r="N15337" s="56"/>
    </row>
    <row r="15338" spans="1:14" x14ac:dyDescent="0.3">
      <c r="A15338" s="42"/>
      <c r="C15338" s="52"/>
      <c r="D15338"/>
      <c r="E15338"/>
      <c r="F15338"/>
      <c r="N15338" s="56"/>
    </row>
    <row r="15339" spans="1:14" x14ac:dyDescent="0.3">
      <c r="A15339" s="42"/>
      <c r="C15339" s="52"/>
      <c r="D15339"/>
      <c r="E15339"/>
      <c r="F15339"/>
      <c r="N15339" s="56"/>
    </row>
    <row r="15340" spans="1:14" x14ac:dyDescent="0.3">
      <c r="A15340" s="42"/>
      <c r="C15340" s="52"/>
      <c r="D15340"/>
      <c r="E15340"/>
      <c r="F15340"/>
      <c r="N15340" s="56"/>
    </row>
    <row r="15341" spans="1:14" x14ac:dyDescent="0.3">
      <c r="A15341" s="42"/>
      <c r="C15341" s="52"/>
      <c r="D15341"/>
      <c r="E15341"/>
      <c r="F15341"/>
      <c r="N15341" s="56"/>
    </row>
    <row r="15342" spans="1:14" x14ac:dyDescent="0.3">
      <c r="A15342" s="42"/>
      <c r="C15342" s="52"/>
      <c r="D15342"/>
      <c r="E15342"/>
      <c r="F15342"/>
      <c r="N15342" s="56"/>
    </row>
    <row r="15343" spans="1:14" x14ac:dyDescent="0.3">
      <c r="A15343" s="42"/>
      <c r="C15343" s="52"/>
      <c r="D15343"/>
      <c r="E15343"/>
      <c r="F15343"/>
      <c r="N15343" s="56"/>
    </row>
    <row r="15344" spans="1:14" x14ac:dyDescent="0.3">
      <c r="A15344" s="42"/>
      <c r="C15344" s="52"/>
      <c r="D15344"/>
      <c r="E15344"/>
      <c r="F15344"/>
      <c r="N15344" s="56"/>
    </row>
    <row r="15345" spans="1:14" x14ac:dyDescent="0.3">
      <c r="A15345" s="42"/>
      <c r="C15345" s="52"/>
      <c r="D15345"/>
      <c r="E15345"/>
      <c r="F15345"/>
      <c r="N15345" s="56"/>
    </row>
    <row r="15346" spans="1:14" x14ac:dyDescent="0.3">
      <c r="A15346" s="42"/>
      <c r="C15346" s="52"/>
      <c r="D15346"/>
      <c r="E15346"/>
      <c r="F15346"/>
      <c r="N15346" s="56"/>
    </row>
    <row r="15347" spans="1:14" x14ac:dyDescent="0.3">
      <c r="A15347" s="42"/>
      <c r="C15347" s="52"/>
      <c r="D15347"/>
      <c r="E15347"/>
      <c r="F15347"/>
      <c r="N15347" s="56"/>
    </row>
    <row r="15348" spans="1:14" x14ac:dyDescent="0.3">
      <c r="A15348" s="42"/>
      <c r="C15348" s="52"/>
      <c r="D15348"/>
      <c r="E15348"/>
      <c r="F15348"/>
      <c r="N15348" s="56"/>
    </row>
    <row r="15349" spans="1:14" x14ac:dyDescent="0.3">
      <c r="A15349" s="42"/>
      <c r="C15349" s="52"/>
      <c r="D15349"/>
      <c r="E15349"/>
      <c r="F15349"/>
      <c r="N15349" s="56"/>
    </row>
    <row r="15350" spans="1:14" x14ac:dyDescent="0.3">
      <c r="A15350" s="42"/>
      <c r="C15350" s="52"/>
      <c r="D15350"/>
      <c r="E15350"/>
      <c r="F15350"/>
      <c r="N15350" s="56"/>
    </row>
    <row r="15351" spans="1:14" x14ac:dyDescent="0.3">
      <c r="A15351" s="42"/>
      <c r="C15351" s="52"/>
      <c r="D15351"/>
      <c r="E15351"/>
      <c r="F15351"/>
      <c r="N15351" s="56"/>
    </row>
    <row r="15352" spans="1:14" x14ac:dyDescent="0.3">
      <c r="A15352" s="42"/>
      <c r="C15352" s="52"/>
      <c r="D15352"/>
      <c r="E15352"/>
      <c r="F15352"/>
      <c r="N15352" s="56"/>
    </row>
    <row r="15353" spans="1:14" x14ac:dyDescent="0.3">
      <c r="A15353" s="42"/>
      <c r="C15353" s="52"/>
      <c r="D15353"/>
      <c r="E15353"/>
      <c r="F15353"/>
      <c r="N15353" s="56"/>
    </row>
    <row r="15354" spans="1:14" x14ac:dyDescent="0.3">
      <c r="A15354" s="42"/>
      <c r="C15354" s="52"/>
      <c r="D15354"/>
      <c r="E15354"/>
      <c r="F15354"/>
      <c r="N15354" s="56"/>
    </row>
    <row r="15355" spans="1:14" x14ac:dyDescent="0.3">
      <c r="A15355" s="42"/>
      <c r="C15355" s="52"/>
      <c r="D15355"/>
      <c r="E15355"/>
      <c r="F15355"/>
      <c r="N15355" s="56"/>
    </row>
    <row r="15356" spans="1:14" x14ac:dyDescent="0.3">
      <c r="A15356" s="42"/>
      <c r="C15356" s="52"/>
      <c r="D15356"/>
      <c r="E15356"/>
      <c r="F15356"/>
      <c r="N15356" s="56"/>
    </row>
    <row r="15357" spans="1:14" x14ac:dyDescent="0.3">
      <c r="A15357" s="42"/>
      <c r="C15357" s="52"/>
      <c r="D15357"/>
      <c r="E15357"/>
      <c r="F15357"/>
      <c r="N15357" s="56"/>
    </row>
    <row r="15358" spans="1:14" x14ac:dyDescent="0.3">
      <c r="A15358" s="42"/>
      <c r="C15358" s="52"/>
      <c r="D15358"/>
      <c r="E15358"/>
      <c r="F15358"/>
      <c r="N15358" s="56"/>
    </row>
    <row r="15359" spans="1:14" x14ac:dyDescent="0.3">
      <c r="A15359" s="42"/>
      <c r="C15359" s="52"/>
      <c r="D15359"/>
      <c r="E15359"/>
      <c r="F15359"/>
      <c r="N15359" s="56"/>
    </row>
    <row r="15360" spans="1:14" x14ac:dyDescent="0.3">
      <c r="A15360" s="42"/>
      <c r="C15360" s="52"/>
      <c r="D15360"/>
      <c r="E15360"/>
      <c r="F15360"/>
      <c r="N15360" s="56"/>
    </row>
    <row r="15361" spans="1:14" x14ac:dyDescent="0.3">
      <c r="A15361" s="42"/>
      <c r="C15361" s="52"/>
      <c r="D15361"/>
      <c r="E15361"/>
      <c r="F15361"/>
      <c r="N15361" s="56"/>
    </row>
    <row r="15362" spans="1:14" x14ac:dyDescent="0.3">
      <c r="A15362" s="42"/>
      <c r="C15362" s="52"/>
      <c r="D15362"/>
      <c r="E15362"/>
      <c r="F15362"/>
      <c r="N15362" s="56"/>
    </row>
    <row r="15363" spans="1:14" x14ac:dyDescent="0.3">
      <c r="A15363" s="42"/>
      <c r="C15363" s="52"/>
      <c r="D15363"/>
      <c r="E15363"/>
      <c r="F15363"/>
      <c r="N15363" s="56"/>
    </row>
    <row r="15364" spans="1:14" x14ac:dyDescent="0.3">
      <c r="A15364" s="42"/>
      <c r="C15364" s="52"/>
      <c r="D15364"/>
      <c r="E15364"/>
      <c r="F15364"/>
      <c r="N15364" s="56"/>
    </row>
    <row r="15365" spans="1:14" x14ac:dyDescent="0.3">
      <c r="A15365" s="42"/>
      <c r="C15365" s="52"/>
      <c r="D15365"/>
      <c r="E15365"/>
      <c r="F15365"/>
      <c r="N15365" s="56"/>
    </row>
    <row r="15366" spans="1:14" x14ac:dyDescent="0.3">
      <c r="A15366" s="42"/>
      <c r="C15366" s="52"/>
      <c r="D15366"/>
      <c r="E15366"/>
      <c r="F15366"/>
      <c r="N15366" s="56"/>
    </row>
    <row r="15367" spans="1:14" x14ac:dyDescent="0.3">
      <c r="A15367" s="42"/>
      <c r="C15367" s="52"/>
      <c r="D15367"/>
      <c r="E15367"/>
      <c r="F15367"/>
      <c r="M15367" s="45"/>
      <c r="N15367" s="56"/>
    </row>
    <row r="15368" spans="1:14" x14ac:dyDescent="0.3">
      <c r="A15368" s="42"/>
      <c r="C15368" s="52"/>
      <c r="D15368"/>
      <c r="E15368"/>
      <c r="F15368"/>
      <c r="N15368" s="56"/>
    </row>
    <row r="15369" spans="1:14" x14ac:dyDescent="0.3">
      <c r="A15369" s="42"/>
      <c r="C15369" s="52"/>
      <c r="D15369"/>
      <c r="E15369"/>
      <c r="F15369"/>
      <c r="N15369" s="56"/>
    </row>
    <row r="15370" spans="1:14" x14ac:dyDescent="0.3">
      <c r="A15370" s="42"/>
      <c r="C15370" s="52"/>
      <c r="D15370"/>
      <c r="E15370"/>
      <c r="F15370"/>
      <c r="N15370" s="56"/>
    </row>
    <row r="15371" spans="1:14" x14ac:dyDescent="0.3">
      <c r="A15371" s="42"/>
      <c r="C15371" s="52"/>
      <c r="D15371"/>
      <c r="E15371"/>
      <c r="F15371"/>
      <c r="N15371" s="56"/>
    </row>
    <row r="15372" spans="1:14" x14ac:dyDescent="0.3">
      <c r="A15372" s="42"/>
      <c r="C15372" s="52"/>
      <c r="D15372"/>
      <c r="E15372"/>
      <c r="F15372"/>
      <c r="N15372" s="56"/>
    </row>
    <row r="15373" spans="1:14" x14ac:dyDescent="0.3">
      <c r="A15373" s="42"/>
      <c r="C15373" s="52"/>
      <c r="D15373"/>
      <c r="E15373"/>
      <c r="F15373"/>
      <c r="N15373" s="56"/>
    </row>
    <row r="15374" spans="1:14" x14ac:dyDescent="0.3">
      <c r="A15374" s="42"/>
      <c r="C15374" s="52"/>
      <c r="D15374"/>
      <c r="E15374"/>
      <c r="F15374"/>
      <c r="N15374" s="56"/>
    </row>
    <row r="15375" spans="1:14" x14ac:dyDescent="0.3">
      <c r="A15375" s="42"/>
      <c r="C15375" s="52"/>
      <c r="D15375"/>
      <c r="E15375"/>
      <c r="F15375"/>
      <c r="N15375" s="56"/>
    </row>
    <row r="15376" spans="1:14" x14ac:dyDescent="0.3">
      <c r="A15376" s="42"/>
      <c r="C15376" s="52"/>
      <c r="D15376"/>
      <c r="E15376"/>
      <c r="F15376"/>
      <c r="N15376" s="56"/>
    </row>
    <row r="15377" spans="1:14" x14ac:dyDescent="0.3">
      <c r="A15377" s="42"/>
      <c r="C15377" s="52"/>
      <c r="D15377"/>
      <c r="E15377"/>
      <c r="F15377"/>
      <c r="M15377" s="45"/>
      <c r="N15377" s="56"/>
    </row>
    <row r="15378" spans="1:14" x14ac:dyDescent="0.3">
      <c r="A15378" s="42"/>
      <c r="C15378" s="52"/>
      <c r="D15378"/>
      <c r="E15378"/>
      <c r="F15378"/>
      <c r="N15378" s="56"/>
    </row>
    <row r="15379" spans="1:14" x14ac:dyDescent="0.3">
      <c r="A15379" s="42"/>
      <c r="C15379" s="52"/>
      <c r="D15379"/>
      <c r="E15379"/>
      <c r="F15379"/>
      <c r="N15379" s="56"/>
    </row>
    <row r="15380" spans="1:14" x14ac:dyDescent="0.3">
      <c r="A15380" s="42"/>
      <c r="C15380" s="52"/>
      <c r="D15380"/>
      <c r="E15380"/>
      <c r="F15380"/>
      <c r="N15380" s="56"/>
    </row>
    <row r="15381" spans="1:14" x14ac:dyDescent="0.3">
      <c r="A15381" s="42"/>
      <c r="C15381" s="52"/>
      <c r="D15381"/>
      <c r="E15381"/>
      <c r="F15381"/>
      <c r="N15381" s="56"/>
    </row>
    <row r="15382" spans="1:14" x14ac:dyDescent="0.3">
      <c r="A15382" s="42"/>
      <c r="C15382" s="52"/>
      <c r="D15382"/>
      <c r="E15382"/>
      <c r="F15382"/>
      <c r="N15382" s="56"/>
    </row>
    <row r="15383" spans="1:14" x14ac:dyDescent="0.3">
      <c r="A15383" s="42"/>
      <c r="C15383" s="52"/>
      <c r="D15383"/>
      <c r="E15383"/>
      <c r="F15383"/>
      <c r="N15383" s="56"/>
    </row>
    <row r="15384" spans="1:14" x14ac:dyDescent="0.3">
      <c r="A15384" s="42"/>
      <c r="C15384" s="52"/>
      <c r="D15384"/>
      <c r="E15384"/>
      <c r="F15384"/>
      <c r="N15384" s="56"/>
    </row>
    <row r="15385" spans="1:14" x14ac:dyDescent="0.3">
      <c r="A15385" s="42"/>
      <c r="C15385" s="52"/>
      <c r="D15385"/>
      <c r="E15385"/>
      <c r="F15385"/>
      <c r="N15385" s="56"/>
    </row>
    <row r="15386" spans="1:14" x14ac:dyDescent="0.3">
      <c r="A15386" s="42"/>
      <c r="C15386" s="52"/>
      <c r="D15386"/>
      <c r="E15386"/>
      <c r="F15386"/>
      <c r="N15386" s="56"/>
    </row>
    <row r="15387" spans="1:14" x14ac:dyDescent="0.3">
      <c r="A15387" s="42"/>
      <c r="C15387" s="52"/>
      <c r="D15387"/>
      <c r="E15387"/>
      <c r="F15387"/>
      <c r="N15387" s="56"/>
    </row>
    <row r="15388" spans="1:14" x14ac:dyDescent="0.3">
      <c r="A15388" s="42"/>
      <c r="C15388" s="52"/>
      <c r="D15388"/>
      <c r="E15388"/>
      <c r="F15388"/>
      <c r="N15388" s="56"/>
    </row>
    <row r="15389" spans="1:14" x14ac:dyDescent="0.3">
      <c r="A15389" s="42"/>
      <c r="C15389" s="52"/>
      <c r="D15389"/>
      <c r="E15389"/>
      <c r="F15389"/>
      <c r="N15389" s="56"/>
    </row>
    <row r="15390" spans="1:14" x14ac:dyDescent="0.3">
      <c r="A15390" s="42"/>
      <c r="C15390" s="52"/>
      <c r="D15390"/>
      <c r="E15390"/>
      <c r="F15390"/>
      <c r="N15390" s="56"/>
    </row>
    <row r="15391" spans="1:14" x14ac:dyDescent="0.3">
      <c r="A15391" s="42"/>
      <c r="C15391" s="52"/>
      <c r="D15391"/>
      <c r="E15391"/>
      <c r="F15391"/>
      <c r="N15391" s="56"/>
    </row>
    <row r="15392" spans="1:14" x14ac:dyDescent="0.3">
      <c r="A15392" s="42"/>
      <c r="C15392" s="52"/>
      <c r="D15392"/>
      <c r="E15392"/>
      <c r="F15392"/>
      <c r="N15392" s="56"/>
    </row>
    <row r="15393" spans="1:14" x14ac:dyDescent="0.3">
      <c r="A15393" s="42"/>
      <c r="C15393" s="52"/>
      <c r="D15393"/>
      <c r="E15393"/>
      <c r="F15393"/>
      <c r="N15393" s="56"/>
    </row>
    <row r="15394" spans="1:14" x14ac:dyDescent="0.3">
      <c r="A15394" s="42"/>
      <c r="C15394" s="52"/>
      <c r="D15394"/>
      <c r="E15394"/>
      <c r="F15394"/>
      <c r="N15394" s="56"/>
    </row>
    <row r="15395" spans="1:14" x14ac:dyDescent="0.3">
      <c r="A15395" s="42"/>
      <c r="C15395" s="52"/>
      <c r="D15395"/>
      <c r="E15395"/>
      <c r="F15395"/>
      <c r="N15395" s="56"/>
    </row>
    <row r="15396" spans="1:14" x14ac:dyDescent="0.3">
      <c r="A15396" s="42"/>
      <c r="C15396" s="52"/>
      <c r="D15396"/>
      <c r="E15396"/>
      <c r="F15396"/>
      <c r="N15396" s="56"/>
    </row>
    <row r="15397" spans="1:14" x14ac:dyDescent="0.3">
      <c r="A15397" s="42"/>
      <c r="C15397" s="52"/>
      <c r="D15397"/>
      <c r="E15397"/>
      <c r="F15397"/>
      <c r="N15397" s="56"/>
    </row>
    <row r="15398" spans="1:14" x14ac:dyDescent="0.3">
      <c r="A15398" s="42"/>
      <c r="C15398" s="52"/>
      <c r="D15398"/>
      <c r="E15398"/>
      <c r="F15398"/>
      <c r="N15398" s="56"/>
    </row>
    <row r="15399" spans="1:14" x14ac:dyDescent="0.3">
      <c r="A15399" s="42"/>
      <c r="C15399" s="52"/>
      <c r="D15399"/>
      <c r="E15399"/>
      <c r="F15399"/>
      <c r="N15399" s="56"/>
    </row>
    <row r="15400" spans="1:14" x14ac:dyDescent="0.3">
      <c r="A15400" s="42"/>
      <c r="C15400" s="52"/>
      <c r="D15400"/>
      <c r="E15400"/>
      <c r="F15400"/>
      <c r="N15400" s="56"/>
    </row>
    <row r="15401" spans="1:14" x14ac:dyDescent="0.3">
      <c r="A15401" s="42"/>
      <c r="C15401" s="52"/>
      <c r="D15401"/>
      <c r="E15401"/>
      <c r="F15401"/>
      <c r="N15401" s="56"/>
    </row>
    <row r="15402" spans="1:14" x14ac:dyDescent="0.3">
      <c r="A15402" s="42"/>
      <c r="C15402" s="52"/>
      <c r="D15402"/>
      <c r="E15402"/>
      <c r="F15402"/>
      <c r="N15402" s="56"/>
    </row>
    <row r="15403" spans="1:14" x14ac:dyDescent="0.3">
      <c r="A15403" s="42"/>
      <c r="C15403" s="52"/>
      <c r="D15403"/>
      <c r="E15403"/>
      <c r="F15403"/>
      <c r="N15403" s="56"/>
    </row>
    <row r="15404" spans="1:14" x14ac:dyDescent="0.3">
      <c r="A15404" s="42"/>
      <c r="C15404" s="52"/>
      <c r="D15404"/>
      <c r="E15404"/>
      <c r="F15404"/>
      <c r="N15404" s="56"/>
    </row>
    <row r="15405" spans="1:14" x14ac:dyDescent="0.3">
      <c r="A15405" s="42"/>
      <c r="C15405" s="52"/>
      <c r="D15405"/>
      <c r="E15405"/>
      <c r="F15405"/>
      <c r="N15405" s="56"/>
    </row>
    <row r="15406" spans="1:14" x14ac:dyDescent="0.3">
      <c r="A15406" s="42"/>
      <c r="C15406" s="52"/>
      <c r="D15406"/>
      <c r="E15406"/>
      <c r="F15406"/>
      <c r="N15406" s="56"/>
    </row>
    <row r="15407" spans="1:14" x14ac:dyDescent="0.3">
      <c r="A15407" s="42"/>
      <c r="C15407" s="52"/>
      <c r="D15407"/>
      <c r="E15407"/>
      <c r="F15407"/>
      <c r="N15407" s="56"/>
    </row>
    <row r="15408" spans="1:14" x14ac:dyDescent="0.3">
      <c r="A15408" s="42"/>
      <c r="C15408" s="52"/>
      <c r="D15408"/>
      <c r="E15408"/>
      <c r="F15408"/>
      <c r="N15408" s="56"/>
    </row>
    <row r="15409" spans="1:14" x14ac:dyDescent="0.3">
      <c r="A15409" s="42"/>
      <c r="C15409" s="52"/>
      <c r="D15409"/>
      <c r="E15409"/>
      <c r="F15409"/>
      <c r="N15409" s="56"/>
    </row>
    <row r="15410" spans="1:14" x14ac:dyDescent="0.3">
      <c r="A15410" s="42"/>
      <c r="C15410" s="52"/>
      <c r="D15410"/>
      <c r="E15410"/>
      <c r="F15410"/>
      <c r="N15410" s="56"/>
    </row>
    <row r="15411" spans="1:14" x14ac:dyDescent="0.3">
      <c r="A15411" s="42"/>
      <c r="C15411" s="52"/>
      <c r="D15411"/>
      <c r="E15411"/>
      <c r="F15411"/>
      <c r="N15411" s="56"/>
    </row>
    <row r="15412" spans="1:14" x14ac:dyDescent="0.3">
      <c r="A15412" s="42"/>
      <c r="C15412" s="52"/>
      <c r="D15412"/>
      <c r="E15412"/>
      <c r="F15412"/>
      <c r="N15412" s="56"/>
    </row>
    <row r="15413" spans="1:14" x14ac:dyDescent="0.3">
      <c r="A15413" s="42"/>
      <c r="C15413" s="52"/>
      <c r="D15413"/>
      <c r="E15413"/>
      <c r="F15413"/>
      <c r="N15413" s="56"/>
    </row>
    <row r="15414" spans="1:14" x14ac:dyDescent="0.3">
      <c r="A15414" s="42"/>
      <c r="C15414" s="52"/>
      <c r="D15414"/>
      <c r="E15414"/>
      <c r="F15414"/>
      <c r="N15414" s="56"/>
    </row>
    <row r="15415" spans="1:14" x14ac:dyDescent="0.3">
      <c r="A15415" s="42"/>
      <c r="C15415" s="52"/>
      <c r="D15415"/>
      <c r="E15415"/>
      <c r="F15415"/>
      <c r="N15415" s="56"/>
    </row>
    <row r="15416" spans="1:14" x14ac:dyDescent="0.3">
      <c r="A15416" s="42"/>
      <c r="C15416" s="52"/>
      <c r="D15416"/>
      <c r="E15416"/>
      <c r="F15416"/>
      <c r="N15416" s="56"/>
    </row>
    <row r="15417" spans="1:14" x14ac:dyDescent="0.3">
      <c r="A15417" s="42"/>
      <c r="C15417" s="52"/>
      <c r="D15417"/>
      <c r="E15417"/>
      <c r="F15417"/>
      <c r="N15417" s="56"/>
    </row>
    <row r="15418" spans="1:14" x14ac:dyDescent="0.3">
      <c r="A15418" s="42"/>
      <c r="C15418" s="52"/>
      <c r="D15418"/>
      <c r="E15418"/>
      <c r="F15418"/>
      <c r="N15418" s="56"/>
    </row>
    <row r="15419" spans="1:14" x14ac:dyDescent="0.3">
      <c r="A15419" s="42"/>
      <c r="C15419" s="52"/>
      <c r="D15419"/>
      <c r="E15419"/>
      <c r="F15419"/>
      <c r="N15419" s="56"/>
    </row>
    <row r="15420" spans="1:14" x14ac:dyDescent="0.3">
      <c r="A15420" s="42"/>
      <c r="C15420" s="52"/>
      <c r="D15420"/>
      <c r="E15420"/>
      <c r="F15420"/>
      <c r="N15420" s="56"/>
    </row>
    <row r="15421" spans="1:14" x14ac:dyDescent="0.3">
      <c r="A15421" s="42"/>
      <c r="C15421" s="52"/>
      <c r="D15421"/>
      <c r="E15421"/>
      <c r="F15421"/>
      <c r="N15421" s="56"/>
    </row>
    <row r="15422" spans="1:14" x14ac:dyDescent="0.3">
      <c r="A15422" s="42"/>
      <c r="C15422" s="52"/>
      <c r="D15422"/>
      <c r="E15422"/>
      <c r="F15422"/>
      <c r="N15422" s="56"/>
    </row>
    <row r="15423" spans="1:14" x14ac:dyDescent="0.3">
      <c r="A15423" s="42"/>
      <c r="C15423" s="52"/>
      <c r="D15423"/>
      <c r="E15423"/>
      <c r="F15423"/>
      <c r="N15423" s="56"/>
    </row>
    <row r="15424" spans="1:14" x14ac:dyDescent="0.3">
      <c r="A15424" s="42"/>
      <c r="C15424" s="52"/>
      <c r="D15424"/>
      <c r="E15424"/>
      <c r="F15424"/>
      <c r="N15424" s="56"/>
    </row>
    <row r="15425" spans="1:14" x14ac:dyDescent="0.3">
      <c r="A15425" s="42"/>
      <c r="C15425" s="52"/>
      <c r="D15425"/>
      <c r="E15425"/>
      <c r="F15425"/>
      <c r="N15425" s="56"/>
    </row>
    <row r="15426" spans="1:14" x14ac:dyDescent="0.3">
      <c r="A15426" s="42"/>
      <c r="C15426" s="52"/>
      <c r="D15426"/>
      <c r="E15426"/>
      <c r="F15426"/>
      <c r="N15426" s="56"/>
    </row>
    <row r="15427" spans="1:14" x14ac:dyDescent="0.3">
      <c r="A15427" s="42"/>
      <c r="C15427" s="52"/>
      <c r="D15427"/>
      <c r="E15427"/>
      <c r="F15427"/>
      <c r="N15427" s="56"/>
    </row>
    <row r="15428" spans="1:14" x14ac:dyDescent="0.3">
      <c r="A15428" s="42"/>
      <c r="C15428" s="52"/>
      <c r="D15428"/>
      <c r="E15428"/>
      <c r="F15428"/>
      <c r="N15428" s="56"/>
    </row>
    <row r="15429" spans="1:14" x14ac:dyDescent="0.3">
      <c r="A15429" s="42"/>
      <c r="C15429" s="52"/>
      <c r="D15429"/>
      <c r="E15429"/>
      <c r="F15429"/>
      <c r="N15429" s="56"/>
    </row>
    <row r="15430" spans="1:14" x14ac:dyDescent="0.3">
      <c r="A15430" s="42"/>
      <c r="C15430" s="52"/>
      <c r="D15430"/>
      <c r="E15430"/>
      <c r="F15430"/>
      <c r="N15430" s="56"/>
    </row>
    <row r="15431" spans="1:14" x14ac:dyDescent="0.3">
      <c r="A15431" s="42"/>
      <c r="C15431" s="52"/>
      <c r="D15431"/>
      <c r="E15431"/>
      <c r="F15431"/>
      <c r="N15431" s="56"/>
    </row>
    <row r="15432" spans="1:14" x14ac:dyDescent="0.3">
      <c r="A15432" s="42"/>
      <c r="C15432" s="52"/>
      <c r="D15432"/>
      <c r="E15432"/>
      <c r="F15432"/>
      <c r="N15432" s="56"/>
    </row>
    <row r="15433" spans="1:14" x14ac:dyDescent="0.3">
      <c r="A15433" s="42"/>
      <c r="C15433" s="52"/>
      <c r="D15433"/>
      <c r="E15433"/>
      <c r="F15433"/>
      <c r="N15433" s="56"/>
    </row>
    <row r="15434" spans="1:14" x14ac:dyDescent="0.3">
      <c r="A15434" s="42"/>
      <c r="C15434" s="52"/>
      <c r="D15434"/>
      <c r="E15434"/>
      <c r="F15434"/>
      <c r="N15434" s="56"/>
    </row>
    <row r="15435" spans="1:14" x14ac:dyDescent="0.3">
      <c r="A15435" s="42"/>
      <c r="C15435" s="52"/>
      <c r="D15435"/>
      <c r="E15435"/>
      <c r="F15435"/>
      <c r="N15435" s="56"/>
    </row>
    <row r="15436" spans="1:14" x14ac:dyDescent="0.3">
      <c r="A15436" s="42"/>
      <c r="C15436" s="52"/>
      <c r="D15436"/>
      <c r="E15436"/>
      <c r="F15436"/>
      <c r="N15436" s="56"/>
    </row>
    <row r="15437" spans="1:14" x14ac:dyDescent="0.3">
      <c r="A15437" s="42"/>
      <c r="C15437" s="52"/>
      <c r="D15437"/>
      <c r="E15437"/>
      <c r="F15437"/>
      <c r="N15437" s="56"/>
    </row>
    <row r="15438" spans="1:14" x14ac:dyDescent="0.3">
      <c r="A15438" s="42"/>
      <c r="C15438" s="52"/>
      <c r="D15438"/>
      <c r="E15438"/>
      <c r="F15438"/>
      <c r="N15438" s="56"/>
    </row>
    <row r="15439" spans="1:14" x14ac:dyDescent="0.3">
      <c r="A15439" s="42"/>
      <c r="C15439" s="52"/>
      <c r="D15439"/>
      <c r="E15439"/>
      <c r="F15439"/>
      <c r="N15439" s="56"/>
    </row>
    <row r="15440" spans="1:14" x14ac:dyDescent="0.3">
      <c r="A15440" s="42"/>
      <c r="C15440" s="52"/>
      <c r="D15440"/>
      <c r="E15440"/>
      <c r="F15440"/>
      <c r="N15440" s="56"/>
    </row>
    <row r="15441" spans="1:14" x14ac:dyDescent="0.3">
      <c r="A15441" s="42"/>
      <c r="C15441" s="52"/>
      <c r="D15441"/>
      <c r="E15441"/>
      <c r="F15441"/>
      <c r="N15441" s="56"/>
    </row>
    <row r="15442" spans="1:14" x14ac:dyDescent="0.3">
      <c r="A15442" s="42"/>
      <c r="C15442" s="52"/>
      <c r="D15442"/>
      <c r="E15442"/>
      <c r="F15442"/>
      <c r="N15442" s="56"/>
    </row>
    <row r="15443" spans="1:14" x14ac:dyDescent="0.3">
      <c r="A15443" s="42"/>
      <c r="C15443" s="52"/>
      <c r="D15443"/>
      <c r="E15443"/>
      <c r="F15443"/>
      <c r="N15443" s="56"/>
    </row>
    <row r="15444" spans="1:14" x14ac:dyDescent="0.3">
      <c r="A15444" s="42"/>
      <c r="C15444" s="52"/>
      <c r="D15444"/>
      <c r="E15444"/>
      <c r="F15444"/>
      <c r="N15444" s="56"/>
    </row>
    <row r="15445" spans="1:14" x14ac:dyDescent="0.3">
      <c r="A15445" s="42"/>
      <c r="C15445" s="52"/>
      <c r="D15445"/>
      <c r="E15445"/>
      <c r="F15445"/>
      <c r="N15445" s="56"/>
    </row>
    <row r="15446" spans="1:14" x14ac:dyDescent="0.3">
      <c r="A15446" s="42"/>
      <c r="C15446" s="52"/>
      <c r="D15446"/>
      <c r="E15446"/>
      <c r="F15446"/>
      <c r="N15446" s="56"/>
    </row>
    <row r="15447" spans="1:14" x14ac:dyDescent="0.3">
      <c r="A15447" s="42"/>
      <c r="C15447" s="52"/>
      <c r="D15447"/>
      <c r="E15447"/>
      <c r="F15447"/>
      <c r="N15447" s="56"/>
    </row>
    <row r="15448" spans="1:14" x14ac:dyDescent="0.3">
      <c r="A15448" s="42"/>
      <c r="C15448" s="52"/>
      <c r="D15448"/>
      <c r="E15448"/>
      <c r="F15448"/>
      <c r="N15448" s="56"/>
    </row>
    <row r="15449" spans="1:14" x14ac:dyDescent="0.3">
      <c r="A15449" s="42"/>
      <c r="C15449" s="52"/>
      <c r="D15449"/>
      <c r="E15449"/>
      <c r="F15449"/>
      <c r="N15449" s="56"/>
    </row>
    <row r="15450" spans="1:14" x14ac:dyDescent="0.3">
      <c r="A15450" s="42"/>
      <c r="C15450" s="52"/>
      <c r="D15450"/>
      <c r="E15450"/>
      <c r="F15450"/>
      <c r="N15450" s="56"/>
    </row>
    <row r="15451" spans="1:14" x14ac:dyDescent="0.3">
      <c r="A15451" s="42"/>
      <c r="C15451" s="52"/>
      <c r="D15451"/>
      <c r="E15451"/>
      <c r="F15451"/>
      <c r="N15451" s="56"/>
    </row>
    <row r="15452" spans="1:14" x14ac:dyDescent="0.3">
      <c r="A15452" s="42"/>
      <c r="C15452" s="52"/>
      <c r="D15452"/>
      <c r="E15452"/>
      <c r="F15452"/>
      <c r="N15452" s="56"/>
    </row>
    <row r="15453" spans="1:14" x14ac:dyDescent="0.3">
      <c r="A15453" s="42"/>
      <c r="C15453" s="52"/>
      <c r="D15453"/>
      <c r="E15453"/>
      <c r="F15453"/>
      <c r="N15453" s="56"/>
    </row>
    <row r="15454" spans="1:14" x14ac:dyDescent="0.3">
      <c r="A15454" s="42"/>
      <c r="C15454" s="52"/>
      <c r="D15454"/>
      <c r="E15454"/>
      <c r="F15454"/>
      <c r="N15454" s="56"/>
    </row>
    <row r="15455" spans="1:14" x14ac:dyDescent="0.3">
      <c r="A15455" s="42"/>
      <c r="C15455" s="52"/>
      <c r="D15455"/>
      <c r="E15455"/>
      <c r="F15455"/>
      <c r="N15455" s="56"/>
    </row>
    <row r="15456" spans="1:14" x14ac:dyDescent="0.3">
      <c r="A15456" s="42"/>
      <c r="C15456" s="52"/>
      <c r="D15456"/>
      <c r="E15456"/>
      <c r="F15456"/>
      <c r="N15456" s="56"/>
    </row>
    <row r="15457" spans="1:14" x14ac:dyDescent="0.3">
      <c r="A15457" s="42"/>
      <c r="C15457" s="52"/>
      <c r="D15457"/>
      <c r="E15457"/>
      <c r="F15457"/>
      <c r="N15457" s="56"/>
    </row>
    <row r="15458" spans="1:14" x14ac:dyDescent="0.3">
      <c r="A15458" s="42"/>
      <c r="C15458" s="52"/>
      <c r="D15458"/>
      <c r="E15458"/>
      <c r="F15458"/>
      <c r="N15458" s="56"/>
    </row>
    <row r="15459" spans="1:14" x14ac:dyDescent="0.3">
      <c r="A15459" s="42"/>
      <c r="C15459" s="52"/>
      <c r="D15459"/>
      <c r="E15459"/>
      <c r="F15459"/>
      <c r="N15459" s="56"/>
    </row>
    <row r="15460" spans="1:14" x14ac:dyDescent="0.3">
      <c r="A15460" s="42"/>
      <c r="C15460" s="52"/>
      <c r="D15460"/>
      <c r="E15460"/>
      <c r="F15460"/>
      <c r="N15460" s="56"/>
    </row>
    <row r="15461" spans="1:14" x14ac:dyDescent="0.3">
      <c r="A15461" s="42"/>
      <c r="C15461" s="52"/>
      <c r="D15461"/>
      <c r="E15461"/>
      <c r="F15461"/>
      <c r="N15461" s="56"/>
    </row>
    <row r="15462" spans="1:14" x14ac:dyDescent="0.3">
      <c r="A15462" s="42"/>
      <c r="C15462" s="52"/>
      <c r="D15462"/>
      <c r="E15462"/>
      <c r="F15462"/>
      <c r="N15462" s="56"/>
    </row>
    <row r="15463" spans="1:14" x14ac:dyDescent="0.3">
      <c r="A15463" s="42"/>
      <c r="C15463" s="52"/>
      <c r="D15463"/>
      <c r="E15463"/>
      <c r="F15463"/>
      <c r="N15463" s="56"/>
    </row>
    <row r="15464" spans="1:14" x14ac:dyDescent="0.3">
      <c r="A15464" s="42"/>
      <c r="C15464" s="52"/>
      <c r="D15464"/>
      <c r="E15464"/>
      <c r="F15464"/>
      <c r="N15464" s="56"/>
    </row>
    <row r="15465" spans="1:14" x14ac:dyDescent="0.3">
      <c r="A15465" s="42"/>
      <c r="C15465" s="52"/>
      <c r="D15465"/>
      <c r="E15465"/>
      <c r="F15465"/>
      <c r="N15465" s="56"/>
    </row>
    <row r="15466" spans="1:14" x14ac:dyDescent="0.3">
      <c r="A15466" s="42"/>
      <c r="C15466" s="52"/>
      <c r="D15466"/>
      <c r="E15466"/>
      <c r="F15466"/>
      <c r="N15466" s="56"/>
    </row>
    <row r="15467" spans="1:14" x14ac:dyDescent="0.3">
      <c r="A15467" s="42"/>
      <c r="C15467" s="52"/>
      <c r="D15467"/>
      <c r="E15467"/>
      <c r="F15467"/>
      <c r="N15467" s="56"/>
    </row>
    <row r="15468" spans="1:14" x14ac:dyDescent="0.3">
      <c r="A15468" s="42"/>
      <c r="C15468" s="52"/>
      <c r="D15468"/>
      <c r="E15468"/>
      <c r="F15468"/>
      <c r="N15468" s="56"/>
    </row>
    <row r="15469" spans="1:14" x14ac:dyDescent="0.3">
      <c r="A15469" s="42"/>
      <c r="C15469" s="52"/>
      <c r="D15469"/>
      <c r="E15469"/>
      <c r="F15469"/>
      <c r="N15469" s="56"/>
    </row>
    <row r="15470" spans="1:14" x14ac:dyDescent="0.3">
      <c r="A15470" s="42"/>
      <c r="C15470" s="52"/>
      <c r="D15470"/>
      <c r="E15470"/>
      <c r="F15470"/>
      <c r="N15470" s="56"/>
    </row>
    <row r="15471" spans="1:14" x14ac:dyDescent="0.3">
      <c r="A15471" s="42"/>
      <c r="C15471" s="52"/>
      <c r="D15471"/>
      <c r="E15471"/>
      <c r="F15471"/>
      <c r="N15471" s="56"/>
    </row>
    <row r="15472" spans="1:14" x14ac:dyDescent="0.3">
      <c r="A15472" s="42"/>
      <c r="C15472" s="52"/>
      <c r="D15472"/>
      <c r="E15472"/>
      <c r="F15472"/>
      <c r="N15472" s="56"/>
    </row>
    <row r="15473" spans="1:14" x14ac:dyDescent="0.3">
      <c r="A15473" s="42"/>
      <c r="C15473" s="52"/>
      <c r="D15473"/>
      <c r="E15473"/>
      <c r="F15473"/>
      <c r="N15473" s="56"/>
    </row>
    <row r="15474" spans="1:14" x14ac:dyDescent="0.3">
      <c r="A15474" s="42"/>
      <c r="C15474" s="52"/>
      <c r="D15474"/>
      <c r="E15474"/>
      <c r="F15474"/>
      <c r="N15474" s="56"/>
    </row>
    <row r="15475" spans="1:14" x14ac:dyDescent="0.3">
      <c r="A15475" s="42"/>
      <c r="C15475" s="52"/>
      <c r="D15475"/>
      <c r="E15475"/>
      <c r="F15475"/>
      <c r="N15475" s="56"/>
    </row>
    <row r="15476" spans="1:14" x14ac:dyDescent="0.3">
      <c r="A15476" s="42"/>
      <c r="C15476" s="52"/>
      <c r="D15476"/>
      <c r="E15476"/>
      <c r="F15476"/>
      <c r="N15476" s="56"/>
    </row>
    <row r="15477" spans="1:14" x14ac:dyDescent="0.3">
      <c r="A15477" s="42"/>
      <c r="C15477" s="52"/>
      <c r="D15477"/>
      <c r="E15477"/>
      <c r="F15477"/>
      <c r="N15477" s="56"/>
    </row>
    <row r="15478" spans="1:14" x14ac:dyDescent="0.3">
      <c r="A15478" s="42"/>
      <c r="C15478" s="52"/>
      <c r="D15478"/>
      <c r="E15478"/>
      <c r="F15478"/>
      <c r="N15478" s="56"/>
    </row>
    <row r="15479" spans="1:14" x14ac:dyDescent="0.3">
      <c r="A15479" s="42"/>
      <c r="C15479" s="52"/>
      <c r="D15479"/>
      <c r="E15479"/>
      <c r="F15479"/>
      <c r="N15479" s="56"/>
    </row>
    <row r="15480" spans="1:14" x14ac:dyDescent="0.3">
      <c r="A15480" s="42"/>
      <c r="C15480" s="52"/>
      <c r="D15480"/>
      <c r="E15480"/>
      <c r="F15480"/>
      <c r="N15480" s="56"/>
    </row>
    <row r="15481" spans="1:14" x14ac:dyDescent="0.3">
      <c r="A15481" s="42"/>
      <c r="C15481" s="52"/>
      <c r="D15481"/>
      <c r="E15481"/>
      <c r="F15481"/>
      <c r="N15481" s="56"/>
    </row>
    <row r="15482" spans="1:14" x14ac:dyDescent="0.3">
      <c r="A15482" s="42"/>
      <c r="C15482" s="52"/>
      <c r="D15482"/>
      <c r="E15482"/>
      <c r="F15482"/>
      <c r="N15482" s="56"/>
    </row>
    <row r="15483" spans="1:14" x14ac:dyDescent="0.3">
      <c r="A15483" s="42"/>
      <c r="C15483" s="52"/>
      <c r="D15483"/>
      <c r="E15483"/>
      <c r="F15483"/>
      <c r="N15483" s="56"/>
    </row>
    <row r="15484" spans="1:14" x14ac:dyDescent="0.3">
      <c r="A15484" s="42"/>
      <c r="C15484" s="52"/>
      <c r="D15484"/>
      <c r="E15484"/>
      <c r="F15484"/>
      <c r="N15484" s="56"/>
    </row>
    <row r="15485" spans="1:14" x14ac:dyDescent="0.3">
      <c r="A15485" s="42"/>
      <c r="C15485" s="52"/>
      <c r="D15485"/>
      <c r="E15485"/>
      <c r="F15485"/>
      <c r="N15485" s="56"/>
    </row>
    <row r="15486" spans="1:14" x14ac:dyDescent="0.3">
      <c r="A15486" s="42"/>
      <c r="C15486" s="52"/>
      <c r="D15486"/>
      <c r="E15486"/>
      <c r="F15486"/>
      <c r="N15486" s="56"/>
    </row>
    <row r="15487" spans="1:14" x14ac:dyDescent="0.3">
      <c r="A15487" s="42"/>
      <c r="C15487" s="52"/>
      <c r="D15487"/>
      <c r="E15487"/>
      <c r="F15487"/>
      <c r="N15487" s="56"/>
    </row>
    <row r="15488" spans="1:14" x14ac:dyDescent="0.3">
      <c r="A15488" s="42"/>
      <c r="C15488" s="52"/>
      <c r="D15488"/>
      <c r="E15488"/>
      <c r="F15488"/>
      <c r="N15488" s="56"/>
    </row>
    <row r="15489" spans="1:14" x14ac:dyDescent="0.3">
      <c r="A15489" s="42"/>
      <c r="C15489" s="52"/>
      <c r="D15489"/>
      <c r="E15489"/>
      <c r="F15489"/>
      <c r="N15489" s="56"/>
    </row>
    <row r="15490" spans="1:14" x14ac:dyDescent="0.3">
      <c r="A15490" s="42"/>
      <c r="C15490" s="52"/>
      <c r="D15490"/>
      <c r="E15490"/>
      <c r="F15490"/>
      <c r="N15490" s="56"/>
    </row>
    <row r="15491" spans="1:14" x14ac:dyDescent="0.3">
      <c r="A15491" s="42"/>
      <c r="C15491" s="52"/>
      <c r="D15491"/>
      <c r="E15491"/>
      <c r="F15491"/>
      <c r="N15491" s="56"/>
    </row>
    <row r="15492" spans="1:14" x14ac:dyDescent="0.3">
      <c r="A15492" s="42"/>
      <c r="C15492" s="52"/>
      <c r="D15492"/>
      <c r="E15492"/>
      <c r="F15492"/>
      <c r="N15492" s="56"/>
    </row>
    <row r="15493" spans="1:14" x14ac:dyDescent="0.3">
      <c r="A15493" s="42"/>
      <c r="C15493" s="52"/>
      <c r="D15493"/>
      <c r="E15493"/>
      <c r="F15493"/>
      <c r="N15493" s="56"/>
    </row>
    <row r="15494" spans="1:14" x14ac:dyDescent="0.3">
      <c r="A15494" s="42"/>
      <c r="C15494" s="52"/>
      <c r="D15494"/>
      <c r="E15494"/>
      <c r="F15494"/>
      <c r="N15494" s="56"/>
    </row>
    <row r="15495" spans="1:14" x14ac:dyDescent="0.3">
      <c r="A15495" s="42"/>
      <c r="C15495" s="52"/>
      <c r="D15495"/>
      <c r="E15495"/>
      <c r="F15495"/>
      <c r="N15495" s="56"/>
    </row>
    <row r="15496" spans="1:14" x14ac:dyDescent="0.3">
      <c r="A15496" s="42"/>
      <c r="C15496" s="52"/>
      <c r="D15496"/>
      <c r="E15496"/>
      <c r="F15496"/>
      <c r="N15496" s="56"/>
    </row>
    <row r="15497" spans="1:14" x14ac:dyDescent="0.3">
      <c r="A15497" s="42"/>
      <c r="C15497" s="52"/>
      <c r="D15497"/>
      <c r="E15497"/>
      <c r="F15497"/>
      <c r="N15497" s="56"/>
    </row>
    <row r="15498" spans="1:14" x14ac:dyDescent="0.3">
      <c r="A15498" s="42"/>
      <c r="C15498" s="52"/>
      <c r="D15498"/>
      <c r="E15498"/>
      <c r="F15498"/>
      <c r="N15498" s="56"/>
    </row>
    <row r="15499" spans="1:14" x14ac:dyDescent="0.3">
      <c r="A15499" s="42"/>
      <c r="C15499" s="52"/>
      <c r="D15499"/>
      <c r="E15499"/>
      <c r="F15499"/>
      <c r="N15499" s="56"/>
    </row>
    <row r="15500" spans="1:14" x14ac:dyDescent="0.3">
      <c r="A15500" s="42"/>
      <c r="C15500" s="52"/>
      <c r="D15500"/>
      <c r="E15500"/>
      <c r="F15500"/>
      <c r="N15500" s="56"/>
    </row>
    <row r="15501" spans="1:14" x14ac:dyDescent="0.3">
      <c r="A15501" s="42"/>
      <c r="C15501" s="52"/>
      <c r="D15501"/>
      <c r="E15501"/>
      <c r="F15501"/>
      <c r="N15501" s="56"/>
    </row>
    <row r="15502" spans="1:14" x14ac:dyDescent="0.3">
      <c r="A15502" s="42"/>
      <c r="C15502" s="52"/>
      <c r="D15502"/>
      <c r="E15502"/>
      <c r="F15502"/>
      <c r="N15502" s="56"/>
    </row>
    <row r="15503" spans="1:14" x14ac:dyDescent="0.3">
      <c r="A15503" s="42"/>
      <c r="C15503" s="52"/>
      <c r="D15503"/>
      <c r="E15503"/>
      <c r="F15503"/>
      <c r="N15503" s="56"/>
    </row>
    <row r="15504" spans="1:14" x14ac:dyDescent="0.3">
      <c r="A15504" s="42"/>
      <c r="C15504" s="52"/>
      <c r="D15504"/>
      <c r="E15504"/>
      <c r="F15504"/>
      <c r="N15504" s="56"/>
    </row>
    <row r="15505" spans="1:14" x14ac:dyDescent="0.3">
      <c r="A15505" s="42"/>
      <c r="C15505" s="52"/>
      <c r="D15505"/>
      <c r="E15505"/>
      <c r="F15505"/>
      <c r="N15505" s="56"/>
    </row>
    <row r="15506" spans="1:14" x14ac:dyDescent="0.3">
      <c r="A15506" s="42"/>
      <c r="C15506" s="52"/>
      <c r="D15506"/>
      <c r="E15506"/>
      <c r="F15506"/>
      <c r="N15506" s="56"/>
    </row>
    <row r="15507" spans="1:14" x14ac:dyDescent="0.3">
      <c r="A15507" s="42"/>
      <c r="C15507" s="52"/>
      <c r="D15507"/>
      <c r="E15507"/>
      <c r="F15507"/>
      <c r="N15507" s="56"/>
    </row>
    <row r="15508" spans="1:14" x14ac:dyDescent="0.3">
      <c r="A15508" s="42"/>
      <c r="C15508" s="52"/>
      <c r="D15508"/>
      <c r="E15508"/>
      <c r="F15508"/>
      <c r="N15508" s="56"/>
    </row>
    <row r="15509" spans="1:14" x14ac:dyDescent="0.3">
      <c r="A15509" s="42"/>
      <c r="C15509" s="52"/>
      <c r="D15509"/>
      <c r="E15509"/>
      <c r="F15509"/>
      <c r="N15509" s="56"/>
    </row>
    <row r="15510" spans="1:14" x14ac:dyDescent="0.3">
      <c r="A15510" s="42"/>
      <c r="C15510" s="52"/>
      <c r="D15510"/>
      <c r="E15510"/>
      <c r="F15510"/>
      <c r="N15510" s="56"/>
    </row>
    <row r="15511" spans="1:14" x14ac:dyDescent="0.3">
      <c r="A15511" s="42"/>
      <c r="C15511" s="52"/>
      <c r="D15511"/>
      <c r="E15511"/>
      <c r="F15511"/>
      <c r="N15511" s="56"/>
    </row>
    <row r="15512" spans="1:14" x14ac:dyDescent="0.3">
      <c r="A15512" s="42"/>
      <c r="C15512" s="52"/>
      <c r="D15512"/>
      <c r="E15512"/>
      <c r="F15512"/>
      <c r="N15512" s="56"/>
    </row>
    <row r="15513" spans="1:14" x14ac:dyDescent="0.3">
      <c r="A15513" s="42"/>
      <c r="C15513" s="52"/>
      <c r="D15513"/>
      <c r="E15513"/>
      <c r="F15513"/>
      <c r="N15513" s="56"/>
    </row>
    <row r="15514" spans="1:14" x14ac:dyDescent="0.3">
      <c r="A15514" s="42"/>
      <c r="C15514" s="52"/>
      <c r="D15514"/>
      <c r="E15514"/>
      <c r="F15514"/>
      <c r="N15514" s="56"/>
    </row>
    <row r="15515" spans="1:14" x14ac:dyDescent="0.3">
      <c r="A15515" s="42"/>
      <c r="C15515" s="52"/>
      <c r="D15515"/>
      <c r="E15515"/>
      <c r="F15515"/>
      <c r="N15515" s="56"/>
    </row>
    <row r="15516" spans="1:14" x14ac:dyDescent="0.3">
      <c r="A15516" s="42"/>
      <c r="C15516" s="52"/>
      <c r="D15516"/>
      <c r="E15516"/>
      <c r="F15516"/>
      <c r="N15516" s="56"/>
    </row>
    <row r="15517" spans="1:14" x14ac:dyDescent="0.3">
      <c r="A15517" s="42"/>
      <c r="C15517" s="52"/>
      <c r="D15517"/>
      <c r="E15517"/>
      <c r="F15517"/>
      <c r="N15517" s="56"/>
    </row>
    <row r="15518" spans="1:14" x14ac:dyDescent="0.3">
      <c r="A15518" s="42"/>
      <c r="C15518" s="52"/>
      <c r="D15518"/>
      <c r="E15518"/>
      <c r="F15518"/>
      <c r="N15518" s="56"/>
    </row>
    <row r="15519" spans="1:14" x14ac:dyDescent="0.3">
      <c r="A15519" s="42"/>
      <c r="C15519" s="52"/>
      <c r="D15519"/>
      <c r="E15519"/>
      <c r="F15519"/>
      <c r="N15519" s="56"/>
    </row>
    <row r="15520" spans="1:14" x14ac:dyDescent="0.3">
      <c r="A15520" s="42"/>
      <c r="C15520" s="52"/>
      <c r="D15520"/>
      <c r="E15520"/>
      <c r="F15520"/>
      <c r="N15520" s="56"/>
    </row>
    <row r="15521" spans="1:14" x14ac:dyDescent="0.3">
      <c r="A15521" s="42"/>
      <c r="C15521" s="52"/>
      <c r="D15521"/>
      <c r="E15521"/>
      <c r="F15521"/>
      <c r="N15521" s="56"/>
    </row>
    <row r="15522" spans="1:14" x14ac:dyDescent="0.3">
      <c r="A15522" s="42"/>
      <c r="C15522" s="52"/>
      <c r="D15522"/>
      <c r="E15522"/>
      <c r="F15522"/>
      <c r="N15522" s="56"/>
    </row>
    <row r="15523" spans="1:14" x14ac:dyDescent="0.3">
      <c r="A15523" s="42"/>
      <c r="C15523" s="52"/>
      <c r="D15523"/>
      <c r="E15523"/>
      <c r="F15523"/>
      <c r="N15523" s="56"/>
    </row>
    <row r="15524" spans="1:14" x14ac:dyDescent="0.3">
      <c r="A15524" s="42"/>
      <c r="C15524" s="52"/>
      <c r="D15524"/>
      <c r="E15524"/>
      <c r="F15524"/>
      <c r="N15524" s="56"/>
    </row>
    <row r="15525" spans="1:14" x14ac:dyDescent="0.3">
      <c r="A15525" s="42"/>
      <c r="C15525" s="52"/>
      <c r="D15525"/>
      <c r="E15525"/>
      <c r="F15525"/>
      <c r="N15525" s="56"/>
    </row>
    <row r="15526" spans="1:14" x14ac:dyDescent="0.3">
      <c r="A15526" s="42"/>
      <c r="C15526" s="52"/>
      <c r="D15526"/>
      <c r="E15526"/>
      <c r="F15526"/>
      <c r="N15526" s="56"/>
    </row>
    <row r="15527" spans="1:14" x14ac:dyDescent="0.3">
      <c r="A15527" s="42"/>
      <c r="C15527" s="52"/>
      <c r="D15527"/>
      <c r="E15527"/>
      <c r="F15527"/>
      <c r="N15527" s="56"/>
    </row>
    <row r="15528" spans="1:14" x14ac:dyDescent="0.3">
      <c r="A15528" s="42"/>
      <c r="C15528" s="52"/>
      <c r="D15528"/>
      <c r="E15528"/>
      <c r="F15528"/>
      <c r="N15528" s="56"/>
    </row>
    <row r="15529" spans="1:14" x14ac:dyDescent="0.3">
      <c r="A15529" s="42"/>
      <c r="C15529" s="52"/>
      <c r="D15529"/>
      <c r="E15529"/>
      <c r="F15529"/>
      <c r="N15529" s="56"/>
    </row>
    <row r="15530" spans="1:14" x14ac:dyDescent="0.3">
      <c r="A15530" s="42"/>
      <c r="C15530" s="52"/>
      <c r="D15530"/>
      <c r="E15530"/>
      <c r="F15530"/>
      <c r="N15530" s="56"/>
    </row>
    <row r="15531" spans="1:14" x14ac:dyDescent="0.3">
      <c r="A15531" s="42"/>
      <c r="C15531" s="52"/>
      <c r="D15531"/>
      <c r="E15531"/>
      <c r="F15531"/>
      <c r="N15531" s="56"/>
    </row>
    <row r="15532" spans="1:14" x14ac:dyDescent="0.3">
      <c r="A15532" s="42"/>
      <c r="C15532" s="52"/>
      <c r="D15532"/>
      <c r="E15532"/>
      <c r="F15532"/>
      <c r="N15532" s="56"/>
    </row>
    <row r="15533" spans="1:14" x14ac:dyDescent="0.3">
      <c r="A15533" s="42"/>
      <c r="C15533" s="52"/>
      <c r="D15533"/>
      <c r="E15533"/>
      <c r="F15533"/>
      <c r="N15533" s="56"/>
    </row>
    <row r="15534" spans="1:14" x14ac:dyDescent="0.3">
      <c r="A15534" s="42"/>
      <c r="C15534" s="52"/>
      <c r="D15534"/>
      <c r="E15534"/>
      <c r="F15534"/>
      <c r="N15534" s="56"/>
    </row>
    <row r="15535" spans="1:14" x14ac:dyDescent="0.3">
      <c r="A15535" s="42"/>
      <c r="C15535" s="52"/>
      <c r="D15535"/>
      <c r="E15535"/>
      <c r="F15535"/>
      <c r="N15535" s="56"/>
    </row>
    <row r="15536" spans="1:14" x14ac:dyDescent="0.3">
      <c r="A15536" s="42"/>
      <c r="C15536" s="52"/>
      <c r="D15536"/>
      <c r="E15536"/>
      <c r="F15536"/>
      <c r="N15536" s="56"/>
    </row>
    <row r="15537" spans="1:14" x14ac:dyDescent="0.3">
      <c r="A15537" s="42"/>
      <c r="C15537" s="52"/>
      <c r="D15537"/>
      <c r="E15537"/>
      <c r="F15537"/>
      <c r="N15537" s="56"/>
    </row>
    <row r="15538" spans="1:14" x14ac:dyDescent="0.3">
      <c r="A15538" s="42"/>
      <c r="C15538" s="52"/>
      <c r="D15538"/>
      <c r="E15538"/>
      <c r="F15538"/>
      <c r="N15538" s="56"/>
    </row>
    <row r="15539" spans="1:14" x14ac:dyDescent="0.3">
      <c r="A15539" s="42"/>
      <c r="C15539" s="52"/>
      <c r="D15539"/>
      <c r="E15539"/>
      <c r="F15539"/>
      <c r="N15539" s="56"/>
    </row>
    <row r="15540" spans="1:14" x14ac:dyDescent="0.3">
      <c r="A15540" s="42"/>
      <c r="C15540" s="52"/>
      <c r="D15540"/>
      <c r="E15540"/>
      <c r="F15540"/>
      <c r="N15540" s="56"/>
    </row>
    <row r="15541" spans="1:14" x14ac:dyDescent="0.3">
      <c r="A15541" s="42"/>
      <c r="C15541" s="52"/>
      <c r="D15541"/>
      <c r="E15541"/>
      <c r="F15541"/>
      <c r="N15541" s="56"/>
    </row>
    <row r="15542" spans="1:14" x14ac:dyDescent="0.3">
      <c r="A15542" s="42"/>
      <c r="C15542" s="52"/>
      <c r="D15542"/>
      <c r="E15542"/>
      <c r="F15542"/>
      <c r="N15542" s="56"/>
    </row>
    <row r="15543" spans="1:14" x14ac:dyDescent="0.3">
      <c r="A15543" s="42"/>
      <c r="C15543" s="52"/>
      <c r="D15543"/>
      <c r="E15543"/>
      <c r="F15543"/>
      <c r="N15543" s="56"/>
    </row>
    <row r="15544" spans="1:14" x14ac:dyDescent="0.3">
      <c r="A15544" s="42"/>
      <c r="C15544" s="52"/>
      <c r="D15544"/>
      <c r="E15544"/>
      <c r="F15544"/>
      <c r="N15544" s="56"/>
    </row>
    <row r="15545" spans="1:14" x14ac:dyDescent="0.3">
      <c r="A15545" s="42"/>
      <c r="C15545" s="52"/>
      <c r="D15545"/>
      <c r="E15545"/>
      <c r="F15545"/>
      <c r="N15545" s="56"/>
    </row>
    <row r="15546" spans="1:14" x14ac:dyDescent="0.3">
      <c r="A15546" s="42"/>
      <c r="C15546" s="52"/>
      <c r="D15546"/>
      <c r="E15546"/>
      <c r="F15546"/>
      <c r="N15546" s="56"/>
    </row>
    <row r="15547" spans="1:14" x14ac:dyDescent="0.3">
      <c r="A15547" s="42"/>
      <c r="C15547" s="52"/>
      <c r="D15547"/>
      <c r="E15547"/>
      <c r="F15547"/>
      <c r="N15547" s="56"/>
    </row>
    <row r="15548" spans="1:14" x14ac:dyDescent="0.3">
      <c r="A15548" s="42"/>
      <c r="C15548" s="52"/>
      <c r="D15548"/>
      <c r="E15548"/>
      <c r="F15548"/>
      <c r="N15548" s="56"/>
    </row>
    <row r="15549" spans="1:14" x14ac:dyDescent="0.3">
      <c r="A15549" s="42"/>
      <c r="C15549" s="52"/>
      <c r="D15549"/>
      <c r="E15549"/>
      <c r="F15549"/>
      <c r="N15549" s="56"/>
    </row>
    <row r="15550" spans="1:14" x14ac:dyDescent="0.3">
      <c r="A15550" s="42"/>
      <c r="C15550" s="52"/>
      <c r="D15550"/>
      <c r="E15550"/>
      <c r="F15550"/>
      <c r="N15550" s="56"/>
    </row>
    <row r="15551" spans="1:14" x14ac:dyDescent="0.3">
      <c r="A15551" s="42"/>
      <c r="C15551" s="52"/>
      <c r="D15551"/>
      <c r="E15551"/>
      <c r="F15551"/>
      <c r="N15551" s="56"/>
    </row>
    <row r="15552" spans="1:14" x14ac:dyDescent="0.3">
      <c r="A15552" s="42"/>
      <c r="C15552" s="52"/>
      <c r="D15552"/>
      <c r="E15552"/>
      <c r="F15552"/>
      <c r="N15552" s="56"/>
    </row>
    <row r="15553" spans="1:14" x14ac:dyDescent="0.3">
      <c r="A15553" s="42"/>
      <c r="C15553" s="52"/>
      <c r="D15553"/>
      <c r="E15553"/>
      <c r="F15553"/>
      <c r="N15553" s="56"/>
    </row>
    <row r="15554" spans="1:14" x14ac:dyDescent="0.3">
      <c r="A15554" s="42"/>
      <c r="C15554" s="52"/>
      <c r="D15554"/>
      <c r="E15554"/>
      <c r="F15554"/>
      <c r="N15554" s="56"/>
    </row>
    <row r="15555" spans="1:14" x14ac:dyDescent="0.3">
      <c r="A15555" s="42"/>
      <c r="C15555" s="52"/>
      <c r="D15555"/>
      <c r="E15555"/>
      <c r="F15555"/>
      <c r="N15555" s="56"/>
    </row>
    <row r="15556" spans="1:14" x14ac:dyDescent="0.3">
      <c r="A15556" s="42"/>
      <c r="C15556" s="52"/>
      <c r="D15556"/>
      <c r="E15556"/>
      <c r="F15556"/>
      <c r="N15556" s="56"/>
    </row>
    <row r="15557" spans="1:14" x14ac:dyDescent="0.3">
      <c r="A15557" s="42"/>
      <c r="C15557" s="52"/>
      <c r="D15557"/>
      <c r="E15557"/>
      <c r="F15557"/>
      <c r="N15557" s="56"/>
    </row>
    <row r="15558" spans="1:14" x14ac:dyDescent="0.3">
      <c r="A15558" s="42"/>
      <c r="C15558" s="52"/>
      <c r="D15558"/>
      <c r="E15558"/>
      <c r="F15558"/>
      <c r="N15558" s="56"/>
    </row>
    <row r="15559" spans="1:14" x14ac:dyDescent="0.3">
      <c r="A15559" s="42"/>
      <c r="C15559" s="52"/>
      <c r="D15559"/>
      <c r="E15559"/>
      <c r="F15559"/>
      <c r="N15559" s="56"/>
    </row>
    <row r="15560" spans="1:14" x14ac:dyDescent="0.3">
      <c r="A15560" s="42"/>
      <c r="C15560" s="52"/>
      <c r="D15560"/>
      <c r="E15560"/>
      <c r="F15560"/>
      <c r="N15560" s="56"/>
    </row>
    <row r="15561" spans="1:14" x14ac:dyDescent="0.3">
      <c r="A15561" s="42"/>
      <c r="C15561" s="52"/>
      <c r="D15561"/>
      <c r="E15561"/>
      <c r="F15561"/>
      <c r="N15561" s="56"/>
    </row>
    <row r="15562" spans="1:14" x14ac:dyDescent="0.3">
      <c r="A15562" s="42"/>
      <c r="C15562" s="52"/>
      <c r="D15562"/>
      <c r="E15562"/>
      <c r="F15562"/>
      <c r="N15562" s="56"/>
    </row>
    <row r="15563" spans="1:14" x14ac:dyDescent="0.3">
      <c r="A15563" s="42"/>
      <c r="C15563" s="52"/>
      <c r="D15563"/>
      <c r="E15563"/>
      <c r="F15563"/>
      <c r="N15563" s="56"/>
    </row>
    <row r="15564" spans="1:14" x14ac:dyDescent="0.3">
      <c r="A15564" s="42"/>
      <c r="C15564" s="52"/>
      <c r="D15564"/>
      <c r="E15564"/>
      <c r="F15564"/>
      <c r="M15564" s="45"/>
      <c r="N15564" s="56"/>
    </row>
    <row r="15565" spans="1:14" x14ac:dyDescent="0.3">
      <c r="A15565" s="42"/>
      <c r="C15565" s="52"/>
      <c r="D15565"/>
      <c r="E15565"/>
      <c r="F15565"/>
      <c r="N15565" s="56"/>
    </row>
    <row r="15566" spans="1:14" x14ac:dyDescent="0.3">
      <c r="A15566" s="42"/>
      <c r="C15566" s="52"/>
      <c r="D15566"/>
      <c r="E15566"/>
      <c r="F15566"/>
      <c r="N15566" s="56"/>
    </row>
    <row r="15567" spans="1:14" x14ac:dyDescent="0.3">
      <c r="A15567" s="42"/>
      <c r="C15567" s="52"/>
      <c r="D15567"/>
      <c r="E15567"/>
      <c r="F15567"/>
      <c r="N15567" s="56"/>
    </row>
    <row r="15568" spans="1:14" x14ac:dyDescent="0.3">
      <c r="A15568" s="42"/>
      <c r="C15568" s="52"/>
      <c r="D15568"/>
      <c r="E15568"/>
      <c r="F15568"/>
      <c r="N15568" s="56"/>
    </row>
    <row r="15569" spans="1:14" x14ac:dyDescent="0.3">
      <c r="A15569" s="42"/>
      <c r="C15569" s="52"/>
      <c r="D15569"/>
      <c r="E15569"/>
      <c r="F15569"/>
      <c r="N15569" s="56"/>
    </row>
    <row r="15570" spans="1:14" x14ac:dyDescent="0.3">
      <c r="A15570" s="42"/>
      <c r="C15570" s="52"/>
      <c r="D15570"/>
      <c r="E15570"/>
      <c r="F15570"/>
      <c r="N15570" s="56"/>
    </row>
    <row r="15571" spans="1:14" x14ac:dyDescent="0.3">
      <c r="A15571" s="42"/>
      <c r="C15571" s="52"/>
      <c r="D15571"/>
      <c r="E15571"/>
      <c r="F15571"/>
      <c r="N15571" s="56"/>
    </row>
    <row r="15572" spans="1:14" x14ac:dyDescent="0.3">
      <c r="A15572" s="42"/>
      <c r="C15572" s="52"/>
      <c r="D15572"/>
      <c r="E15572"/>
      <c r="F15572"/>
      <c r="N15572" s="56"/>
    </row>
    <row r="15573" spans="1:14" x14ac:dyDescent="0.3">
      <c r="A15573" s="42"/>
      <c r="C15573" s="52"/>
      <c r="D15573"/>
      <c r="E15573"/>
      <c r="F15573"/>
      <c r="N15573" s="56"/>
    </row>
    <row r="15574" spans="1:14" x14ac:dyDescent="0.3">
      <c r="A15574" s="42"/>
      <c r="C15574" s="52"/>
      <c r="D15574"/>
      <c r="E15574"/>
      <c r="F15574"/>
      <c r="N15574" s="56"/>
    </row>
    <row r="15575" spans="1:14" x14ac:dyDescent="0.3">
      <c r="A15575" s="42"/>
      <c r="C15575" s="52"/>
      <c r="D15575"/>
      <c r="E15575"/>
      <c r="F15575"/>
      <c r="N15575" s="56"/>
    </row>
    <row r="15576" spans="1:14" x14ac:dyDescent="0.3">
      <c r="A15576" s="42"/>
      <c r="C15576" s="52"/>
      <c r="D15576"/>
      <c r="E15576"/>
      <c r="F15576"/>
      <c r="N15576" s="56"/>
    </row>
    <row r="15577" spans="1:14" x14ac:dyDescent="0.3">
      <c r="A15577" s="42"/>
      <c r="C15577" s="52"/>
      <c r="D15577"/>
      <c r="E15577"/>
      <c r="F15577"/>
      <c r="N15577" s="56"/>
    </row>
    <row r="15578" spans="1:14" x14ac:dyDescent="0.3">
      <c r="A15578" s="42"/>
      <c r="C15578" s="52"/>
      <c r="D15578"/>
      <c r="E15578"/>
      <c r="F15578"/>
      <c r="N15578" s="56"/>
    </row>
    <row r="15579" spans="1:14" x14ac:dyDescent="0.3">
      <c r="A15579" s="42"/>
      <c r="C15579" s="52"/>
      <c r="D15579"/>
      <c r="E15579"/>
      <c r="F15579"/>
      <c r="N15579" s="56"/>
    </row>
    <row r="15580" spans="1:14" x14ac:dyDescent="0.3">
      <c r="A15580" s="42"/>
      <c r="C15580" s="52"/>
      <c r="D15580"/>
      <c r="E15580"/>
      <c r="F15580"/>
      <c r="N15580" s="56"/>
    </row>
    <row r="15581" spans="1:14" x14ac:dyDescent="0.3">
      <c r="A15581" s="42"/>
      <c r="C15581" s="52"/>
      <c r="D15581"/>
      <c r="E15581"/>
      <c r="F15581"/>
      <c r="N15581" s="56"/>
    </row>
    <row r="15582" spans="1:14" x14ac:dyDescent="0.3">
      <c r="A15582" s="42"/>
      <c r="C15582" s="52"/>
      <c r="D15582"/>
      <c r="E15582"/>
      <c r="F15582"/>
      <c r="N15582" s="56"/>
    </row>
    <row r="15583" spans="1:14" x14ac:dyDescent="0.3">
      <c r="A15583" s="42"/>
      <c r="C15583" s="52"/>
      <c r="D15583"/>
      <c r="E15583"/>
      <c r="F15583"/>
      <c r="N15583" s="56"/>
    </row>
    <row r="15584" spans="1:14" x14ac:dyDescent="0.3">
      <c r="A15584" s="42"/>
      <c r="C15584" s="52"/>
      <c r="D15584"/>
      <c r="E15584"/>
      <c r="F15584"/>
      <c r="N15584" s="56"/>
    </row>
    <row r="15585" spans="1:14" x14ac:dyDescent="0.3">
      <c r="A15585" s="42"/>
      <c r="C15585" s="52"/>
      <c r="D15585"/>
      <c r="E15585"/>
      <c r="F15585"/>
      <c r="N15585" s="56"/>
    </row>
    <row r="15586" spans="1:14" x14ac:dyDescent="0.3">
      <c r="A15586" s="42"/>
      <c r="C15586" s="52"/>
      <c r="D15586"/>
      <c r="E15586"/>
      <c r="F15586"/>
      <c r="N15586" s="56"/>
    </row>
    <row r="15587" spans="1:14" x14ac:dyDescent="0.3">
      <c r="A15587" s="42"/>
      <c r="C15587" s="52"/>
      <c r="D15587"/>
      <c r="E15587"/>
      <c r="F15587"/>
      <c r="N15587" s="56"/>
    </row>
    <row r="15588" spans="1:14" x14ac:dyDescent="0.3">
      <c r="A15588" s="42"/>
      <c r="C15588" s="52"/>
      <c r="D15588"/>
      <c r="E15588"/>
      <c r="F15588"/>
      <c r="N15588" s="56"/>
    </row>
    <row r="15589" spans="1:14" x14ac:dyDescent="0.3">
      <c r="A15589" s="42"/>
      <c r="C15589" s="52"/>
      <c r="D15589"/>
      <c r="E15589"/>
      <c r="F15589"/>
      <c r="N15589" s="56"/>
    </row>
    <row r="15590" spans="1:14" x14ac:dyDescent="0.3">
      <c r="A15590" s="42"/>
      <c r="C15590" s="52"/>
      <c r="D15590"/>
      <c r="E15590"/>
      <c r="F15590"/>
      <c r="N15590" s="56"/>
    </row>
    <row r="15591" spans="1:14" x14ac:dyDescent="0.3">
      <c r="A15591" s="42"/>
      <c r="C15591" s="52"/>
      <c r="D15591"/>
      <c r="E15591"/>
      <c r="F15591"/>
      <c r="N15591" s="56"/>
    </row>
    <row r="15592" spans="1:14" x14ac:dyDescent="0.3">
      <c r="A15592" s="42"/>
      <c r="C15592" s="52"/>
      <c r="D15592"/>
      <c r="E15592"/>
      <c r="F15592"/>
      <c r="N15592" s="56"/>
    </row>
    <row r="15593" spans="1:14" x14ac:dyDescent="0.3">
      <c r="A15593" s="42"/>
      <c r="C15593" s="52"/>
      <c r="D15593"/>
      <c r="E15593"/>
      <c r="F15593"/>
      <c r="N15593" s="56"/>
    </row>
    <row r="15594" spans="1:14" x14ac:dyDescent="0.3">
      <c r="A15594" s="42"/>
      <c r="C15594" s="52"/>
      <c r="D15594"/>
      <c r="E15594"/>
      <c r="F15594"/>
      <c r="N15594" s="56"/>
    </row>
    <row r="15595" spans="1:14" x14ac:dyDescent="0.3">
      <c r="A15595" s="42"/>
      <c r="C15595" s="52"/>
      <c r="D15595"/>
      <c r="E15595"/>
      <c r="F15595"/>
      <c r="N15595" s="56"/>
    </row>
    <row r="15596" spans="1:14" x14ac:dyDescent="0.3">
      <c r="A15596" s="42"/>
      <c r="C15596" s="52"/>
      <c r="D15596"/>
      <c r="E15596"/>
      <c r="F15596"/>
      <c r="N15596" s="56"/>
    </row>
    <row r="15597" spans="1:14" x14ac:dyDescent="0.3">
      <c r="A15597" s="42"/>
      <c r="C15597" s="52"/>
      <c r="D15597"/>
      <c r="E15597"/>
      <c r="F15597"/>
      <c r="N15597" s="56"/>
    </row>
    <row r="15598" spans="1:14" x14ac:dyDescent="0.3">
      <c r="A15598" s="42"/>
      <c r="C15598" s="52"/>
      <c r="D15598"/>
      <c r="E15598"/>
      <c r="F15598"/>
      <c r="N15598" s="56"/>
    </row>
    <row r="15599" spans="1:14" x14ac:dyDescent="0.3">
      <c r="A15599" s="42"/>
      <c r="C15599" s="52"/>
      <c r="D15599"/>
      <c r="E15599"/>
      <c r="F15599"/>
      <c r="N15599" s="56"/>
    </row>
    <row r="15600" spans="1:14" x14ac:dyDescent="0.3">
      <c r="A15600" s="42"/>
      <c r="C15600" s="52"/>
      <c r="D15600"/>
      <c r="E15600"/>
      <c r="F15600"/>
      <c r="N15600" s="56"/>
    </row>
    <row r="15601" spans="1:14" x14ac:dyDescent="0.3">
      <c r="A15601" s="42"/>
      <c r="C15601" s="52"/>
      <c r="D15601"/>
      <c r="E15601"/>
      <c r="F15601"/>
      <c r="N15601" s="56"/>
    </row>
    <row r="15602" spans="1:14" x14ac:dyDescent="0.3">
      <c r="A15602" s="42"/>
      <c r="C15602" s="52"/>
      <c r="D15602"/>
      <c r="E15602"/>
      <c r="F15602"/>
      <c r="N15602" s="56"/>
    </row>
    <row r="15603" spans="1:14" x14ac:dyDescent="0.3">
      <c r="A15603" s="42"/>
      <c r="C15603" s="52"/>
      <c r="D15603"/>
      <c r="E15603"/>
      <c r="F15603"/>
      <c r="N15603" s="56"/>
    </row>
    <row r="15604" spans="1:14" x14ac:dyDescent="0.3">
      <c r="A15604" s="42"/>
      <c r="C15604" s="52"/>
      <c r="D15604"/>
      <c r="E15604"/>
      <c r="F15604"/>
      <c r="N15604" s="56"/>
    </row>
    <row r="15605" spans="1:14" x14ac:dyDescent="0.3">
      <c r="A15605" s="42"/>
      <c r="C15605" s="52"/>
      <c r="D15605"/>
      <c r="E15605"/>
      <c r="F15605"/>
      <c r="N15605" s="56"/>
    </row>
    <row r="15606" spans="1:14" x14ac:dyDescent="0.3">
      <c r="A15606" s="42"/>
      <c r="C15606" s="52"/>
      <c r="D15606"/>
      <c r="E15606"/>
      <c r="F15606"/>
      <c r="N15606" s="56"/>
    </row>
    <row r="15607" spans="1:14" x14ac:dyDescent="0.3">
      <c r="A15607" s="42"/>
      <c r="C15607" s="52"/>
      <c r="D15607"/>
      <c r="E15607"/>
      <c r="F15607"/>
      <c r="N15607" s="56"/>
    </row>
    <row r="15608" spans="1:14" x14ac:dyDescent="0.3">
      <c r="A15608" s="42"/>
      <c r="C15608" s="52"/>
      <c r="D15608"/>
      <c r="E15608"/>
      <c r="F15608"/>
      <c r="N15608" s="56"/>
    </row>
    <row r="15609" spans="1:14" x14ac:dyDescent="0.3">
      <c r="A15609" s="42"/>
      <c r="C15609" s="52"/>
      <c r="D15609"/>
      <c r="E15609"/>
      <c r="F15609"/>
      <c r="N15609" s="56"/>
    </row>
    <row r="15610" spans="1:14" x14ac:dyDescent="0.3">
      <c r="A15610" s="42"/>
      <c r="C15610" s="52"/>
      <c r="D15610"/>
      <c r="E15610"/>
      <c r="F15610"/>
      <c r="N15610" s="56"/>
    </row>
    <row r="15611" spans="1:14" x14ac:dyDescent="0.3">
      <c r="A15611" s="42"/>
      <c r="C15611" s="52"/>
      <c r="D15611"/>
      <c r="E15611"/>
      <c r="F15611"/>
      <c r="N15611" s="56"/>
    </row>
    <row r="15612" spans="1:14" x14ac:dyDescent="0.3">
      <c r="A15612" s="42"/>
      <c r="C15612" s="52"/>
      <c r="D15612"/>
      <c r="E15612"/>
      <c r="F15612"/>
      <c r="N15612" s="56"/>
    </row>
    <row r="15613" spans="1:14" x14ac:dyDescent="0.3">
      <c r="A15613" s="42"/>
      <c r="C15613" s="52"/>
      <c r="D15613"/>
      <c r="E15613"/>
      <c r="F15613"/>
      <c r="N15613" s="56"/>
    </row>
    <row r="15614" spans="1:14" x14ac:dyDescent="0.3">
      <c r="A15614" s="42"/>
      <c r="C15614" s="52"/>
      <c r="D15614"/>
      <c r="E15614"/>
      <c r="F15614"/>
      <c r="N15614" s="56"/>
    </row>
    <row r="15615" spans="1:14" x14ac:dyDescent="0.3">
      <c r="A15615" s="42"/>
      <c r="C15615" s="52"/>
      <c r="D15615"/>
      <c r="E15615"/>
      <c r="F15615"/>
      <c r="N15615" s="56"/>
    </row>
    <row r="15616" spans="1:14" x14ac:dyDescent="0.3">
      <c r="A15616" s="42"/>
      <c r="C15616" s="52"/>
      <c r="D15616"/>
      <c r="E15616"/>
      <c r="F15616"/>
      <c r="N15616" s="56"/>
    </row>
    <row r="15617" spans="1:14" x14ac:dyDescent="0.3">
      <c r="A15617" s="42"/>
      <c r="C15617" s="52"/>
      <c r="D15617"/>
      <c r="E15617"/>
      <c r="F15617"/>
      <c r="N15617" s="56"/>
    </row>
    <row r="15618" spans="1:14" x14ac:dyDescent="0.3">
      <c r="A15618" s="42"/>
      <c r="C15618" s="52"/>
      <c r="D15618"/>
      <c r="E15618"/>
      <c r="F15618"/>
      <c r="N15618" s="56"/>
    </row>
    <row r="15619" spans="1:14" x14ac:dyDescent="0.3">
      <c r="A15619" s="42"/>
      <c r="C15619" s="52"/>
      <c r="D15619"/>
      <c r="E15619"/>
      <c r="F15619"/>
      <c r="N15619" s="56"/>
    </row>
    <row r="15620" spans="1:14" x14ac:dyDescent="0.3">
      <c r="A15620" s="42"/>
      <c r="C15620" s="52"/>
      <c r="D15620"/>
      <c r="E15620"/>
      <c r="F15620"/>
      <c r="N15620" s="56"/>
    </row>
    <row r="15621" spans="1:14" x14ac:dyDescent="0.3">
      <c r="A15621" s="42"/>
      <c r="C15621" s="52"/>
      <c r="D15621"/>
      <c r="E15621"/>
      <c r="F15621"/>
      <c r="N15621" s="56"/>
    </row>
    <row r="15622" spans="1:14" x14ac:dyDescent="0.3">
      <c r="A15622" s="42"/>
      <c r="C15622" s="52"/>
      <c r="D15622"/>
      <c r="E15622"/>
      <c r="F15622"/>
      <c r="N15622" s="56"/>
    </row>
    <row r="15623" spans="1:14" x14ac:dyDescent="0.3">
      <c r="A15623" s="42"/>
      <c r="C15623" s="52"/>
      <c r="D15623"/>
      <c r="E15623"/>
      <c r="F15623"/>
      <c r="N15623" s="56"/>
    </row>
    <row r="15624" spans="1:14" x14ac:dyDescent="0.3">
      <c r="A15624" s="42"/>
      <c r="C15624" s="52"/>
      <c r="D15624"/>
      <c r="E15624"/>
      <c r="F15624"/>
      <c r="N15624" s="56"/>
    </row>
    <row r="15625" spans="1:14" x14ac:dyDescent="0.3">
      <c r="A15625" s="42"/>
      <c r="C15625" s="52"/>
      <c r="D15625"/>
      <c r="E15625"/>
      <c r="F15625"/>
      <c r="N15625" s="56"/>
    </row>
    <row r="15626" spans="1:14" x14ac:dyDescent="0.3">
      <c r="A15626" s="42"/>
      <c r="C15626" s="52"/>
      <c r="D15626"/>
      <c r="E15626"/>
      <c r="F15626"/>
      <c r="N15626" s="56"/>
    </row>
    <row r="15627" spans="1:14" x14ac:dyDescent="0.3">
      <c r="A15627" s="42"/>
      <c r="C15627" s="52"/>
      <c r="D15627"/>
      <c r="E15627"/>
      <c r="F15627"/>
      <c r="N15627" s="56"/>
    </row>
    <row r="15628" spans="1:14" x14ac:dyDescent="0.3">
      <c r="A15628" s="42"/>
      <c r="C15628" s="52"/>
      <c r="D15628"/>
      <c r="E15628"/>
      <c r="F15628"/>
      <c r="N15628" s="56"/>
    </row>
    <row r="15629" spans="1:14" x14ac:dyDescent="0.3">
      <c r="A15629" s="42"/>
      <c r="C15629" s="52"/>
      <c r="D15629"/>
      <c r="E15629"/>
      <c r="F15629"/>
      <c r="N15629" s="56"/>
    </row>
    <row r="15630" spans="1:14" x14ac:dyDescent="0.3">
      <c r="A15630" s="42"/>
      <c r="C15630" s="52"/>
      <c r="D15630"/>
      <c r="E15630"/>
      <c r="F15630"/>
      <c r="N15630" s="56"/>
    </row>
    <row r="15631" spans="1:14" x14ac:dyDescent="0.3">
      <c r="A15631" s="42"/>
      <c r="C15631" s="52"/>
      <c r="D15631"/>
      <c r="E15631"/>
      <c r="F15631"/>
      <c r="N15631" s="56"/>
    </row>
    <row r="15632" spans="1:14" x14ac:dyDescent="0.3">
      <c r="A15632" s="42"/>
      <c r="C15632" s="52"/>
      <c r="D15632"/>
      <c r="E15632"/>
      <c r="F15632"/>
      <c r="N15632" s="56"/>
    </row>
    <row r="15633" spans="1:14" x14ac:dyDescent="0.3">
      <c r="A15633" s="42"/>
      <c r="C15633" s="52"/>
      <c r="D15633"/>
      <c r="E15633"/>
      <c r="F15633"/>
      <c r="N15633" s="56"/>
    </row>
    <row r="15634" spans="1:14" x14ac:dyDescent="0.3">
      <c r="A15634" s="42"/>
      <c r="C15634" s="52"/>
      <c r="D15634"/>
      <c r="E15634"/>
      <c r="F15634"/>
      <c r="N15634" s="56"/>
    </row>
    <row r="15635" spans="1:14" x14ac:dyDescent="0.3">
      <c r="A15635" s="42"/>
      <c r="C15635" s="52"/>
      <c r="D15635"/>
      <c r="E15635"/>
      <c r="F15635"/>
      <c r="N15635" s="56"/>
    </row>
    <row r="15636" spans="1:14" x14ac:dyDescent="0.3">
      <c r="A15636" s="42"/>
      <c r="C15636" s="52"/>
      <c r="D15636"/>
      <c r="E15636"/>
      <c r="F15636"/>
      <c r="N15636" s="56"/>
    </row>
    <row r="15637" spans="1:14" x14ac:dyDescent="0.3">
      <c r="A15637" s="42"/>
      <c r="C15637" s="52"/>
      <c r="D15637"/>
      <c r="E15637"/>
      <c r="F15637"/>
      <c r="N15637" s="56"/>
    </row>
    <row r="15638" spans="1:14" x14ac:dyDescent="0.3">
      <c r="A15638" s="42"/>
      <c r="C15638" s="52"/>
      <c r="D15638"/>
      <c r="E15638"/>
      <c r="F15638"/>
      <c r="N15638" s="56"/>
    </row>
    <row r="15639" spans="1:14" x14ac:dyDescent="0.3">
      <c r="A15639" s="42"/>
      <c r="C15639" s="52"/>
      <c r="D15639"/>
      <c r="E15639"/>
      <c r="F15639"/>
      <c r="N15639" s="56"/>
    </row>
    <row r="15640" spans="1:14" x14ac:dyDescent="0.3">
      <c r="A15640" s="42"/>
      <c r="C15640" s="52"/>
      <c r="D15640"/>
      <c r="E15640"/>
      <c r="F15640"/>
      <c r="N15640" s="56"/>
    </row>
    <row r="15641" spans="1:14" x14ac:dyDescent="0.3">
      <c r="A15641" s="42"/>
      <c r="C15641" s="52"/>
      <c r="D15641"/>
      <c r="E15641"/>
      <c r="F15641"/>
      <c r="N15641" s="56"/>
    </row>
    <row r="15642" spans="1:14" x14ac:dyDescent="0.3">
      <c r="A15642" s="42"/>
      <c r="C15642" s="52"/>
      <c r="D15642"/>
      <c r="E15642"/>
      <c r="F15642"/>
      <c r="N15642" s="56"/>
    </row>
    <row r="15643" spans="1:14" x14ac:dyDescent="0.3">
      <c r="A15643" s="42"/>
      <c r="C15643" s="52"/>
      <c r="D15643"/>
      <c r="E15643"/>
      <c r="F15643"/>
      <c r="N15643" s="56"/>
    </row>
    <row r="15644" spans="1:14" x14ac:dyDescent="0.3">
      <c r="A15644" s="42"/>
      <c r="C15644" s="52"/>
      <c r="D15644"/>
      <c r="E15644"/>
      <c r="F15644"/>
      <c r="N15644" s="56"/>
    </row>
    <row r="15645" spans="1:14" x14ac:dyDescent="0.3">
      <c r="A15645" s="42"/>
      <c r="C15645" s="52"/>
      <c r="D15645"/>
      <c r="E15645"/>
      <c r="F15645"/>
      <c r="N15645" s="56"/>
    </row>
    <row r="15646" spans="1:14" x14ac:dyDescent="0.3">
      <c r="A15646" s="42"/>
      <c r="C15646" s="52"/>
      <c r="D15646"/>
      <c r="E15646"/>
      <c r="F15646"/>
      <c r="N15646" s="56"/>
    </row>
    <row r="15647" spans="1:14" x14ac:dyDescent="0.3">
      <c r="A15647" s="42"/>
      <c r="C15647" s="52"/>
      <c r="D15647"/>
      <c r="E15647"/>
      <c r="F15647"/>
      <c r="N15647" s="56"/>
    </row>
    <row r="15648" spans="1:14" x14ac:dyDescent="0.3">
      <c r="A15648" s="42"/>
      <c r="C15648" s="52"/>
      <c r="D15648"/>
      <c r="E15648"/>
      <c r="F15648"/>
      <c r="N15648" s="56"/>
    </row>
    <row r="15649" spans="1:14" x14ac:dyDescent="0.3">
      <c r="A15649" s="42"/>
      <c r="C15649" s="52"/>
      <c r="D15649"/>
      <c r="E15649"/>
      <c r="F15649"/>
      <c r="N15649" s="56"/>
    </row>
    <row r="15650" spans="1:14" x14ac:dyDescent="0.3">
      <c r="A15650" s="42"/>
      <c r="C15650" s="52"/>
      <c r="D15650"/>
      <c r="E15650"/>
      <c r="F15650"/>
      <c r="N15650" s="56"/>
    </row>
    <row r="15651" spans="1:14" x14ac:dyDescent="0.3">
      <c r="A15651" s="42"/>
      <c r="C15651" s="52"/>
      <c r="D15651"/>
      <c r="E15651"/>
      <c r="F15651"/>
      <c r="N15651" s="56"/>
    </row>
    <row r="15652" spans="1:14" x14ac:dyDescent="0.3">
      <c r="A15652" s="42"/>
      <c r="C15652" s="52"/>
      <c r="D15652"/>
      <c r="E15652"/>
      <c r="F15652"/>
      <c r="N15652" s="56"/>
    </row>
    <row r="15653" spans="1:14" x14ac:dyDescent="0.3">
      <c r="A15653" s="42"/>
      <c r="C15653" s="52"/>
      <c r="D15653"/>
      <c r="E15653"/>
      <c r="F15653"/>
      <c r="N15653" s="56"/>
    </row>
    <row r="15654" spans="1:14" x14ac:dyDescent="0.3">
      <c r="A15654" s="42"/>
      <c r="C15654" s="52"/>
      <c r="D15654"/>
      <c r="E15654"/>
      <c r="F15654"/>
      <c r="N15654" s="56"/>
    </row>
    <row r="15655" spans="1:14" x14ac:dyDescent="0.3">
      <c r="A15655" s="42"/>
      <c r="C15655" s="52"/>
      <c r="D15655"/>
      <c r="E15655"/>
      <c r="F15655"/>
      <c r="N15655" s="56"/>
    </row>
    <row r="15656" spans="1:14" x14ac:dyDescent="0.3">
      <c r="A15656" s="42"/>
      <c r="C15656" s="52"/>
      <c r="D15656"/>
      <c r="E15656"/>
      <c r="F15656"/>
      <c r="N15656" s="56"/>
    </row>
    <row r="15657" spans="1:14" x14ac:dyDescent="0.3">
      <c r="A15657" s="42"/>
      <c r="C15657" s="52"/>
      <c r="D15657"/>
      <c r="E15657"/>
      <c r="F15657"/>
      <c r="N15657" s="56"/>
    </row>
    <row r="15658" spans="1:14" x14ac:dyDescent="0.3">
      <c r="A15658" s="42"/>
      <c r="C15658" s="52"/>
      <c r="D15658"/>
      <c r="E15658"/>
      <c r="F15658"/>
      <c r="N15658" s="56"/>
    </row>
    <row r="15659" spans="1:14" x14ac:dyDescent="0.3">
      <c r="A15659" s="42"/>
      <c r="C15659" s="52"/>
      <c r="D15659"/>
      <c r="E15659"/>
      <c r="F15659"/>
      <c r="N15659" s="56"/>
    </row>
    <row r="15660" spans="1:14" x14ac:dyDescent="0.3">
      <c r="A15660" s="42"/>
      <c r="C15660" s="52"/>
      <c r="D15660"/>
      <c r="E15660"/>
      <c r="F15660"/>
      <c r="N15660" s="56"/>
    </row>
    <row r="15661" spans="1:14" x14ac:dyDescent="0.3">
      <c r="A15661" s="42"/>
      <c r="C15661" s="52"/>
      <c r="D15661"/>
      <c r="E15661"/>
      <c r="F15661"/>
      <c r="N15661" s="56"/>
    </row>
    <row r="15662" spans="1:14" x14ac:dyDescent="0.3">
      <c r="A15662" s="42"/>
      <c r="C15662" s="52"/>
      <c r="D15662"/>
      <c r="E15662"/>
      <c r="F15662"/>
      <c r="N15662" s="56"/>
    </row>
    <row r="15663" spans="1:14" x14ac:dyDescent="0.3">
      <c r="A15663" s="42"/>
      <c r="C15663" s="52"/>
      <c r="D15663"/>
      <c r="E15663"/>
      <c r="F15663"/>
      <c r="N15663" s="56"/>
    </row>
    <row r="15664" spans="1:14" x14ac:dyDescent="0.3">
      <c r="A15664" s="42"/>
      <c r="C15664" s="52"/>
      <c r="D15664"/>
      <c r="E15664"/>
      <c r="F15664"/>
      <c r="N15664" s="56"/>
    </row>
    <row r="15665" spans="1:14" x14ac:dyDescent="0.3">
      <c r="A15665" s="42"/>
      <c r="C15665" s="52"/>
      <c r="D15665"/>
      <c r="E15665"/>
      <c r="F15665"/>
      <c r="N15665" s="56"/>
    </row>
    <row r="15666" spans="1:14" x14ac:dyDescent="0.3">
      <c r="A15666" s="42"/>
      <c r="C15666" s="52"/>
      <c r="D15666"/>
      <c r="E15666"/>
      <c r="F15666"/>
      <c r="N15666" s="56"/>
    </row>
    <row r="15667" spans="1:14" x14ac:dyDescent="0.3">
      <c r="A15667" s="42"/>
      <c r="C15667" s="52"/>
      <c r="D15667"/>
      <c r="E15667"/>
      <c r="F15667"/>
      <c r="N15667" s="56"/>
    </row>
    <row r="15668" spans="1:14" x14ac:dyDescent="0.3">
      <c r="A15668" s="42"/>
      <c r="C15668" s="52"/>
      <c r="D15668"/>
      <c r="E15668"/>
      <c r="F15668"/>
      <c r="N15668" s="56"/>
    </row>
    <row r="15669" spans="1:14" x14ac:dyDescent="0.3">
      <c r="A15669" s="42"/>
      <c r="C15669" s="52"/>
      <c r="D15669"/>
      <c r="E15669"/>
      <c r="F15669"/>
      <c r="N15669" s="56"/>
    </row>
    <row r="15670" spans="1:14" x14ac:dyDescent="0.3">
      <c r="A15670" s="42"/>
      <c r="C15670" s="52"/>
      <c r="D15670"/>
      <c r="E15670"/>
      <c r="F15670"/>
      <c r="N15670" s="56"/>
    </row>
    <row r="15671" spans="1:14" x14ac:dyDescent="0.3">
      <c r="A15671" s="42"/>
      <c r="C15671" s="52"/>
      <c r="D15671"/>
      <c r="E15671"/>
      <c r="F15671"/>
      <c r="N15671" s="56"/>
    </row>
    <row r="15672" spans="1:14" x14ac:dyDescent="0.3">
      <c r="A15672" s="42"/>
      <c r="C15672" s="52"/>
      <c r="D15672"/>
      <c r="E15672"/>
      <c r="F15672"/>
      <c r="N15672" s="56"/>
    </row>
    <row r="15673" spans="1:14" x14ac:dyDescent="0.3">
      <c r="A15673" s="42"/>
      <c r="C15673" s="52"/>
      <c r="D15673"/>
      <c r="E15673"/>
      <c r="F15673"/>
      <c r="N15673" s="56"/>
    </row>
    <row r="15674" spans="1:14" x14ac:dyDescent="0.3">
      <c r="A15674" s="42"/>
      <c r="C15674" s="52"/>
      <c r="D15674"/>
      <c r="E15674"/>
      <c r="F15674"/>
      <c r="N15674" s="56"/>
    </row>
    <row r="15675" spans="1:14" x14ac:dyDescent="0.3">
      <c r="A15675" s="42"/>
      <c r="C15675" s="52"/>
      <c r="D15675"/>
      <c r="E15675"/>
      <c r="F15675"/>
      <c r="N15675" s="56"/>
    </row>
    <row r="15676" spans="1:14" x14ac:dyDescent="0.3">
      <c r="A15676" s="42"/>
      <c r="C15676" s="52"/>
      <c r="D15676"/>
      <c r="E15676"/>
      <c r="F15676"/>
      <c r="N15676" s="56"/>
    </row>
    <row r="15677" spans="1:14" x14ac:dyDescent="0.3">
      <c r="A15677" s="42"/>
      <c r="C15677" s="52"/>
      <c r="D15677"/>
      <c r="E15677"/>
      <c r="F15677"/>
      <c r="N15677" s="56"/>
    </row>
    <row r="15678" spans="1:14" x14ac:dyDescent="0.3">
      <c r="A15678" s="42"/>
      <c r="C15678" s="52"/>
      <c r="D15678"/>
      <c r="E15678"/>
      <c r="F15678"/>
      <c r="N15678" s="56"/>
    </row>
    <row r="15679" spans="1:14" x14ac:dyDescent="0.3">
      <c r="A15679" s="42"/>
      <c r="C15679" s="52"/>
      <c r="D15679"/>
      <c r="E15679"/>
      <c r="F15679"/>
      <c r="N15679" s="56"/>
    </row>
    <row r="15680" spans="1:14" x14ac:dyDescent="0.3">
      <c r="A15680" s="42"/>
      <c r="C15680" s="52"/>
      <c r="D15680"/>
      <c r="E15680"/>
      <c r="F15680"/>
      <c r="N15680" s="56"/>
    </row>
    <row r="15681" spans="1:14" x14ac:dyDescent="0.3">
      <c r="A15681" s="42"/>
      <c r="C15681" s="52"/>
      <c r="D15681"/>
      <c r="E15681"/>
      <c r="F15681"/>
      <c r="N15681" s="56"/>
    </row>
    <row r="15682" spans="1:14" x14ac:dyDescent="0.3">
      <c r="A15682" s="42"/>
      <c r="C15682" s="52"/>
      <c r="D15682"/>
      <c r="E15682"/>
      <c r="F15682"/>
      <c r="N15682" s="56"/>
    </row>
    <row r="15683" spans="1:14" x14ac:dyDescent="0.3">
      <c r="A15683" s="42"/>
      <c r="C15683" s="52"/>
      <c r="D15683"/>
      <c r="E15683"/>
      <c r="F15683"/>
      <c r="N15683" s="56"/>
    </row>
    <row r="15684" spans="1:14" x14ac:dyDescent="0.3">
      <c r="A15684" s="42"/>
      <c r="C15684" s="52"/>
      <c r="D15684"/>
      <c r="E15684"/>
      <c r="F15684"/>
      <c r="N15684" s="56"/>
    </row>
    <row r="15685" spans="1:14" x14ac:dyDescent="0.3">
      <c r="A15685" s="42"/>
      <c r="C15685" s="52"/>
      <c r="D15685"/>
      <c r="E15685"/>
      <c r="F15685"/>
      <c r="N15685" s="56"/>
    </row>
    <row r="15686" spans="1:14" x14ac:dyDescent="0.3">
      <c r="A15686" s="42"/>
      <c r="C15686" s="52"/>
      <c r="D15686"/>
      <c r="E15686"/>
      <c r="F15686"/>
      <c r="N15686" s="56"/>
    </row>
    <row r="15687" spans="1:14" x14ac:dyDescent="0.3">
      <c r="A15687" s="42"/>
      <c r="C15687" s="52"/>
      <c r="D15687"/>
      <c r="E15687"/>
      <c r="F15687"/>
      <c r="N15687" s="56"/>
    </row>
    <row r="15688" spans="1:14" x14ac:dyDescent="0.3">
      <c r="A15688" s="42"/>
      <c r="C15688" s="52"/>
      <c r="D15688"/>
      <c r="E15688"/>
      <c r="F15688"/>
      <c r="N15688" s="56"/>
    </row>
    <row r="15689" spans="1:14" x14ac:dyDescent="0.3">
      <c r="A15689" s="42"/>
      <c r="C15689" s="52"/>
      <c r="D15689"/>
      <c r="E15689"/>
      <c r="F15689"/>
      <c r="N15689" s="56"/>
    </row>
    <row r="15690" spans="1:14" x14ac:dyDescent="0.3">
      <c r="A15690" s="42"/>
      <c r="C15690" s="52"/>
      <c r="D15690"/>
      <c r="E15690"/>
      <c r="F15690"/>
      <c r="N15690" s="56"/>
    </row>
    <row r="15691" spans="1:14" x14ac:dyDescent="0.3">
      <c r="A15691" s="42"/>
      <c r="C15691" s="52"/>
      <c r="D15691"/>
      <c r="E15691"/>
      <c r="F15691"/>
      <c r="N15691" s="56"/>
    </row>
    <row r="15692" spans="1:14" x14ac:dyDescent="0.3">
      <c r="A15692" s="42"/>
      <c r="C15692" s="52"/>
      <c r="D15692"/>
      <c r="E15692"/>
      <c r="F15692"/>
      <c r="N15692" s="56"/>
    </row>
    <row r="15693" spans="1:14" x14ac:dyDescent="0.3">
      <c r="A15693" s="42"/>
      <c r="C15693" s="52"/>
      <c r="D15693"/>
      <c r="E15693"/>
      <c r="F15693"/>
      <c r="N15693" s="56"/>
    </row>
    <row r="15694" spans="1:14" x14ac:dyDescent="0.3">
      <c r="A15694" s="42"/>
      <c r="C15694" s="52"/>
      <c r="D15694"/>
      <c r="E15694"/>
      <c r="F15694"/>
      <c r="N15694" s="56"/>
    </row>
    <row r="15695" spans="1:14" x14ac:dyDescent="0.3">
      <c r="A15695" s="42"/>
      <c r="C15695" s="52"/>
      <c r="D15695"/>
      <c r="E15695"/>
      <c r="F15695"/>
      <c r="N15695" s="56"/>
    </row>
    <row r="15696" spans="1:14" x14ac:dyDescent="0.3">
      <c r="A15696" s="42"/>
      <c r="C15696" s="52"/>
      <c r="D15696"/>
      <c r="E15696"/>
      <c r="F15696"/>
      <c r="N15696" s="56"/>
    </row>
    <row r="15697" spans="1:14" x14ac:dyDescent="0.3">
      <c r="A15697" s="42"/>
      <c r="C15697" s="52"/>
      <c r="D15697"/>
      <c r="E15697"/>
      <c r="F15697"/>
      <c r="N15697" s="56"/>
    </row>
    <row r="15698" spans="1:14" x14ac:dyDescent="0.3">
      <c r="A15698" s="42"/>
      <c r="C15698" s="52"/>
      <c r="D15698"/>
      <c r="E15698"/>
      <c r="F15698"/>
      <c r="N15698" s="56"/>
    </row>
    <row r="15699" spans="1:14" x14ac:dyDescent="0.3">
      <c r="A15699" s="42"/>
      <c r="C15699" s="52"/>
      <c r="D15699"/>
      <c r="E15699"/>
      <c r="F15699"/>
      <c r="N15699" s="56"/>
    </row>
    <row r="15700" spans="1:14" x14ac:dyDescent="0.3">
      <c r="A15700" s="42"/>
      <c r="C15700" s="52"/>
      <c r="D15700"/>
      <c r="E15700"/>
      <c r="F15700"/>
      <c r="N15700" s="56"/>
    </row>
    <row r="15701" spans="1:14" x14ac:dyDescent="0.3">
      <c r="A15701" s="42"/>
      <c r="C15701" s="52"/>
      <c r="D15701"/>
      <c r="E15701"/>
      <c r="F15701"/>
      <c r="N15701" s="56"/>
    </row>
    <row r="15702" spans="1:14" x14ac:dyDescent="0.3">
      <c r="A15702" s="42"/>
      <c r="C15702" s="52"/>
      <c r="D15702"/>
      <c r="E15702"/>
      <c r="F15702"/>
      <c r="N15702" s="56"/>
    </row>
    <row r="15703" spans="1:14" x14ac:dyDescent="0.3">
      <c r="A15703" s="42"/>
      <c r="C15703" s="52"/>
      <c r="D15703"/>
      <c r="E15703"/>
      <c r="F15703"/>
      <c r="N15703" s="56"/>
    </row>
    <row r="15704" spans="1:14" x14ac:dyDescent="0.3">
      <c r="A15704" s="42"/>
      <c r="C15704" s="52"/>
      <c r="D15704"/>
      <c r="E15704"/>
      <c r="F15704"/>
      <c r="N15704" s="56"/>
    </row>
    <row r="15705" spans="1:14" x14ac:dyDescent="0.3">
      <c r="A15705" s="42"/>
      <c r="C15705" s="52"/>
      <c r="D15705"/>
      <c r="E15705"/>
      <c r="F15705"/>
      <c r="N15705" s="56"/>
    </row>
    <row r="15706" spans="1:14" x14ac:dyDescent="0.3">
      <c r="A15706" s="42"/>
      <c r="C15706" s="52"/>
      <c r="D15706"/>
      <c r="E15706"/>
      <c r="F15706"/>
      <c r="N15706" s="56"/>
    </row>
    <row r="15707" spans="1:14" x14ac:dyDescent="0.3">
      <c r="A15707" s="42"/>
      <c r="C15707" s="52"/>
      <c r="D15707"/>
      <c r="E15707"/>
      <c r="F15707"/>
      <c r="N15707" s="56"/>
    </row>
    <row r="15708" spans="1:14" x14ac:dyDescent="0.3">
      <c r="A15708" s="42"/>
      <c r="C15708" s="52"/>
      <c r="D15708"/>
      <c r="E15708"/>
      <c r="F15708"/>
      <c r="N15708" s="56"/>
    </row>
    <row r="15709" spans="1:14" x14ac:dyDescent="0.3">
      <c r="A15709" s="42"/>
      <c r="C15709" s="52"/>
      <c r="D15709"/>
      <c r="E15709"/>
      <c r="F15709"/>
      <c r="N15709" s="56"/>
    </row>
    <row r="15710" spans="1:14" x14ac:dyDescent="0.3">
      <c r="A15710" s="42"/>
      <c r="C15710" s="52"/>
      <c r="D15710"/>
      <c r="E15710"/>
      <c r="F15710"/>
      <c r="N15710" s="56"/>
    </row>
    <row r="15711" spans="1:14" x14ac:dyDescent="0.3">
      <c r="A15711" s="42"/>
      <c r="C15711" s="52"/>
      <c r="D15711"/>
      <c r="E15711"/>
      <c r="F15711"/>
      <c r="N15711" s="56"/>
    </row>
    <row r="15712" spans="1:14" x14ac:dyDescent="0.3">
      <c r="A15712" s="42"/>
      <c r="C15712" s="52"/>
      <c r="D15712"/>
      <c r="E15712"/>
      <c r="F15712"/>
      <c r="N15712" s="56"/>
    </row>
    <row r="15713" spans="1:14" x14ac:dyDescent="0.3">
      <c r="A15713" s="42"/>
      <c r="C15713" s="52"/>
      <c r="D15713"/>
      <c r="E15713"/>
      <c r="F15713"/>
      <c r="N15713" s="56"/>
    </row>
    <row r="15714" spans="1:14" x14ac:dyDescent="0.3">
      <c r="A15714" s="42"/>
      <c r="C15714" s="52"/>
      <c r="D15714"/>
      <c r="E15714"/>
      <c r="F15714"/>
      <c r="N15714" s="56"/>
    </row>
    <row r="15715" spans="1:14" x14ac:dyDescent="0.3">
      <c r="A15715" s="42"/>
      <c r="C15715" s="52"/>
      <c r="D15715"/>
      <c r="E15715"/>
      <c r="F15715"/>
      <c r="N15715" s="56"/>
    </row>
    <row r="15716" spans="1:14" x14ac:dyDescent="0.3">
      <c r="A15716" s="42"/>
      <c r="C15716" s="52"/>
      <c r="D15716"/>
      <c r="E15716"/>
      <c r="F15716"/>
      <c r="N15716" s="56"/>
    </row>
    <row r="15717" spans="1:14" x14ac:dyDescent="0.3">
      <c r="A15717" s="42"/>
      <c r="C15717" s="52"/>
      <c r="D15717"/>
      <c r="E15717"/>
      <c r="F15717"/>
      <c r="N15717" s="56"/>
    </row>
    <row r="15718" spans="1:14" x14ac:dyDescent="0.3">
      <c r="A15718" s="42"/>
      <c r="C15718" s="52"/>
      <c r="D15718"/>
      <c r="E15718"/>
      <c r="F15718"/>
      <c r="N15718" s="56"/>
    </row>
    <row r="15719" spans="1:14" x14ac:dyDescent="0.3">
      <c r="A15719" s="42"/>
      <c r="C15719" s="52"/>
      <c r="D15719"/>
      <c r="E15719"/>
      <c r="F15719"/>
      <c r="N15719" s="56"/>
    </row>
    <row r="15720" spans="1:14" x14ac:dyDescent="0.3">
      <c r="A15720" s="42"/>
      <c r="C15720" s="52"/>
      <c r="D15720"/>
      <c r="E15720"/>
      <c r="F15720"/>
      <c r="N15720" s="56"/>
    </row>
    <row r="15721" spans="1:14" x14ac:dyDescent="0.3">
      <c r="A15721" s="42"/>
      <c r="C15721" s="52"/>
      <c r="D15721"/>
      <c r="E15721"/>
      <c r="F15721"/>
      <c r="N15721" s="56"/>
    </row>
    <row r="15722" spans="1:14" x14ac:dyDescent="0.3">
      <c r="A15722" s="42"/>
      <c r="C15722" s="52"/>
      <c r="D15722"/>
      <c r="E15722"/>
      <c r="F15722"/>
      <c r="L15722" s="45"/>
      <c r="N15722" s="56"/>
    </row>
    <row r="15723" spans="1:14" x14ac:dyDescent="0.3">
      <c r="A15723" s="42"/>
      <c r="C15723" s="52"/>
      <c r="D15723"/>
      <c r="E15723"/>
      <c r="F15723"/>
      <c r="M15723" s="45"/>
      <c r="N15723" s="56"/>
    </row>
    <row r="15724" spans="1:14" x14ac:dyDescent="0.3">
      <c r="A15724" s="42"/>
      <c r="C15724" s="52"/>
      <c r="D15724"/>
      <c r="E15724"/>
      <c r="F15724"/>
      <c r="N15724" s="56"/>
    </row>
    <row r="15725" spans="1:14" x14ac:dyDescent="0.3">
      <c r="A15725" s="42"/>
      <c r="C15725" s="52"/>
      <c r="D15725"/>
      <c r="E15725"/>
      <c r="F15725"/>
      <c r="N15725" s="56"/>
    </row>
    <row r="15726" spans="1:14" x14ac:dyDescent="0.3">
      <c r="A15726" s="42"/>
      <c r="C15726" s="52"/>
      <c r="D15726"/>
      <c r="E15726"/>
      <c r="F15726"/>
      <c r="N15726" s="56"/>
    </row>
    <row r="15727" spans="1:14" x14ac:dyDescent="0.3">
      <c r="A15727" s="42"/>
      <c r="C15727" s="52"/>
      <c r="D15727"/>
      <c r="E15727"/>
      <c r="F15727"/>
      <c r="N15727" s="56"/>
    </row>
    <row r="15728" spans="1:14" x14ac:dyDescent="0.3">
      <c r="A15728" s="42"/>
      <c r="C15728" s="52"/>
      <c r="D15728"/>
      <c r="E15728"/>
      <c r="F15728"/>
      <c r="L15728" s="45"/>
      <c r="N15728" s="56"/>
    </row>
    <row r="15729" spans="1:14" x14ac:dyDescent="0.3">
      <c r="A15729" s="42"/>
      <c r="C15729" s="52"/>
      <c r="D15729"/>
      <c r="E15729"/>
      <c r="F15729"/>
      <c r="N15729" s="56"/>
    </row>
    <row r="15730" spans="1:14" x14ac:dyDescent="0.3">
      <c r="A15730" s="42"/>
      <c r="C15730" s="52"/>
      <c r="D15730"/>
      <c r="E15730"/>
      <c r="F15730"/>
      <c r="N15730" s="56"/>
    </row>
    <row r="15731" spans="1:14" x14ac:dyDescent="0.3">
      <c r="A15731" s="42"/>
      <c r="C15731" s="52"/>
      <c r="D15731"/>
      <c r="E15731"/>
      <c r="F15731"/>
      <c r="M15731" s="45"/>
      <c r="N15731" s="56"/>
    </row>
    <row r="15732" spans="1:14" x14ac:dyDescent="0.3">
      <c r="A15732" s="42"/>
      <c r="C15732" s="52"/>
      <c r="D15732"/>
      <c r="E15732"/>
      <c r="F15732"/>
      <c r="L15732" s="45"/>
      <c r="N15732" s="56"/>
    </row>
    <row r="15733" spans="1:14" x14ac:dyDescent="0.3">
      <c r="A15733" s="42"/>
      <c r="C15733" s="52"/>
      <c r="D15733"/>
      <c r="E15733"/>
      <c r="F15733"/>
      <c r="N15733" s="56"/>
    </row>
    <row r="15734" spans="1:14" x14ac:dyDescent="0.3">
      <c r="A15734" s="42"/>
      <c r="C15734" s="52"/>
      <c r="D15734"/>
      <c r="E15734"/>
      <c r="F15734"/>
      <c r="N15734" s="56"/>
    </row>
    <row r="15735" spans="1:14" x14ac:dyDescent="0.3">
      <c r="A15735" s="42"/>
      <c r="C15735" s="52"/>
      <c r="D15735"/>
      <c r="E15735"/>
      <c r="F15735"/>
      <c r="N15735" s="56"/>
    </row>
    <row r="15736" spans="1:14" x14ac:dyDescent="0.3">
      <c r="A15736" s="42"/>
      <c r="C15736" s="52"/>
      <c r="D15736"/>
      <c r="E15736"/>
      <c r="F15736"/>
      <c r="L15736" s="45"/>
      <c r="M15736" s="45"/>
      <c r="N15736" s="56"/>
    </row>
    <row r="15737" spans="1:14" x14ac:dyDescent="0.3">
      <c r="A15737" s="42"/>
      <c r="C15737" s="52"/>
      <c r="D15737"/>
      <c r="E15737"/>
      <c r="F15737"/>
      <c r="N15737" s="56"/>
    </row>
    <row r="15738" spans="1:14" x14ac:dyDescent="0.3">
      <c r="A15738" s="42"/>
      <c r="C15738" s="52"/>
      <c r="D15738"/>
      <c r="E15738"/>
      <c r="F15738"/>
      <c r="N15738" s="56"/>
    </row>
    <row r="15739" spans="1:14" x14ac:dyDescent="0.3">
      <c r="A15739" s="42"/>
      <c r="C15739" s="52"/>
      <c r="D15739"/>
      <c r="E15739"/>
      <c r="F15739"/>
      <c r="N15739" s="56"/>
    </row>
    <row r="15740" spans="1:14" x14ac:dyDescent="0.3">
      <c r="A15740" s="42"/>
      <c r="C15740" s="52"/>
      <c r="D15740"/>
      <c r="E15740"/>
      <c r="F15740"/>
      <c r="N15740" s="56"/>
    </row>
    <row r="15741" spans="1:14" x14ac:dyDescent="0.3">
      <c r="A15741" s="42"/>
      <c r="C15741" s="52"/>
      <c r="D15741"/>
      <c r="E15741"/>
      <c r="F15741"/>
      <c r="N15741" s="56"/>
    </row>
    <row r="15742" spans="1:14" x14ac:dyDescent="0.3">
      <c r="A15742" s="42"/>
      <c r="C15742" s="52"/>
      <c r="D15742"/>
      <c r="E15742"/>
      <c r="F15742"/>
      <c r="N15742" s="56"/>
    </row>
    <row r="15743" spans="1:14" x14ac:dyDescent="0.3">
      <c r="A15743" s="42"/>
      <c r="C15743" s="52"/>
      <c r="D15743"/>
      <c r="E15743"/>
      <c r="F15743"/>
      <c r="N15743" s="56"/>
    </row>
    <row r="15744" spans="1:14" x14ac:dyDescent="0.3">
      <c r="A15744" s="42"/>
      <c r="C15744" s="52"/>
      <c r="D15744"/>
      <c r="E15744"/>
      <c r="F15744"/>
      <c r="N15744" s="56"/>
    </row>
    <row r="15745" spans="1:14" x14ac:dyDescent="0.3">
      <c r="A15745" s="42"/>
      <c r="C15745" s="52"/>
      <c r="D15745"/>
      <c r="E15745"/>
      <c r="F15745"/>
      <c r="N15745" s="56"/>
    </row>
    <row r="15746" spans="1:14" x14ac:dyDescent="0.3">
      <c r="A15746" s="42"/>
      <c r="C15746" s="52"/>
      <c r="D15746"/>
      <c r="E15746"/>
      <c r="F15746"/>
      <c r="N15746" s="56"/>
    </row>
    <row r="15747" spans="1:14" x14ac:dyDescent="0.3">
      <c r="A15747" s="42"/>
      <c r="C15747" s="52"/>
      <c r="D15747"/>
      <c r="E15747"/>
      <c r="F15747"/>
      <c r="N15747" s="56"/>
    </row>
    <row r="15748" spans="1:14" x14ac:dyDescent="0.3">
      <c r="A15748" s="42"/>
      <c r="C15748" s="52"/>
      <c r="D15748"/>
      <c r="E15748"/>
      <c r="F15748"/>
      <c r="N15748" s="56"/>
    </row>
    <row r="15749" spans="1:14" x14ac:dyDescent="0.3">
      <c r="A15749" s="42"/>
      <c r="C15749" s="52"/>
      <c r="D15749"/>
      <c r="E15749"/>
      <c r="F15749"/>
      <c r="N15749" s="56"/>
    </row>
    <row r="15750" spans="1:14" x14ac:dyDescent="0.3">
      <c r="A15750" s="42"/>
      <c r="C15750" s="52"/>
      <c r="D15750"/>
      <c r="E15750"/>
      <c r="F15750"/>
      <c r="N15750" s="56"/>
    </row>
    <row r="15751" spans="1:14" x14ac:dyDescent="0.3">
      <c r="A15751" s="42"/>
      <c r="C15751" s="52"/>
      <c r="D15751"/>
      <c r="E15751"/>
      <c r="F15751"/>
      <c r="N15751" s="56"/>
    </row>
    <row r="15752" spans="1:14" x14ac:dyDescent="0.3">
      <c r="A15752" s="42"/>
      <c r="C15752" s="52"/>
      <c r="D15752"/>
      <c r="E15752"/>
      <c r="F15752"/>
      <c r="N15752" s="56"/>
    </row>
    <row r="15753" spans="1:14" x14ac:dyDescent="0.3">
      <c r="A15753" s="42"/>
      <c r="C15753" s="52"/>
      <c r="D15753"/>
      <c r="E15753"/>
      <c r="F15753"/>
      <c r="N15753" s="56"/>
    </row>
    <row r="15754" spans="1:14" x14ac:dyDescent="0.3">
      <c r="A15754" s="42"/>
      <c r="C15754" s="52"/>
      <c r="D15754"/>
      <c r="E15754"/>
      <c r="F15754"/>
      <c r="N15754" s="56"/>
    </row>
    <row r="15755" spans="1:14" x14ac:dyDescent="0.3">
      <c r="A15755" s="42"/>
      <c r="C15755" s="52"/>
      <c r="D15755"/>
      <c r="E15755"/>
      <c r="F15755"/>
      <c r="N15755" s="56"/>
    </row>
    <row r="15756" spans="1:14" x14ac:dyDescent="0.3">
      <c r="A15756" s="42"/>
      <c r="C15756" s="52"/>
      <c r="D15756"/>
      <c r="E15756"/>
      <c r="F15756"/>
      <c r="L15756" s="45"/>
      <c r="N15756" s="56"/>
    </row>
    <row r="15757" spans="1:14" x14ac:dyDescent="0.3">
      <c r="A15757" s="42"/>
      <c r="C15757" s="52"/>
      <c r="D15757"/>
      <c r="E15757"/>
      <c r="F15757"/>
      <c r="N15757" s="56"/>
    </row>
    <row r="15758" spans="1:14" x14ac:dyDescent="0.3">
      <c r="A15758" s="42"/>
      <c r="C15758" s="52"/>
      <c r="D15758"/>
      <c r="E15758"/>
      <c r="F15758"/>
      <c r="N15758" s="56"/>
    </row>
    <row r="15759" spans="1:14" x14ac:dyDescent="0.3">
      <c r="A15759" s="42"/>
      <c r="C15759" s="52"/>
      <c r="D15759"/>
      <c r="E15759"/>
      <c r="F15759"/>
      <c r="N15759" s="56"/>
    </row>
    <row r="15760" spans="1:14" x14ac:dyDescent="0.3">
      <c r="A15760" s="42"/>
      <c r="C15760" s="52"/>
      <c r="D15760"/>
      <c r="E15760"/>
      <c r="F15760"/>
      <c r="N15760" s="56"/>
    </row>
    <row r="15761" spans="1:14" x14ac:dyDescent="0.3">
      <c r="A15761" s="42"/>
      <c r="C15761" s="52"/>
      <c r="D15761"/>
      <c r="E15761"/>
      <c r="F15761"/>
      <c r="N15761" s="56"/>
    </row>
    <row r="15762" spans="1:14" x14ac:dyDescent="0.3">
      <c r="A15762" s="42"/>
      <c r="C15762" s="52"/>
      <c r="D15762"/>
      <c r="E15762"/>
      <c r="F15762"/>
      <c r="N15762" s="56"/>
    </row>
    <row r="15763" spans="1:14" x14ac:dyDescent="0.3">
      <c r="A15763" s="42"/>
      <c r="C15763" s="52"/>
      <c r="D15763"/>
      <c r="E15763"/>
      <c r="F15763"/>
      <c r="N15763" s="56"/>
    </row>
    <row r="15764" spans="1:14" x14ac:dyDescent="0.3">
      <c r="A15764" s="42"/>
      <c r="C15764" s="52"/>
      <c r="D15764"/>
      <c r="E15764"/>
      <c r="F15764"/>
      <c r="N15764" s="56"/>
    </row>
    <row r="15765" spans="1:14" x14ac:dyDescent="0.3">
      <c r="A15765" s="42"/>
      <c r="C15765" s="52"/>
      <c r="D15765"/>
      <c r="E15765"/>
      <c r="F15765"/>
      <c r="N15765" s="56"/>
    </row>
    <row r="15766" spans="1:14" x14ac:dyDescent="0.3">
      <c r="A15766" s="42"/>
      <c r="C15766" s="52"/>
      <c r="D15766"/>
      <c r="E15766"/>
      <c r="F15766"/>
      <c r="N15766" s="56"/>
    </row>
    <row r="15767" spans="1:14" x14ac:dyDescent="0.3">
      <c r="A15767" s="42"/>
      <c r="C15767" s="52"/>
      <c r="D15767"/>
      <c r="E15767"/>
      <c r="F15767"/>
      <c r="N15767" s="56"/>
    </row>
    <row r="15768" spans="1:14" x14ac:dyDescent="0.3">
      <c r="A15768" s="42"/>
      <c r="C15768" s="52"/>
      <c r="D15768"/>
      <c r="E15768"/>
      <c r="F15768"/>
      <c r="N15768" s="56"/>
    </row>
    <row r="15769" spans="1:14" x14ac:dyDescent="0.3">
      <c r="A15769" s="42"/>
      <c r="C15769" s="52"/>
      <c r="D15769"/>
      <c r="E15769"/>
      <c r="F15769"/>
      <c r="N15769" s="56"/>
    </row>
    <row r="15770" spans="1:14" x14ac:dyDescent="0.3">
      <c r="A15770" s="42"/>
      <c r="C15770" s="52"/>
      <c r="D15770"/>
      <c r="E15770"/>
      <c r="F15770"/>
      <c r="N15770" s="56"/>
    </row>
    <row r="15771" spans="1:14" x14ac:dyDescent="0.3">
      <c r="A15771" s="42"/>
      <c r="C15771" s="52"/>
      <c r="D15771"/>
      <c r="E15771"/>
      <c r="F15771"/>
      <c r="N15771" s="56"/>
    </row>
    <row r="15772" spans="1:14" x14ac:dyDescent="0.3">
      <c r="A15772" s="42"/>
      <c r="C15772" s="52"/>
      <c r="D15772"/>
      <c r="E15772"/>
      <c r="F15772"/>
      <c r="N15772" s="56"/>
    </row>
    <row r="15773" spans="1:14" x14ac:dyDescent="0.3">
      <c r="A15773" s="42"/>
      <c r="C15773" s="52"/>
      <c r="D15773"/>
      <c r="E15773"/>
      <c r="F15773"/>
      <c r="N15773" s="56"/>
    </row>
    <row r="15774" spans="1:14" x14ac:dyDescent="0.3">
      <c r="A15774" s="42"/>
      <c r="C15774" s="52"/>
      <c r="D15774"/>
      <c r="E15774"/>
      <c r="F15774"/>
      <c r="N15774" s="56"/>
    </row>
    <row r="15775" spans="1:14" x14ac:dyDescent="0.3">
      <c r="A15775" s="42"/>
      <c r="C15775" s="52"/>
      <c r="D15775"/>
      <c r="E15775"/>
      <c r="F15775"/>
      <c r="N15775" s="56"/>
    </row>
    <row r="15776" spans="1:14" x14ac:dyDescent="0.3">
      <c r="A15776" s="42"/>
      <c r="C15776" s="52"/>
      <c r="D15776"/>
      <c r="E15776"/>
      <c r="F15776"/>
      <c r="N15776" s="56"/>
    </row>
    <row r="15777" spans="1:14" x14ac:dyDescent="0.3">
      <c r="A15777" s="42"/>
      <c r="C15777" s="52"/>
      <c r="D15777"/>
      <c r="E15777"/>
      <c r="F15777"/>
      <c r="G15777" s="100"/>
      <c r="H15777" s="101"/>
      <c r="I15777" s="99"/>
      <c r="J15777" s="102"/>
      <c r="K15777" s="103"/>
      <c r="N15777" s="56"/>
    </row>
    <row r="15778" spans="1:14" x14ac:dyDescent="0.3">
      <c r="A15778" s="42"/>
      <c r="C15778" s="52"/>
      <c r="D15778"/>
      <c r="E15778"/>
      <c r="F15778"/>
      <c r="N15778" s="56"/>
    </row>
    <row r="15779" spans="1:14" x14ac:dyDescent="0.3">
      <c r="A15779" s="42"/>
      <c r="C15779" s="52"/>
      <c r="D15779"/>
      <c r="E15779"/>
      <c r="F15779"/>
      <c r="N15779" s="56"/>
    </row>
    <row r="15780" spans="1:14" x14ac:dyDescent="0.3">
      <c r="A15780" s="42"/>
      <c r="C15780" s="52"/>
      <c r="D15780"/>
      <c r="E15780"/>
      <c r="F15780"/>
      <c r="N15780" s="56"/>
    </row>
    <row r="15781" spans="1:14" x14ac:dyDescent="0.3">
      <c r="A15781" s="42"/>
      <c r="C15781" s="52"/>
      <c r="D15781"/>
      <c r="E15781"/>
      <c r="F15781"/>
      <c r="N15781" s="56"/>
    </row>
    <row r="15782" spans="1:14" x14ac:dyDescent="0.3">
      <c r="A15782" s="42"/>
      <c r="C15782" s="52"/>
      <c r="D15782"/>
      <c r="E15782"/>
      <c r="F15782"/>
      <c r="N15782" s="56"/>
    </row>
    <row r="15783" spans="1:14" x14ac:dyDescent="0.3">
      <c r="A15783" s="42"/>
      <c r="C15783" s="52"/>
      <c r="D15783"/>
      <c r="E15783"/>
      <c r="F15783"/>
      <c r="N15783" s="56"/>
    </row>
    <row r="15784" spans="1:14" x14ac:dyDescent="0.3">
      <c r="A15784" s="42"/>
      <c r="C15784" s="52"/>
      <c r="D15784"/>
      <c r="E15784"/>
      <c r="F15784"/>
      <c r="N15784" s="56"/>
    </row>
    <row r="15785" spans="1:14" x14ac:dyDescent="0.3">
      <c r="A15785" s="42"/>
      <c r="C15785" s="52"/>
      <c r="D15785"/>
      <c r="E15785"/>
      <c r="F15785"/>
      <c r="N15785" s="56"/>
    </row>
    <row r="15786" spans="1:14" x14ac:dyDescent="0.3">
      <c r="A15786" s="42"/>
      <c r="C15786" s="52"/>
      <c r="D15786"/>
      <c r="E15786"/>
      <c r="F15786"/>
      <c r="N15786" s="56"/>
    </row>
    <row r="15787" spans="1:14" x14ac:dyDescent="0.3">
      <c r="A15787" s="42"/>
      <c r="C15787" s="52"/>
      <c r="D15787"/>
      <c r="E15787"/>
      <c r="F15787"/>
      <c r="N15787" s="56"/>
    </row>
    <row r="15788" spans="1:14" x14ac:dyDescent="0.3">
      <c r="A15788" s="42"/>
      <c r="C15788" s="52"/>
      <c r="D15788"/>
      <c r="E15788"/>
      <c r="F15788"/>
      <c r="N15788" s="56"/>
    </row>
    <row r="15789" spans="1:14" x14ac:dyDescent="0.3">
      <c r="A15789" s="42"/>
      <c r="C15789" s="52"/>
      <c r="D15789"/>
      <c r="E15789"/>
      <c r="F15789"/>
      <c r="L15789" s="45"/>
      <c r="N15789" s="56"/>
    </row>
    <row r="15790" spans="1:14" x14ac:dyDescent="0.3">
      <c r="A15790" s="42"/>
      <c r="C15790" s="52"/>
      <c r="D15790"/>
      <c r="E15790"/>
      <c r="F15790"/>
      <c r="N15790" s="56"/>
    </row>
    <row r="15791" spans="1:14" x14ac:dyDescent="0.3">
      <c r="A15791" s="42"/>
      <c r="C15791" s="52"/>
      <c r="D15791"/>
      <c r="E15791"/>
      <c r="F15791"/>
      <c r="N15791" s="56"/>
    </row>
    <row r="15792" spans="1:14" x14ac:dyDescent="0.3">
      <c r="A15792" s="42"/>
      <c r="C15792" s="52"/>
      <c r="D15792"/>
      <c r="E15792"/>
      <c r="F15792"/>
      <c r="N15792" s="56"/>
    </row>
    <row r="15793" spans="1:14" x14ac:dyDescent="0.3">
      <c r="A15793" s="42"/>
      <c r="C15793" s="52"/>
      <c r="D15793"/>
      <c r="E15793"/>
      <c r="F15793"/>
      <c r="N15793" s="56"/>
    </row>
    <row r="15794" spans="1:14" x14ac:dyDescent="0.3">
      <c r="A15794" s="42"/>
      <c r="C15794" s="52"/>
      <c r="D15794"/>
      <c r="E15794"/>
      <c r="F15794"/>
      <c r="N15794" s="56"/>
    </row>
    <row r="15795" spans="1:14" x14ac:dyDescent="0.3">
      <c r="A15795" s="42"/>
      <c r="C15795" s="52"/>
      <c r="D15795"/>
      <c r="E15795"/>
      <c r="F15795"/>
      <c r="N15795" s="56"/>
    </row>
    <row r="15796" spans="1:14" x14ac:dyDescent="0.3">
      <c r="A15796" s="42"/>
      <c r="C15796" s="52"/>
      <c r="D15796"/>
      <c r="E15796"/>
      <c r="F15796"/>
      <c r="N15796" s="56"/>
    </row>
    <row r="15797" spans="1:14" x14ac:dyDescent="0.3">
      <c r="A15797" s="42"/>
      <c r="C15797" s="52"/>
      <c r="D15797"/>
      <c r="E15797"/>
      <c r="F15797"/>
      <c r="N15797" s="56"/>
    </row>
    <row r="15798" spans="1:14" x14ac:dyDescent="0.3">
      <c r="A15798" s="42"/>
      <c r="C15798" s="52"/>
      <c r="D15798"/>
      <c r="E15798"/>
      <c r="F15798"/>
      <c r="N15798" s="56"/>
    </row>
    <row r="15799" spans="1:14" x14ac:dyDescent="0.3">
      <c r="A15799" s="42"/>
      <c r="C15799" s="52"/>
      <c r="D15799"/>
      <c r="E15799"/>
      <c r="F15799"/>
      <c r="M15799" s="45"/>
      <c r="N15799" s="56"/>
    </row>
    <row r="15800" spans="1:14" x14ac:dyDescent="0.3">
      <c r="A15800" s="42"/>
      <c r="C15800" s="52"/>
      <c r="D15800"/>
      <c r="E15800"/>
      <c r="F15800"/>
      <c r="N15800" s="56"/>
    </row>
    <row r="15801" spans="1:14" x14ac:dyDescent="0.3">
      <c r="A15801" s="42"/>
      <c r="C15801" s="52"/>
      <c r="D15801"/>
      <c r="E15801"/>
      <c r="F15801"/>
      <c r="N15801" s="56"/>
    </row>
    <row r="15802" spans="1:14" x14ac:dyDescent="0.3">
      <c r="A15802" s="42"/>
      <c r="C15802" s="52"/>
      <c r="D15802"/>
      <c r="E15802"/>
      <c r="F15802"/>
      <c r="N15802" s="56"/>
    </row>
    <row r="15803" spans="1:14" x14ac:dyDescent="0.3">
      <c r="A15803" s="42"/>
      <c r="C15803" s="52"/>
      <c r="D15803"/>
      <c r="E15803"/>
      <c r="F15803"/>
      <c r="N15803" s="56"/>
    </row>
    <row r="15804" spans="1:14" x14ac:dyDescent="0.3">
      <c r="A15804" s="42"/>
      <c r="C15804" s="52"/>
      <c r="D15804"/>
      <c r="E15804"/>
      <c r="F15804"/>
      <c r="N15804" s="56"/>
    </row>
    <row r="15805" spans="1:14" x14ac:dyDescent="0.3">
      <c r="A15805" s="42"/>
      <c r="C15805" s="52"/>
      <c r="D15805"/>
      <c r="E15805"/>
      <c r="F15805"/>
      <c r="N15805" s="56"/>
    </row>
    <row r="15806" spans="1:14" x14ac:dyDescent="0.3">
      <c r="A15806" s="42"/>
      <c r="C15806" s="52"/>
      <c r="D15806"/>
      <c r="E15806"/>
      <c r="F15806"/>
      <c r="N15806" s="56"/>
    </row>
    <row r="15807" spans="1:14" x14ac:dyDescent="0.3">
      <c r="A15807" s="42"/>
      <c r="C15807" s="52"/>
      <c r="D15807"/>
      <c r="E15807"/>
      <c r="F15807"/>
      <c r="N15807" s="56"/>
    </row>
    <row r="15808" spans="1:14" x14ac:dyDescent="0.3">
      <c r="A15808" s="42"/>
      <c r="C15808" s="52"/>
      <c r="D15808"/>
      <c r="E15808"/>
      <c r="F15808"/>
      <c r="N15808" s="56"/>
    </row>
    <row r="15809" spans="1:14" x14ac:dyDescent="0.3">
      <c r="A15809" s="42"/>
      <c r="C15809" s="52"/>
      <c r="D15809"/>
      <c r="E15809"/>
      <c r="F15809"/>
      <c r="N15809" s="56"/>
    </row>
    <row r="15810" spans="1:14" x14ac:dyDescent="0.3">
      <c r="A15810" s="42"/>
      <c r="C15810" s="52"/>
      <c r="D15810"/>
      <c r="E15810"/>
      <c r="F15810"/>
      <c r="N15810" s="56"/>
    </row>
    <row r="15811" spans="1:14" x14ac:dyDescent="0.3">
      <c r="A15811" s="42"/>
      <c r="C15811" s="52"/>
      <c r="D15811"/>
      <c r="E15811"/>
      <c r="F15811"/>
      <c r="N15811" s="56"/>
    </row>
    <row r="15812" spans="1:14" x14ac:dyDescent="0.3">
      <c r="A15812" s="42"/>
      <c r="C15812" s="52"/>
      <c r="D15812"/>
      <c r="E15812"/>
      <c r="F15812"/>
      <c r="N15812" s="56"/>
    </row>
    <row r="15813" spans="1:14" x14ac:dyDescent="0.3">
      <c r="A15813" s="42"/>
      <c r="C15813" s="52"/>
      <c r="D15813"/>
      <c r="E15813"/>
      <c r="F15813"/>
      <c r="N15813" s="56"/>
    </row>
    <row r="15814" spans="1:14" x14ac:dyDescent="0.3">
      <c r="A15814" s="42"/>
      <c r="C15814" s="52"/>
      <c r="D15814"/>
      <c r="E15814"/>
      <c r="F15814"/>
      <c r="N15814" s="56"/>
    </row>
    <row r="15815" spans="1:14" x14ac:dyDescent="0.3">
      <c r="A15815" s="42"/>
      <c r="C15815" s="52"/>
      <c r="D15815"/>
      <c r="E15815"/>
      <c r="F15815"/>
      <c r="N15815" s="56"/>
    </row>
    <row r="15816" spans="1:14" x14ac:dyDescent="0.3">
      <c r="A15816" s="42"/>
      <c r="C15816" s="52"/>
      <c r="D15816"/>
      <c r="E15816"/>
      <c r="F15816"/>
      <c r="N15816" s="56"/>
    </row>
    <row r="15817" spans="1:14" x14ac:dyDescent="0.3">
      <c r="A15817" s="42"/>
      <c r="C15817" s="52"/>
      <c r="D15817"/>
      <c r="E15817"/>
      <c r="F15817"/>
      <c r="N15817" s="56"/>
    </row>
    <row r="15818" spans="1:14" x14ac:dyDescent="0.3">
      <c r="A15818" s="42"/>
      <c r="C15818" s="52"/>
      <c r="D15818"/>
      <c r="E15818"/>
      <c r="F15818"/>
      <c r="N15818" s="56"/>
    </row>
    <row r="15819" spans="1:14" x14ac:dyDescent="0.3">
      <c r="A15819" s="42"/>
      <c r="C15819" s="52"/>
      <c r="D15819"/>
      <c r="E15819"/>
      <c r="F15819"/>
      <c r="N15819" s="56"/>
    </row>
    <row r="15820" spans="1:14" x14ac:dyDescent="0.3">
      <c r="A15820" s="42"/>
      <c r="C15820" s="52"/>
      <c r="D15820"/>
      <c r="E15820"/>
      <c r="F15820"/>
      <c r="N15820" s="56"/>
    </row>
    <row r="15821" spans="1:14" x14ac:dyDescent="0.3">
      <c r="A15821" s="42"/>
      <c r="C15821" s="52"/>
      <c r="D15821"/>
      <c r="E15821"/>
      <c r="F15821"/>
      <c r="N15821" s="56"/>
    </row>
    <row r="15822" spans="1:14" x14ac:dyDescent="0.3">
      <c r="A15822" s="42"/>
      <c r="C15822" s="52"/>
      <c r="D15822"/>
      <c r="E15822"/>
      <c r="F15822"/>
      <c r="L15822" s="45"/>
      <c r="N15822" s="56"/>
    </row>
    <row r="15823" spans="1:14" x14ac:dyDescent="0.3">
      <c r="A15823" s="42"/>
      <c r="C15823" s="52"/>
      <c r="D15823"/>
      <c r="E15823"/>
      <c r="F15823"/>
      <c r="L15823" s="45"/>
      <c r="N15823" s="56"/>
    </row>
    <row r="15824" spans="1:14" x14ac:dyDescent="0.3">
      <c r="A15824" s="42"/>
      <c r="C15824" s="52"/>
      <c r="D15824"/>
      <c r="E15824"/>
      <c r="F15824"/>
      <c r="L15824" s="45"/>
      <c r="N15824" s="56"/>
    </row>
    <row r="15825" spans="1:14" x14ac:dyDescent="0.3">
      <c r="A15825" s="42"/>
      <c r="C15825" s="52"/>
      <c r="D15825"/>
      <c r="E15825"/>
      <c r="F15825"/>
      <c r="N15825" s="56"/>
    </row>
    <row r="15826" spans="1:14" x14ac:dyDescent="0.3">
      <c r="A15826" s="42"/>
      <c r="C15826" s="52"/>
      <c r="D15826"/>
      <c r="E15826"/>
      <c r="F15826"/>
      <c r="N15826" s="56"/>
    </row>
    <row r="15827" spans="1:14" x14ac:dyDescent="0.3">
      <c r="A15827" s="42"/>
      <c r="C15827" s="52"/>
      <c r="D15827"/>
      <c r="E15827"/>
      <c r="F15827"/>
      <c r="N15827" s="56"/>
    </row>
    <row r="15828" spans="1:14" x14ac:dyDescent="0.3">
      <c r="A15828" s="42"/>
      <c r="C15828" s="52"/>
      <c r="D15828"/>
      <c r="E15828"/>
      <c r="F15828"/>
      <c r="N15828" s="56"/>
    </row>
    <row r="15829" spans="1:14" x14ac:dyDescent="0.3">
      <c r="A15829" s="42"/>
      <c r="C15829" s="52"/>
      <c r="D15829"/>
      <c r="E15829"/>
      <c r="F15829"/>
      <c r="N15829" s="56"/>
    </row>
    <row r="15830" spans="1:14" x14ac:dyDescent="0.3">
      <c r="A15830" s="42"/>
      <c r="C15830" s="52"/>
      <c r="D15830"/>
      <c r="E15830"/>
      <c r="F15830"/>
      <c r="N15830" s="56"/>
    </row>
    <row r="15831" spans="1:14" x14ac:dyDescent="0.3">
      <c r="A15831" s="42"/>
      <c r="C15831" s="52"/>
      <c r="D15831"/>
      <c r="E15831"/>
      <c r="F15831"/>
      <c r="L15831" s="45"/>
      <c r="N15831" s="56"/>
    </row>
    <row r="15832" spans="1:14" x14ac:dyDescent="0.3">
      <c r="A15832" s="42"/>
      <c r="C15832" s="52"/>
      <c r="D15832"/>
      <c r="E15832"/>
      <c r="F15832"/>
      <c r="L15832" s="45"/>
      <c r="N15832" s="56"/>
    </row>
    <row r="15833" spans="1:14" x14ac:dyDescent="0.3">
      <c r="A15833" s="42"/>
      <c r="C15833" s="52"/>
      <c r="D15833"/>
      <c r="E15833"/>
      <c r="F15833"/>
      <c r="L15833" s="45"/>
      <c r="N15833" s="56"/>
    </row>
    <row r="15834" spans="1:14" x14ac:dyDescent="0.3">
      <c r="A15834" s="42"/>
      <c r="C15834" s="52"/>
      <c r="D15834"/>
      <c r="E15834"/>
      <c r="F15834"/>
      <c r="L15834" s="45"/>
      <c r="N15834" s="56"/>
    </row>
    <row r="15835" spans="1:14" x14ac:dyDescent="0.3">
      <c r="A15835" s="42"/>
      <c r="C15835" s="52"/>
      <c r="D15835"/>
      <c r="E15835"/>
      <c r="F15835"/>
      <c r="N15835" s="56"/>
    </row>
    <row r="15836" spans="1:14" x14ac:dyDescent="0.3">
      <c r="A15836" s="42"/>
      <c r="C15836" s="52"/>
      <c r="D15836"/>
      <c r="E15836"/>
      <c r="F15836"/>
      <c r="L15836" s="45"/>
      <c r="N15836" s="56"/>
    </row>
    <row r="15837" spans="1:14" x14ac:dyDescent="0.3">
      <c r="A15837" s="42"/>
      <c r="C15837" s="52"/>
      <c r="D15837"/>
      <c r="E15837"/>
      <c r="F15837"/>
      <c r="N15837" s="56"/>
    </row>
    <row r="15838" spans="1:14" x14ac:dyDescent="0.3">
      <c r="A15838" s="42"/>
      <c r="C15838" s="52"/>
      <c r="D15838"/>
      <c r="E15838"/>
      <c r="F15838"/>
      <c r="N15838" s="56"/>
    </row>
    <row r="15839" spans="1:14" x14ac:dyDescent="0.3">
      <c r="A15839" s="42"/>
      <c r="C15839" s="52"/>
      <c r="D15839"/>
      <c r="E15839"/>
      <c r="F15839"/>
      <c r="N15839" s="56"/>
    </row>
    <row r="15840" spans="1:14" x14ac:dyDescent="0.3">
      <c r="A15840" s="42"/>
      <c r="C15840" s="52"/>
      <c r="D15840"/>
      <c r="E15840"/>
      <c r="F15840"/>
      <c r="N15840" s="56"/>
    </row>
    <row r="15841" spans="1:14" x14ac:dyDescent="0.3">
      <c r="A15841" s="42"/>
      <c r="C15841" s="52"/>
      <c r="D15841"/>
      <c r="E15841"/>
      <c r="F15841"/>
      <c r="N15841" s="56"/>
    </row>
    <row r="15842" spans="1:14" x14ac:dyDescent="0.3">
      <c r="A15842" s="42"/>
      <c r="C15842" s="52"/>
      <c r="D15842"/>
      <c r="E15842"/>
      <c r="F15842"/>
      <c r="N15842" s="56"/>
    </row>
    <row r="15843" spans="1:14" x14ac:dyDescent="0.3">
      <c r="A15843" s="42"/>
      <c r="C15843" s="52"/>
      <c r="D15843"/>
      <c r="E15843"/>
      <c r="F15843"/>
      <c r="N15843" s="56"/>
    </row>
    <row r="15844" spans="1:14" x14ac:dyDescent="0.3">
      <c r="A15844" s="42"/>
      <c r="C15844" s="52"/>
      <c r="D15844"/>
      <c r="E15844"/>
      <c r="F15844"/>
      <c r="N15844" s="56"/>
    </row>
    <row r="15845" spans="1:14" x14ac:dyDescent="0.3">
      <c r="A15845" s="42"/>
      <c r="C15845" s="52"/>
      <c r="D15845"/>
      <c r="E15845"/>
      <c r="F15845"/>
      <c r="N15845" s="56"/>
    </row>
    <row r="15846" spans="1:14" x14ac:dyDescent="0.3">
      <c r="A15846" s="42"/>
      <c r="C15846" s="52"/>
      <c r="D15846"/>
      <c r="E15846"/>
      <c r="F15846"/>
      <c r="N15846" s="56"/>
    </row>
    <row r="15847" spans="1:14" x14ac:dyDescent="0.3">
      <c r="A15847" s="42"/>
      <c r="C15847" s="52"/>
      <c r="D15847"/>
      <c r="E15847"/>
      <c r="F15847"/>
      <c r="L15847" s="45"/>
      <c r="N15847" s="56"/>
    </row>
    <row r="15848" spans="1:14" x14ac:dyDescent="0.3">
      <c r="A15848" s="42"/>
      <c r="C15848" s="52"/>
      <c r="D15848"/>
      <c r="E15848"/>
      <c r="F15848"/>
      <c r="N15848" s="56"/>
    </row>
    <row r="15849" spans="1:14" x14ac:dyDescent="0.3">
      <c r="A15849" s="42"/>
      <c r="C15849" s="52"/>
      <c r="D15849"/>
      <c r="E15849"/>
      <c r="F15849"/>
      <c r="N15849" s="56"/>
    </row>
    <row r="15850" spans="1:14" x14ac:dyDescent="0.3">
      <c r="A15850" s="42"/>
      <c r="C15850" s="52"/>
      <c r="D15850"/>
      <c r="E15850"/>
      <c r="F15850"/>
      <c r="N15850" s="56"/>
    </row>
    <row r="15851" spans="1:14" x14ac:dyDescent="0.3">
      <c r="A15851" s="42"/>
      <c r="C15851" s="52"/>
      <c r="D15851"/>
      <c r="E15851"/>
      <c r="F15851"/>
      <c r="N15851" s="56"/>
    </row>
    <row r="15852" spans="1:14" x14ac:dyDescent="0.3">
      <c r="A15852" s="42"/>
      <c r="C15852" s="52"/>
      <c r="D15852"/>
      <c r="E15852"/>
      <c r="F15852"/>
      <c r="N15852" s="56"/>
    </row>
    <row r="15853" spans="1:14" x14ac:dyDescent="0.3">
      <c r="A15853" s="42"/>
      <c r="C15853" s="52"/>
      <c r="D15853"/>
      <c r="E15853"/>
      <c r="F15853"/>
      <c r="N15853" s="56"/>
    </row>
    <row r="15854" spans="1:14" x14ac:dyDescent="0.3">
      <c r="A15854" s="42"/>
      <c r="C15854" s="52"/>
      <c r="D15854"/>
      <c r="E15854"/>
      <c r="F15854"/>
      <c r="N15854" s="56"/>
    </row>
    <row r="15855" spans="1:14" x14ac:dyDescent="0.3">
      <c r="A15855" s="42"/>
      <c r="C15855" s="52"/>
      <c r="D15855"/>
      <c r="E15855"/>
      <c r="F15855"/>
      <c r="N15855" s="56"/>
    </row>
    <row r="15856" spans="1:14" x14ac:dyDescent="0.3">
      <c r="A15856" s="42"/>
      <c r="C15856" s="52"/>
      <c r="D15856"/>
      <c r="E15856"/>
      <c r="F15856"/>
      <c r="N15856" s="56"/>
    </row>
    <row r="15857" spans="1:14" x14ac:dyDescent="0.3">
      <c r="A15857" s="42"/>
      <c r="C15857" s="52"/>
      <c r="D15857"/>
      <c r="E15857"/>
      <c r="F15857"/>
      <c r="N15857" s="56"/>
    </row>
    <row r="15858" spans="1:14" x14ac:dyDescent="0.3">
      <c r="A15858" s="42"/>
      <c r="C15858" s="52"/>
      <c r="D15858"/>
      <c r="E15858"/>
      <c r="F15858"/>
      <c r="N15858" s="56"/>
    </row>
    <row r="15859" spans="1:14" x14ac:dyDescent="0.3">
      <c r="A15859" s="42"/>
      <c r="C15859" s="52"/>
      <c r="D15859"/>
      <c r="E15859"/>
      <c r="F15859"/>
      <c r="N15859" s="56"/>
    </row>
    <row r="15860" spans="1:14" x14ac:dyDescent="0.3">
      <c r="A15860" s="42"/>
      <c r="C15860" s="52"/>
      <c r="D15860"/>
      <c r="E15860"/>
      <c r="F15860"/>
      <c r="N15860" s="56"/>
    </row>
    <row r="15861" spans="1:14" x14ac:dyDescent="0.3">
      <c r="A15861" s="42"/>
      <c r="C15861" s="52"/>
      <c r="D15861"/>
      <c r="E15861"/>
      <c r="F15861"/>
      <c r="N15861" s="56"/>
    </row>
    <row r="15862" spans="1:14" x14ac:dyDescent="0.3">
      <c r="A15862" s="42"/>
      <c r="C15862" s="52"/>
      <c r="D15862"/>
      <c r="E15862"/>
      <c r="F15862"/>
      <c r="N15862" s="56"/>
    </row>
    <row r="15863" spans="1:14" x14ac:dyDescent="0.3">
      <c r="A15863" s="42"/>
      <c r="C15863" s="52"/>
      <c r="D15863"/>
      <c r="E15863"/>
      <c r="F15863"/>
      <c r="N15863" s="56"/>
    </row>
    <row r="15864" spans="1:14" x14ac:dyDescent="0.3">
      <c r="A15864" s="42"/>
      <c r="C15864" s="52"/>
      <c r="D15864"/>
      <c r="E15864"/>
      <c r="F15864"/>
      <c r="N15864" s="56"/>
    </row>
    <row r="15865" spans="1:14" x14ac:dyDescent="0.3">
      <c r="A15865" s="42"/>
      <c r="C15865" s="52"/>
      <c r="D15865"/>
      <c r="E15865"/>
      <c r="F15865"/>
      <c r="N15865" s="56"/>
    </row>
    <row r="15866" spans="1:14" x14ac:dyDescent="0.3">
      <c r="A15866" s="42"/>
      <c r="C15866" s="52"/>
      <c r="D15866"/>
      <c r="E15866"/>
      <c r="F15866"/>
      <c r="N15866" s="56"/>
    </row>
    <row r="15867" spans="1:14" x14ac:dyDescent="0.3">
      <c r="A15867" s="42"/>
      <c r="C15867" s="52"/>
      <c r="D15867"/>
      <c r="E15867"/>
      <c r="F15867"/>
      <c r="N15867" s="56"/>
    </row>
    <row r="15868" spans="1:14" x14ac:dyDescent="0.3">
      <c r="A15868" s="42"/>
      <c r="C15868" s="52"/>
      <c r="D15868"/>
      <c r="E15868"/>
      <c r="F15868"/>
      <c r="N15868" s="56"/>
    </row>
    <row r="15869" spans="1:14" x14ac:dyDescent="0.3">
      <c r="A15869" s="42"/>
      <c r="C15869" s="52"/>
      <c r="D15869"/>
      <c r="E15869"/>
      <c r="F15869"/>
      <c r="N15869" s="56"/>
    </row>
    <row r="15870" spans="1:14" x14ac:dyDescent="0.3">
      <c r="A15870" s="42"/>
      <c r="C15870" s="52"/>
      <c r="D15870"/>
      <c r="E15870"/>
      <c r="F15870"/>
      <c r="N15870" s="56"/>
    </row>
    <row r="15871" spans="1:14" x14ac:dyDescent="0.3">
      <c r="A15871" s="42"/>
      <c r="C15871" s="52"/>
      <c r="D15871"/>
      <c r="E15871"/>
      <c r="F15871"/>
      <c r="N15871" s="56"/>
    </row>
    <row r="15872" spans="1:14" x14ac:dyDescent="0.3">
      <c r="A15872" s="42"/>
      <c r="C15872" s="52"/>
      <c r="D15872"/>
      <c r="E15872"/>
      <c r="F15872"/>
      <c r="L15872" s="45"/>
      <c r="N15872" s="56"/>
    </row>
    <row r="15873" spans="1:14" x14ac:dyDescent="0.3">
      <c r="A15873" s="42"/>
      <c r="C15873" s="52"/>
      <c r="D15873"/>
      <c r="E15873"/>
      <c r="F15873"/>
      <c r="N15873" s="56"/>
    </row>
    <row r="15874" spans="1:14" x14ac:dyDescent="0.3">
      <c r="A15874" s="42"/>
      <c r="C15874" s="52"/>
      <c r="D15874"/>
      <c r="E15874"/>
      <c r="F15874"/>
      <c r="N15874" s="56"/>
    </row>
    <row r="15875" spans="1:14" x14ac:dyDescent="0.3">
      <c r="A15875" s="42"/>
      <c r="C15875" s="52"/>
      <c r="D15875"/>
      <c r="E15875"/>
      <c r="F15875"/>
      <c r="L15875" s="45"/>
      <c r="N15875" s="56"/>
    </row>
    <row r="15876" spans="1:14" x14ac:dyDescent="0.3">
      <c r="A15876" s="42"/>
      <c r="C15876" s="52"/>
      <c r="D15876"/>
      <c r="E15876"/>
      <c r="F15876"/>
      <c r="L15876" s="45"/>
      <c r="N15876" s="56"/>
    </row>
    <row r="15877" spans="1:14" x14ac:dyDescent="0.3">
      <c r="A15877" s="42"/>
      <c r="C15877" s="52"/>
      <c r="D15877"/>
      <c r="E15877"/>
      <c r="F15877"/>
      <c r="N15877" s="56"/>
    </row>
    <row r="15878" spans="1:14" x14ac:dyDescent="0.3">
      <c r="A15878" s="42"/>
      <c r="C15878" s="52"/>
      <c r="D15878"/>
      <c r="E15878"/>
      <c r="F15878"/>
      <c r="N15878" s="56"/>
    </row>
    <row r="15879" spans="1:14" x14ac:dyDescent="0.3">
      <c r="A15879" s="42"/>
      <c r="C15879" s="52"/>
      <c r="D15879"/>
      <c r="E15879"/>
      <c r="F15879"/>
      <c r="L15879" s="45"/>
      <c r="N15879" s="56"/>
    </row>
    <row r="15880" spans="1:14" x14ac:dyDescent="0.3">
      <c r="A15880" s="42"/>
      <c r="C15880" s="52"/>
      <c r="D15880"/>
      <c r="E15880"/>
      <c r="F15880"/>
      <c r="N15880" s="56"/>
    </row>
    <row r="15881" spans="1:14" x14ac:dyDescent="0.3">
      <c r="A15881" s="42"/>
      <c r="C15881" s="52"/>
      <c r="D15881"/>
      <c r="E15881"/>
      <c r="F15881"/>
      <c r="L15881" s="45"/>
      <c r="N15881" s="56"/>
    </row>
    <row r="15882" spans="1:14" x14ac:dyDescent="0.3">
      <c r="A15882" s="42"/>
      <c r="C15882" s="52"/>
      <c r="D15882"/>
      <c r="E15882"/>
      <c r="F15882"/>
      <c r="L15882" s="45"/>
      <c r="N15882" s="56"/>
    </row>
    <row r="15883" spans="1:14" x14ac:dyDescent="0.3">
      <c r="A15883" s="42"/>
      <c r="C15883" s="52"/>
      <c r="D15883"/>
      <c r="E15883"/>
      <c r="F15883"/>
      <c r="L15883" s="45"/>
      <c r="N15883" s="56"/>
    </row>
    <row r="15884" spans="1:14" x14ac:dyDescent="0.3">
      <c r="A15884" s="42"/>
      <c r="C15884" s="52"/>
      <c r="D15884"/>
      <c r="E15884"/>
      <c r="F15884"/>
      <c r="L15884" s="45"/>
      <c r="N15884" s="56"/>
    </row>
    <row r="15885" spans="1:14" x14ac:dyDescent="0.3">
      <c r="A15885" s="42"/>
      <c r="C15885" s="52"/>
      <c r="D15885"/>
      <c r="E15885"/>
      <c r="F15885"/>
      <c r="L15885" s="45"/>
      <c r="N15885" s="56"/>
    </row>
    <row r="15886" spans="1:14" x14ac:dyDescent="0.3">
      <c r="A15886" s="42"/>
      <c r="C15886" s="52"/>
      <c r="D15886"/>
      <c r="E15886"/>
      <c r="F15886"/>
      <c r="L15886" s="45"/>
      <c r="N15886" s="56"/>
    </row>
    <row r="15887" spans="1:14" x14ac:dyDescent="0.3">
      <c r="A15887" s="42"/>
      <c r="C15887" s="52"/>
      <c r="D15887"/>
      <c r="E15887"/>
      <c r="F15887"/>
      <c r="N15887" s="56"/>
    </row>
    <row r="15888" spans="1:14" x14ac:dyDescent="0.3">
      <c r="A15888" s="42"/>
      <c r="C15888" s="52"/>
      <c r="D15888"/>
      <c r="E15888"/>
      <c r="F15888"/>
      <c r="N15888" s="56"/>
    </row>
    <row r="15889" spans="1:14" x14ac:dyDescent="0.3">
      <c r="A15889" s="42"/>
      <c r="C15889" s="52"/>
      <c r="D15889"/>
      <c r="E15889"/>
      <c r="F15889"/>
      <c r="L15889" s="45"/>
      <c r="N15889" s="56"/>
    </row>
    <row r="15890" spans="1:14" x14ac:dyDescent="0.3">
      <c r="A15890" s="42"/>
      <c r="C15890" s="52"/>
      <c r="D15890"/>
      <c r="E15890"/>
      <c r="F15890"/>
      <c r="L15890" s="45"/>
      <c r="N15890" s="56"/>
    </row>
    <row r="15891" spans="1:14" x14ac:dyDescent="0.3">
      <c r="A15891" s="42"/>
      <c r="C15891" s="52"/>
      <c r="D15891"/>
      <c r="E15891"/>
      <c r="F15891"/>
      <c r="L15891" s="45"/>
      <c r="N15891" s="56"/>
    </row>
    <row r="15892" spans="1:14" x14ac:dyDescent="0.3">
      <c r="A15892" s="42"/>
      <c r="C15892" s="52"/>
      <c r="D15892"/>
      <c r="E15892"/>
      <c r="F15892"/>
      <c r="L15892" s="45"/>
      <c r="N15892" s="56"/>
    </row>
    <row r="15893" spans="1:14" x14ac:dyDescent="0.3">
      <c r="A15893" s="42"/>
      <c r="C15893" s="52"/>
      <c r="D15893"/>
      <c r="E15893"/>
      <c r="F15893"/>
      <c r="L15893" s="45"/>
      <c r="N15893" s="56"/>
    </row>
    <row r="15894" spans="1:14" x14ac:dyDescent="0.3">
      <c r="A15894" s="42"/>
      <c r="C15894" s="52"/>
      <c r="D15894"/>
      <c r="E15894"/>
      <c r="F15894"/>
      <c r="L15894" s="45"/>
      <c r="N15894" s="56"/>
    </row>
    <row r="15895" spans="1:14" x14ac:dyDescent="0.3">
      <c r="A15895" s="42"/>
      <c r="C15895" s="52"/>
      <c r="D15895"/>
      <c r="E15895"/>
      <c r="F15895"/>
      <c r="L15895" s="45"/>
      <c r="N15895" s="56"/>
    </row>
    <row r="15896" spans="1:14" x14ac:dyDescent="0.3">
      <c r="A15896" s="42"/>
      <c r="C15896" s="52"/>
      <c r="D15896"/>
      <c r="E15896"/>
      <c r="F15896"/>
      <c r="L15896" s="45"/>
      <c r="N15896" s="56"/>
    </row>
    <row r="15897" spans="1:14" x14ac:dyDescent="0.3">
      <c r="A15897" s="42"/>
      <c r="C15897" s="52"/>
      <c r="D15897"/>
      <c r="E15897"/>
      <c r="F15897"/>
      <c r="L15897" s="45"/>
      <c r="N15897" s="56"/>
    </row>
    <row r="15898" spans="1:14" x14ac:dyDescent="0.3">
      <c r="A15898" s="42"/>
      <c r="C15898" s="52"/>
      <c r="D15898"/>
      <c r="E15898"/>
      <c r="F15898"/>
      <c r="L15898" s="45"/>
      <c r="N15898" s="56"/>
    </row>
    <row r="15899" spans="1:14" x14ac:dyDescent="0.3">
      <c r="A15899" s="42"/>
      <c r="C15899" s="52"/>
      <c r="D15899"/>
      <c r="E15899"/>
      <c r="F15899"/>
      <c r="L15899" s="45"/>
      <c r="N15899" s="56"/>
    </row>
    <row r="15900" spans="1:14" x14ac:dyDescent="0.3">
      <c r="A15900" s="42"/>
      <c r="C15900" s="52"/>
      <c r="D15900"/>
      <c r="E15900"/>
      <c r="F15900"/>
      <c r="L15900" s="45"/>
      <c r="N15900" s="56"/>
    </row>
    <row r="15901" spans="1:14" x14ac:dyDescent="0.3">
      <c r="A15901" s="42"/>
      <c r="C15901" s="52"/>
      <c r="D15901"/>
      <c r="E15901"/>
      <c r="F15901"/>
      <c r="L15901" s="45"/>
      <c r="N15901" s="56"/>
    </row>
    <row r="15902" spans="1:14" x14ac:dyDescent="0.3">
      <c r="A15902" s="42"/>
      <c r="C15902" s="52"/>
      <c r="D15902"/>
      <c r="E15902"/>
      <c r="F15902"/>
      <c r="N15902" s="56"/>
    </row>
    <row r="15903" spans="1:14" x14ac:dyDescent="0.3">
      <c r="A15903" s="42"/>
      <c r="C15903" s="52"/>
      <c r="D15903"/>
      <c r="E15903"/>
      <c r="F15903"/>
      <c r="N15903" s="56"/>
    </row>
    <row r="15904" spans="1:14" x14ac:dyDescent="0.3">
      <c r="A15904" s="42"/>
      <c r="C15904" s="52"/>
      <c r="D15904"/>
      <c r="E15904"/>
      <c r="F15904"/>
      <c r="N15904" s="56"/>
    </row>
    <row r="15905" spans="1:14" x14ac:dyDescent="0.3">
      <c r="A15905" s="42"/>
      <c r="C15905" s="52"/>
      <c r="D15905"/>
      <c r="E15905"/>
      <c r="F15905"/>
      <c r="N15905" s="56"/>
    </row>
    <row r="15906" spans="1:14" x14ac:dyDescent="0.3">
      <c r="A15906" s="42"/>
      <c r="C15906" s="52"/>
      <c r="D15906"/>
      <c r="E15906"/>
      <c r="F15906"/>
      <c r="N15906" s="56"/>
    </row>
    <row r="15907" spans="1:14" x14ac:dyDescent="0.3">
      <c r="A15907" s="42"/>
      <c r="C15907" s="52"/>
      <c r="D15907"/>
      <c r="E15907"/>
      <c r="F15907"/>
      <c r="N15907" s="56"/>
    </row>
    <row r="15908" spans="1:14" x14ac:dyDescent="0.3">
      <c r="A15908" s="42"/>
      <c r="C15908" s="52"/>
      <c r="D15908"/>
      <c r="E15908"/>
      <c r="F15908"/>
      <c r="L15908" s="45"/>
      <c r="N15908" s="56"/>
    </row>
    <row r="15909" spans="1:14" x14ac:dyDescent="0.3">
      <c r="A15909" s="42"/>
      <c r="C15909" s="52"/>
      <c r="D15909"/>
      <c r="E15909"/>
      <c r="F15909"/>
      <c r="L15909" s="45"/>
      <c r="N15909" s="56"/>
    </row>
    <row r="15910" spans="1:14" x14ac:dyDescent="0.3">
      <c r="A15910" s="42"/>
      <c r="C15910" s="52"/>
      <c r="D15910"/>
      <c r="E15910"/>
      <c r="F15910"/>
      <c r="L15910" s="45"/>
      <c r="N15910" s="56"/>
    </row>
    <row r="15911" spans="1:14" x14ac:dyDescent="0.3">
      <c r="A15911" s="42"/>
      <c r="C15911" s="52"/>
      <c r="D15911"/>
      <c r="E15911"/>
      <c r="F15911"/>
      <c r="L15911" s="45"/>
      <c r="N15911" s="56"/>
    </row>
    <row r="15912" spans="1:14" x14ac:dyDescent="0.3">
      <c r="A15912" s="42"/>
      <c r="C15912" s="52"/>
      <c r="D15912"/>
      <c r="E15912"/>
      <c r="F15912"/>
      <c r="L15912" s="45"/>
      <c r="N15912" s="56"/>
    </row>
    <row r="15913" spans="1:14" x14ac:dyDescent="0.3">
      <c r="A15913" s="42"/>
      <c r="C15913" s="52"/>
      <c r="D15913"/>
      <c r="E15913"/>
      <c r="F15913"/>
      <c r="L15913" s="45"/>
      <c r="N15913" s="56"/>
    </row>
    <row r="15914" spans="1:14" x14ac:dyDescent="0.3">
      <c r="A15914" s="42"/>
      <c r="C15914" s="52"/>
      <c r="D15914"/>
      <c r="E15914"/>
      <c r="F15914"/>
      <c r="L15914" s="45"/>
      <c r="N15914" s="56"/>
    </row>
    <row r="15915" spans="1:14" x14ac:dyDescent="0.3">
      <c r="A15915" s="42"/>
      <c r="C15915" s="52"/>
      <c r="D15915"/>
      <c r="E15915"/>
      <c r="F15915"/>
      <c r="L15915" s="45"/>
      <c r="N15915" s="56"/>
    </row>
    <row r="15916" spans="1:14" x14ac:dyDescent="0.3">
      <c r="A15916" s="42"/>
      <c r="C15916" s="52"/>
      <c r="D15916"/>
      <c r="E15916"/>
      <c r="F15916"/>
      <c r="L15916" s="45"/>
      <c r="N15916" s="56"/>
    </row>
    <row r="15917" spans="1:14" x14ac:dyDescent="0.3">
      <c r="A15917" s="42"/>
      <c r="C15917" s="52"/>
      <c r="D15917"/>
      <c r="E15917"/>
      <c r="F15917"/>
      <c r="L15917" s="45"/>
      <c r="N15917" s="56"/>
    </row>
    <row r="15918" spans="1:14" x14ac:dyDescent="0.3">
      <c r="A15918" s="42"/>
      <c r="C15918" s="52"/>
      <c r="D15918"/>
      <c r="E15918"/>
      <c r="F15918"/>
      <c r="L15918" s="45"/>
      <c r="N15918" s="56"/>
    </row>
    <row r="15919" spans="1:14" x14ac:dyDescent="0.3">
      <c r="A15919" s="42"/>
      <c r="C15919" s="52"/>
      <c r="D15919"/>
      <c r="E15919"/>
      <c r="F15919"/>
      <c r="L15919" s="45"/>
      <c r="N15919" s="56"/>
    </row>
    <row r="15920" spans="1:14" x14ac:dyDescent="0.3">
      <c r="A15920" s="42"/>
      <c r="C15920" s="52"/>
      <c r="D15920"/>
      <c r="E15920"/>
      <c r="F15920"/>
      <c r="N15920" s="56"/>
    </row>
    <row r="15921" spans="1:14" x14ac:dyDescent="0.3">
      <c r="A15921" s="42"/>
      <c r="C15921" s="52"/>
      <c r="D15921"/>
      <c r="E15921"/>
      <c r="F15921"/>
      <c r="N15921" s="56"/>
    </row>
    <row r="15922" spans="1:14" x14ac:dyDescent="0.3">
      <c r="A15922" s="42"/>
      <c r="C15922" s="52"/>
      <c r="D15922"/>
      <c r="E15922"/>
      <c r="F15922"/>
      <c r="L15922" s="45"/>
      <c r="N15922" s="56"/>
    </row>
    <row r="15923" spans="1:14" x14ac:dyDescent="0.3">
      <c r="A15923" s="42"/>
      <c r="C15923" s="52"/>
      <c r="D15923"/>
      <c r="E15923"/>
      <c r="F15923"/>
      <c r="N15923" s="56"/>
    </row>
    <row r="15924" spans="1:14" x14ac:dyDescent="0.3">
      <c r="A15924" s="42"/>
      <c r="C15924" s="52"/>
      <c r="D15924"/>
      <c r="E15924"/>
      <c r="F15924"/>
      <c r="N15924" s="56"/>
    </row>
    <row r="15925" spans="1:14" x14ac:dyDescent="0.3">
      <c r="A15925" s="42"/>
      <c r="C15925" s="52"/>
      <c r="D15925"/>
      <c r="E15925"/>
      <c r="F15925"/>
      <c r="N15925" s="56"/>
    </row>
    <row r="15926" spans="1:14" x14ac:dyDescent="0.3">
      <c r="A15926" s="42"/>
      <c r="C15926" s="52"/>
      <c r="D15926"/>
      <c r="E15926"/>
      <c r="F15926"/>
      <c r="N15926" s="56"/>
    </row>
    <row r="15927" spans="1:14" x14ac:dyDescent="0.3">
      <c r="A15927" s="42"/>
      <c r="C15927" s="52"/>
      <c r="D15927"/>
      <c r="E15927"/>
      <c r="F15927"/>
      <c r="N15927" s="56"/>
    </row>
    <row r="15928" spans="1:14" x14ac:dyDescent="0.3">
      <c r="A15928" s="42"/>
      <c r="C15928" s="52"/>
      <c r="D15928"/>
      <c r="E15928"/>
      <c r="F15928"/>
      <c r="N15928" s="56"/>
    </row>
    <row r="15929" spans="1:14" x14ac:dyDescent="0.3">
      <c r="A15929" s="42"/>
      <c r="C15929" s="52"/>
      <c r="D15929"/>
      <c r="E15929"/>
      <c r="F15929"/>
      <c r="N15929" s="56"/>
    </row>
    <row r="15930" spans="1:14" x14ac:dyDescent="0.3">
      <c r="A15930" s="42"/>
      <c r="C15930" s="52"/>
      <c r="D15930"/>
      <c r="E15930"/>
      <c r="F15930"/>
      <c r="N15930" s="56"/>
    </row>
    <row r="15931" spans="1:14" x14ac:dyDescent="0.3">
      <c r="A15931" s="42"/>
      <c r="C15931" s="52"/>
      <c r="D15931"/>
      <c r="E15931"/>
      <c r="F15931"/>
      <c r="N15931" s="56"/>
    </row>
    <row r="15932" spans="1:14" x14ac:dyDescent="0.3">
      <c r="A15932" s="42"/>
      <c r="C15932" s="52"/>
      <c r="D15932"/>
      <c r="E15932"/>
      <c r="F15932"/>
      <c r="N15932" s="56"/>
    </row>
    <row r="15933" spans="1:14" x14ac:dyDescent="0.3">
      <c r="A15933" s="42"/>
      <c r="C15933" s="52"/>
      <c r="D15933"/>
      <c r="E15933"/>
      <c r="F15933"/>
      <c r="N15933" s="56"/>
    </row>
    <row r="15934" spans="1:14" x14ac:dyDescent="0.3">
      <c r="A15934" s="42"/>
      <c r="C15934" s="52"/>
      <c r="D15934"/>
      <c r="E15934"/>
      <c r="F15934"/>
      <c r="N15934" s="56"/>
    </row>
    <row r="15935" spans="1:14" x14ac:dyDescent="0.3">
      <c r="A15935" s="42"/>
      <c r="C15935" s="52"/>
      <c r="D15935"/>
      <c r="E15935"/>
      <c r="F15935"/>
      <c r="N15935" s="56"/>
    </row>
    <row r="15936" spans="1:14" x14ac:dyDescent="0.3">
      <c r="A15936" s="42"/>
      <c r="C15936" s="52"/>
      <c r="D15936"/>
      <c r="E15936"/>
      <c r="F15936"/>
      <c r="N15936" s="56"/>
    </row>
    <row r="15937" spans="1:14" x14ac:dyDescent="0.3">
      <c r="A15937" s="42"/>
      <c r="C15937" s="52"/>
      <c r="D15937"/>
      <c r="E15937"/>
      <c r="F15937"/>
      <c r="N15937" s="56"/>
    </row>
    <row r="15938" spans="1:14" x14ac:dyDescent="0.3">
      <c r="A15938" s="42"/>
      <c r="C15938" s="52"/>
      <c r="D15938"/>
      <c r="E15938"/>
      <c r="F15938"/>
      <c r="N15938" s="56"/>
    </row>
    <row r="15939" spans="1:14" x14ac:dyDescent="0.3">
      <c r="A15939" s="42"/>
      <c r="C15939" s="52"/>
      <c r="D15939"/>
      <c r="E15939"/>
      <c r="F15939"/>
      <c r="N15939" s="56"/>
    </row>
    <row r="15940" spans="1:14" x14ac:dyDescent="0.3">
      <c r="A15940" s="42"/>
      <c r="C15940" s="52"/>
      <c r="D15940"/>
      <c r="E15940"/>
      <c r="F15940"/>
      <c r="N15940" s="56"/>
    </row>
    <row r="15941" spans="1:14" x14ac:dyDescent="0.3">
      <c r="A15941" s="42"/>
      <c r="C15941" s="52"/>
      <c r="D15941"/>
      <c r="E15941"/>
      <c r="F15941"/>
      <c r="N15941" s="56"/>
    </row>
    <row r="15942" spans="1:14" x14ac:dyDescent="0.3">
      <c r="A15942" s="42"/>
      <c r="C15942" s="52"/>
      <c r="D15942"/>
      <c r="E15942"/>
      <c r="F15942"/>
      <c r="N15942" s="56"/>
    </row>
    <row r="15943" spans="1:14" x14ac:dyDescent="0.3">
      <c r="A15943" s="42"/>
      <c r="C15943" s="52"/>
      <c r="D15943"/>
      <c r="E15943"/>
      <c r="F15943"/>
      <c r="N15943" s="56"/>
    </row>
    <row r="15944" spans="1:14" x14ac:dyDescent="0.3">
      <c r="A15944" s="42"/>
      <c r="C15944" s="52"/>
      <c r="D15944"/>
      <c r="E15944"/>
      <c r="F15944"/>
      <c r="N15944" s="56"/>
    </row>
    <row r="15945" spans="1:14" x14ac:dyDescent="0.3">
      <c r="A15945" s="42"/>
      <c r="C15945" s="52"/>
      <c r="D15945"/>
      <c r="E15945"/>
      <c r="F15945"/>
      <c r="N15945" s="56"/>
    </row>
    <row r="15946" spans="1:14" x14ac:dyDescent="0.3">
      <c r="A15946" s="42"/>
      <c r="C15946" s="52"/>
      <c r="D15946"/>
      <c r="E15946"/>
      <c r="F15946"/>
      <c r="N15946" s="56"/>
    </row>
    <row r="15947" spans="1:14" x14ac:dyDescent="0.3">
      <c r="A15947" s="42"/>
      <c r="C15947" s="52"/>
      <c r="D15947"/>
      <c r="E15947"/>
      <c r="F15947"/>
      <c r="N15947" s="56"/>
    </row>
    <row r="15948" spans="1:14" x14ac:dyDescent="0.3">
      <c r="A15948" s="42"/>
      <c r="C15948" s="52"/>
      <c r="D15948"/>
      <c r="E15948"/>
      <c r="F15948"/>
      <c r="N15948" s="56"/>
    </row>
    <row r="15949" spans="1:14" x14ac:dyDescent="0.3">
      <c r="A15949" s="42"/>
      <c r="C15949" s="52"/>
      <c r="D15949"/>
      <c r="E15949"/>
      <c r="F15949"/>
      <c r="N15949" s="56"/>
    </row>
    <row r="15950" spans="1:14" x14ac:dyDescent="0.3">
      <c r="A15950" s="42"/>
      <c r="C15950" s="52"/>
      <c r="D15950"/>
      <c r="E15950"/>
      <c r="F15950"/>
      <c r="N15950" s="56"/>
    </row>
    <row r="15951" spans="1:14" x14ac:dyDescent="0.3">
      <c r="A15951" s="42"/>
      <c r="C15951" s="52"/>
      <c r="D15951"/>
      <c r="E15951"/>
      <c r="F15951"/>
      <c r="N15951" s="56"/>
    </row>
    <row r="15952" spans="1:14" x14ac:dyDescent="0.3">
      <c r="A15952" s="42"/>
      <c r="C15952" s="52"/>
      <c r="D15952"/>
      <c r="E15952"/>
      <c r="F15952"/>
      <c r="N15952" s="56"/>
    </row>
    <row r="15953" spans="1:14" x14ac:dyDescent="0.3">
      <c r="A15953" s="42"/>
      <c r="C15953" s="52"/>
      <c r="D15953"/>
      <c r="E15953"/>
      <c r="F15953"/>
      <c r="N15953" s="56"/>
    </row>
    <row r="15954" spans="1:14" x14ac:dyDescent="0.3">
      <c r="A15954" s="42"/>
      <c r="C15954" s="52"/>
      <c r="D15954"/>
      <c r="E15954"/>
      <c r="F15954"/>
      <c r="N15954" s="56"/>
    </row>
    <row r="15955" spans="1:14" x14ac:dyDescent="0.3">
      <c r="A15955" s="42"/>
      <c r="C15955" s="52"/>
      <c r="E15955"/>
      <c r="N15955" s="56"/>
    </row>
    <row r="15956" spans="1:14" x14ac:dyDescent="0.3">
      <c r="A15956" s="42"/>
      <c r="C15956" s="52"/>
      <c r="E15956"/>
      <c r="N15956" s="56"/>
    </row>
    <row r="15957" spans="1:14" x14ac:dyDescent="0.3">
      <c r="A15957" s="42"/>
      <c r="C15957" s="52"/>
      <c r="E15957"/>
      <c r="N15957" s="56"/>
    </row>
    <row r="15958" spans="1:14" x14ac:dyDescent="0.3">
      <c r="A15958" s="42"/>
      <c r="C15958" s="52"/>
      <c r="E15958"/>
      <c r="N15958" s="56"/>
    </row>
    <row r="15959" spans="1:14" x14ac:dyDescent="0.3">
      <c r="A15959" s="42"/>
      <c r="C15959" s="52"/>
      <c r="E15959"/>
      <c r="N15959" s="56"/>
    </row>
    <row r="15960" spans="1:14" x14ac:dyDescent="0.3">
      <c r="A15960" s="42"/>
      <c r="C15960" s="52"/>
      <c r="E15960"/>
      <c r="N15960" s="56"/>
    </row>
    <row r="15961" spans="1:14" x14ac:dyDescent="0.3">
      <c r="A15961" s="42"/>
      <c r="C15961" s="52"/>
      <c r="E15961"/>
      <c r="N15961" s="56"/>
    </row>
    <row r="15962" spans="1:14" x14ac:dyDescent="0.3">
      <c r="A15962" s="42"/>
      <c r="C15962" s="52"/>
      <c r="E15962"/>
      <c r="N15962" s="56"/>
    </row>
    <row r="15963" spans="1:14" x14ac:dyDescent="0.3">
      <c r="A15963" s="42"/>
      <c r="C15963" s="52"/>
      <c r="E15963"/>
      <c r="N15963" s="56"/>
    </row>
    <row r="15964" spans="1:14" x14ac:dyDescent="0.3">
      <c r="A15964" s="42"/>
      <c r="C15964" s="52"/>
      <c r="E15964"/>
      <c r="N15964" s="56"/>
    </row>
    <row r="15965" spans="1:14" x14ac:dyDescent="0.3">
      <c r="A15965" s="42"/>
      <c r="C15965" s="52"/>
      <c r="E15965"/>
      <c r="N15965" s="56"/>
    </row>
    <row r="15966" spans="1:14" x14ac:dyDescent="0.3">
      <c r="A15966" s="42"/>
      <c r="C15966" s="52"/>
      <c r="E15966"/>
      <c r="N15966" s="56"/>
    </row>
    <row r="15967" spans="1:14" x14ac:dyDescent="0.3">
      <c r="A15967" s="42"/>
      <c r="C15967" s="52"/>
      <c r="E15967"/>
      <c r="N15967" s="56"/>
    </row>
    <row r="15968" spans="1:14" x14ac:dyDescent="0.3">
      <c r="A15968" s="42"/>
      <c r="C15968" s="52"/>
      <c r="E15968"/>
      <c r="N15968" s="56"/>
    </row>
    <row r="15969" spans="1:14" x14ac:dyDescent="0.3">
      <c r="A15969" s="42"/>
      <c r="C15969" s="52"/>
      <c r="E15969"/>
      <c r="N15969" s="56"/>
    </row>
    <row r="15970" spans="1:14" x14ac:dyDescent="0.3">
      <c r="A15970" s="42"/>
      <c r="C15970" s="52"/>
      <c r="E15970"/>
      <c r="N15970" s="56"/>
    </row>
    <row r="15971" spans="1:14" x14ac:dyDescent="0.3">
      <c r="A15971" s="42"/>
      <c r="C15971" s="52"/>
      <c r="E15971"/>
      <c r="N15971" s="56"/>
    </row>
    <row r="15972" spans="1:14" x14ac:dyDescent="0.3">
      <c r="A15972" s="42"/>
      <c r="C15972" s="52"/>
      <c r="E15972"/>
      <c r="N15972" s="56"/>
    </row>
    <row r="15973" spans="1:14" x14ac:dyDescent="0.3">
      <c r="A15973" s="42"/>
      <c r="C15973" s="52"/>
      <c r="E15973"/>
      <c r="N15973" s="56"/>
    </row>
    <row r="15974" spans="1:14" x14ac:dyDescent="0.3">
      <c r="A15974" s="42"/>
      <c r="C15974" s="52"/>
      <c r="E15974"/>
      <c r="N15974" s="56"/>
    </row>
    <row r="15975" spans="1:14" x14ac:dyDescent="0.3">
      <c r="A15975" s="42"/>
      <c r="C15975" s="52"/>
      <c r="E15975"/>
      <c r="N15975" s="56"/>
    </row>
    <row r="15976" spans="1:14" x14ac:dyDescent="0.3">
      <c r="A15976" s="42"/>
      <c r="C15976" s="52"/>
      <c r="E15976"/>
      <c r="N15976" s="56"/>
    </row>
    <row r="15977" spans="1:14" x14ac:dyDescent="0.3">
      <c r="A15977" s="42"/>
      <c r="C15977" s="52"/>
      <c r="E15977"/>
      <c r="N15977" s="56"/>
    </row>
    <row r="15978" spans="1:14" x14ac:dyDescent="0.3">
      <c r="A15978" s="42"/>
      <c r="C15978" s="52"/>
      <c r="E15978"/>
      <c r="N15978" s="56"/>
    </row>
    <row r="15979" spans="1:14" x14ac:dyDescent="0.3">
      <c r="A15979" s="42"/>
      <c r="C15979" s="52"/>
      <c r="E15979"/>
      <c r="N15979" s="56"/>
    </row>
    <row r="15980" spans="1:14" x14ac:dyDescent="0.3">
      <c r="A15980" s="42"/>
      <c r="C15980" s="52"/>
      <c r="E15980"/>
      <c r="N15980" s="56"/>
    </row>
    <row r="15981" spans="1:14" x14ac:dyDescent="0.3">
      <c r="A15981" s="42"/>
      <c r="C15981" s="52"/>
      <c r="E15981"/>
      <c r="N15981" s="56"/>
    </row>
    <row r="15982" spans="1:14" x14ac:dyDescent="0.3">
      <c r="A15982" s="42"/>
      <c r="C15982" s="52"/>
      <c r="E15982"/>
      <c r="N15982" s="56"/>
    </row>
    <row r="15983" spans="1:14" x14ac:dyDescent="0.3">
      <c r="A15983" s="42"/>
      <c r="C15983" s="52"/>
      <c r="E15983"/>
      <c r="N15983" s="56"/>
    </row>
    <row r="15984" spans="1:14" x14ac:dyDescent="0.3">
      <c r="A15984" s="42"/>
      <c r="C15984" s="52"/>
      <c r="E15984"/>
      <c r="N15984" s="56"/>
    </row>
    <row r="15985" spans="1:14" x14ac:dyDescent="0.3">
      <c r="A15985" s="42"/>
      <c r="C15985" s="52"/>
      <c r="E15985"/>
      <c r="N15985" s="56"/>
    </row>
    <row r="15986" spans="1:14" x14ac:dyDescent="0.3">
      <c r="A15986" s="42"/>
      <c r="C15986" s="52"/>
      <c r="E15986"/>
      <c r="N15986" s="56"/>
    </row>
    <row r="15987" spans="1:14" x14ac:dyDescent="0.3">
      <c r="A15987" s="42"/>
      <c r="C15987" s="52"/>
      <c r="E15987"/>
      <c r="N15987" s="56"/>
    </row>
    <row r="15988" spans="1:14" x14ac:dyDescent="0.3">
      <c r="A15988" s="42"/>
      <c r="C15988" s="52"/>
      <c r="E15988"/>
      <c r="N15988" s="56"/>
    </row>
    <row r="15989" spans="1:14" x14ac:dyDescent="0.3">
      <c r="A15989" s="42"/>
      <c r="C15989" s="52"/>
      <c r="E15989"/>
      <c r="N15989" s="56"/>
    </row>
    <row r="15990" spans="1:14" x14ac:dyDescent="0.3">
      <c r="A15990" s="42"/>
      <c r="C15990" s="52"/>
      <c r="E15990"/>
      <c r="N15990" s="56"/>
    </row>
    <row r="15991" spans="1:14" x14ac:dyDescent="0.3">
      <c r="A15991" s="42"/>
      <c r="C15991" s="52"/>
      <c r="E15991"/>
      <c r="N15991" s="56"/>
    </row>
    <row r="15992" spans="1:14" x14ac:dyDescent="0.3">
      <c r="A15992" s="42"/>
      <c r="C15992" s="52"/>
      <c r="E15992"/>
      <c r="N15992" s="56"/>
    </row>
    <row r="15993" spans="1:14" x14ac:dyDescent="0.3">
      <c r="A15993" s="42"/>
      <c r="C15993" s="52"/>
      <c r="E15993"/>
      <c r="N15993" s="56"/>
    </row>
    <row r="15994" spans="1:14" x14ac:dyDescent="0.3">
      <c r="A15994" s="42"/>
      <c r="C15994" s="52"/>
      <c r="E15994"/>
      <c r="N15994" s="56"/>
    </row>
    <row r="15995" spans="1:14" x14ac:dyDescent="0.3">
      <c r="A15995" s="42"/>
      <c r="C15995" s="52"/>
      <c r="E15995"/>
      <c r="N15995" s="56"/>
    </row>
    <row r="15996" spans="1:14" x14ac:dyDescent="0.3">
      <c r="A15996" s="42"/>
      <c r="C15996" s="52"/>
      <c r="E15996"/>
      <c r="N15996" s="56"/>
    </row>
    <row r="15997" spans="1:14" x14ac:dyDescent="0.3">
      <c r="A15997" s="42"/>
      <c r="C15997" s="52"/>
      <c r="E15997"/>
      <c r="N15997" s="56"/>
    </row>
    <row r="15998" spans="1:14" x14ac:dyDescent="0.3">
      <c r="A15998" s="42"/>
      <c r="C15998" s="52"/>
      <c r="E15998"/>
      <c r="N15998" s="56"/>
    </row>
    <row r="15999" spans="1:14" x14ac:dyDescent="0.3">
      <c r="A15999" s="42"/>
      <c r="C15999" s="52"/>
      <c r="E15999"/>
      <c r="N15999" s="56"/>
    </row>
    <row r="16000" spans="1:14" x14ac:dyDescent="0.3">
      <c r="A16000" s="42"/>
      <c r="C16000" s="52"/>
      <c r="E16000"/>
      <c r="N16000" s="56"/>
    </row>
    <row r="16001" spans="1:14" x14ac:dyDescent="0.3">
      <c r="A16001" s="42"/>
      <c r="C16001" s="52"/>
      <c r="E16001"/>
      <c r="N16001" s="56"/>
    </row>
    <row r="16002" spans="1:14" x14ac:dyDescent="0.3">
      <c r="A16002" s="42"/>
      <c r="C16002" s="52"/>
      <c r="E16002"/>
      <c r="N16002" s="56"/>
    </row>
    <row r="16003" spans="1:14" x14ac:dyDescent="0.3">
      <c r="A16003" s="42"/>
      <c r="C16003" s="52"/>
      <c r="E16003"/>
      <c r="N16003" s="56"/>
    </row>
    <row r="16004" spans="1:14" x14ac:dyDescent="0.3">
      <c r="A16004" s="42"/>
      <c r="C16004" s="52"/>
      <c r="E16004"/>
      <c r="N16004" s="56"/>
    </row>
    <row r="16005" spans="1:14" x14ac:dyDescent="0.3">
      <c r="A16005" s="42"/>
      <c r="C16005" s="52"/>
      <c r="E16005"/>
      <c r="N16005" s="56"/>
    </row>
    <row r="16006" spans="1:14" x14ac:dyDescent="0.3">
      <c r="A16006" s="42"/>
      <c r="C16006" s="52"/>
      <c r="E16006"/>
      <c r="N16006" s="56"/>
    </row>
    <row r="16007" spans="1:14" x14ac:dyDescent="0.3">
      <c r="A16007" s="42"/>
      <c r="C16007" s="52"/>
      <c r="E16007"/>
      <c r="N16007" s="56"/>
    </row>
    <row r="16008" spans="1:14" x14ac:dyDescent="0.3">
      <c r="A16008" s="42"/>
      <c r="C16008" s="52"/>
      <c r="E16008"/>
      <c r="N16008" s="56"/>
    </row>
    <row r="16009" spans="1:14" x14ac:dyDescent="0.3">
      <c r="A16009" s="42"/>
      <c r="C16009" s="52"/>
      <c r="E16009"/>
      <c r="N16009" s="56"/>
    </row>
    <row r="16010" spans="1:14" x14ac:dyDescent="0.3">
      <c r="A16010" s="42"/>
      <c r="C16010" s="52"/>
      <c r="E16010"/>
      <c r="N16010" s="56"/>
    </row>
    <row r="16011" spans="1:14" x14ac:dyDescent="0.3">
      <c r="A16011" s="42"/>
      <c r="C16011" s="52"/>
      <c r="E16011"/>
      <c r="N16011" s="56"/>
    </row>
    <row r="16012" spans="1:14" x14ac:dyDescent="0.3">
      <c r="A16012" s="42"/>
      <c r="C16012" s="52"/>
      <c r="E16012"/>
      <c r="N16012" s="56"/>
    </row>
    <row r="16013" spans="1:14" x14ac:dyDescent="0.3">
      <c r="A16013" s="42"/>
      <c r="C16013" s="52"/>
      <c r="E16013"/>
      <c r="N16013" s="56"/>
    </row>
    <row r="16014" spans="1:14" x14ac:dyDescent="0.3">
      <c r="A16014" s="42"/>
      <c r="C16014" s="52"/>
      <c r="E16014"/>
      <c r="N16014" s="56"/>
    </row>
    <row r="16015" spans="1:14" x14ac:dyDescent="0.3">
      <c r="A16015" s="42"/>
      <c r="C16015" s="52"/>
      <c r="E16015"/>
      <c r="N16015" s="56"/>
    </row>
    <row r="16016" spans="1:14" x14ac:dyDescent="0.3">
      <c r="A16016" s="42"/>
      <c r="C16016" s="52"/>
      <c r="E16016"/>
      <c r="N16016" s="56"/>
    </row>
    <row r="16017" spans="1:14" x14ac:dyDescent="0.3">
      <c r="A16017" s="42"/>
      <c r="C16017" s="52"/>
      <c r="E16017"/>
      <c r="N16017" s="56"/>
    </row>
    <row r="16018" spans="1:14" x14ac:dyDescent="0.3">
      <c r="A16018" s="42"/>
      <c r="C16018" s="52"/>
      <c r="E16018"/>
      <c r="N16018" s="56"/>
    </row>
    <row r="16019" spans="1:14" x14ac:dyDescent="0.3">
      <c r="A16019" s="42"/>
      <c r="C16019" s="52"/>
      <c r="E16019"/>
      <c r="N16019" s="56"/>
    </row>
    <row r="16020" spans="1:14" x14ac:dyDescent="0.3">
      <c r="A16020" s="42"/>
      <c r="C16020" s="52"/>
      <c r="E16020"/>
      <c r="N16020" s="56"/>
    </row>
    <row r="16021" spans="1:14" x14ac:dyDescent="0.3">
      <c r="A16021" s="42"/>
      <c r="C16021" s="52"/>
      <c r="E16021"/>
      <c r="N16021" s="56"/>
    </row>
    <row r="16022" spans="1:14" x14ac:dyDescent="0.3">
      <c r="A16022" s="42"/>
      <c r="C16022" s="52"/>
      <c r="E16022"/>
      <c r="N16022" s="56"/>
    </row>
    <row r="16023" spans="1:14" x14ac:dyDescent="0.3">
      <c r="A16023" s="42"/>
      <c r="C16023" s="52"/>
      <c r="E16023"/>
      <c r="N16023" s="56"/>
    </row>
    <row r="16024" spans="1:14" x14ac:dyDescent="0.3">
      <c r="A16024" s="42"/>
      <c r="C16024" s="52"/>
      <c r="E16024"/>
      <c r="N16024" s="56"/>
    </row>
    <row r="16025" spans="1:14" x14ac:dyDescent="0.3">
      <c r="A16025" s="42"/>
      <c r="C16025" s="52"/>
      <c r="E16025"/>
      <c r="N16025" s="56"/>
    </row>
    <row r="16026" spans="1:14" x14ac:dyDescent="0.3">
      <c r="A16026" s="42"/>
      <c r="C16026" s="52"/>
      <c r="E16026"/>
      <c r="N16026" s="56"/>
    </row>
    <row r="16027" spans="1:14" x14ac:dyDescent="0.3">
      <c r="A16027" s="42"/>
      <c r="C16027" s="52"/>
      <c r="E16027"/>
      <c r="N16027" s="56"/>
    </row>
    <row r="16028" spans="1:14" x14ac:dyDescent="0.3">
      <c r="A16028" s="42"/>
      <c r="C16028" s="52"/>
      <c r="E16028"/>
      <c r="N16028" s="56"/>
    </row>
    <row r="16029" spans="1:14" x14ac:dyDescent="0.3">
      <c r="A16029" s="42"/>
      <c r="C16029" s="52"/>
      <c r="E16029"/>
      <c r="N16029" s="56"/>
    </row>
    <row r="16030" spans="1:14" x14ac:dyDescent="0.3">
      <c r="A16030" s="42"/>
      <c r="C16030" s="52"/>
      <c r="E16030"/>
      <c r="N16030" s="56"/>
    </row>
    <row r="16031" spans="1:14" x14ac:dyDescent="0.3">
      <c r="A16031" s="42"/>
      <c r="C16031" s="52"/>
      <c r="E16031"/>
      <c r="N16031" s="56"/>
    </row>
    <row r="16032" spans="1:14" x14ac:dyDescent="0.3">
      <c r="A16032" s="42"/>
      <c r="C16032" s="52"/>
      <c r="E16032"/>
      <c r="N16032" s="56"/>
    </row>
    <row r="16033" spans="1:14" x14ac:dyDescent="0.3">
      <c r="A16033" s="42"/>
      <c r="C16033" s="52"/>
      <c r="E16033"/>
      <c r="N16033" s="56"/>
    </row>
    <row r="16034" spans="1:14" x14ac:dyDescent="0.3">
      <c r="A16034" s="42"/>
      <c r="C16034" s="52"/>
      <c r="E16034"/>
      <c r="N16034" s="56"/>
    </row>
    <row r="16035" spans="1:14" x14ac:dyDescent="0.3">
      <c r="A16035" s="42"/>
      <c r="C16035" s="52"/>
      <c r="E16035"/>
      <c r="N16035" s="56"/>
    </row>
    <row r="16036" spans="1:14" x14ac:dyDescent="0.3">
      <c r="A16036" s="42"/>
      <c r="C16036" s="52"/>
      <c r="E16036"/>
      <c r="N16036" s="56"/>
    </row>
    <row r="16037" spans="1:14" x14ac:dyDescent="0.3">
      <c r="A16037" s="42"/>
      <c r="C16037" s="52"/>
      <c r="E16037"/>
      <c r="N16037" s="56"/>
    </row>
    <row r="16038" spans="1:14" x14ac:dyDescent="0.3">
      <c r="A16038" s="42"/>
      <c r="C16038" s="52"/>
      <c r="E16038"/>
      <c r="N16038" s="56"/>
    </row>
    <row r="16039" spans="1:14" x14ac:dyDescent="0.3">
      <c r="A16039" s="42"/>
      <c r="C16039" s="52"/>
      <c r="E16039"/>
      <c r="N16039" s="56"/>
    </row>
    <row r="16040" spans="1:14" x14ac:dyDescent="0.3">
      <c r="A16040" s="42"/>
      <c r="C16040" s="52"/>
      <c r="E16040"/>
      <c r="N16040" s="56"/>
    </row>
    <row r="16041" spans="1:14" x14ac:dyDescent="0.3">
      <c r="A16041" s="42"/>
      <c r="C16041" s="52"/>
      <c r="E16041"/>
      <c r="N16041" s="56"/>
    </row>
    <row r="16042" spans="1:14" x14ac:dyDescent="0.3">
      <c r="A16042" s="42"/>
      <c r="C16042" s="52"/>
      <c r="E16042"/>
      <c r="N16042" s="56"/>
    </row>
    <row r="16043" spans="1:14" x14ac:dyDescent="0.3">
      <c r="A16043" s="42"/>
      <c r="C16043" s="52"/>
      <c r="E16043"/>
      <c r="N16043" s="56"/>
    </row>
    <row r="16044" spans="1:14" x14ac:dyDescent="0.3">
      <c r="A16044" s="42"/>
      <c r="C16044" s="52"/>
      <c r="E16044"/>
      <c r="N16044" s="56"/>
    </row>
    <row r="16045" spans="1:14" x14ac:dyDescent="0.3">
      <c r="A16045" s="42"/>
      <c r="C16045" s="52"/>
      <c r="E16045"/>
      <c r="N16045" s="56"/>
    </row>
    <row r="16046" spans="1:14" x14ac:dyDescent="0.3">
      <c r="A16046" s="42"/>
      <c r="C16046" s="52"/>
      <c r="E16046"/>
      <c r="N16046" s="56"/>
    </row>
    <row r="16047" spans="1:14" x14ac:dyDescent="0.3">
      <c r="A16047" s="42"/>
      <c r="C16047" s="52"/>
      <c r="E16047"/>
      <c r="N16047" s="56"/>
    </row>
    <row r="16048" spans="1:14" x14ac:dyDescent="0.3">
      <c r="A16048" s="42"/>
      <c r="C16048" s="52"/>
      <c r="E16048"/>
      <c r="N16048" s="56"/>
    </row>
    <row r="16049" spans="1:14" x14ac:dyDescent="0.3">
      <c r="A16049" s="42"/>
      <c r="C16049" s="52"/>
      <c r="E16049"/>
      <c r="N16049" s="56"/>
    </row>
    <row r="16050" spans="1:14" x14ac:dyDescent="0.3">
      <c r="A16050" s="42"/>
      <c r="C16050" s="52"/>
      <c r="E16050"/>
      <c r="N16050" s="56"/>
    </row>
    <row r="16051" spans="1:14" x14ac:dyDescent="0.3">
      <c r="A16051" s="42"/>
      <c r="C16051" s="52"/>
      <c r="E16051"/>
      <c r="N16051" s="56"/>
    </row>
    <row r="16052" spans="1:14" x14ac:dyDescent="0.3">
      <c r="A16052" s="42"/>
      <c r="C16052" s="52"/>
      <c r="E16052"/>
      <c r="N16052" s="56"/>
    </row>
    <row r="16053" spans="1:14" x14ac:dyDescent="0.3">
      <c r="A16053" s="42"/>
      <c r="C16053" s="52"/>
      <c r="E16053"/>
      <c r="N16053" s="56"/>
    </row>
    <row r="16054" spans="1:14" x14ac:dyDescent="0.3">
      <c r="A16054" s="42"/>
      <c r="C16054" s="52"/>
      <c r="E16054"/>
      <c r="N16054" s="56"/>
    </row>
    <row r="16055" spans="1:14" x14ac:dyDescent="0.3">
      <c r="A16055" s="42"/>
      <c r="C16055" s="52"/>
      <c r="E16055"/>
      <c r="N16055" s="56"/>
    </row>
    <row r="16056" spans="1:14" x14ac:dyDescent="0.3">
      <c r="A16056" s="42"/>
      <c r="C16056" s="52"/>
      <c r="E16056"/>
      <c r="N16056" s="56"/>
    </row>
    <row r="16057" spans="1:14" x14ac:dyDescent="0.3">
      <c r="A16057" s="42"/>
      <c r="C16057" s="52"/>
      <c r="E16057"/>
      <c r="N16057" s="56"/>
    </row>
    <row r="16058" spans="1:14" x14ac:dyDescent="0.3">
      <c r="A16058" s="42"/>
      <c r="C16058" s="52"/>
      <c r="E16058"/>
      <c r="N16058" s="56"/>
    </row>
    <row r="16059" spans="1:14" x14ac:dyDescent="0.3">
      <c r="A16059" s="42"/>
      <c r="C16059" s="52"/>
      <c r="E16059"/>
      <c r="N16059" s="56"/>
    </row>
    <row r="16060" spans="1:14" x14ac:dyDescent="0.3">
      <c r="A16060" s="42"/>
      <c r="C16060" s="52"/>
      <c r="E16060"/>
      <c r="N16060" s="56"/>
    </row>
    <row r="16061" spans="1:14" x14ac:dyDescent="0.3">
      <c r="A16061" s="42"/>
      <c r="C16061" s="52"/>
      <c r="E16061"/>
      <c r="N16061" s="56"/>
    </row>
    <row r="16062" spans="1:14" x14ac:dyDescent="0.3">
      <c r="A16062" s="42"/>
      <c r="C16062" s="52"/>
      <c r="E16062"/>
      <c r="N16062" s="56"/>
    </row>
    <row r="16063" spans="1:14" x14ac:dyDescent="0.3">
      <c r="A16063" s="42"/>
      <c r="C16063" s="52"/>
      <c r="E16063"/>
      <c r="N16063" s="56"/>
    </row>
    <row r="16064" spans="1:14" x14ac:dyDescent="0.3">
      <c r="A16064" s="42"/>
      <c r="C16064" s="52"/>
      <c r="E16064"/>
      <c r="N16064" s="56"/>
    </row>
    <row r="16065" spans="1:14" x14ac:dyDescent="0.3">
      <c r="A16065" s="42"/>
      <c r="C16065" s="52"/>
      <c r="E16065"/>
      <c r="N16065" s="56"/>
    </row>
    <row r="16066" spans="1:14" x14ac:dyDescent="0.3">
      <c r="A16066" s="42"/>
      <c r="C16066" s="52"/>
      <c r="E16066"/>
      <c r="N16066" s="56"/>
    </row>
    <row r="16067" spans="1:14" x14ac:dyDescent="0.3">
      <c r="A16067" s="42"/>
      <c r="C16067" s="52"/>
      <c r="E16067"/>
      <c r="N16067" s="56"/>
    </row>
    <row r="16068" spans="1:14" x14ac:dyDescent="0.3">
      <c r="A16068" s="42"/>
      <c r="C16068" s="52"/>
      <c r="E16068"/>
      <c r="N16068" s="56"/>
    </row>
    <row r="16069" spans="1:14" x14ac:dyDescent="0.3">
      <c r="A16069" s="42"/>
      <c r="C16069" s="52"/>
      <c r="E16069"/>
      <c r="N16069" s="56"/>
    </row>
    <row r="16070" spans="1:14" x14ac:dyDescent="0.3">
      <c r="A16070" s="42"/>
      <c r="C16070" s="52"/>
      <c r="E16070"/>
      <c r="N16070" s="56"/>
    </row>
    <row r="16071" spans="1:14" x14ac:dyDescent="0.3">
      <c r="A16071" s="42"/>
      <c r="C16071" s="52"/>
      <c r="E16071"/>
      <c r="N16071" s="56"/>
    </row>
    <row r="16072" spans="1:14" x14ac:dyDescent="0.3">
      <c r="A16072" s="42"/>
      <c r="C16072" s="52"/>
      <c r="E16072"/>
      <c r="N16072" s="56"/>
    </row>
    <row r="16073" spans="1:14" x14ac:dyDescent="0.3">
      <c r="A16073" s="42"/>
      <c r="C16073" s="52"/>
      <c r="E16073"/>
      <c r="N16073" s="56"/>
    </row>
    <row r="16074" spans="1:14" x14ac:dyDescent="0.3">
      <c r="A16074" s="42"/>
      <c r="C16074" s="52"/>
      <c r="E16074"/>
      <c r="N16074" s="56"/>
    </row>
    <row r="16075" spans="1:14" x14ac:dyDescent="0.3">
      <c r="A16075" s="42"/>
      <c r="C16075" s="52"/>
      <c r="E16075"/>
      <c r="N16075" s="56"/>
    </row>
    <row r="16076" spans="1:14" x14ac:dyDescent="0.3">
      <c r="A16076" s="42"/>
      <c r="C16076" s="52"/>
      <c r="E16076"/>
      <c r="N16076" s="56"/>
    </row>
    <row r="16077" spans="1:14" x14ac:dyDescent="0.3">
      <c r="A16077" s="42"/>
      <c r="C16077" s="52"/>
      <c r="E16077"/>
      <c r="N16077" s="56"/>
    </row>
    <row r="16078" spans="1:14" x14ac:dyDescent="0.3">
      <c r="A16078" s="42"/>
      <c r="C16078" s="52"/>
      <c r="E16078"/>
      <c r="N16078" s="56"/>
    </row>
    <row r="16079" spans="1:14" x14ac:dyDescent="0.3">
      <c r="A16079" s="42"/>
      <c r="C16079" s="52"/>
      <c r="E16079"/>
      <c r="N16079" s="56"/>
    </row>
    <row r="16080" spans="1:14" x14ac:dyDescent="0.3">
      <c r="A16080" s="42"/>
      <c r="C16080" s="52"/>
      <c r="E16080"/>
      <c r="N16080" s="56"/>
    </row>
    <row r="16081" spans="1:14" x14ac:dyDescent="0.3">
      <c r="A16081" s="42"/>
      <c r="C16081" s="52"/>
      <c r="E16081"/>
      <c r="N16081" s="56"/>
    </row>
    <row r="16082" spans="1:14" x14ac:dyDescent="0.3">
      <c r="A16082" s="42"/>
      <c r="C16082" s="52"/>
      <c r="E16082"/>
      <c r="N16082" s="56"/>
    </row>
    <row r="16083" spans="1:14" x14ac:dyDescent="0.3">
      <c r="A16083" s="42"/>
      <c r="C16083" s="52"/>
      <c r="E16083"/>
      <c r="N16083" s="56"/>
    </row>
    <row r="16084" spans="1:14" x14ac:dyDescent="0.3">
      <c r="A16084" s="42"/>
      <c r="C16084" s="52"/>
      <c r="E16084"/>
      <c r="M16084" s="45"/>
      <c r="N16084" s="56"/>
    </row>
    <row r="16085" spans="1:14" x14ac:dyDescent="0.3">
      <c r="A16085" s="42"/>
      <c r="C16085" s="52"/>
      <c r="E16085"/>
      <c r="N16085" s="56"/>
    </row>
    <row r="16086" spans="1:14" x14ac:dyDescent="0.3">
      <c r="A16086" s="42"/>
      <c r="C16086" s="52"/>
      <c r="E16086"/>
      <c r="N16086" s="56"/>
    </row>
    <row r="16087" spans="1:14" x14ac:dyDescent="0.3">
      <c r="A16087" s="42"/>
      <c r="C16087" s="52"/>
      <c r="E16087"/>
      <c r="N16087" s="56"/>
    </row>
    <row r="16088" spans="1:14" x14ac:dyDescent="0.3">
      <c r="A16088" s="42"/>
      <c r="C16088" s="52"/>
      <c r="E16088"/>
      <c r="N16088" s="56"/>
    </row>
    <row r="16089" spans="1:14" x14ac:dyDescent="0.3">
      <c r="A16089" s="42"/>
      <c r="C16089" s="52"/>
      <c r="E16089"/>
      <c r="M16089" s="45"/>
      <c r="N16089" s="56"/>
    </row>
    <row r="16090" spans="1:14" x14ac:dyDescent="0.3">
      <c r="A16090" s="42"/>
      <c r="C16090" s="52"/>
      <c r="E16090"/>
      <c r="N16090" s="56"/>
    </row>
    <row r="16091" spans="1:14" x14ac:dyDescent="0.3">
      <c r="A16091" s="42"/>
      <c r="C16091" s="52"/>
      <c r="E16091"/>
      <c r="N16091" s="56"/>
    </row>
    <row r="16092" spans="1:14" x14ac:dyDescent="0.3">
      <c r="A16092" s="42"/>
      <c r="C16092" s="52"/>
      <c r="E16092"/>
      <c r="N16092" s="56"/>
    </row>
    <row r="16093" spans="1:14" x14ac:dyDescent="0.3">
      <c r="A16093" s="42"/>
      <c r="C16093" s="52"/>
      <c r="E16093"/>
      <c r="N16093" s="56"/>
    </row>
    <row r="16094" spans="1:14" x14ac:dyDescent="0.3">
      <c r="A16094" s="42"/>
      <c r="C16094" s="52"/>
      <c r="E16094"/>
      <c r="N16094" s="56"/>
    </row>
    <row r="16095" spans="1:14" x14ac:dyDescent="0.3">
      <c r="A16095" s="42"/>
      <c r="C16095" s="52"/>
      <c r="E16095"/>
      <c r="N16095" s="56"/>
    </row>
    <row r="16096" spans="1:14" x14ac:dyDescent="0.3">
      <c r="A16096" s="42"/>
      <c r="C16096" s="52"/>
      <c r="E16096"/>
      <c r="N16096" s="56"/>
    </row>
    <row r="16097" spans="1:14" x14ac:dyDescent="0.3">
      <c r="A16097" s="42"/>
      <c r="C16097" s="52"/>
      <c r="E16097"/>
      <c r="N16097" s="56"/>
    </row>
    <row r="16098" spans="1:14" x14ac:dyDescent="0.3">
      <c r="A16098" s="42"/>
      <c r="C16098" s="52"/>
      <c r="E16098"/>
      <c r="N16098" s="56"/>
    </row>
    <row r="16099" spans="1:14" x14ac:dyDescent="0.3">
      <c r="A16099" s="42"/>
      <c r="C16099" s="52"/>
      <c r="E16099"/>
      <c r="N16099" s="56"/>
    </row>
    <row r="16100" spans="1:14" x14ac:dyDescent="0.3">
      <c r="A16100" s="42"/>
      <c r="C16100" s="52"/>
      <c r="E16100"/>
      <c r="N16100" s="56"/>
    </row>
    <row r="16101" spans="1:14" x14ac:dyDescent="0.3">
      <c r="A16101" s="42"/>
      <c r="C16101" s="52"/>
      <c r="E16101"/>
      <c r="N16101" s="56"/>
    </row>
    <row r="16102" spans="1:14" x14ac:dyDescent="0.3">
      <c r="A16102" s="42"/>
      <c r="C16102" s="52"/>
      <c r="E16102"/>
      <c r="N16102" s="56"/>
    </row>
    <row r="16103" spans="1:14" x14ac:dyDescent="0.3">
      <c r="A16103" s="42"/>
      <c r="C16103" s="52"/>
      <c r="E16103"/>
      <c r="N16103" s="56"/>
    </row>
    <row r="16104" spans="1:14" x14ac:dyDescent="0.3">
      <c r="A16104" s="42"/>
      <c r="C16104" s="52"/>
      <c r="E16104"/>
      <c r="N16104" s="56"/>
    </row>
    <row r="16105" spans="1:14" x14ac:dyDescent="0.3">
      <c r="A16105" s="42"/>
      <c r="C16105" s="52"/>
      <c r="E16105"/>
      <c r="N16105" s="56"/>
    </row>
    <row r="16106" spans="1:14" x14ac:dyDescent="0.3">
      <c r="A16106" s="42"/>
      <c r="C16106" s="52"/>
      <c r="E16106"/>
      <c r="N16106" s="56"/>
    </row>
    <row r="16107" spans="1:14" x14ac:dyDescent="0.3">
      <c r="A16107" s="42"/>
      <c r="C16107" s="52"/>
      <c r="E16107"/>
      <c r="N16107" s="56"/>
    </row>
    <row r="16108" spans="1:14" x14ac:dyDescent="0.3">
      <c r="A16108" s="42"/>
      <c r="C16108" s="52"/>
      <c r="E16108"/>
      <c r="N16108" s="56"/>
    </row>
    <row r="16109" spans="1:14" x14ac:dyDescent="0.3">
      <c r="A16109" s="42"/>
      <c r="C16109" s="52"/>
      <c r="E16109"/>
      <c r="N16109" s="56"/>
    </row>
    <row r="16110" spans="1:14" x14ac:dyDescent="0.3">
      <c r="A16110" s="42"/>
      <c r="C16110" s="52"/>
      <c r="E16110"/>
      <c r="N16110" s="56"/>
    </row>
    <row r="16111" spans="1:14" x14ac:dyDescent="0.3">
      <c r="A16111" s="42"/>
      <c r="C16111" s="52"/>
      <c r="E16111"/>
      <c r="N16111" s="56"/>
    </row>
    <row r="16112" spans="1:14" x14ac:dyDescent="0.3">
      <c r="A16112" s="42"/>
      <c r="C16112" s="52"/>
      <c r="E16112"/>
      <c r="N16112" s="56"/>
    </row>
    <row r="16113" spans="1:14" x14ac:dyDescent="0.3">
      <c r="A16113" s="42"/>
      <c r="C16113" s="52"/>
      <c r="E16113"/>
      <c r="N16113" s="56"/>
    </row>
    <row r="16114" spans="1:14" x14ac:dyDescent="0.3">
      <c r="A16114" s="42"/>
      <c r="C16114" s="52"/>
      <c r="E16114"/>
      <c r="N16114" s="56"/>
    </row>
    <row r="16115" spans="1:14" x14ac:dyDescent="0.3">
      <c r="A16115" s="42"/>
      <c r="C16115" s="52"/>
      <c r="E16115"/>
      <c r="N16115" s="56"/>
    </row>
    <row r="16116" spans="1:14" x14ac:dyDescent="0.3">
      <c r="A16116" s="42"/>
      <c r="C16116" s="52"/>
      <c r="E16116"/>
      <c r="N16116" s="56"/>
    </row>
    <row r="16117" spans="1:14" x14ac:dyDescent="0.3">
      <c r="A16117" s="42"/>
      <c r="C16117" s="52"/>
      <c r="E16117"/>
      <c r="N16117" s="56"/>
    </row>
    <row r="16118" spans="1:14" x14ac:dyDescent="0.3">
      <c r="A16118" s="42"/>
      <c r="C16118" s="52"/>
      <c r="E16118"/>
      <c r="N16118" s="56"/>
    </row>
    <row r="16119" spans="1:14" x14ac:dyDescent="0.3">
      <c r="A16119" s="42"/>
      <c r="C16119" s="52"/>
      <c r="E16119"/>
      <c r="N16119" s="56"/>
    </row>
    <row r="16120" spans="1:14" x14ac:dyDescent="0.3">
      <c r="A16120" s="42"/>
      <c r="C16120" s="52"/>
      <c r="E16120"/>
      <c r="N16120" s="56"/>
    </row>
    <row r="16121" spans="1:14" x14ac:dyDescent="0.3">
      <c r="A16121" s="42"/>
      <c r="C16121" s="52"/>
      <c r="E16121"/>
      <c r="N16121" s="56"/>
    </row>
    <row r="16122" spans="1:14" x14ac:dyDescent="0.3">
      <c r="A16122" s="42"/>
      <c r="C16122" s="52"/>
      <c r="E16122"/>
      <c r="N16122" s="56"/>
    </row>
    <row r="16123" spans="1:14" x14ac:dyDescent="0.3">
      <c r="A16123" s="42"/>
      <c r="C16123" s="52"/>
      <c r="E16123"/>
      <c r="N16123" s="56"/>
    </row>
    <row r="16124" spans="1:14" x14ac:dyDescent="0.3">
      <c r="A16124" s="42"/>
      <c r="C16124" s="52"/>
      <c r="E16124"/>
      <c r="N16124" s="56"/>
    </row>
    <row r="16125" spans="1:14" x14ac:dyDescent="0.3">
      <c r="A16125" s="42"/>
      <c r="C16125" s="52"/>
      <c r="E16125"/>
      <c r="N16125" s="56"/>
    </row>
    <row r="16126" spans="1:14" x14ac:dyDescent="0.3">
      <c r="A16126" s="42"/>
      <c r="C16126" s="52"/>
      <c r="E16126"/>
      <c r="N16126" s="56"/>
    </row>
    <row r="16127" spans="1:14" x14ac:dyDescent="0.3">
      <c r="A16127" s="42"/>
      <c r="C16127" s="52"/>
      <c r="E16127"/>
      <c r="N16127" s="56"/>
    </row>
    <row r="16128" spans="1:14" x14ac:dyDescent="0.3">
      <c r="A16128" s="42"/>
      <c r="C16128" s="52"/>
      <c r="E16128"/>
      <c r="N16128" s="56"/>
    </row>
    <row r="16129" spans="1:14" x14ac:dyDescent="0.3">
      <c r="A16129" s="42"/>
      <c r="C16129" s="52"/>
      <c r="E16129"/>
      <c r="N16129" s="56"/>
    </row>
    <row r="16130" spans="1:14" x14ac:dyDescent="0.3">
      <c r="A16130" s="42"/>
      <c r="C16130" s="52"/>
      <c r="E16130"/>
      <c r="N16130" s="56"/>
    </row>
    <row r="16131" spans="1:14" x14ac:dyDescent="0.3">
      <c r="A16131" s="42"/>
      <c r="C16131" s="52"/>
      <c r="E16131"/>
      <c r="N16131" s="56"/>
    </row>
    <row r="16132" spans="1:14" x14ac:dyDescent="0.3">
      <c r="A16132" s="42"/>
      <c r="C16132" s="52"/>
      <c r="E16132"/>
      <c r="N16132" s="56"/>
    </row>
    <row r="16133" spans="1:14" x14ac:dyDescent="0.3">
      <c r="A16133" s="42"/>
      <c r="C16133" s="52"/>
      <c r="E16133"/>
      <c r="N16133" s="56"/>
    </row>
    <row r="16134" spans="1:14" x14ac:dyDescent="0.3">
      <c r="A16134" s="42"/>
      <c r="C16134" s="52"/>
      <c r="E16134"/>
      <c r="N16134" s="56"/>
    </row>
    <row r="16135" spans="1:14" x14ac:dyDescent="0.3">
      <c r="A16135" s="42"/>
      <c r="C16135" s="52"/>
      <c r="E16135"/>
      <c r="N16135" s="56"/>
    </row>
    <row r="16136" spans="1:14" x14ac:dyDescent="0.3">
      <c r="A16136" s="42"/>
      <c r="C16136" s="52"/>
      <c r="E16136"/>
      <c r="N16136" s="56"/>
    </row>
    <row r="16137" spans="1:14" x14ac:dyDescent="0.3">
      <c r="A16137" s="42"/>
      <c r="C16137" s="52"/>
      <c r="E16137"/>
      <c r="N16137" s="56"/>
    </row>
    <row r="16138" spans="1:14" x14ac:dyDescent="0.3">
      <c r="A16138" s="42"/>
      <c r="C16138" s="52"/>
      <c r="E16138"/>
      <c r="N16138" s="56"/>
    </row>
    <row r="16139" spans="1:14" x14ac:dyDescent="0.3">
      <c r="A16139" s="42"/>
      <c r="C16139" s="52"/>
      <c r="E16139"/>
      <c r="N16139" s="56"/>
    </row>
    <row r="16140" spans="1:14" x14ac:dyDescent="0.3">
      <c r="A16140" s="42"/>
      <c r="C16140" s="52"/>
      <c r="E16140"/>
      <c r="N16140" s="56"/>
    </row>
    <row r="16141" spans="1:14" x14ac:dyDescent="0.3">
      <c r="A16141" s="42"/>
      <c r="C16141" s="52"/>
      <c r="E16141"/>
      <c r="N16141" s="56"/>
    </row>
    <row r="16142" spans="1:14" x14ac:dyDescent="0.3">
      <c r="A16142" s="42"/>
      <c r="C16142" s="52"/>
      <c r="E16142"/>
      <c r="N16142" s="56"/>
    </row>
    <row r="16143" spans="1:14" x14ac:dyDescent="0.3">
      <c r="A16143" s="42"/>
      <c r="C16143" s="52"/>
      <c r="E16143"/>
      <c r="N16143" s="56"/>
    </row>
    <row r="16144" spans="1:14" x14ac:dyDescent="0.3">
      <c r="A16144" s="42"/>
      <c r="C16144" s="52"/>
      <c r="E16144"/>
      <c r="N16144" s="56"/>
    </row>
    <row r="16145" spans="1:14" x14ac:dyDescent="0.3">
      <c r="A16145" s="42"/>
      <c r="C16145" s="52"/>
      <c r="E16145"/>
      <c r="N16145" s="56"/>
    </row>
    <row r="16146" spans="1:14" x14ac:dyDescent="0.3">
      <c r="A16146" s="42"/>
      <c r="C16146" s="52"/>
      <c r="E16146"/>
      <c r="N16146" s="56"/>
    </row>
    <row r="16147" spans="1:14" x14ac:dyDescent="0.3">
      <c r="A16147" s="42"/>
      <c r="C16147" s="52"/>
      <c r="E16147"/>
      <c r="N16147" s="56"/>
    </row>
    <row r="16148" spans="1:14" x14ac:dyDescent="0.3">
      <c r="A16148" s="42"/>
      <c r="C16148" s="52"/>
      <c r="E16148"/>
      <c r="N16148" s="56"/>
    </row>
    <row r="16149" spans="1:14" x14ac:dyDescent="0.3">
      <c r="A16149" s="42"/>
      <c r="C16149" s="52"/>
      <c r="E16149"/>
      <c r="N16149" s="56"/>
    </row>
    <row r="16150" spans="1:14" x14ac:dyDescent="0.3">
      <c r="A16150" s="42"/>
      <c r="C16150" s="52"/>
      <c r="E16150"/>
      <c r="N16150" s="56"/>
    </row>
    <row r="16151" spans="1:14" x14ac:dyDescent="0.3">
      <c r="A16151" s="42"/>
      <c r="C16151" s="52"/>
      <c r="E16151"/>
      <c r="N16151" s="56"/>
    </row>
    <row r="16152" spans="1:14" x14ac:dyDescent="0.3">
      <c r="A16152" s="42"/>
      <c r="C16152" s="52"/>
      <c r="E16152"/>
      <c r="N16152" s="56"/>
    </row>
    <row r="16153" spans="1:14" x14ac:dyDescent="0.3">
      <c r="A16153" s="42"/>
      <c r="C16153" s="52"/>
      <c r="E16153"/>
      <c r="N16153" s="56"/>
    </row>
    <row r="16154" spans="1:14" x14ac:dyDescent="0.3">
      <c r="A16154" s="42"/>
      <c r="C16154" s="52"/>
      <c r="E16154"/>
      <c r="N16154" s="56"/>
    </row>
    <row r="16155" spans="1:14" x14ac:dyDescent="0.3">
      <c r="A16155" s="42"/>
      <c r="C16155" s="52"/>
      <c r="E16155"/>
      <c r="N16155" s="56"/>
    </row>
    <row r="16156" spans="1:14" x14ac:dyDescent="0.3">
      <c r="A16156" s="42"/>
      <c r="C16156" s="52"/>
      <c r="E16156"/>
      <c r="N16156" s="56"/>
    </row>
    <row r="16157" spans="1:14" x14ac:dyDescent="0.3">
      <c r="A16157" s="42"/>
      <c r="C16157" s="52"/>
      <c r="E16157"/>
      <c r="N16157" s="56"/>
    </row>
    <row r="16158" spans="1:14" x14ac:dyDescent="0.3">
      <c r="A16158" s="42"/>
      <c r="C16158" s="52"/>
      <c r="E16158"/>
      <c r="N16158" s="56"/>
    </row>
    <row r="16159" spans="1:14" x14ac:dyDescent="0.3">
      <c r="A16159" s="42"/>
      <c r="C16159" s="52"/>
      <c r="E16159"/>
      <c r="N16159" s="56"/>
    </row>
    <row r="16160" spans="1:14" x14ac:dyDescent="0.3">
      <c r="A16160" s="42"/>
      <c r="C16160" s="52"/>
      <c r="E16160"/>
      <c r="N16160" s="56"/>
    </row>
    <row r="16161" spans="1:14" x14ac:dyDescent="0.3">
      <c r="A16161" s="42"/>
      <c r="C16161" s="52"/>
      <c r="E16161"/>
      <c r="N16161" s="56"/>
    </row>
    <row r="16162" spans="1:14" x14ac:dyDescent="0.3">
      <c r="A16162" s="42"/>
      <c r="C16162" s="52"/>
      <c r="E16162"/>
      <c r="N16162" s="56"/>
    </row>
    <row r="16163" spans="1:14" x14ac:dyDescent="0.3">
      <c r="A16163" s="42"/>
      <c r="C16163" s="52"/>
      <c r="E16163"/>
      <c r="N16163" s="56"/>
    </row>
    <row r="16164" spans="1:14" x14ac:dyDescent="0.3">
      <c r="A16164" s="42"/>
      <c r="C16164" s="52"/>
      <c r="E16164"/>
      <c r="N16164" s="56"/>
    </row>
    <row r="16165" spans="1:14" x14ac:dyDescent="0.3">
      <c r="A16165" s="42"/>
      <c r="C16165" s="52"/>
      <c r="E16165"/>
      <c r="N16165" s="56"/>
    </row>
    <row r="16166" spans="1:14" x14ac:dyDescent="0.3">
      <c r="A16166" s="42"/>
      <c r="C16166" s="52"/>
      <c r="E16166"/>
      <c r="N16166" s="56"/>
    </row>
    <row r="16167" spans="1:14" x14ac:dyDescent="0.3">
      <c r="A16167" s="42"/>
      <c r="C16167" s="52"/>
      <c r="E16167"/>
      <c r="N16167" s="56"/>
    </row>
    <row r="16168" spans="1:14" x14ac:dyDescent="0.3">
      <c r="A16168" s="42"/>
      <c r="C16168" s="52"/>
      <c r="E16168"/>
      <c r="N16168" s="56"/>
    </row>
    <row r="16169" spans="1:14" x14ac:dyDescent="0.3">
      <c r="A16169" s="42"/>
      <c r="C16169" s="52"/>
      <c r="E16169"/>
      <c r="N16169" s="56"/>
    </row>
    <row r="16170" spans="1:14" x14ac:dyDescent="0.3">
      <c r="A16170" s="42"/>
      <c r="C16170" s="52"/>
      <c r="E16170"/>
      <c r="N16170" s="56"/>
    </row>
    <row r="16171" spans="1:14" x14ac:dyDescent="0.3">
      <c r="A16171" s="42"/>
      <c r="C16171" s="52"/>
      <c r="E16171"/>
      <c r="N16171" s="56"/>
    </row>
    <row r="16172" spans="1:14" x14ac:dyDescent="0.3">
      <c r="A16172" s="42"/>
      <c r="C16172" s="52"/>
      <c r="E16172"/>
      <c r="N16172" s="56"/>
    </row>
    <row r="16173" spans="1:14" x14ac:dyDescent="0.3">
      <c r="A16173" s="42"/>
      <c r="C16173" s="52"/>
      <c r="E16173"/>
      <c r="N16173" s="56"/>
    </row>
    <row r="16174" spans="1:14" x14ac:dyDescent="0.3">
      <c r="A16174" s="42"/>
      <c r="C16174" s="52"/>
      <c r="E16174"/>
      <c r="N16174" s="56"/>
    </row>
    <row r="16175" spans="1:14" x14ac:dyDescent="0.3">
      <c r="A16175" s="42"/>
      <c r="C16175" s="52"/>
      <c r="E16175"/>
      <c r="N16175" s="56"/>
    </row>
    <row r="16176" spans="1:14" x14ac:dyDescent="0.3">
      <c r="A16176" s="42"/>
      <c r="C16176" s="52"/>
      <c r="E16176"/>
      <c r="N16176" s="56"/>
    </row>
    <row r="16177" spans="1:14" x14ac:dyDescent="0.3">
      <c r="A16177" s="42"/>
      <c r="C16177" s="52"/>
      <c r="E16177"/>
      <c r="N16177" s="56"/>
    </row>
    <row r="16178" spans="1:14" x14ac:dyDescent="0.3">
      <c r="A16178" s="42"/>
      <c r="C16178" s="52"/>
      <c r="E16178"/>
      <c r="N16178" s="56"/>
    </row>
    <row r="16179" spans="1:14" x14ac:dyDescent="0.3">
      <c r="A16179" s="42"/>
      <c r="C16179" s="52"/>
      <c r="E16179"/>
      <c r="N16179" s="56"/>
    </row>
    <row r="16180" spans="1:14" x14ac:dyDescent="0.3">
      <c r="A16180" s="42"/>
      <c r="C16180" s="52"/>
      <c r="E16180"/>
      <c r="N16180" s="56"/>
    </row>
    <row r="16181" spans="1:14" x14ac:dyDescent="0.3">
      <c r="A16181" s="42"/>
      <c r="C16181" s="52"/>
      <c r="E16181"/>
      <c r="N16181" s="56"/>
    </row>
    <row r="16182" spans="1:14" x14ac:dyDescent="0.3">
      <c r="A16182" s="42"/>
      <c r="C16182" s="52"/>
      <c r="E16182"/>
      <c r="N16182" s="56"/>
    </row>
    <row r="16183" spans="1:14" x14ac:dyDescent="0.3">
      <c r="A16183" s="42"/>
      <c r="C16183" s="52"/>
      <c r="E16183"/>
      <c r="N16183" s="56"/>
    </row>
    <row r="16184" spans="1:14" x14ac:dyDescent="0.3">
      <c r="A16184" s="42"/>
      <c r="C16184" s="52"/>
      <c r="E16184"/>
      <c r="N16184" s="56"/>
    </row>
    <row r="16185" spans="1:14" x14ac:dyDescent="0.3">
      <c r="A16185" s="42"/>
      <c r="C16185" s="52"/>
      <c r="E16185"/>
      <c r="N16185" s="56"/>
    </row>
    <row r="16186" spans="1:14" x14ac:dyDescent="0.3">
      <c r="A16186" s="42"/>
      <c r="C16186" s="52"/>
      <c r="E16186"/>
      <c r="N16186" s="56"/>
    </row>
    <row r="16187" spans="1:14" x14ac:dyDescent="0.3">
      <c r="A16187" s="42"/>
      <c r="C16187" s="52"/>
      <c r="E16187"/>
      <c r="N16187" s="56"/>
    </row>
    <row r="16188" spans="1:14" x14ac:dyDescent="0.3">
      <c r="A16188" s="42"/>
      <c r="C16188" s="52"/>
      <c r="E16188"/>
      <c r="N16188" s="56"/>
    </row>
    <row r="16189" spans="1:14" x14ac:dyDescent="0.3">
      <c r="A16189" s="42"/>
      <c r="C16189" s="52"/>
      <c r="E16189"/>
      <c r="N16189" s="56"/>
    </row>
    <row r="16190" spans="1:14" x14ac:dyDescent="0.3">
      <c r="A16190" s="42"/>
      <c r="C16190" s="52"/>
      <c r="E16190"/>
      <c r="N16190" s="56"/>
    </row>
    <row r="16191" spans="1:14" x14ac:dyDescent="0.3">
      <c r="A16191" s="42"/>
      <c r="C16191" s="52"/>
      <c r="E16191"/>
      <c r="N16191" s="56"/>
    </row>
    <row r="16192" spans="1:14" x14ac:dyDescent="0.3">
      <c r="A16192" s="42"/>
      <c r="C16192" s="52"/>
      <c r="E16192"/>
      <c r="N16192" s="56"/>
    </row>
    <row r="16193" spans="1:14" x14ac:dyDescent="0.3">
      <c r="A16193" s="42"/>
      <c r="C16193" s="52"/>
      <c r="E16193"/>
      <c r="N16193" s="56"/>
    </row>
    <row r="16194" spans="1:14" x14ac:dyDescent="0.3">
      <c r="A16194" s="42"/>
      <c r="C16194" s="52"/>
      <c r="E16194"/>
      <c r="N16194" s="56"/>
    </row>
    <row r="16195" spans="1:14" x14ac:dyDescent="0.3">
      <c r="A16195" s="42"/>
      <c r="C16195" s="52"/>
      <c r="E16195"/>
      <c r="N16195" s="56"/>
    </row>
    <row r="16196" spans="1:14" x14ac:dyDescent="0.3">
      <c r="A16196" s="42"/>
      <c r="C16196" s="52"/>
      <c r="E16196"/>
      <c r="N16196" s="56"/>
    </row>
    <row r="16197" spans="1:14" x14ac:dyDescent="0.3">
      <c r="A16197" s="42"/>
      <c r="C16197" s="52"/>
      <c r="E16197"/>
      <c r="N16197" s="56"/>
    </row>
    <row r="16198" spans="1:14" x14ac:dyDescent="0.3">
      <c r="A16198" s="42"/>
      <c r="C16198" s="52"/>
      <c r="E16198"/>
      <c r="N16198" s="56"/>
    </row>
    <row r="16199" spans="1:14" x14ac:dyDescent="0.3">
      <c r="A16199" s="42"/>
      <c r="C16199" s="52"/>
      <c r="E16199"/>
      <c r="N16199" s="56"/>
    </row>
    <row r="16200" spans="1:14" x14ac:dyDescent="0.3">
      <c r="A16200" s="42"/>
      <c r="C16200" s="52"/>
      <c r="E16200"/>
      <c r="N16200" s="56"/>
    </row>
    <row r="16201" spans="1:14" x14ac:dyDescent="0.3">
      <c r="A16201" s="42"/>
      <c r="C16201" s="52"/>
      <c r="E16201"/>
      <c r="N16201" s="56"/>
    </row>
    <row r="16202" spans="1:14" x14ac:dyDescent="0.3">
      <c r="A16202" s="42"/>
      <c r="C16202" s="52"/>
      <c r="E16202"/>
      <c r="N16202" s="56"/>
    </row>
    <row r="16203" spans="1:14" x14ac:dyDescent="0.3">
      <c r="A16203" s="42"/>
      <c r="C16203" s="52"/>
      <c r="E16203"/>
      <c r="N16203" s="56"/>
    </row>
    <row r="16204" spans="1:14" x14ac:dyDescent="0.3">
      <c r="A16204" s="42"/>
      <c r="C16204" s="52"/>
      <c r="E16204"/>
      <c r="N16204" s="56"/>
    </row>
    <row r="16205" spans="1:14" x14ac:dyDescent="0.3">
      <c r="A16205" s="42"/>
      <c r="C16205" s="52"/>
      <c r="E16205"/>
      <c r="N16205" s="56"/>
    </row>
    <row r="16206" spans="1:14" x14ac:dyDescent="0.3">
      <c r="A16206" s="42"/>
      <c r="C16206" s="52"/>
      <c r="E16206"/>
      <c r="N16206" s="56"/>
    </row>
    <row r="16207" spans="1:14" x14ac:dyDescent="0.3">
      <c r="A16207" s="42"/>
      <c r="C16207" s="52"/>
      <c r="E16207"/>
      <c r="N16207" s="56"/>
    </row>
    <row r="16208" spans="1:14" x14ac:dyDescent="0.3">
      <c r="A16208" s="42"/>
      <c r="C16208" s="52"/>
      <c r="E16208"/>
      <c r="N16208" s="56"/>
    </row>
    <row r="16209" spans="1:14" x14ac:dyDescent="0.3">
      <c r="A16209" s="42"/>
      <c r="C16209" s="52"/>
      <c r="E16209"/>
      <c r="N16209" s="56"/>
    </row>
    <row r="16210" spans="1:14" x14ac:dyDescent="0.3">
      <c r="A16210" s="42"/>
      <c r="C16210" s="52"/>
      <c r="E16210"/>
      <c r="N16210" s="56"/>
    </row>
    <row r="16211" spans="1:14" x14ac:dyDescent="0.3">
      <c r="A16211" s="42"/>
      <c r="C16211" s="52"/>
      <c r="E16211"/>
      <c r="N16211" s="56"/>
    </row>
    <row r="16212" spans="1:14" x14ac:dyDescent="0.3">
      <c r="A16212" s="42"/>
      <c r="C16212" s="52"/>
      <c r="E16212"/>
      <c r="N16212" s="56"/>
    </row>
    <row r="16213" spans="1:14" x14ac:dyDescent="0.3">
      <c r="A16213" s="42"/>
      <c r="C16213" s="52"/>
      <c r="E16213"/>
      <c r="N16213" s="56"/>
    </row>
    <row r="16214" spans="1:14" x14ac:dyDescent="0.3">
      <c r="A16214" s="42"/>
      <c r="C16214" s="52"/>
      <c r="E16214"/>
      <c r="N16214" s="56"/>
    </row>
    <row r="16215" spans="1:14" x14ac:dyDescent="0.3">
      <c r="A16215" s="42"/>
      <c r="C16215" s="52"/>
      <c r="E16215"/>
      <c r="N16215" s="56"/>
    </row>
    <row r="16216" spans="1:14" x14ac:dyDescent="0.3">
      <c r="A16216" s="42"/>
      <c r="C16216" s="52"/>
      <c r="E16216"/>
      <c r="N16216" s="56"/>
    </row>
    <row r="16217" spans="1:14" x14ac:dyDescent="0.3">
      <c r="A16217" s="42"/>
      <c r="C16217" s="52"/>
      <c r="E16217"/>
      <c r="M16217" s="45"/>
      <c r="N16217" s="56"/>
    </row>
    <row r="16218" spans="1:14" x14ac:dyDescent="0.3">
      <c r="A16218" s="42"/>
      <c r="C16218" s="52"/>
      <c r="E16218"/>
      <c r="N16218" s="56"/>
    </row>
    <row r="16219" spans="1:14" x14ac:dyDescent="0.3">
      <c r="A16219" s="42"/>
      <c r="C16219" s="52"/>
      <c r="E16219"/>
      <c r="N16219" s="56"/>
    </row>
    <row r="16220" spans="1:14" x14ac:dyDescent="0.3">
      <c r="A16220" s="42"/>
      <c r="C16220" s="52"/>
      <c r="E16220"/>
      <c r="N16220" s="56"/>
    </row>
    <row r="16221" spans="1:14" x14ac:dyDescent="0.3">
      <c r="A16221" s="42"/>
      <c r="C16221" s="52"/>
      <c r="E16221"/>
      <c r="N16221" s="56"/>
    </row>
    <row r="16222" spans="1:14" x14ac:dyDescent="0.3">
      <c r="A16222" s="42"/>
      <c r="C16222" s="52"/>
      <c r="E16222"/>
      <c r="N16222" s="56"/>
    </row>
    <row r="16223" spans="1:14" x14ac:dyDescent="0.3">
      <c r="A16223" s="42"/>
      <c r="C16223" s="52"/>
      <c r="E16223"/>
      <c r="N16223" s="56"/>
    </row>
    <row r="16224" spans="1:14" x14ac:dyDescent="0.3">
      <c r="A16224" s="42"/>
      <c r="C16224" s="52"/>
      <c r="E16224"/>
      <c r="N16224" s="56"/>
    </row>
    <row r="16225" spans="1:14" x14ac:dyDescent="0.3">
      <c r="A16225" s="42"/>
      <c r="C16225" s="52"/>
      <c r="E16225"/>
      <c r="N16225" s="56"/>
    </row>
    <row r="16226" spans="1:14" x14ac:dyDescent="0.3">
      <c r="A16226" s="42"/>
      <c r="C16226" s="52"/>
      <c r="E16226"/>
      <c r="N16226" s="56"/>
    </row>
    <row r="16227" spans="1:14" x14ac:dyDescent="0.3">
      <c r="A16227" s="42"/>
      <c r="C16227" s="52"/>
      <c r="E16227"/>
      <c r="N16227" s="56"/>
    </row>
    <row r="16228" spans="1:14" x14ac:dyDescent="0.3">
      <c r="A16228" s="42"/>
      <c r="C16228" s="52"/>
      <c r="E16228"/>
      <c r="M16228" s="45"/>
      <c r="N16228" s="56"/>
    </row>
    <row r="16229" spans="1:14" x14ac:dyDescent="0.3">
      <c r="A16229" s="42"/>
      <c r="C16229" s="52"/>
      <c r="E16229"/>
      <c r="N16229" s="56"/>
    </row>
    <row r="16230" spans="1:14" x14ac:dyDescent="0.3">
      <c r="A16230" s="42"/>
      <c r="C16230" s="52"/>
      <c r="E16230"/>
      <c r="N16230" s="56"/>
    </row>
    <row r="16231" spans="1:14" x14ac:dyDescent="0.3">
      <c r="A16231" s="42"/>
      <c r="C16231" s="52"/>
      <c r="E16231"/>
      <c r="N16231" s="56"/>
    </row>
    <row r="16232" spans="1:14" x14ac:dyDescent="0.3">
      <c r="A16232" s="42"/>
      <c r="C16232" s="52"/>
      <c r="E16232"/>
      <c r="N16232" s="56"/>
    </row>
    <row r="16233" spans="1:14" x14ac:dyDescent="0.3">
      <c r="A16233" s="42"/>
      <c r="C16233" s="52"/>
      <c r="E16233"/>
      <c r="N16233" s="56"/>
    </row>
    <row r="16234" spans="1:14" x14ac:dyDescent="0.3">
      <c r="A16234" s="42"/>
      <c r="C16234" s="52"/>
      <c r="E16234"/>
      <c r="N16234" s="56"/>
    </row>
    <row r="16235" spans="1:14" x14ac:dyDescent="0.3">
      <c r="A16235" s="42"/>
      <c r="C16235" s="52"/>
      <c r="E16235"/>
      <c r="N16235" s="56"/>
    </row>
    <row r="16236" spans="1:14" x14ac:dyDescent="0.3">
      <c r="A16236" s="42"/>
      <c r="C16236" s="52"/>
      <c r="E16236"/>
      <c r="N16236" s="56"/>
    </row>
    <row r="16237" spans="1:14" x14ac:dyDescent="0.3">
      <c r="A16237" s="42"/>
      <c r="C16237" s="52"/>
      <c r="E16237"/>
      <c r="N16237" s="56"/>
    </row>
    <row r="16238" spans="1:14" x14ac:dyDescent="0.3">
      <c r="A16238" s="42"/>
      <c r="C16238" s="52"/>
      <c r="E16238"/>
      <c r="N16238" s="56"/>
    </row>
    <row r="16239" spans="1:14" x14ac:dyDescent="0.3">
      <c r="A16239" s="42"/>
      <c r="C16239" s="52"/>
      <c r="E16239"/>
      <c r="N16239" s="56"/>
    </row>
    <row r="16240" spans="1:14" x14ac:dyDescent="0.3">
      <c r="A16240" s="42"/>
      <c r="C16240" s="52"/>
      <c r="E16240"/>
      <c r="N16240" s="56"/>
    </row>
    <row r="16241" spans="1:14" x14ac:dyDescent="0.3">
      <c r="A16241" s="42"/>
      <c r="C16241" s="52"/>
      <c r="E16241"/>
      <c r="N16241" s="56"/>
    </row>
    <row r="16242" spans="1:14" x14ac:dyDescent="0.3">
      <c r="A16242" s="42"/>
      <c r="C16242" s="52"/>
      <c r="E16242"/>
      <c r="N16242" s="56"/>
    </row>
    <row r="16243" spans="1:14" x14ac:dyDescent="0.3">
      <c r="A16243" s="42"/>
      <c r="C16243" s="52"/>
      <c r="E16243"/>
      <c r="N16243" s="56"/>
    </row>
    <row r="16244" spans="1:14" x14ac:dyDescent="0.3">
      <c r="A16244" s="42"/>
      <c r="C16244" s="52"/>
      <c r="E16244"/>
      <c r="N16244" s="56"/>
    </row>
    <row r="16245" spans="1:14" x14ac:dyDescent="0.3">
      <c r="A16245" s="42"/>
      <c r="C16245" s="52"/>
      <c r="E16245"/>
      <c r="N16245" s="56"/>
    </row>
    <row r="16246" spans="1:14" x14ac:dyDescent="0.3">
      <c r="A16246" s="42"/>
      <c r="C16246" s="52"/>
      <c r="E16246"/>
      <c r="N16246" s="56"/>
    </row>
    <row r="16247" spans="1:14" x14ac:dyDescent="0.3">
      <c r="A16247" s="42"/>
      <c r="C16247" s="52"/>
      <c r="E16247"/>
      <c r="N16247" s="56"/>
    </row>
    <row r="16248" spans="1:14" x14ac:dyDescent="0.3">
      <c r="A16248" s="42"/>
      <c r="C16248" s="52"/>
      <c r="E16248"/>
      <c r="N16248" s="56"/>
    </row>
    <row r="16249" spans="1:14" x14ac:dyDescent="0.3">
      <c r="A16249" s="42"/>
      <c r="C16249" s="52"/>
      <c r="E16249"/>
      <c r="N16249" s="56"/>
    </row>
    <row r="16250" spans="1:14" x14ac:dyDescent="0.3">
      <c r="A16250" s="42"/>
      <c r="C16250" s="52"/>
      <c r="E16250"/>
      <c r="N16250" s="56"/>
    </row>
    <row r="16251" spans="1:14" x14ac:dyDescent="0.3">
      <c r="A16251" s="42"/>
      <c r="C16251" s="52"/>
      <c r="E16251"/>
      <c r="N16251" s="56"/>
    </row>
    <row r="16252" spans="1:14" x14ac:dyDescent="0.3">
      <c r="A16252" s="42"/>
      <c r="C16252" s="52"/>
      <c r="E16252"/>
      <c r="N16252" s="56"/>
    </row>
    <row r="16253" spans="1:14" x14ac:dyDescent="0.3">
      <c r="A16253" s="42"/>
      <c r="C16253" s="52"/>
      <c r="E16253"/>
      <c r="N16253" s="56"/>
    </row>
    <row r="16254" spans="1:14" x14ac:dyDescent="0.3">
      <c r="A16254" s="42"/>
      <c r="C16254" s="52"/>
      <c r="E16254"/>
      <c r="N16254" s="56"/>
    </row>
    <row r="16255" spans="1:14" x14ac:dyDescent="0.3">
      <c r="A16255" s="42"/>
      <c r="C16255" s="52"/>
      <c r="E16255"/>
      <c r="N16255" s="56"/>
    </row>
    <row r="16256" spans="1:14" x14ac:dyDescent="0.3">
      <c r="A16256" s="42"/>
      <c r="C16256" s="52"/>
      <c r="E16256"/>
      <c r="N16256" s="56"/>
    </row>
    <row r="16257" spans="1:14" x14ac:dyDescent="0.3">
      <c r="A16257" s="42"/>
      <c r="C16257" s="52"/>
      <c r="E16257"/>
      <c r="N16257" s="56"/>
    </row>
    <row r="16258" spans="1:14" x14ac:dyDescent="0.3">
      <c r="A16258" s="42"/>
      <c r="C16258" s="52"/>
      <c r="E16258"/>
      <c r="N16258" s="56"/>
    </row>
    <row r="16259" spans="1:14" x14ac:dyDescent="0.3">
      <c r="A16259" s="42"/>
      <c r="C16259" s="52"/>
      <c r="E16259"/>
      <c r="N16259" s="56"/>
    </row>
    <row r="16260" spans="1:14" x14ac:dyDescent="0.3">
      <c r="A16260" s="42"/>
      <c r="C16260" s="52"/>
      <c r="E16260"/>
      <c r="N16260" s="56"/>
    </row>
    <row r="16261" spans="1:14" x14ac:dyDescent="0.3">
      <c r="A16261" s="42"/>
      <c r="C16261" s="52"/>
      <c r="E16261"/>
      <c r="N16261" s="56"/>
    </row>
    <row r="16262" spans="1:14" x14ac:dyDescent="0.3">
      <c r="A16262" s="42"/>
      <c r="C16262" s="52"/>
      <c r="E16262"/>
      <c r="N16262" s="56"/>
    </row>
    <row r="16263" spans="1:14" x14ac:dyDescent="0.3">
      <c r="A16263" s="42"/>
      <c r="C16263" s="52"/>
      <c r="E16263"/>
      <c r="N16263" s="56"/>
    </row>
    <row r="16264" spans="1:14" x14ac:dyDescent="0.3">
      <c r="A16264" s="42"/>
      <c r="C16264" s="52"/>
      <c r="E16264"/>
      <c r="N16264" s="56"/>
    </row>
    <row r="16265" spans="1:14" x14ac:dyDescent="0.3">
      <c r="A16265" s="42"/>
      <c r="C16265" s="52"/>
      <c r="E16265"/>
      <c r="N16265" s="56"/>
    </row>
    <row r="16266" spans="1:14" x14ac:dyDescent="0.3">
      <c r="A16266" s="42"/>
      <c r="C16266" s="52"/>
      <c r="E16266"/>
      <c r="N16266" s="56"/>
    </row>
    <row r="16267" spans="1:14" x14ac:dyDescent="0.3">
      <c r="A16267" s="42"/>
      <c r="C16267" s="52"/>
      <c r="E16267"/>
      <c r="N16267" s="56"/>
    </row>
    <row r="16268" spans="1:14" x14ac:dyDescent="0.3">
      <c r="A16268" s="42"/>
      <c r="C16268" s="52"/>
      <c r="E16268"/>
      <c r="N16268" s="56"/>
    </row>
    <row r="16269" spans="1:14" x14ac:dyDescent="0.3">
      <c r="A16269" s="42"/>
      <c r="C16269" s="52"/>
      <c r="E16269"/>
      <c r="N16269" s="56"/>
    </row>
    <row r="16270" spans="1:14" x14ac:dyDescent="0.3">
      <c r="A16270" s="42"/>
      <c r="C16270" s="52"/>
      <c r="E16270"/>
      <c r="N16270" s="56"/>
    </row>
    <row r="16271" spans="1:14" x14ac:dyDescent="0.3">
      <c r="A16271" s="42"/>
      <c r="C16271" s="52"/>
      <c r="E16271"/>
      <c r="N16271" s="56"/>
    </row>
    <row r="16272" spans="1:14" x14ac:dyDescent="0.3">
      <c r="A16272" s="42"/>
      <c r="C16272" s="52"/>
      <c r="E16272"/>
      <c r="N16272" s="56"/>
    </row>
    <row r="16273" spans="1:14" x14ac:dyDescent="0.3">
      <c r="A16273" s="42"/>
      <c r="C16273" s="52"/>
      <c r="E16273"/>
      <c r="N16273" s="56"/>
    </row>
    <row r="16274" spans="1:14" x14ac:dyDescent="0.3">
      <c r="A16274" s="42"/>
      <c r="C16274" s="52"/>
      <c r="E16274"/>
      <c r="N16274" s="56"/>
    </row>
    <row r="16275" spans="1:14" x14ac:dyDescent="0.3">
      <c r="A16275" s="42"/>
      <c r="C16275" s="52"/>
      <c r="E16275"/>
      <c r="N16275" s="56"/>
    </row>
    <row r="16276" spans="1:14" x14ac:dyDescent="0.3">
      <c r="A16276" s="42"/>
      <c r="C16276" s="52"/>
      <c r="E16276"/>
      <c r="N16276" s="56"/>
    </row>
    <row r="16277" spans="1:14" x14ac:dyDescent="0.3">
      <c r="A16277" s="42"/>
      <c r="C16277" s="52"/>
      <c r="E16277"/>
      <c r="N16277" s="56"/>
    </row>
    <row r="16278" spans="1:14" x14ac:dyDescent="0.3">
      <c r="A16278" s="42"/>
      <c r="C16278" s="52"/>
      <c r="E16278"/>
      <c r="N16278" s="56"/>
    </row>
    <row r="16279" spans="1:14" x14ac:dyDescent="0.3">
      <c r="A16279" s="42"/>
      <c r="C16279" s="52"/>
      <c r="E16279"/>
      <c r="N16279" s="56"/>
    </row>
    <row r="16280" spans="1:14" x14ac:dyDescent="0.3">
      <c r="A16280" s="42"/>
      <c r="C16280" s="52"/>
      <c r="E16280"/>
      <c r="N16280" s="56"/>
    </row>
    <row r="16281" spans="1:14" x14ac:dyDescent="0.3">
      <c r="A16281" s="42"/>
      <c r="C16281" s="52"/>
      <c r="E16281"/>
      <c r="N16281" s="56"/>
    </row>
    <row r="16282" spans="1:14" x14ac:dyDescent="0.3">
      <c r="A16282" s="42"/>
      <c r="C16282" s="52"/>
      <c r="E16282"/>
      <c r="N16282" s="56"/>
    </row>
    <row r="16283" spans="1:14" x14ac:dyDescent="0.3">
      <c r="A16283" s="42"/>
      <c r="C16283" s="52"/>
      <c r="E16283"/>
      <c r="N16283" s="56"/>
    </row>
    <row r="16284" spans="1:14" x14ac:dyDescent="0.3">
      <c r="A16284" s="42"/>
      <c r="C16284" s="52"/>
      <c r="E16284"/>
      <c r="N16284" s="56"/>
    </row>
    <row r="16285" spans="1:14" x14ac:dyDescent="0.3">
      <c r="A16285" s="42"/>
      <c r="C16285" s="52"/>
      <c r="E16285"/>
      <c r="N16285" s="56"/>
    </row>
    <row r="16286" spans="1:14" x14ac:dyDescent="0.3">
      <c r="A16286" s="42"/>
      <c r="C16286" s="52"/>
      <c r="E16286"/>
      <c r="N16286" s="56"/>
    </row>
    <row r="16287" spans="1:14" x14ac:dyDescent="0.3">
      <c r="A16287" s="42"/>
      <c r="C16287" s="52"/>
      <c r="E16287"/>
      <c r="N16287" s="56"/>
    </row>
    <row r="16288" spans="1:14" x14ac:dyDescent="0.3">
      <c r="A16288" s="42"/>
      <c r="C16288" s="52"/>
      <c r="E16288"/>
      <c r="N16288" s="56"/>
    </row>
    <row r="16289" spans="1:14" x14ac:dyDescent="0.3">
      <c r="A16289" s="42"/>
      <c r="C16289" s="52"/>
      <c r="E16289"/>
      <c r="N16289" s="56"/>
    </row>
    <row r="16290" spans="1:14" x14ac:dyDescent="0.3">
      <c r="A16290" s="42"/>
      <c r="C16290" s="52"/>
      <c r="E16290"/>
      <c r="N16290" s="56"/>
    </row>
    <row r="16291" spans="1:14" x14ac:dyDescent="0.3">
      <c r="A16291" s="42"/>
      <c r="C16291" s="52"/>
      <c r="E16291"/>
      <c r="N16291" s="56"/>
    </row>
    <row r="16292" spans="1:14" x14ac:dyDescent="0.3">
      <c r="A16292" s="42"/>
      <c r="C16292" s="52"/>
      <c r="E16292"/>
      <c r="N16292" s="56"/>
    </row>
    <row r="16293" spans="1:14" x14ac:dyDescent="0.3">
      <c r="A16293" s="42"/>
      <c r="C16293" s="52"/>
      <c r="E16293"/>
      <c r="N16293" s="56"/>
    </row>
    <row r="16294" spans="1:14" x14ac:dyDescent="0.3">
      <c r="A16294" s="42"/>
      <c r="C16294" s="52"/>
      <c r="E16294"/>
      <c r="N16294" s="56"/>
    </row>
    <row r="16295" spans="1:14" x14ac:dyDescent="0.3">
      <c r="A16295" s="42"/>
      <c r="C16295" s="52"/>
      <c r="E16295"/>
      <c r="N16295" s="56"/>
    </row>
    <row r="16296" spans="1:14" x14ac:dyDescent="0.3">
      <c r="A16296" s="42"/>
      <c r="C16296" s="52"/>
      <c r="E16296"/>
      <c r="N16296" s="56"/>
    </row>
    <row r="16297" spans="1:14" x14ac:dyDescent="0.3">
      <c r="A16297" s="42"/>
      <c r="C16297" s="52"/>
      <c r="E16297"/>
      <c r="N16297" s="56"/>
    </row>
    <row r="16298" spans="1:14" x14ac:dyDescent="0.3">
      <c r="A16298" s="42"/>
      <c r="C16298" s="52"/>
      <c r="E16298"/>
      <c r="N16298" s="56"/>
    </row>
    <row r="16299" spans="1:14" x14ac:dyDescent="0.3">
      <c r="A16299" s="42"/>
      <c r="C16299" s="52"/>
      <c r="E16299"/>
      <c r="N16299" s="56"/>
    </row>
    <row r="16300" spans="1:14" x14ac:dyDescent="0.3">
      <c r="A16300" s="42"/>
      <c r="C16300" s="52"/>
      <c r="E16300"/>
      <c r="N16300" s="56"/>
    </row>
    <row r="16301" spans="1:14" x14ac:dyDescent="0.3">
      <c r="A16301" s="42"/>
      <c r="C16301" s="52"/>
      <c r="E16301"/>
      <c r="N16301" s="56"/>
    </row>
    <row r="16302" spans="1:14" x14ac:dyDescent="0.3">
      <c r="A16302" s="42"/>
      <c r="C16302" s="52"/>
      <c r="E16302"/>
      <c r="N16302" s="56"/>
    </row>
    <row r="16303" spans="1:14" x14ac:dyDescent="0.3">
      <c r="A16303" s="42"/>
      <c r="C16303" s="52"/>
      <c r="E16303"/>
      <c r="N16303" s="56"/>
    </row>
    <row r="16304" spans="1:14" x14ac:dyDescent="0.3">
      <c r="A16304" s="42"/>
      <c r="C16304" s="52"/>
      <c r="E16304"/>
      <c r="N16304" s="56"/>
    </row>
    <row r="16305" spans="1:14" x14ac:dyDescent="0.3">
      <c r="A16305" s="42"/>
      <c r="C16305" s="52"/>
      <c r="E16305"/>
      <c r="N16305" s="56"/>
    </row>
    <row r="16306" spans="1:14" x14ac:dyDescent="0.3">
      <c r="A16306" s="42"/>
      <c r="C16306" s="52"/>
      <c r="E16306"/>
      <c r="N16306" s="56"/>
    </row>
    <row r="16307" spans="1:14" x14ac:dyDescent="0.3">
      <c r="A16307" s="42"/>
      <c r="C16307" s="52"/>
      <c r="E16307"/>
      <c r="N16307" s="56"/>
    </row>
    <row r="16308" spans="1:14" x14ac:dyDescent="0.3">
      <c r="A16308" s="42"/>
      <c r="C16308" s="52"/>
      <c r="E16308"/>
      <c r="N16308" s="56"/>
    </row>
    <row r="16309" spans="1:14" x14ac:dyDescent="0.3">
      <c r="A16309" s="42"/>
      <c r="C16309" s="52"/>
      <c r="E16309"/>
      <c r="N16309" s="56"/>
    </row>
    <row r="16310" spans="1:14" x14ac:dyDescent="0.3">
      <c r="A16310" s="42"/>
      <c r="C16310" s="52"/>
      <c r="E16310"/>
      <c r="N16310" s="56"/>
    </row>
    <row r="16311" spans="1:14" x14ac:dyDescent="0.3">
      <c r="A16311" s="42"/>
      <c r="C16311" s="52"/>
      <c r="E16311"/>
      <c r="N16311" s="56"/>
    </row>
    <row r="16312" spans="1:14" x14ac:dyDescent="0.3">
      <c r="A16312" s="42"/>
      <c r="C16312" s="52"/>
      <c r="E16312"/>
      <c r="N16312" s="56"/>
    </row>
    <row r="16313" spans="1:14" x14ac:dyDescent="0.3">
      <c r="A16313" s="42"/>
      <c r="C16313" s="52"/>
      <c r="E16313"/>
      <c r="N16313" s="56"/>
    </row>
    <row r="16314" spans="1:14" x14ac:dyDescent="0.3">
      <c r="A16314" s="42"/>
      <c r="C16314" s="52"/>
      <c r="E16314"/>
      <c r="N16314" s="56"/>
    </row>
    <row r="16315" spans="1:14" x14ac:dyDescent="0.3">
      <c r="A16315" s="42"/>
      <c r="C16315" s="52"/>
      <c r="E16315"/>
      <c r="N16315" s="56"/>
    </row>
    <row r="16316" spans="1:14" x14ac:dyDescent="0.3">
      <c r="A16316" s="42"/>
      <c r="C16316" s="52"/>
      <c r="E16316"/>
      <c r="N16316" s="56"/>
    </row>
    <row r="16317" spans="1:14" x14ac:dyDescent="0.3">
      <c r="A16317" s="42"/>
      <c r="C16317" s="52"/>
      <c r="E16317"/>
      <c r="N16317" s="56"/>
    </row>
    <row r="16318" spans="1:14" x14ac:dyDescent="0.3">
      <c r="A16318" s="42"/>
      <c r="C16318" s="52"/>
      <c r="E16318"/>
      <c r="N16318" s="56"/>
    </row>
    <row r="16319" spans="1:14" x14ac:dyDescent="0.3">
      <c r="A16319" s="42"/>
      <c r="C16319" s="52"/>
      <c r="E16319"/>
      <c r="N16319" s="56"/>
    </row>
    <row r="16320" spans="1:14" x14ac:dyDescent="0.3">
      <c r="A16320" s="42"/>
      <c r="C16320" s="52"/>
      <c r="E16320"/>
      <c r="N16320" s="56"/>
    </row>
    <row r="16321" spans="1:14" x14ac:dyDescent="0.3">
      <c r="A16321" s="42"/>
      <c r="C16321" s="52"/>
      <c r="E16321"/>
      <c r="N16321" s="56"/>
    </row>
    <row r="16322" spans="1:14" x14ac:dyDescent="0.3">
      <c r="A16322" s="42"/>
      <c r="C16322" s="52"/>
      <c r="E16322"/>
      <c r="N16322" s="56"/>
    </row>
    <row r="16323" spans="1:14" x14ac:dyDescent="0.3">
      <c r="A16323" s="42"/>
      <c r="C16323" s="52"/>
      <c r="E16323"/>
      <c r="N16323" s="56"/>
    </row>
    <row r="16324" spans="1:14" x14ac:dyDescent="0.3">
      <c r="A16324" s="42"/>
      <c r="C16324" s="52"/>
      <c r="E16324"/>
      <c r="N16324" s="56"/>
    </row>
    <row r="16325" spans="1:14" x14ac:dyDescent="0.3">
      <c r="A16325" s="42"/>
      <c r="C16325" s="52"/>
      <c r="E16325"/>
      <c r="N16325" s="56"/>
    </row>
    <row r="16326" spans="1:14" x14ac:dyDescent="0.3">
      <c r="A16326" s="42"/>
      <c r="C16326" s="52"/>
      <c r="E16326"/>
      <c r="N16326" s="56"/>
    </row>
    <row r="16327" spans="1:14" x14ac:dyDescent="0.3">
      <c r="A16327" s="42"/>
      <c r="C16327" s="52"/>
      <c r="E16327"/>
      <c r="N16327" s="56"/>
    </row>
    <row r="16328" spans="1:14" x14ac:dyDescent="0.3">
      <c r="A16328" s="42"/>
      <c r="C16328" s="52"/>
      <c r="E16328"/>
      <c r="N16328" s="56"/>
    </row>
    <row r="16329" spans="1:14" x14ac:dyDescent="0.3">
      <c r="A16329" s="42"/>
      <c r="C16329" s="52"/>
      <c r="E16329"/>
      <c r="N16329" s="56"/>
    </row>
    <row r="16330" spans="1:14" x14ac:dyDescent="0.3">
      <c r="A16330" s="42"/>
      <c r="C16330" s="52"/>
      <c r="E16330"/>
      <c r="N16330" s="56"/>
    </row>
    <row r="16331" spans="1:14" x14ac:dyDescent="0.3">
      <c r="A16331" s="42"/>
      <c r="C16331" s="52"/>
      <c r="E16331"/>
      <c r="N16331" s="56"/>
    </row>
    <row r="16332" spans="1:14" x14ac:dyDescent="0.3">
      <c r="A16332" s="42"/>
      <c r="C16332" s="52"/>
      <c r="E16332"/>
      <c r="N16332" s="56"/>
    </row>
    <row r="16333" spans="1:14" x14ac:dyDescent="0.3">
      <c r="A16333" s="42"/>
      <c r="C16333" s="52"/>
      <c r="E16333"/>
      <c r="N16333" s="56"/>
    </row>
    <row r="16334" spans="1:14" x14ac:dyDescent="0.3">
      <c r="A16334" s="42"/>
      <c r="C16334" s="52"/>
      <c r="E16334"/>
      <c r="N16334" s="56"/>
    </row>
    <row r="16335" spans="1:14" x14ac:dyDescent="0.3">
      <c r="A16335" s="42"/>
      <c r="C16335" s="52"/>
      <c r="E16335"/>
      <c r="N16335" s="56"/>
    </row>
    <row r="16336" spans="1:14" x14ac:dyDescent="0.3">
      <c r="A16336" s="42"/>
      <c r="C16336" s="52"/>
      <c r="E16336"/>
      <c r="N16336" s="56"/>
    </row>
    <row r="16337" spans="1:14" x14ac:dyDescent="0.3">
      <c r="A16337" s="42"/>
      <c r="C16337" s="52"/>
      <c r="E16337"/>
      <c r="N16337" s="56"/>
    </row>
    <row r="16338" spans="1:14" x14ac:dyDescent="0.3">
      <c r="A16338" s="42"/>
      <c r="C16338" s="52"/>
      <c r="E16338"/>
      <c r="N16338" s="56"/>
    </row>
    <row r="16339" spans="1:14" x14ac:dyDescent="0.3">
      <c r="A16339" s="42"/>
      <c r="C16339" s="52"/>
      <c r="E16339"/>
      <c r="N16339" s="56"/>
    </row>
    <row r="16340" spans="1:14" x14ac:dyDescent="0.3">
      <c r="A16340" s="42"/>
      <c r="C16340" s="52"/>
      <c r="E16340"/>
      <c r="M16340" s="45"/>
      <c r="N16340" s="56"/>
    </row>
    <row r="16341" spans="1:14" x14ac:dyDescent="0.3">
      <c r="A16341" s="42"/>
      <c r="C16341" s="52"/>
      <c r="E16341"/>
      <c r="N16341" s="56"/>
    </row>
    <row r="16342" spans="1:14" x14ac:dyDescent="0.3">
      <c r="A16342" s="42"/>
      <c r="C16342" s="52"/>
      <c r="E16342"/>
      <c r="N16342" s="56"/>
    </row>
    <row r="16343" spans="1:14" x14ac:dyDescent="0.3">
      <c r="A16343" s="42"/>
      <c r="C16343" s="52"/>
      <c r="E16343"/>
      <c r="N16343" s="56"/>
    </row>
    <row r="16344" spans="1:14" x14ac:dyDescent="0.3">
      <c r="A16344" s="42"/>
      <c r="C16344" s="52"/>
      <c r="E16344"/>
      <c r="N16344" s="56"/>
    </row>
    <row r="16345" spans="1:14" x14ac:dyDescent="0.3">
      <c r="A16345" s="42"/>
      <c r="C16345" s="52"/>
      <c r="E16345"/>
      <c r="N16345" s="56"/>
    </row>
    <row r="16346" spans="1:14" x14ac:dyDescent="0.3">
      <c r="A16346" s="42"/>
      <c r="C16346" s="52"/>
      <c r="E16346"/>
      <c r="N16346" s="56"/>
    </row>
    <row r="16347" spans="1:14" x14ac:dyDescent="0.3">
      <c r="A16347" s="42"/>
      <c r="C16347" s="52"/>
      <c r="E16347"/>
      <c r="N16347" s="56"/>
    </row>
    <row r="16348" spans="1:14" x14ac:dyDescent="0.3">
      <c r="A16348" s="42"/>
      <c r="C16348" s="52"/>
      <c r="E16348"/>
      <c r="N16348" s="56"/>
    </row>
    <row r="16349" spans="1:14" x14ac:dyDescent="0.3">
      <c r="A16349" s="42"/>
      <c r="C16349" s="52"/>
      <c r="E16349"/>
      <c r="N16349" s="56"/>
    </row>
    <row r="16350" spans="1:14" x14ac:dyDescent="0.3">
      <c r="A16350" s="42"/>
      <c r="C16350" s="52"/>
      <c r="E16350"/>
      <c r="N16350" s="56"/>
    </row>
    <row r="16351" spans="1:14" x14ac:dyDescent="0.3">
      <c r="A16351" s="42"/>
      <c r="C16351" s="52"/>
      <c r="E16351"/>
      <c r="N16351" s="56"/>
    </row>
    <row r="16352" spans="1:14" x14ac:dyDescent="0.3">
      <c r="A16352" s="42"/>
      <c r="C16352" s="52"/>
      <c r="E16352"/>
      <c r="N16352" s="56"/>
    </row>
    <row r="16353" spans="1:14" x14ac:dyDescent="0.3">
      <c r="A16353" s="42"/>
      <c r="C16353" s="52"/>
      <c r="E16353"/>
      <c r="N16353" s="56"/>
    </row>
    <row r="16354" spans="1:14" x14ac:dyDescent="0.3">
      <c r="A16354" s="42"/>
      <c r="C16354" s="52"/>
      <c r="E16354"/>
      <c r="N16354" s="56"/>
    </row>
    <row r="16355" spans="1:14" x14ac:dyDescent="0.3">
      <c r="A16355" s="42"/>
      <c r="C16355" s="52"/>
      <c r="E16355"/>
      <c r="N16355" s="56"/>
    </row>
    <row r="16356" spans="1:14" x14ac:dyDescent="0.3">
      <c r="A16356" s="42"/>
      <c r="C16356" s="52"/>
      <c r="E16356"/>
      <c r="N16356" s="56"/>
    </row>
    <row r="16357" spans="1:14" x14ac:dyDescent="0.3">
      <c r="A16357" s="42"/>
      <c r="C16357" s="52"/>
      <c r="E16357"/>
      <c r="N16357" s="56"/>
    </row>
    <row r="16358" spans="1:14" x14ac:dyDescent="0.3">
      <c r="A16358" s="42"/>
      <c r="C16358" s="52"/>
      <c r="E16358"/>
      <c r="N16358" s="56"/>
    </row>
    <row r="16359" spans="1:14" x14ac:dyDescent="0.3">
      <c r="A16359" s="42"/>
      <c r="C16359" s="52"/>
      <c r="E16359"/>
      <c r="N16359" s="56"/>
    </row>
    <row r="16360" spans="1:14" x14ac:dyDescent="0.3">
      <c r="A16360" s="42"/>
      <c r="C16360" s="52"/>
      <c r="E16360"/>
      <c r="N16360" s="56"/>
    </row>
    <row r="16361" spans="1:14" x14ac:dyDescent="0.3">
      <c r="A16361" s="42"/>
      <c r="C16361" s="52"/>
      <c r="E16361"/>
      <c r="N16361" s="56"/>
    </row>
    <row r="16362" spans="1:14" x14ac:dyDescent="0.3">
      <c r="A16362" s="42"/>
      <c r="C16362" s="52"/>
      <c r="E16362"/>
      <c r="N16362" s="56"/>
    </row>
    <row r="16363" spans="1:14" x14ac:dyDescent="0.3">
      <c r="A16363" s="42"/>
      <c r="C16363" s="52"/>
      <c r="E16363"/>
      <c r="N16363" s="56"/>
    </row>
    <row r="16364" spans="1:14" x14ac:dyDescent="0.3">
      <c r="A16364" s="42"/>
      <c r="C16364" s="52"/>
      <c r="E16364"/>
      <c r="N16364" s="56"/>
    </row>
    <row r="16365" spans="1:14" x14ac:dyDescent="0.3">
      <c r="A16365" s="42"/>
      <c r="C16365" s="52"/>
      <c r="E16365"/>
      <c r="N16365" s="56"/>
    </row>
    <row r="16366" spans="1:14" x14ac:dyDescent="0.3">
      <c r="A16366" s="42"/>
      <c r="C16366" s="52"/>
      <c r="E16366"/>
      <c r="N16366" s="56"/>
    </row>
    <row r="16367" spans="1:14" x14ac:dyDescent="0.3">
      <c r="A16367" s="42"/>
      <c r="C16367" s="52"/>
      <c r="E16367"/>
      <c r="N16367" s="56"/>
    </row>
    <row r="16368" spans="1:14" x14ac:dyDescent="0.3">
      <c r="A16368" s="42"/>
      <c r="C16368" s="52"/>
      <c r="E16368"/>
      <c r="N16368" s="56"/>
    </row>
    <row r="16369" spans="1:14" x14ac:dyDescent="0.3">
      <c r="A16369" s="42"/>
      <c r="C16369" s="52"/>
      <c r="E16369"/>
      <c r="N16369" s="56"/>
    </row>
    <row r="16370" spans="1:14" x14ac:dyDescent="0.3">
      <c r="A16370" s="42"/>
      <c r="C16370" s="52"/>
      <c r="E16370"/>
      <c r="N16370" s="56"/>
    </row>
    <row r="16371" spans="1:14" x14ac:dyDescent="0.3">
      <c r="A16371" s="42"/>
      <c r="C16371" s="52"/>
      <c r="E16371"/>
      <c r="N16371" s="56"/>
    </row>
    <row r="16372" spans="1:14" x14ac:dyDescent="0.3">
      <c r="A16372" s="42"/>
      <c r="C16372" s="52"/>
      <c r="E16372"/>
      <c r="N16372" s="56"/>
    </row>
    <row r="16373" spans="1:14" x14ac:dyDescent="0.3">
      <c r="A16373" s="42"/>
      <c r="C16373" s="52"/>
      <c r="E16373"/>
      <c r="N16373" s="56"/>
    </row>
    <row r="16374" spans="1:14" x14ac:dyDescent="0.3">
      <c r="A16374" s="42"/>
      <c r="C16374" s="52"/>
      <c r="E16374"/>
      <c r="N16374" s="56"/>
    </row>
    <row r="16375" spans="1:14" x14ac:dyDescent="0.3">
      <c r="A16375" s="42"/>
      <c r="C16375" s="52"/>
      <c r="E16375"/>
      <c r="N16375" s="56"/>
    </row>
    <row r="16376" spans="1:14" x14ac:dyDescent="0.3">
      <c r="A16376" s="42"/>
      <c r="C16376" s="52"/>
      <c r="E16376"/>
      <c r="N16376" s="56"/>
    </row>
    <row r="16377" spans="1:14" x14ac:dyDescent="0.3">
      <c r="A16377" s="42"/>
      <c r="C16377" s="52"/>
      <c r="E16377"/>
      <c r="N16377" s="56"/>
    </row>
    <row r="16378" spans="1:14" x14ac:dyDescent="0.3">
      <c r="A16378" s="42"/>
      <c r="C16378" s="52"/>
      <c r="E16378"/>
      <c r="N16378" s="56"/>
    </row>
    <row r="16379" spans="1:14" x14ac:dyDescent="0.3">
      <c r="A16379" s="42"/>
      <c r="C16379" s="52"/>
      <c r="E16379"/>
      <c r="N16379" s="56"/>
    </row>
    <row r="16380" spans="1:14" x14ac:dyDescent="0.3">
      <c r="A16380" s="42"/>
      <c r="C16380" s="52"/>
      <c r="E16380"/>
      <c r="N16380" s="56"/>
    </row>
    <row r="16381" spans="1:14" x14ac:dyDescent="0.3">
      <c r="A16381" s="42"/>
      <c r="C16381" s="52"/>
      <c r="E16381"/>
      <c r="N16381" s="56"/>
    </row>
    <row r="16382" spans="1:14" x14ac:dyDescent="0.3">
      <c r="A16382" s="42"/>
      <c r="C16382" s="52"/>
      <c r="E16382"/>
      <c r="N16382" s="56"/>
    </row>
    <row r="16383" spans="1:14" x14ac:dyDescent="0.3">
      <c r="A16383" s="42"/>
      <c r="C16383" s="52"/>
      <c r="E16383"/>
      <c r="N16383" s="56"/>
    </row>
    <row r="16384" spans="1:14" x14ac:dyDescent="0.3">
      <c r="A16384" s="42"/>
      <c r="C16384" s="52"/>
      <c r="E16384"/>
      <c r="N16384" s="56"/>
    </row>
    <row r="16385" spans="1:14" x14ac:dyDescent="0.3">
      <c r="A16385" s="42"/>
      <c r="C16385" s="52"/>
      <c r="E16385"/>
      <c r="N16385" s="56"/>
    </row>
    <row r="16386" spans="1:14" x14ac:dyDescent="0.3">
      <c r="A16386" s="42"/>
      <c r="C16386" s="52"/>
      <c r="E16386"/>
      <c r="N16386" s="56"/>
    </row>
    <row r="16387" spans="1:14" x14ac:dyDescent="0.3">
      <c r="A16387" s="42"/>
      <c r="C16387" s="52"/>
      <c r="E16387"/>
      <c r="N16387" s="56"/>
    </row>
    <row r="16388" spans="1:14" x14ac:dyDescent="0.3">
      <c r="A16388" s="42"/>
      <c r="C16388" s="52"/>
      <c r="E16388"/>
      <c r="N16388" s="56"/>
    </row>
    <row r="16389" spans="1:14" x14ac:dyDescent="0.3">
      <c r="A16389" s="42"/>
      <c r="C16389" s="52"/>
      <c r="E16389"/>
      <c r="N16389" s="56"/>
    </row>
    <row r="16390" spans="1:14" x14ac:dyDescent="0.3">
      <c r="A16390" s="42"/>
      <c r="C16390" s="52"/>
      <c r="E16390"/>
      <c r="N16390" s="56"/>
    </row>
    <row r="16391" spans="1:14" x14ac:dyDescent="0.3">
      <c r="A16391" s="42"/>
      <c r="C16391" s="52"/>
      <c r="E16391"/>
      <c r="N16391" s="56"/>
    </row>
    <row r="16392" spans="1:14" x14ac:dyDescent="0.3">
      <c r="A16392" s="42"/>
      <c r="C16392" s="52"/>
      <c r="E16392"/>
      <c r="N16392" s="56"/>
    </row>
    <row r="16393" spans="1:14" x14ac:dyDescent="0.3">
      <c r="A16393" s="42"/>
      <c r="C16393" s="52"/>
      <c r="E16393"/>
      <c r="N16393" s="56"/>
    </row>
    <row r="16394" spans="1:14" x14ac:dyDescent="0.3">
      <c r="A16394" s="42"/>
      <c r="C16394" s="52"/>
      <c r="E16394"/>
      <c r="N16394" s="56"/>
    </row>
    <row r="16395" spans="1:14" x14ac:dyDescent="0.3">
      <c r="A16395" s="42"/>
      <c r="C16395" s="52"/>
      <c r="E16395"/>
      <c r="N16395" s="56"/>
    </row>
    <row r="16396" spans="1:14" x14ac:dyDescent="0.3">
      <c r="A16396" s="42"/>
      <c r="C16396" s="52"/>
      <c r="E16396"/>
      <c r="N16396" s="56"/>
    </row>
    <row r="16397" spans="1:14" x14ac:dyDescent="0.3">
      <c r="A16397" s="42"/>
      <c r="C16397" s="52"/>
      <c r="E16397"/>
      <c r="N16397" s="56"/>
    </row>
    <row r="16398" spans="1:14" x14ac:dyDescent="0.3">
      <c r="A16398" s="42"/>
      <c r="C16398" s="52"/>
      <c r="E16398"/>
      <c r="N16398" s="56"/>
    </row>
    <row r="16399" spans="1:14" x14ac:dyDescent="0.3">
      <c r="A16399" s="42"/>
      <c r="C16399" s="52"/>
      <c r="E16399"/>
      <c r="N16399" s="56"/>
    </row>
    <row r="16400" spans="1:14" x14ac:dyDescent="0.3">
      <c r="A16400" s="42"/>
      <c r="C16400" s="52"/>
      <c r="E16400"/>
      <c r="N16400" s="56"/>
    </row>
    <row r="16401" spans="1:14" x14ac:dyDescent="0.3">
      <c r="A16401" s="42"/>
      <c r="C16401" s="52"/>
      <c r="E16401"/>
      <c r="N16401" s="56"/>
    </row>
    <row r="16402" spans="1:14" x14ac:dyDescent="0.3">
      <c r="A16402" s="42"/>
      <c r="C16402" s="52"/>
      <c r="E16402"/>
      <c r="N16402" s="56"/>
    </row>
    <row r="16403" spans="1:14" x14ac:dyDescent="0.3">
      <c r="A16403" s="42"/>
      <c r="C16403" s="52"/>
      <c r="E16403"/>
      <c r="N16403" s="56"/>
    </row>
    <row r="16404" spans="1:14" x14ac:dyDescent="0.3">
      <c r="A16404" s="42"/>
      <c r="C16404" s="52"/>
      <c r="E16404"/>
      <c r="N16404" s="56"/>
    </row>
    <row r="16405" spans="1:14" x14ac:dyDescent="0.3">
      <c r="A16405" s="42"/>
      <c r="C16405" s="52"/>
      <c r="E16405"/>
      <c r="N16405" s="56"/>
    </row>
    <row r="16406" spans="1:14" x14ac:dyDescent="0.3">
      <c r="A16406" s="42"/>
      <c r="C16406" s="52"/>
      <c r="E16406"/>
      <c r="N16406" s="56"/>
    </row>
    <row r="16407" spans="1:14" x14ac:dyDescent="0.3">
      <c r="A16407" s="42"/>
      <c r="C16407" s="52"/>
      <c r="E16407"/>
      <c r="N16407" s="56"/>
    </row>
    <row r="16408" spans="1:14" x14ac:dyDescent="0.3">
      <c r="A16408" s="42"/>
      <c r="C16408" s="52"/>
      <c r="E16408"/>
      <c r="N16408" s="56"/>
    </row>
    <row r="16409" spans="1:14" x14ac:dyDescent="0.3">
      <c r="A16409" s="42"/>
      <c r="C16409" s="52"/>
      <c r="E16409"/>
      <c r="N16409" s="56"/>
    </row>
    <row r="16410" spans="1:14" x14ac:dyDescent="0.3">
      <c r="A16410" s="42"/>
      <c r="C16410" s="52"/>
      <c r="E16410"/>
      <c r="N16410" s="56"/>
    </row>
    <row r="16411" spans="1:14" x14ac:dyDescent="0.3">
      <c r="A16411" s="42"/>
      <c r="C16411" s="52"/>
      <c r="E16411"/>
      <c r="N16411" s="56"/>
    </row>
    <row r="16412" spans="1:14" x14ac:dyDescent="0.3">
      <c r="A16412" s="42"/>
      <c r="C16412" s="52"/>
      <c r="E16412"/>
      <c r="N16412" s="56"/>
    </row>
    <row r="16413" spans="1:14" x14ac:dyDescent="0.3">
      <c r="A16413" s="42"/>
      <c r="C16413" s="52"/>
      <c r="E16413"/>
      <c r="N16413" s="56"/>
    </row>
    <row r="16414" spans="1:14" x14ac:dyDescent="0.3">
      <c r="A16414" s="42"/>
      <c r="C16414" s="52"/>
      <c r="E16414"/>
      <c r="N16414" s="56"/>
    </row>
    <row r="16415" spans="1:14" x14ac:dyDescent="0.3">
      <c r="A16415" s="42"/>
      <c r="C16415" s="52"/>
      <c r="E16415"/>
      <c r="N16415" s="56"/>
    </row>
    <row r="16416" spans="1:14" x14ac:dyDescent="0.3">
      <c r="A16416" s="42"/>
      <c r="C16416" s="52"/>
      <c r="E16416"/>
      <c r="N16416" s="56"/>
    </row>
    <row r="16417" spans="1:14" x14ac:dyDescent="0.3">
      <c r="A16417" s="42"/>
      <c r="C16417" s="52"/>
      <c r="E16417"/>
      <c r="N16417" s="56"/>
    </row>
    <row r="16418" spans="1:14" x14ac:dyDescent="0.3">
      <c r="A16418" s="42"/>
      <c r="C16418" s="52"/>
      <c r="E16418"/>
      <c r="N16418" s="56"/>
    </row>
    <row r="16419" spans="1:14" x14ac:dyDescent="0.3">
      <c r="A16419" s="42"/>
      <c r="C16419" s="52"/>
      <c r="E16419"/>
      <c r="N16419" s="56"/>
    </row>
    <row r="16420" spans="1:14" x14ac:dyDescent="0.3">
      <c r="A16420" s="42"/>
      <c r="C16420" s="52"/>
      <c r="E16420"/>
      <c r="N16420" s="56"/>
    </row>
    <row r="16421" spans="1:14" x14ac:dyDescent="0.3">
      <c r="A16421" s="42"/>
      <c r="C16421" s="52"/>
      <c r="E16421"/>
      <c r="N16421" s="56"/>
    </row>
    <row r="16422" spans="1:14" x14ac:dyDescent="0.3">
      <c r="A16422" s="42"/>
      <c r="C16422" s="52"/>
      <c r="E16422"/>
      <c r="N16422" s="56"/>
    </row>
    <row r="16423" spans="1:14" x14ac:dyDescent="0.3">
      <c r="A16423" s="42"/>
      <c r="C16423" s="52"/>
      <c r="E16423"/>
      <c r="N16423" s="56"/>
    </row>
    <row r="16424" spans="1:14" x14ac:dyDescent="0.3">
      <c r="A16424" s="42"/>
      <c r="C16424" s="52"/>
      <c r="E16424"/>
      <c r="N16424" s="56"/>
    </row>
    <row r="16425" spans="1:14" x14ac:dyDescent="0.3">
      <c r="A16425" s="42"/>
      <c r="C16425" s="52"/>
      <c r="E16425"/>
      <c r="N16425" s="56"/>
    </row>
    <row r="16426" spans="1:14" x14ac:dyDescent="0.3">
      <c r="A16426" s="42"/>
      <c r="C16426" s="52"/>
      <c r="E16426"/>
      <c r="N16426" s="56"/>
    </row>
    <row r="16427" spans="1:14" x14ac:dyDescent="0.3">
      <c r="A16427" s="42"/>
      <c r="C16427" s="52"/>
      <c r="E16427"/>
      <c r="N16427" s="56"/>
    </row>
    <row r="16428" spans="1:14" x14ac:dyDescent="0.3">
      <c r="A16428" s="42"/>
      <c r="C16428" s="52"/>
      <c r="E16428"/>
      <c r="N16428" s="56"/>
    </row>
    <row r="16429" spans="1:14" x14ac:dyDescent="0.3">
      <c r="A16429" s="42"/>
      <c r="C16429" s="52"/>
      <c r="E16429"/>
      <c r="N16429" s="56"/>
    </row>
    <row r="16430" spans="1:14" x14ac:dyDescent="0.3">
      <c r="A16430" s="42"/>
      <c r="C16430" s="52"/>
      <c r="E16430"/>
      <c r="N16430" s="56"/>
    </row>
    <row r="16431" spans="1:14" x14ac:dyDescent="0.3">
      <c r="A16431" s="42"/>
      <c r="C16431" s="52"/>
      <c r="E16431"/>
      <c r="N16431" s="56"/>
    </row>
    <row r="16432" spans="1:14" x14ac:dyDescent="0.3">
      <c r="A16432" s="42"/>
      <c r="C16432" s="52"/>
      <c r="E16432"/>
      <c r="N16432" s="56"/>
    </row>
    <row r="16433" spans="1:14" x14ac:dyDescent="0.3">
      <c r="A16433" s="42"/>
      <c r="C16433" s="52"/>
      <c r="E16433"/>
      <c r="N16433" s="56"/>
    </row>
    <row r="16434" spans="1:14" x14ac:dyDescent="0.3">
      <c r="A16434" s="42"/>
      <c r="C16434" s="52"/>
      <c r="E16434"/>
      <c r="N16434" s="56"/>
    </row>
    <row r="16435" spans="1:14" x14ac:dyDescent="0.3">
      <c r="A16435" s="42"/>
      <c r="C16435" s="52"/>
      <c r="E16435"/>
      <c r="N16435" s="56"/>
    </row>
    <row r="16436" spans="1:14" x14ac:dyDescent="0.3">
      <c r="A16436" s="42"/>
      <c r="C16436" s="52"/>
      <c r="E16436"/>
      <c r="N16436" s="56"/>
    </row>
    <row r="16437" spans="1:14" x14ac:dyDescent="0.3">
      <c r="A16437" s="42"/>
      <c r="C16437" s="52"/>
      <c r="E16437"/>
      <c r="N16437" s="56"/>
    </row>
    <row r="16438" spans="1:14" x14ac:dyDescent="0.3">
      <c r="A16438" s="42"/>
      <c r="C16438" s="52"/>
      <c r="E16438"/>
      <c r="N16438" s="56"/>
    </row>
    <row r="16439" spans="1:14" x14ac:dyDescent="0.3">
      <c r="A16439" s="42"/>
      <c r="C16439" s="52"/>
      <c r="E16439"/>
      <c r="N16439" s="56"/>
    </row>
    <row r="16440" spans="1:14" x14ac:dyDescent="0.3">
      <c r="A16440" s="42"/>
      <c r="C16440" s="52"/>
      <c r="E16440"/>
      <c r="N16440" s="56"/>
    </row>
    <row r="16441" spans="1:14" x14ac:dyDescent="0.3">
      <c r="A16441" s="42"/>
      <c r="C16441" s="52"/>
      <c r="E16441"/>
      <c r="N16441" s="56"/>
    </row>
    <row r="16442" spans="1:14" x14ac:dyDescent="0.3">
      <c r="A16442" s="42"/>
      <c r="C16442" s="52"/>
      <c r="E16442"/>
      <c r="N16442" s="56"/>
    </row>
    <row r="16443" spans="1:14" x14ac:dyDescent="0.3">
      <c r="A16443" s="42"/>
      <c r="C16443" s="52"/>
      <c r="E16443"/>
      <c r="N16443" s="56"/>
    </row>
    <row r="16444" spans="1:14" x14ac:dyDescent="0.3">
      <c r="A16444" s="42"/>
      <c r="C16444" s="52"/>
      <c r="E16444"/>
      <c r="N16444" s="56"/>
    </row>
    <row r="16445" spans="1:14" x14ac:dyDescent="0.3">
      <c r="A16445" s="42"/>
      <c r="C16445" s="52"/>
      <c r="E16445"/>
      <c r="N16445" s="56"/>
    </row>
    <row r="16446" spans="1:14" x14ac:dyDescent="0.3">
      <c r="A16446" s="42"/>
      <c r="C16446" s="52"/>
      <c r="E16446"/>
      <c r="N16446" s="56"/>
    </row>
    <row r="16447" spans="1:14" x14ac:dyDescent="0.3">
      <c r="A16447" s="42"/>
      <c r="C16447" s="52"/>
      <c r="E16447"/>
      <c r="N16447" s="56"/>
    </row>
    <row r="16448" spans="1:14" x14ac:dyDescent="0.3">
      <c r="A16448" s="42"/>
      <c r="C16448" s="52"/>
      <c r="E16448"/>
      <c r="N16448" s="56"/>
    </row>
    <row r="16449" spans="1:14" x14ac:dyDescent="0.3">
      <c r="A16449" s="42"/>
      <c r="C16449" s="52"/>
      <c r="E16449"/>
      <c r="N16449" s="56"/>
    </row>
    <row r="16450" spans="1:14" x14ac:dyDescent="0.3">
      <c r="A16450" s="42"/>
      <c r="C16450" s="52"/>
      <c r="E16450"/>
      <c r="N16450" s="56"/>
    </row>
    <row r="16451" spans="1:14" x14ac:dyDescent="0.3">
      <c r="A16451" s="42"/>
      <c r="C16451" s="52"/>
      <c r="E16451"/>
      <c r="N16451" s="56"/>
    </row>
    <row r="16452" spans="1:14" x14ac:dyDescent="0.3">
      <c r="A16452" s="42"/>
      <c r="C16452" s="52"/>
      <c r="E16452"/>
      <c r="N16452" s="56"/>
    </row>
    <row r="16453" spans="1:14" x14ac:dyDescent="0.3">
      <c r="A16453" s="42"/>
      <c r="C16453" s="52"/>
      <c r="E16453"/>
      <c r="N16453" s="56"/>
    </row>
    <row r="16454" spans="1:14" x14ac:dyDescent="0.3">
      <c r="A16454" s="42"/>
      <c r="C16454" s="52"/>
      <c r="E16454"/>
      <c r="N16454" s="56"/>
    </row>
    <row r="16455" spans="1:14" x14ac:dyDescent="0.3">
      <c r="A16455" s="42"/>
      <c r="C16455" s="52"/>
      <c r="E16455"/>
      <c r="N16455" s="56"/>
    </row>
    <row r="16456" spans="1:14" x14ac:dyDescent="0.3">
      <c r="A16456" s="42"/>
      <c r="C16456" s="52"/>
      <c r="E16456"/>
      <c r="N16456" s="56"/>
    </row>
    <row r="16457" spans="1:14" x14ac:dyDescent="0.3">
      <c r="A16457" s="42"/>
      <c r="C16457" s="52"/>
      <c r="E16457"/>
      <c r="N16457" s="56"/>
    </row>
    <row r="16458" spans="1:14" x14ac:dyDescent="0.3">
      <c r="A16458" s="42"/>
      <c r="C16458" s="52"/>
      <c r="E16458"/>
      <c r="N16458" s="56"/>
    </row>
    <row r="16459" spans="1:14" x14ac:dyDescent="0.3">
      <c r="A16459" s="42"/>
      <c r="C16459" s="52"/>
      <c r="E16459"/>
      <c r="N16459" s="56"/>
    </row>
    <row r="16460" spans="1:14" x14ac:dyDescent="0.3">
      <c r="A16460" s="42"/>
      <c r="C16460" s="52"/>
      <c r="E16460"/>
      <c r="N16460" s="56"/>
    </row>
    <row r="16461" spans="1:14" x14ac:dyDescent="0.3">
      <c r="A16461" s="42"/>
      <c r="C16461" s="52"/>
      <c r="E16461"/>
      <c r="N16461" s="56"/>
    </row>
    <row r="16462" spans="1:14" x14ac:dyDescent="0.3">
      <c r="A16462" s="42"/>
      <c r="C16462" s="52"/>
      <c r="E16462"/>
      <c r="N16462" s="56"/>
    </row>
    <row r="16463" spans="1:14" x14ac:dyDescent="0.3">
      <c r="A16463" s="42"/>
      <c r="C16463" s="52"/>
      <c r="E16463"/>
      <c r="N16463" s="56"/>
    </row>
    <row r="16464" spans="1:14" x14ac:dyDescent="0.3">
      <c r="A16464" s="42"/>
      <c r="C16464" s="52"/>
      <c r="E16464"/>
      <c r="N16464" s="56"/>
    </row>
    <row r="16465" spans="1:14" x14ac:dyDescent="0.3">
      <c r="A16465" s="42"/>
      <c r="C16465" s="52"/>
      <c r="E16465"/>
      <c r="N16465" s="56"/>
    </row>
    <row r="16466" spans="1:14" x14ac:dyDescent="0.3">
      <c r="A16466" s="42"/>
      <c r="C16466" s="52"/>
      <c r="E16466"/>
      <c r="N16466" s="56"/>
    </row>
    <row r="16467" spans="1:14" x14ac:dyDescent="0.3">
      <c r="A16467" s="42"/>
      <c r="C16467" s="52"/>
      <c r="E16467"/>
      <c r="N16467" s="56"/>
    </row>
    <row r="16468" spans="1:14" x14ac:dyDescent="0.3">
      <c r="A16468" s="42"/>
      <c r="C16468" s="52"/>
      <c r="E16468"/>
      <c r="N16468" s="56"/>
    </row>
    <row r="16469" spans="1:14" x14ac:dyDescent="0.3">
      <c r="A16469" s="42"/>
      <c r="C16469" s="52"/>
      <c r="E16469"/>
      <c r="N16469" s="56"/>
    </row>
    <row r="16470" spans="1:14" x14ac:dyDescent="0.3">
      <c r="A16470" s="42"/>
      <c r="C16470" s="52"/>
      <c r="E16470"/>
      <c r="N16470" s="56"/>
    </row>
    <row r="16471" spans="1:14" x14ac:dyDescent="0.3">
      <c r="A16471" s="42"/>
      <c r="C16471" s="52"/>
      <c r="E16471"/>
      <c r="N16471" s="56"/>
    </row>
    <row r="16472" spans="1:14" x14ac:dyDescent="0.3">
      <c r="A16472" s="42"/>
      <c r="C16472" s="52"/>
      <c r="E16472"/>
      <c r="N16472" s="56"/>
    </row>
    <row r="16473" spans="1:14" x14ac:dyDescent="0.3">
      <c r="A16473" s="42"/>
      <c r="C16473" s="52"/>
      <c r="E16473"/>
      <c r="N16473" s="56"/>
    </row>
    <row r="16474" spans="1:14" x14ac:dyDescent="0.3">
      <c r="A16474" s="42"/>
      <c r="C16474" s="52"/>
      <c r="E16474"/>
      <c r="M16474" s="45"/>
      <c r="N16474" s="56"/>
    </row>
    <row r="16475" spans="1:14" x14ac:dyDescent="0.3">
      <c r="A16475" s="42"/>
      <c r="C16475" s="52"/>
      <c r="E16475"/>
      <c r="M16475" s="45"/>
      <c r="N16475" s="56"/>
    </row>
    <row r="16476" spans="1:14" x14ac:dyDescent="0.3">
      <c r="A16476" s="42"/>
      <c r="C16476" s="52"/>
      <c r="E16476"/>
      <c r="N16476" s="56"/>
    </row>
    <row r="16477" spans="1:14" x14ac:dyDescent="0.3">
      <c r="A16477" s="42"/>
      <c r="C16477" s="52"/>
      <c r="E16477"/>
      <c r="N16477" s="56"/>
    </row>
    <row r="16478" spans="1:14" x14ac:dyDescent="0.3">
      <c r="A16478" s="42"/>
      <c r="C16478" s="52"/>
      <c r="E16478"/>
      <c r="N16478" s="56"/>
    </row>
    <row r="16479" spans="1:14" x14ac:dyDescent="0.3">
      <c r="A16479" s="42"/>
      <c r="C16479" s="52"/>
      <c r="E16479"/>
      <c r="N16479" s="56"/>
    </row>
    <row r="16480" spans="1:14" x14ac:dyDescent="0.3">
      <c r="A16480" s="42"/>
      <c r="C16480" s="52"/>
      <c r="E16480"/>
      <c r="N16480" s="56"/>
    </row>
    <row r="16481" spans="1:14" x14ac:dyDescent="0.3">
      <c r="A16481" s="42"/>
      <c r="C16481" s="52"/>
      <c r="E16481"/>
      <c r="N16481" s="56"/>
    </row>
    <row r="16482" spans="1:14" x14ac:dyDescent="0.3">
      <c r="A16482" s="42"/>
      <c r="C16482" s="52"/>
      <c r="E16482"/>
      <c r="N16482" s="56"/>
    </row>
    <row r="16483" spans="1:14" x14ac:dyDescent="0.3">
      <c r="A16483" s="42"/>
      <c r="C16483" s="52"/>
      <c r="E16483"/>
      <c r="N16483" s="56"/>
    </row>
    <row r="16484" spans="1:14" x14ac:dyDescent="0.3">
      <c r="A16484" s="42"/>
      <c r="C16484" s="52"/>
      <c r="E16484"/>
      <c r="N16484" s="56"/>
    </row>
    <row r="16485" spans="1:14" x14ac:dyDescent="0.3">
      <c r="A16485" s="42"/>
      <c r="C16485" s="52"/>
      <c r="E16485"/>
      <c r="N16485" s="56"/>
    </row>
    <row r="16486" spans="1:14" x14ac:dyDescent="0.3">
      <c r="A16486" s="42"/>
      <c r="C16486" s="52"/>
      <c r="E16486"/>
      <c r="N16486" s="56"/>
    </row>
    <row r="16487" spans="1:14" x14ac:dyDescent="0.3">
      <c r="A16487" s="42"/>
      <c r="C16487" s="52"/>
      <c r="E16487"/>
      <c r="N16487" s="56"/>
    </row>
    <row r="16488" spans="1:14" x14ac:dyDescent="0.3">
      <c r="A16488" s="42"/>
      <c r="C16488" s="52"/>
      <c r="E16488"/>
      <c r="N16488" s="56"/>
    </row>
    <row r="16489" spans="1:14" x14ac:dyDescent="0.3">
      <c r="A16489" s="42"/>
      <c r="C16489" s="52"/>
      <c r="E16489"/>
      <c r="N16489" s="56"/>
    </row>
    <row r="16490" spans="1:14" x14ac:dyDescent="0.3">
      <c r="A16490" s="42"/>
      <c r="C16490" s="52"/>
      <c r="E16490"/>
      <c r="N16490" s="56"/>
    </row>
    <row r="16491" spans="1:14" x14ac:dyDescent="0.3">
      <c r="A16491" s="42"/>
      <c r="C16491" s="52"/>
      <c r="E16491"/>
      <c r="N16491" s="56"/>
    </row>
    <row r="16492" spans="1:14" x14ac:dyDescent="0.3">
      <c r="A16492" s="42"/>
      <c r="C16492" s="52"/>
      <c r="E16492"/>
      <c r="N16492" s="56"/>
    </row>
    <row r="16493" spans="1:14" x14ac:dyDescent="0.3">
      <c r="A16493" s="42"/>
      <c r="C16493" s="52"/>
      <c r="E16493"/>
      <c r="N16493" s="56"/>
    </row>
    <row r="16494" spans="1:14" x14ac:dyDescent="0.3">
      <c r="A16494" s="42"/>
      <c r="C16494" s="52"/>
      <c r="E16494"/>
      <c r="N16494" s="56"/>
    </row>
    <row r="16495" spans="1:14" x14ac:dyDescent="0.3">
      <c r="A16495" s="42"/>
      <c r="C16495" s="52"/>
      <c r="E16495"/>
      <c r="N16495" s="56"/>
    </row>
    <row r="16496" spans="1:14" x14ac:dyDescent="0.3">
      <c r="A16496" s="42"/>
      <c r="C16496" s="52"/>
      <c r="E16496"/>
      <c r="M16496" s="45"/>
      <c r="N16496" s="56"/>
    </row>
    <row r="16497" spans="1:14" x14ac:dyDescent="0.3">
      <c r="A16497" s="42"/>
      <c r="C16497" s="52"/>
      <c r="E16497"/>
      <c r="N16497" s="56"/>
    </row>
    <row r="16498" spans="1:14" x14ac:dyDescent="0.3">
      <c r="A16498" s="42"/>
      <c r="C16498" s="52"/>
      <c r="E16498"/>
      <c r="N16498" s="56"/>
    </row>
    <row r="16499" spans="1:14" x14ac:dyDescent="0.3">
      <c r="A16499" s="42"/>
      <c r="C16499" s="52"/>
      <c r="E16499"/>
      <c r="N16499" s="56"/>
    </row>
    <row r="16500" spans="1:14" x14ac:dyDescent="0.3">
      <c r="A16500" s="42"/>
      <c r="C16500" s="52"/>
      <c r="E16500"/>
      <c r="N16500" s="56"/>
    </row>
    <row r="16501" spans="1:14" x14ac:dyDescent="0.3">
      <c r="A16501" s="42"/>
      <c r="C16501" s="52"/>
      <c r="E16501"/>
      <c r="N16501" s="56"/>
    </row>
    <row r="16502" spans="1:14" x14ac:dyDescent="0.3">
      <c r="A16502" s="42"/>
      <c r="C16502" s="52"/>
      <c r="E16502"/>
      <c r="N16502" s="56"/>
    </row>
    <row r="16503" spans="1:14" x14ac:dyDescent="0.3">
      <c r="A16503" s="42"/>
      <c r="C16503" s="52"/>
      <c r="E16503"/>
      <c r="N16503" s="56"/>
    </row>
    <row r="16504" spans="1:14" x14ac:dyDescent="0.3">
      <c r="A16504" s="42"/>
      <c r="C16504" s="52"/>
      <c r="E16504"/>
      <c r="N16504" s="56"/>
    </row>
    <row r="16505" spans="1:14" x14ac:dyDescent="0.3">
      <c r="A16505" s="42"/>
      <c r="C16505" s="52"/>
      <c r="E16505"/>
      <c r="N16505" s="56"/>
    </row>
    <row r="16506" spans="1:14" x14ac:dyDescent="0.3">
      <c r="A16506" s="42"/>
      <c r="C16506" s="52"/>
      <c r="E16506"/>
      <c r="N16506" s="56"/>
    </row>
    <row r="16507" spans="1:14" x14ac:dyDescent="0.3">
      <c r="A16507" s="42"/>
      <c r="C16507" s="52"/>
      <c r="E16507"/>
      <c r="N16507" s="56"/>
    </row>
    <row r="16508" spans="1:14" x14ac:dyDescent="0.3">
      <c r="A16508" s="42"/>
      <c r="C16508" s="52"/>
      <c r="E16508"/>
      <c r="N16508" s="56"/>
    </row>
    <row r="16509" spans="1:14" x14ac:dyDescent="0.3">
      <c r="A16509" s="42"/>
      <c r="C16509" s="52"/>
      <c r="E16509"/>
      <c r="N16509" s="56"/>
    </row>
    <row r="16510" spans="1:14" x14ac:dyDescent="0.3">
      <c r="A16510" s="42"/>
      <c r="C16510" s="52"/>
      <c r="E16510"/>
      <c r="N16510" s="56"/>
    </row>
    <row r="16511" spans="1:14" x14ac:dyDescent="0.3">
      <c r="A16511" s="42"/>
      <c r="C16511" s="52"/>
      <c r="E16511"/>
      <c r="N16511" s="56"/>
    </row>
    <row r="16512" spans="1:14" x14ac:dyDescent="0.3">
      <c r="A16512" s="42"/>
      <c r="C16512" s="52"/>
      <c r="E16512"/>
      <c r="N16512" s="56"/>
    </row>
    <row r="16513" spans="1:14" x14ac:dyDescent="0.3">
      <c r="A16513" s="42"/>
      <c r="C16513" s="52"/>
      <c r="E16513"/>
      <c r="N16513" s="56"/>
    </row>
    <row r="16514" spans="1:14" x14ac:dyDescent="0.3">
      <c r="A16514" s="42"/>
      <c r="C16514" s="52"/>
      <c r="E16514"/>
      <c r="N16514" s="56"/>
    </row>
    <row r="16515" spans="1:14" x14ac:dyDescent="0.3">
      <c r="A16515" s="42"/>
      <c r="C16515" s="52"/>
      <c r="E16515"/>
      <c r="N16515" s="56"/>
    </row>
    <row r="16516" spans="1:14" x14ac:dyDescent="0.3">
      <c r="A16516" s="42"/>
      <c r="C16516" s="52"/>
      <c r="E16516"/>
      <c r="N16516" s="56"/>
    </row>
    <row r="16517" spans="1:14" x14ac:dyDescent="0.3">
      <c r="A16517" s="42"/>
      <c r="C16517" s="52"/>
      <c r="E16517"/>
      <c r="N16517" s="56"/>
    </row>
    <row r="16518" spans="1:14" x14ac:dyDescent="0.3">
      <c r="A16518" s="42"/>
      <c r="C16518" s="52"/>
      <c r="E16518"/>
      <c r="N16518" s="56"/>
    </row>
    <row r="16519" spans="1:14" x14ac:dyDescent="0.3">
      <c r="A16519" s="42"/>
      <c r="C16519" s="52"/>
      <c r="E16519"/>
      <c r="N16519" s="56"/>
    </row>
    <row r="16520" spans="1:14" x14ac:dyDescent="0.3">
      <c r="A16520" s="42"/>
      <c r="C16520" s="52"/>
      <c r="E16520"/>
      <c r="N16520" s="56"/>
    </row>
    <row r="16521" spans="1:14" x14ac:dyDescent="0.3">
      <c r="A16521" s="42"/>
      <c r="C16521" s="52"/>
      <c r="E16521"/>
      <c r="N16521" s="56"/>
    </row>
    <row r="16522" spans="1:14" x14ac:dyDescent="0.3">
      <c r="A16522" s="42"/>
      <c r="C16522" s="52"/>
      <c r="E16522"/>
      <c r="N16522" s="56"/>
    </row>
    <row r="16523" spans="1:14" x14ac:dyDescent="0.3">
      <c r="A16523" s="42"/>
      <c r="C16523" s="52"/>
      <c r="E16523"/>
      <c r="N16523" s="56"/>
    </row>
    <row r="16524" spans="1:14" x14ac:dyDescent="0.3">
      <c r="A16524" s="42"/>
      <c r="C16524" s="52"/>
      <c r="E16524"/>
      <c r="N16524" s="56"/>
    </row>
    <row r="16525" spans="1:14" x14ac:dyDescent="0.3">
      <c r="A16525" s="42"/>
      <c r="C16525" s="52"/>
      <c r="E16525"/>
      <c r="N16525" s="56"/>
    </row>
    <row r="16526" spans="1:14" x14ac:dyDescent="0.3">
      <c r="A16526" s="42"/>
      <c r="C16526" s="52"/>
      <c r="E16526"/>
      <c r="N16526" s="56"/>
    </row>
    <row r="16527" spans="1:14" x14ac:dyDescent="0.3">
      <c r="A16527" s="42"/>
      <c r="C16527" s="52"/>
      <c r="E16527"/>
      <c r="N16527" s="56"/>
    </row>
    <row r="16528" spans="1:14" x14ac:dyDescent="0.3">
      <c r="A16528" s="42"/>
      <c r="C16528" s="52"/>
      <c r="E16528"/>
      <c r="N16528" s="56"/>
    </row>
    <row r="16529" spans="1:14" x14ac:dyDescent="0.3">
      <c r="A16529" s="42"/>
      <c r="C16529" s="52"/>
      <c r="E16529"/>
      <c r="N16529" s="56"/>
    </row>
    <row r="16530" spans="1:14" x14ac:dyDescent="0.3">
      <c r="A16530" s="42"/>
      <c r="C16530" s="52"/>
      <c r="E16530"/>
      <c r="N16530" s="56"/>
    </row>
    <row r="16531" spans="1:14" x14ac:dyDescent="0.3">
      <c r="A16531" s="42"/>
      <c r="C16531" s="52"/>
      <c r="E16531"/>
      <c r="N16531" s="56"/>
    </row>
    <row r="16532" spans="1:14" x14ac:dyDescent="0.3">
      <c r="A16532" s="42"/>
      <c r="C16532" s="52"/>
      <c r="E16532"/>
      <c r="N16532" s="56"/>
    </row>
    <row r="16533" spans="1:14" x14ac:dyDescent="0.3">
      <c r="A16533" s="42"/>
      <c r="C16533" s="52"/>
      <c r="E16533"/>
      <c r="N16533" s="56"/>
    </row>
    <row r="16534" spans="1:14" x14ac:dyDescent="0.3">
      <c r="A16534" s="42"/>
      <c r="C16534" s="52"/>
      <c r="E16534"/>
      <c r="N16534" s="56"/>
    </row>
    <row r="16535" spans="1:14" x14ac:dyDescent="0.3">
      <c r="A16535" s="42"/>
      <c r="C16535" s="52"/>
      <c r="E16535"/>
      <c r="N16535" s="56"/>
    </row>
    <row r="16536" spans="1:14" x14ac:dyDescent="0.3">
      <c r="A16536" s="42"/>
      <c r="C16536" s="52"/>
      <c r="E16536"/>
      <c r="N16536" s="56"/>
    </row>
    <row r="16537" spans="1:14" x14ac:dyDescent="0.3">
      <c r="A16537" s="42"/>
      <c r="C16537" s="52"/>
      <c r="E16537"/>
      <c r="N16537" s="56"/>
    </row>
    <row r="16538" spans="1:14" x14ac:dyDescent="0.3">
      <c r="A16538" s="42"/>
      <c r="C16538" s="52"/>
      <c r="E16538"/>
      <c r="N16538" s="56"/>
    </row>
    <row r="16539" spans="1:14" x14ac:dyDescent="0.3">
      <c r="A16539" s="42"/>
      <c r="C16539" s="52"/>
      <c r="E16539"/>
      <c r="N16539" s="56"/>
    </row>
    <row r="16540" spans="1:14" x14ac:dyDescent="0.3">
      <c r="A16540" s="42"/>
      <c r="C16540" s="52"/>
      <c r="E16540"/>
      <c r="N16540" s="56"/>
    </row>
    <row r="16541" spans="1:14" x14ac:dyDescent="0.3">
      <c r="A16541" s="42"/>
      <c r="C16541" s="52"/>
      <c r="E16541"/>
      <c r="N16541" s="56"/>
    </row>
    <row r="16542" spans="1:14" x14ac:dyDescent="0.3">
      <c r="A16542" s="42"/>
      <c r="C16542" s="52"/>
      <c r="E16542"/>
      <c r="N16542" s="56"/>
    </row>
    <row r="16543" spans="1:14" x14ac:dyDescent="0.3">
      <c r="A16543" s="42"/>
      <c r="C16543" s="52"/>
      <c r="E16543"/>
      <c r="N16543" s="56"/>
    </row>
    <row r="16544" spans="1:14" x14ac:dyDescent="0.3">
      <c r="A16544" s="42"/>
      <c r="C16544" s="52"/>
      <c r="E16544"/>
      <c r="N16544" s="56"/>
    </row>
    <row r="16545" spans="1:14" x14ac:dyDescent="0.3">
      <c r="A16545" s="42"/>
      <c r="C16545" s="52"/>
      <c r="E16545"/>
      <c r="N16545" s="56"/>
    </row>
    <row r="16546" spans="1:14" x14ac:dyDescent="0.3">
      <c r="A16546" s="42"/>
      <c r="C16546" s="52"/>
      <c r="E16546"/>
      <c r="N16546" s="56"/>
    </row>
    <row r="16547" spans="1:14" x14ac:dyDescent="0.3">
      <c r="A16547" s="42"/>
      <c r="C16547" s="52"/>
      <c r="E16547"/>
      <c r="N16547" s="56"/>
    </row>
    <row r="16548" spans="1:14" x14ac:dyDescent="0.3">
      <c r="A16548" s="42"/>
      <c r="C16548" s="52"/>
      <c r="E16548"/>
      <c r="N16548" s="56"/>
    </row>
    <row r="16549" spans="1:14" x14ac:dyDescent="0.3">
      <c r="A16549" s="42"/>
      <c r="C16549" s="52"/>
      <c r="E16549"/>
      <c r="N16549" s="56"/>
    </row>
    <row r="16550" spans="1:14" x14ac:dyDescent="0.3">
      <c r="A16550" s="42"/>
      <c r="C16550" s="52"/>
      <c r="E16550"/>
      <c r="N16550" s="56"/>
    </row>
    <row r="16551" spans="1:14" x14ac:dyDescent="0.3">
      <c r="A16551" s="42"/>
      <c r="C16551" s="52"/>
      <c r="E16551"/>
      <c r="N16551" s="56"/>
    </row>
    <row r="16552" spans="1:14" x14ac:dyDescent="0.3">
      <c r="A16552" s="42"/>
      <c r="C16552" s="52"/>
      <c r="E16552"/>
      <c r="N16552" s="56"/>
    </row>
    <row r="16553" spans="1:14" x14ac:dyDescent="0.3">
      <c r="A16553" s="42"/>
      <c r="C16553" s="52"/>
      <c r="E16553"/>
      <c r="N16553" s="56"/>
    </row>
    <row r="16554" spans="1:14" x14ac:dyDescent="0.3">
      <c r="A16554" s="42"/>
      <c r="C16554" s="52"/>
      <c r="E16554"/>
      <c r="N16554" s="56"/>
    </row>
    <row r="16555" spans="1:14" x14ac:dyDescent="0.3">
      <c r="A16555" s="42"/>
      <c r="C16555" s="52"/>
      <c r="E16555"/>
      <c r="N16555" s="56"/>
    </row>
    <row r="16556" spans="1:14" x14ac:dyDescent="0.3">
      <c r="A16556" s="42"/>
      <c r="C16556" s="52"/>
      <c r="E16556"/>
      <c r="N16556" s="56"/>
    </row>
    <row r="16557" spans="1:14" x14ac:dyDescent="0.3">
      <c r="A16557" s="42"/>
      <c r="C16557" s="52"/>
      <c r="E16557"/>
      <c r="N16557" s="56"/>
    </row>
    <row r="16558" spans="1:14" x14ac:dyDescent="0.3">
      <c r="A16558" s="42"/>
      <c r="C16558" s="52"/>
      <c r="E16558"/>
      <c r="N16558" s="56"/>
    </row>
    <row r="16559" spans="1:14" x14ac:dyDescent="0.3">
      <c r="A16559" s="42"/>
      <c r="C16559" s="52"/>
      <c r="E16559"/>
      <c r="N16559" s="56"/>
    </row>
    <row r="16560" spans="1:14" x14ac:dyDescent="0.3">
      <c r="A16560" s="42"/>
      <c r="C16560" s="52"/>
      <c r="E16560"/>
      <c r="N16560" s="56"/>
    </row>
    <row r="16561" spans="1:14" x14ac:dyDescent="0.3">
      <c r="A16561" s="42"/>
      <c r="C16561" s="52"/>
      <c r="E16561"/>
      <c r="N16561" s="56"/>
    </row>
    <row r="16562" spans="1:14" x14ac:dyDescent="0.3">
      <c r="A16562" s="42"/>
      <c r="C16562" s="52"/>
      <c r="E16562"/>
      <c r="N16562" s="56"/>
    </row>
    <row r="16563" spans="1:14" x14ac:dyDescent="0.3">
      <c r="A16563" s="42"/>
      <c r="C16563" s="52"/>
      <c r="E16563"/>
      <c r="N16563" s="56"/>
    </row>
    <row r="16564" spans="1:14" x14ac:dyDescent="0.3">
      <c r="A16564" s="42"/>
      <c r="C16564" s="52"/>
      <c r="E16564"/>
      <c r="N16564" s="56"/>
    </row>
    <row r="16565" spans="1:14" x14ac:dyDescent="0.3">
      <c r="A16565" s="42"/>
      <c r="C16565" s="52"/>
      <c r="E16565"/>
      <c r="N16565" s="56"/>
    </row>
    <row r="16566" spans="1:14" x14ac:dyDescent="0.3">
      <c r="A16566" s="42"/>
      <c r="C16566" s="52"/>
      <c r="E16566"/>
      <c r="N16566" s="56"/>
    </row>
    <row r="16567" spans="1:14" x14ac:dyDescent="0.3">
      <c r="A16567" s="42"/>
      <c r="C16567" s="52"/>
      <c r="E16567"/>
      <c r="N16567" s="56"/>
    </row>
    <row r="16568" spans="1:14" x14ac:dyDescent="0.3">
      <c r="A16568" s="42"/>
      <c r="C16568" s="52"/>
      <c r="E16568"/>
      <c r="N16568" s="56"/>
    </row>
    <row r="16569" spans="1:14" x14ac:dyDescent="0.3">
      <c r="A16569" s="42"/>
      <c r="C16569" s="52"/>
      <c r="E16569"/>
      <c r="N16569" s="56"/>
    </row>
    <row r="16570" spans="1:14" x14ac:dyDescent="0.3">
      <c r="A16570" s="42"/>
      <c r="C16570" s="52"/>
      <c r="E16570"/>
      <c r="N16570" s="56"/>
    </row>
    <row r="16571" spans="1:14" x14ac:dyDescent="0.3">
      <c r="A16571" s="42"/>
      <c r="C16571" s="52"/>
      <c r="E16571"/>
      <c r="N16571" s="56"/>
    </row>
    <row r="16572" spans="1:14" x14ac:dyDescent="0.3">
      <c r="A16572" s="42"/>
      <c r="C16572" s="52"/>
      <c r="E16572"/>
      <c r="N16572" s="56"/>
    </row>
    <row r="16573" spans="1:14" x14ac:dyDescent="0.3">
      <c r="A16573" s="42"/>
      <c r="C16573" s="52"/>
      <c r="E16573"/>
      <c r="N16573" s="56"/>
    </row>
    <row r="16574" spans="1:14" x14ac:dyDescent="0.3">
      <c r="A16574" s="42"/>
      <c r="C16574" s="52"/>
      <c r="E16574"/>
      <c r="N16574" s="56"/>
    </row>
    <row r="16575" spans="1:14" x14ac:dyDescent="0.3">
      <c r="A16575" s="42"/>
      <c r="C16575" s="52"/>
      <c r="E16575"/>
      <c r="N16575" s="56"/>
    </row>
    <row r="16576" spans="1:14" x14ac:dyDescent="0.3">
      <c r="A16576" s="42"/>
      <c r="C16576" s="52"/>
      <c r="E16576"/>
      <c r="N16576" s="56"/>
    </row>
    <row r="16577" spans="1:14" x14ac:dyDescent="0.3">
      <c r="A16577" s="42"/>
      <c r="C16577" s="52"/>
      <c r="E16577"/>
      <c r="N16577" s="56"/>
    </row>
    <row r="16578" spans="1:14" x14ac:dyDescent="0.3">
      <c r="A16578" s="42"/>
      <c r="C16578" s="52"/>
      <c r="E16578"/>
      <c r="N16578" s="56"/>
    </row>
    <row r="16579" spans="1:14" x14ac:dyDescent="0.3">
      <c r="A16579" s="42"/>
      <c r="C16579" s="52"/>
      <c r="E16579"/>
      <c r="N16579" s="56"/>
    </row>
    <row r="16580" spans="1:14" x14ac:dyDescent="0.3">
      <c r="A16580" s="42"/>
      <c r="C16580" s="52"/>
      <c r="E16580"/>
      <c r="N16580" s="56"/>
    </row>
    <row r="16581" spans="1:14" x14ac:dyDescent="0.3">
      <c r="A16581" s="42"/>
      <c r="C16581" s="52"/>
      <c r="E16581"/>
      <c r="N16581" s="56"/>
    </row>
    <row r="16582" spans="1:14" x14ac:dyDescent="0.3">
      <c r="A16582" s="42"/>
      <c r="C16582" s="52"/>
      <c r="E16582"/>
      <c r="N16582" s="56"/>
    </row>
    <row r="16583" spans="1:14" x14ac:dyDescent="0.3">
      <c r="A16583" s="42"/>
      <c r="C16583" s="52"/>
      <c r="E16583"/>
      <c r="N16583" s="56"/>
    </row>
    <row r="16584" spans="1:14" x14ac:dyDescent="0.3">
      <c r="A16584" s="42"/>
      <c r="C16584" s="52"/>
      <c r="E16584"/>
      <c r="N16584" s="56"/>
    </row>
    <row r="16585" spans="1:14" x14ac:dyDescent="0.3">
      <c r="A16585" s="42"/>
      <c r="C16585" s="52"/>
      <c r="E16585"/>
      <c r="N16585" s="56"/>
    </row>
    <row r="16586" spans="1:14" x14ac:dyDescent="0.3">
      <c r="A16586" s="42"/>
      <c r="C16586" s="52"/>
      <c r="E16586"/>
      <c r="N16586" s="56"/>
    </row>
    <row r="16587" spans="1:14" x14ac:dyDescent="0.3">
      <c r="A16587" s="42"/>
      <c r="C16587" s="52"/>
      <c r="E16587"/>
      <c r="N16587" s="56"/>
    </row>
    <row r="16588" spans="1:14" x14ac:dyDescent="0.3">
      <c r="A16588" s="42"/>
      <c r="C16588" s="52"/>
      <c r="E16588"/>
      <c r="N16588" s="56"/>
    </row>
    <row r="16589" spans="1:14" x14ac:dyDescent="0.3">
      <c r="A16589" s="42"/>
      <c r="C16589" s="52"/>
      <c r="E16589"/>
      <c r="N16589" s="56"/>
    </row>
    <row r="16590" spans="1:14" x14ac:dyDescent="0.3">
      <c r="A16590" s="42"/>
      <c r="C16590" s="52"/>
      <c r="E16590"/>
      <c r="N16590" s="56"/>
    </row>
    <row r="16591" spans="1:14" x14ac:dyDescent="0.3">
      <c r="A16591" s="42"/>
      <c r="C16591" s="52"/>
      <c r="E16591"/>
      <c r="N16591" s="56"/>
    </row>
    <row r="16592" spans="1:14" x14ac:dyDescent="0.3">
      <c r="A16592" s="42"/>
      <c r="C16592" s="52"/>
      <c r="E16592"/>
      <c r="N16592" s="56"/>
    </row>
    <row r="16593" spans="1:14" x14ac:dyDescent="0.3">
      <c r="A16593" s="42"/>
      <c r="C16593" s="52"/>
      <c r="E16593"/>
      <c r="N16593" s="56"/>
    </row>
    <row r="16594" spans="1:14" x14ac:dyDescent="0.3">
      <c r="A16594" s="42"/>
      <c r="C16594" s="52"/>
      <c r="E16594"/>
      <c r="N16594" s="56"/>
    </row>
    <row r="16595" spans="1:14" x14ac:dyDescent="0.3">
      <c r="A16595" s="42"/>
      <c r="C16595" s="52"/>
      <c r="E16595"/>
      <c r="N16595" s="56"/>
    </row>
    <row r="16596" spans="1:14" x14ac:dyDescent="0.3">
      <c r="A16596" s="42"/>
      <c r="C16596" s="52"/>
      <c r="E16596"/>
      <c r="N16596" s="56"/>
    </row>
    <row r="16597" spans="1:14" x14ac:dyDescent="0.3">
      <c r="A16597" s="42"/>
      <c r="C16597" s="52"/>
      <c r="E16597"/>
      <c r="N16597" s="56"/>
    </row>
    <row r="16598" spans="1:14" x14ac:dyDescent="0.3">
      <c r="A16598" s="42"/>
      <c r="C16598" s="52"/>
      <c r="E16598"/>
      <c r="N16598" s="56"/>
    </row>
    <row r="16599" spans="1:14" x14ac:dyDescent="0.3">
      <c r="A16599" s="42"/>
      <c r="C16599" s="52"/>
      <c r="E16599"/>
      <c r="N16599" s="56"/>
    </row>
    <row r="16600" spans="1:14" x14ac:dyDescent="0.3">
      <c r="A16600" s="42"/>
      <c r="C16600" s="52"/>
      <c r="E16600"/>
      <c r="N16600" s="56"/>
    </row>
    <row r="16601" spans="1:14" x14ac:dyDescent="0.3">
      <c r="A16601" s="42"/>
      <c r="C16601" s="52"/>
      <c r="E16601"/>
      <c r="N16601" s="56"/>
    </row>
    <row r="16602" spans="1:14" x14ac:dyDescent="0.3">
      <c r="A16602" s="42"/>
      <c r="C16602" s="52"/>
      <c r="E16602"/>
      <c r="N16602" s="56"/>
    </row>
    <row r="16603" spans="1:14" x14ac:dyDescent="0.3">
      <c r="A16603" s="42"/>
      <c r="C16603" s="52"/>
      <c r="E16603"/>
      <c r="N16603" s="56"/>
    </row>
    <row r="16604" spans="1:14" x14ac:dyDescent="0.3">
      <c r="A16604" s="42"/>
      <c r="C16604" s="52"/>
      <c r="E16604"/>
      <c r="N16604" s="56"/>
    </row>
    <row r="16605" spans="1:14" x14ac:dyDescent="0.3">
      <c r="A16605" s="42"/>
      <c r="C16605" s="52"/>
      <c r="E16605"/>
      <c r="N16605" s="56"/>
    </row>
    <row r="16606" spans="1:14" x14ac:dyDescent="0.3">
      <c r="A16606" s="42"/>
      <c r="C16606" s="52"/>
      <c r="E16606"/>
      <c r="N16606" s="56"/>
    </row>
    <row r="16607" spans="1:14" x14ac:dyDescent="0.3">
      <c r="A16607" s="42"/>
      <c r="C16607" s="52"/>
      <c r="E16607"/>
      <c r="N16607" s="56"/>
    </row>
    <row r="16608" spans="1:14" x14ac:dyDescent="0.3">
      <c r="A16608" s="42"/>
      <c r="C16608" s="52"/>
      <c r="E16608"/>
      <c r="N16608" s="56"/>
    </row>
    <row r="16609" spans="1:14" x14ac:dyDescent="0.3">
      <c r="A16609" s="42"/>
      <c r="C16609" s="52"/>
      <c r="E16609"/>
      <c r="N16609" s="56"/>
    </row>
    <row r="16610" spans="1:14" x14ac:dyDescent="0.3">
      <c r="A16610" s="42"/>
      <c r="C16610" s="52"/>
      <c r="E16610"/>
      <c r="N16610" s="56"/>
    </row>
    <row r="16611" spans="1:14" x14ac:dyDescent="0.3">
      <c r="A16611" s="42"/>
      <c r="C16611" s="52"/>
      <c r="E16611"/>
      <c r="N16611" s="56"/>
    </row>
    <row r="16612" spans="1:14" x14ac:dyDescent="0.3">
      <c r="A16612" s="42"/>
      <c r="C16612" s="52"/>
      <c r="E16612"/>
      <c r="N16612" s="56"/>
    </row>
    <row r="16613" spans="1:14" x14ac:dyDescent="0.3">
      <c r="A16613" s="42"/>
      <c r="C16613" s="52"/>
      <c r="E16613"/>
      <c r="N16613" s="56"/>
    </row>
    <row r="16614" spans="1:14" x14ac:dyDescent="0.3">
      <c r="A16614" s="42"/>
      <c r="C16614" s="52"/>
      <c r="E16614"/>
      <c r="N16614" s="56"/>
    </row>
    <row r="16615" spans="1:14" x14ac:dyDescent="0.3">
      <c r="A16615" s="42"/>
      <c r="C16615" s="52"/>
      <c r="E16615"/>
      <c r="N16615" s="56"/>
    </row>
    <row r="16616" spans="1:14" x14ac:dyDescent="0.3">
      <c r="A16616" s="42"/>
      <c r="C16616" s="52"/>
      <c r="E16616"/>
      <c r="N16616" s="56"/>
    </row>
    <row r="16617" spans="1:14" x14ac:dyDescent="0.3">
      <c r="A16617" s="42"/>
      <c r="C16617" s="52"/>
      <c r="E16617"/>
      <c r="M16617" s="45"/>
      <c r="N16617" s="56"/>
    </row>
    <row r="16618" spans="1:14" x14ac:dyDescent="0.3">
      <c r="A16618" s="42"/>
      <c r="C16618" s="52"/>
      <c r="E16618"/>
      <c r="N16618" s="56"/>
    </row>
    <row r="16619" spans="1:14" x14ac:dyDescent="0.3">
      <c r="A16619" s="42"/>
      <c r="C16619" s="52"/>
      <c r="E16619"/>
      <c r="N16619" s="56"/>
    </row>
    <row r="16620" spans="1:14" x14ac:dyDescent="0.3">
      <c r="A16620" s="42"/>
      <c r="C16620" s="52"/>
      <c r="E16620"/>
      <c r="N16620" s="56"/>
    </row>
    <row r="16621" spans="1:14" x14ac:dyDescent="0.3">
      <c r="A16621" s="42"/>
      <c r="C16621" s="52"/>
      <c r="E16621"/>
      <c r="N16621" s="56"/>
    </row>
    <row r="16622" spans="1:14" x14ac:dyDescent="0.3">
      <c r="A16622" s="42"/>
      <c r="C16622" s="52"/>
      <c r="E16622"/>
      <c r="N16622" s="56"/>
    </row>
    <row r="16623" spans="1:14" x14ac:dyDescent="0.3">
      <c r="A16623" s="42"/>
      <c r="C16623" s="52"/>
      <c r="E16623"/>
      <c r="N16623" s="56"/>
    </row>
    <row r="16624" spans="1:14" x14ac:dyDescent="0.3">
      <c r="A16624" s="42"/>
      <c r="C16624" s="52"/>
      <c r="E16624"/>
      <c r="N16624" s="56"/>
    </row>
    <row r="16625" spans="1:14" x14ac:dyDescent="0.3">
      <c r="A16625" s="42"/>
      <c r="C16625" s="52"/>
      <c r="E16625"/>
      <c r="N16625" s="56"/>
    </row>
    <row r="16626" spans="1:14" x14ac:dyDescent="0.3">
      <c r="A16626" s="42"/>
      <c r="C16626" s="52"/>
      <c r="E16626"/>
      <c r="N16626" s="56"/>
    </row>
    <row r="16627" spans="1:14" x14ac:dyDescent="0.3">
      <c r="A16627" s="42"/>
      <c r="C16627" s="52"/>
      <c r="E16627"/>
      <c r="N16627" s="56"/>
    </row>
    <row r="16628" spans="1:14" x14ac:dyDescent="0.3">
      <c r="A16628" s="42"/>
      <c r="C16628" s="52"/>
      <c r="E16628"/>
      <c r="N16628" s="56"/>
    </row>
    <row r="16629" spans="1:14" x14ac:dyDescent="0.3">
      <c r="A16629" s="42"/>
      <c r="C16629" s="52"/>
      <c r="E16629"/>
      <c r="N16629" s="56"/>
    </row>
    <row r="16630" spans="1:14" x14ac:dyDescent="0.3">
      <c r="A16630" s="42"/>
      <c r="C16630" s="52"/>
      <c r="E16630"/>
      <c r="N16630" s="56"/>
    </row>
    <row r="16631" spans="1:14" x14ac:dyDescent="0.3">
      <c r="A16631" s="42"/>
      <c r="C16631" s="52"/>
      <c r="E16631"/>
      <c r="N16631" s="56"/>
    </row>
    <row r="16632" spans="1:14" x14ac:dyDescent="0.3">
      <c r="A16632" s="42"/>
      <c r="C16632" s="52"/>
      <c r="E16632"/>
      <c r="N16632" s="56"/>
    </row>
    <row r="16633" spans="1:14" x14ac:dyDescent="0.3">
      <c r="A16633" s="42"/>
      <c r="C16633" s="52"/>
      <c r="E16633"/>
      <c r="N16633" s="56"/>
    </row>
    <row r="16634" spans="1:14" x14ac:dyDescent="0.3">
      <c r="A16634" s="42"/>
      <c r="C16634" s="52"/>
      <c r="E16634"/>
      <c r="N16634" s="56"/>
    </row>
    <row r="16635" spans="1:14" x14ac:dyDescent="0.3">
      <c r="A16635" s="42"/>
      <c r="C16635" s="52"/>
      <c r="E16635"/>
      <c r="N16635" s="56"/>
    </row>
    <row r="16636" spans="1:14" x14ac:dyDescent="0.3">
      <c r="A16636" s="42"/>
      <c r="C16636" s="52"/>
      <c r="E16636"/>
      <c r="N16636" s="56"/>
    </row>
    <row r="16637" spans="1:14" x14ac:dyDescent="0.3">
      <c r="A16637" s="42"/>
      <c r="C16637" s="52"/>
      <c r="E16637"/>
      <c r="N16637" s="56"/>
    </row>
    <row r="16638" spans="1:14" x14ac:dyDescent="0.3">
      <c r="A16638" s="42"/>
      <c r="C16638" s="52"/>
      <c r="E16638"/>
      <c r="N16638" s="56"/>
    </row>
    <row r="16639" spans="1:14" x14ac:dyDescent="0.3">
      <c r="A16639" s="42"/>
      <c r="C16639" s="52"/>
      <c r="E16639"/>
      <c r="N16639" s="56"/>
    </row>
    <row r="16640" spans="1:14" x14ac:dyDescent="0.3">
      <c r="A16640" s="42"/>
      <c r="C16640" s="52"/>
      <c r="E16640"/>
      <c r="N16640" s="56"/>
    </row>
    <row r="16641" spans="1:14" x14ac:dyDescent="0.3">
      <c r="A16641" s="42"/>
      <c r="C16641" s="52"/>
      <c r="E16641"/>
      <c r="N16641" s="56"/>
    </row>
    <row r="16642" spans="1:14" x14ac:dyDescent="0.3">
      <c r="A16642" s="42"/>
      <c r="C16642" s="52"/>
      <c r="E16642"/>
      <c r="N16642" s="56"/>
    </row>
    <row r="16643" spans="1:14" x14ac:dyDescent="0.3">
      <c r="A16643" s="42"/>
      <c r="C16643" s="52"/>
      <c r="E16643"/>
      <c r="N16643" s="56"/>
    </row>
    <row r="16644" spans="1:14" x14ac:dyDescent="0.3">
      <c r="A16644" s="42"/>
      <c r="C16644" s="52"/>
      <c r="E16644"/>
      <c r="N16644" s="56"/>
    </row>
    <row r="16645" spans="1:14" x14ac:dyDescent="0.3">
      <c r="A16645" s="42"/>
      <c r="C16645" s="52"/>
      <c r="E16645"/>
      <c r="N16645" s="56"/>
    </row>
    <row r="16646" spans="1:14" x14ac:dyDescent="0.3">
      <c r="A16646" s="42"/>
      <c r="C16646" s="52"/>
      <c r="E16646"/>
      <c r="N16646" s="56"/>
    </row>
    <row r="16647" spans="1:14" x14ac:dyDescent="0.3">
      <c r="A16647" s="42"/>
      <c r="C16647" s="52"/>
      <c r="E16647"/>
      <c r="N16647" s="56"/>
    </row>
    <row r="16648" spans="1:14" x14ac:dyDescent="0.3">
      <c r="A16648" s="42"/>
      <c r="C16648" s="52"/>
      <c r="E16648"/>
      <c r="N16648" s="56"/>
    </row>
    <row r="16649" spans="1:14" x14ac:dyDescent="0.3">
      <c r="A16649" s="42"/>
      <c r="C16649" s="52"/>
      <c r="E16649"/>
      <c r="N16649" s="56"/>
    </row>
    <row r="16650" spans="1:14" x14ac:dyDescent="0.3">
      <c r="A16650" s="42"/>
      <c r="C16650" s="52"/>
      <c r="E16650"/>
      <c r="M16650" s="45"/>
      <c r="N16650" s="56"/>
    </row>
    <row r="16651" spans="1:14" x14ac:dyDescent="0.3">
      <c r="A16651" s="42"/>
      <c r="C16651" s="52"/>
      <c r="E16651"/>
      <c r="N16651" s="56"/>
    </row>
    <row r="16652" spans="1:14" x14ac:dyDescent="0.3">
      <c r="A16652" s="42"/>
      <c r="C16652" s="52"/>
      <c r="E16652"/>
      <c r="N16652" s="56"/>
    </row>
    <row r="16653" spans="1:14" x14ac:dyDescent="0.3">
      <c r="A16653" s="42"/>
      <c r="C16653" s="52"/>
      <c r="E16653"/>
      <c r="N16653" s="56"/>
    </row>
    <row r="16654" spans="1:14" x14ac:dyDescent="0.3">
      <c r="A16654" s="42"/>
      <c r="C16654" s="52"/>
      <c r="E16654"/>
      <c r="M16654" s="45"/>
      <c r="N16654" s="56"/>
    </row>
    <row r="16655" spans="1:14" x14ac:dyDescent="0.3">
      <c r="A16655" s="42"/>
      <c r="C16655" s="52"/>
      <c r="E16655"/>
      <c r="N16655" s="56"/>
    </row>
    <row r="16656" spans="1:14" x14ac:dyDescent="0.3">
      <c r="A16656" s="42"/>
      <c r="C16656" s="52"/>
      <c r="E16656"/>
      <c r="N16656" s="56"/>
    </row>
    <row r="16657" spans="1:14" x14ac:dyDescent="0.3">
      <c r="A16657" s="42"/>
      <c r="C16657" s="52"/>
      <c r="E16657"/>
      <c r="N16657" s="56"/>
    </row>
    <row r="16658" spans="1:14" x14ac:dyDescent="0.3">
      <c r="A16658" s="42"/>
      <c r="C16658" s="52"/>
      <c r="E16658"/>
      <c r="N16658" s="56"/>
    </row>
    <row r="16659" spans="1:14" x14ac:dyDescent="0.3">
      <c r="A16659" s="42"/>
      <c r="C16659" s="52"/>
      <c r="E16659"/>
      <c r="N16659" s="56"/>
    </row>
    <row r="16660" spans="1:14" x14ac:dyDescent="0.3">
      <c r="A16660" s="42"/>
      <c r="C16660" s="52"/>
      <c r="E16660"/>
      <c r="N16660" s="56"/>
    </row>
    <row r="16661" spans="1:14" x14ac:dyDescent="0.3">
      <c r="A16661" s="42"/>
      <c r="C16661" s="52"/>
      <c r="E16661"/>
      <c r="N16661" s="56"/>
    </row>
    <row r="16662" spans="1:14" x14ac:dyDescent="0.3">
      <c r="A16662" s="42"/>
      <c r="C16662" s="52"/>
      <c r="E16662"/>
      <c r="N16662" s="56"/>
    </row>
    <row r="16663" spans="1:14" x14ac:dyDescent="0.3">
      <c r="A16663" s="42"/>
      <c r="C16663" s="52"/>
      <c r="E16663"/>
      <c r="N16663" s="56"/>
    </row>
    <row r="16664" spans="1:14" x14ac:dyDescent="0.3">
      <c r="A16664" s="42"/>
      <c r="C16664" s="52"/>
      <c r="E16664"/>
      <c r="N16664" s="56"/>
    </row>
    <row r="16665" spans="1:14" x14ac:dyDescent="0.3">
      <c r="A16665" s="42"/>
      <c r="C16665" s="52"/>
      <c r="E16665"/>
      <c r="N16665" s="56"/>
    </row>
    <row r="16666" spans="1:14" x14ac:dyDescent="0.3">
      <c r="A16666" s="42"/>
      <c r="C16666" s="52"/>
      <c r="E16666"/>
      <c r="N16666" s="56"/>
    </row>
    <row r="16667" spans="1:14" x14ac:dyDescent="0.3">
      <c r="A16667" s="42"/>
      <c r="C16667" s="52"/>
      <c r="E16667"/>
      <c r="N16667" s="56"/>
    </row>
    <row r="16668" spans="1:14" x14ac:dyDescent="0.3">
      <c r="A16668" s="42"/>
      <c r="C16668" s="52"/>
      <c r="E16668"/>
      <c r="N16668" s="56"/>
    </row>
    <row r="16669" spans="1:14" x14ac:dyDescent="0.3">
      <c r="A16669" s="42"/>
      <c r="C16669" s="52"/>
      <c r="E16669"/>
      <c r="N16669" s="56"/>
    </row>
    <row r="16670" spans="1:14" x14ac:dyDescent="0.3">
      <c r="A16670" s="42"/>
      <c r="C16670" s="52"/>
      <c r="E16670"/>
      <c r="N16670" s="56"/>
    </row>
    <row r="16671" spans="1:14" x14ac:dyDescent="0.3">
      <c r="A16671" s="42"/>
      <c r="C16671" s="52"/>
      <c r="E16671"/>
      <c r="N16671" s="56"/>
    </row>
    <row r="16672" spans="1:14" x14ac:dyDescent="0.3">
      <c r="A16672" s="42"/>
      <c r="C16672" s="52"/>
      <c r="E16672"/>
      <c r="N16672" s="56"/>
    </row>
    <row r="16673" spans="1:14" x14ac:dyDescent="0.3">
      <c r="A16673" s="42"/>
      <c r="C16673" s="52"/>
      <c r="E16673"/>
      <c r="N16673" s="56"/>
    </row>
    <row r="16674" spans="1:14" x14ac:dyDescent="0.3">
      <c r="A16674" s="42"/>
      <c r="C16674" s="52"/>
      <c r="E16674"/>
      <c r="N16674" s="56"/>
    </row>
    <row r="16675" spans="1:14" x14ac:dyDescent="0.3">
      <c r="A16675" s="42"/>
      <c r="C16675" s="52"/>
      <c r="E16675"/>
      <c r="N16675" s="56"/>
    </row>
    <row r="16676" spans="1:14" x14ac:dyDescent="0.3">
      <c r="A16676" s="42"/>
      <c r="C16676" s="52"/>
      <c r="E16676"/>
      <c r="N16676" s="56"/>
    </row>
    <row r="16677" spans="1:14" x14ac:dyDescent="0.3">
      <c r="A16677" s="42"/>
      <c r="C16677" s="52"/>
      <c r="E16677"/>
      <c r="N16677" s="56"/>
    </row>
    <row r="16678" spans="1:14" x14ac:dyDescent="0.3">
      <c r="A16678" s="42"/>
      <c r="C16678" s="52"/>
      <c r="E16678"/>
      <c r="N16678" s="56"/>
    </row>
    <row r="16679" spans="1:14" x14ac:dyDescent="0.3">
      <c r="A16679" s="42"/>
      <c r="C16679" s="52"/>
      <c r="E16679"/>
      <c r="N16679" s="56"/>
    </row>
    <row r="16680" spans="1:14" x14ac:dyDescent="0.3">
      <c r="A16680" s="42"/>
      <c r="C16680" s="52"/>
      <c r="E16680"/>
      <c r="N16680" s="56"/>
    </row>
    <row r="16681" spans="1:14" x14ac:dyDescent="0.3">
      <c r="A16681" s="42"/>
      <c r="C16681" s="52"/>
      <c r="E16681"/>
      <c r="N16681" s="56"/>
    </row>
    <row r="16682" spans="1:14" x14ac:dyDescent="0.3">
      <c r="A16682" s="42"/>
      <c r="C16682" s="52"/>
      <c r="E16682"/>
      <c r="N16682" s="56"/>
    </row>
    <row r="16683" spans="1:14" x14ac:dyDescent="0.3">
      <c r="A16683" s="42"/>
      <c r="C16683" s="52"/>
      <c r="E16683"/>
      <c r="N16683" s="56"/>
    </row>
    <row r="16684" spans="1:14" x14ac:dyDescent="0.3">
      <c r="A16684" s="42"/>
      <c r="C16684" s="52"/>
      <c r="E16684"/>
      <c r="N16684" s="56"/>
    </row>
    <row r="16685" spans="1:14" x14ac:dyDescent="0.3">
      <c r="A16685" s="42"/>
      <c r="C16685" s="52"/>
      <c r="E16685"/>
      <c r="N16685" s="56"/>
    </row>
    <row r="16686" spans="1:14" x14ac:dyDescent="0.3">
      <c r="A16686" s="42"/>
      <c r="C16686" s="52"/>
      <c r="E16686"/>
      <c r="N16686" s="56"/>
    </row>
    <row r="16687" spans="1:14" x14ac:dyDescent="0.3">
      <c r="A16687" s="42"/>
      <c r="C16687" s="52"/>
      <c r="E16687"/>
      <c r="N16687" s="56"/>
    </row>
    <row r="16688" spans="1:14" x14ac:dyDescent="0.3">
      <c r="A16688" s="42"/>
      <c r="C16688" s="52"/>
      <c r="E16688"/>
      <c r="N16688" s="56"/>
    </row>
    <row r="16689" spans="1:14" x14ac:dyDescent="0.3">
      <c r="A16689" s="42"/>
      <c r="C16689" s="52"/>
      <c r="E16689"/>
      <c r="N16689" s="56"/>
    </row>
    <row r="16690" spans="1:14" x14ac:dyDescent="0.3">
      <c r="A16690" s="42"/>
      <c r="C16690" s="52"/>
      <c r="E16690"/>
      <c r="N16690" s="56"/>
    </row>
    <row r="16691" spans="1:14" x14ac:dyDescent="0.3">
      <c r="A16691" s="42"/>
      <c r="C16691" s="52"/>
      <c r="E16691"/>
      <c r="N16691" s="56"/>
    </row>
    <row r="16692" spans="1:14" x14ac:dyDescent="0.3">
      <c r="A16692" s="42"/>
      <c r="C16692" s="52"/>
      <c r="E16692"/>
      <c r="N16692" s="56"/>
    </row>
    <row r="16693" spans="1:14" x14ac:dyDescent="0.3">
      <c r="A16693" s="42"/>
      <c r="C16693" s="52"/>
      <c r="E16693"/>
      <c r="N16693" s="56"/>
    </row>
    <row r="16694" spans="1:14" x14ac:dyDescent="0.3">
      <c r="A16694" s="42"/>
      <c r="C16694" s="52"/>
      <c r="E16694"/>
      <c r="N16694" s="56"/>
    </row>
    <row r="16695" spans="1:14" x14ac:dyDescent="0.3">
      <c r="A16695" s="42"/>
      <c r="C16695" s="52"/>
      <c r="E16695"/>
      <c r="N16695" s="56"/>
    </row>
    <row r="16696" spans="1:14" x14ac:dyDescent="0.3">
      <c r="A16696" s="42"/>
      <c r="C16696" s="52"/>
      <c r="E16696"/>
      <c r="N16696" s="56"/>
    </row>
    <row r="16697" spans="1:14" x14ac:dyDescent="0.3">
      <c r="A16697" s="42"/>
      <c r="C16697" s="52"/>
      <c r="E16697"/>
      <c r="N16697" s="56"/>
    </row>
    <row r="16698" spans="1:14" x14ac:dyDescent="0.3">
      <c r="A16698" s="42"/>
      <c r="C16698" s="52"/>
      <c r="E16698"/>
      <c r="N16698" s="56"/>
    </row>
    <row r="16699" spans="1:14" x14ac:dyDescent="0.3">
      <c r="A16699" s="42"/>
      <c r="C16699" s="52"/>
      <c r="E16699"/>
      <c r="N16699" s="56"/>
    </row>
    <row r="16700" spans="1:14" x14ac:dyDescent="0.3">
      <c r="A16700" s="42"/>
      <c r="C16700" s="52"/>
      <c r="E16700"/>
      <c r="N16700" s="56"/>
    </row>
    <row r="16701" spans="1:14" x14ac:dyDescent="0.3">
      <c r="A16701" s="42"/>
      <c r="C16701" s="52"/>
      <c r="E16701"/>
      <c r="N16701" s="56"/>
    </row>
    <row r="16702" spans="1:14" x14ac:dyDescent="0.3">
      <c r="A16702" s="42"/>
      <c r="C16702" s="52"/>
      <c r="E16702"/>
      <c r="N16702" s="56"/>
    </row>
    <row r="16703" spans="1:14" x14ac:dyDescent="0.3">
      <c r="A16703" s="42"/>
      <c r="C16703" s="52"/>
      <c r="E16703"/>
      <c r="N16703" s="56"/>
    </row>
    <row r="16704" spans="1:14" x14ac:dyDescent="0.3">
      <c r="A16704" s="42"/>
      <c r="C16704" s="52"/>
      <c r="E16704"/>
      <c r="N16704" s="56"/>
    </row>
    <row r="16705" spans="1:14" x14ac:dyDescent="0.3">
      <c r="A16705" s="42"/>
      <c r="C16705" s="52"/>
      <c r="E16705"/>
      <c r="N16705" s="56"/>
    </row>
    <row r="16706" spans="1:14" x14ac:dyDescent="0.3">
      <c r="A16706" s="42"/>
      <c r="C16706" s="52"/>
      <c r="E16706"/>
      <c r="N16706" s="56"/>
    </row>
    <row r="16707" spans="1:14" x14ac:dyDescent="0.3">
      <c r="A16707" s="42"/>
      <c r="C16707" s="52"/>
      <c r="E16707"/>
      <c r="N16707" s="56"/>
    </row>
    <row r="16708" spans="1:14" x14ac:dyDescent="0.3">
      <c r="A16708" s="42"/>
      <c r="C16708" s="52"/>
      <c r="E16708"/>
      <c r="N16708" s="56"/>
    </row>
    <row r="16709" spans="1:14" x14ac:dyDescent="0.3">
      <c r="A16709" s="42"/>
      <c r="C16709" s="52"/>
      <c r="E16709"/>
      <c r="N16709" s="56"/>
    </row>
    <row r="16710" spans="1:14" x14ac:dyDescent="0.3">
      <c r="A16710" s="42"/>
      <c r="C16710" s="52"/>
      <c r="E16710"/>
      <c r="N16710" s="56"/>
    </row>
    <row r="16711" spans="1:14" x14ac:dyDescent="0.3">
      <c r="A16711" s="42"/>
      <c r="C16711" s="52"/>
      <c r="E16711"/>
      <c r="N16711" s="56"/>
    </row>
    <row r="16712" spans="1:14" x14ac:dyDescent="0.3">
      <c r="A16712" s="42"/>
      <c r="C16712" s="52"/>
      <c r="E16712"/>
      <c r="N16712" s="56"/>
    </row>
    <row r="16713" spans="1:14" x14ac:dyDescent="0.3">
      <c r="A16713" s="42"/>
      <c r="C16713" s="52"/>
      <c r="E16713"/>
      <c r="N16713" s="56"/>
    </row>
    <row r="16714" spans="1:14" x14ac:dyDescent="0.3">
      <c r="A16714" s="42"/>
      <c r="C16714" s="52"/>
      <c r="E16714"/>
      <c r="N16714" s="56"/>
    </row>
    <row r="16715" spans="1:14" x14ac:dyDescent="0.3">
      <c r="A16715" s="42"/>
      <c r="C16715" s="52"/>
      <c r="E16715"/>
      <c r="N16715" s="56"/>
    </row>
    <row r="16716" spans="1:14" x14ac:dyDescent="0.3">
      <c r="A16716" s="42"/>
      <c r="C16716" s="52"/>
      <c r="E16716"/>
      <c r="N16716" s="56"/>
    </row>
    <row r="16717" spans="1:14" x14ac:dyDescent="0.3">
      <c r="A16717" s="42"/>
      <c r="C16717" s="52"/>
      <c r="E16717"/>
      <c r="N16717" s="56"/>
    </row>
    <row r="16718" spans="1:14" x14ac:dyDescent="0.3">
      <c r="A16718" s="42"/>
      <c r="C16718" s="52"/>
      <c r="E16718"/>
      <c r="N16718" s="56"/>
    </row>
    <row r="16719" spans="1:14" x14ac:dyDescent="0.3">
      <c r="A16719" s="42"/>
      <c r="C16719" s="52"/>
      <c r="E16719"/>
      <c r="N16719" s="56"/>
    </row>
    <row r="16720" spans="1:14" x14ac:dyDescent="0.3">
      <c r="A16720" s="42"/>
      <c r="C16720" s="52"/>
      <c r="E16720"/>
      <c r="N16720" s="56"/>
    </row>
    <row r="16721" spans="1:14" x14ac:dyDescent="0.3">
      <c r="A16721" s="42"/>
      <c r="C16721" s="52"/>
      <c r="E16721"/>
      <c r="N16721" s="56"/>
    </row>
    <row r="16722" spans="1:14" x14ac:dyDescent="0.3">
      <c r="A16722" s="42"/>
      <c r="C16722" s="52"/>
      <c r="E16722"/>
      <c r="N16722" s="56"/>
    </row>
    <row r="16723" spans="1:14" x14ac:dyDescent="0.3">
      <c r="A16723" s="42"/>
      <c r="C16723" s="52"/>
      <c r="E16723"/>
      <c r="N16723" s="56"/>
    </row>
    <row r="16724" spans="1:14" x14ac:dyDescent="0.3">
      <c r="A16724" s="42"/>
      <c r="C16724" s="52"/>
      <c r="E16724"/>
      <c r="N16724" s="56"/>
    </row>
    <row r="16725" spans="1:14" x14ac:dyDescent="0.3">
      <c r="A16725" s="42"/>
      <c r="C16725" s="52"/>
      <c r="E16725"/>
      <c r="N16725" s="56"/>
    </row>
    <row r="16726" spans="1:14" x14ac:dyDescent="0.3">
      <c r="A16726" s="42"/>
      <c r="C16726" s="52"/>
      <c r="E16726"/>
      <c r="N16726" s="56"/>
    </row>
    <row r="16727" spans="1:14" x14ac:dyDescent="0.3">
      <c r="A16727" s="42"/>
      <c r="C16727" s="52"/>
      <c r="E16727"/>
      <c r="N16727" s="56"/>
    </row>
    <row r="16728" spans="1:14" x14ac:dyDescent="0.3">
      <c r="A16728" s="42"/>
      <c r="C16728" s="52"/>
      <c r="E16728"/>
      <c r="N16728" s="56"/>
    </row>
    <row r="16729" spans="1:14" x14ac:dyDescent="0.3">
      <c r="A16729" s="42"/>
      <c r="C16729" s="52"/>
      <c r="E16729"/>
      <c r="N16729" s="56"/>
    </row>
    <row r="16730" spans="1:14" x14ac:dyDescent="0.3">
      <c r="A16730" s="42"/>
      <c r="C16730" s="52"/>
      <c r="E16730"/>
      <c r="N16730" s="56"/>
    </row>
    <row r="16731" spans="1:14" x14ac:dyDescent="0.3">
      <c r="A16731" s="42"/>
      <c r="C16731" s="52"/>
      <c r="E16731"/>
      <c r="N16731" s="56"/>
    </row>
    <row r="16732" spans="1:14" x14ac:dyDescent="0.3">
      <c r="A16732" s="42"/>
      <c r="C16732" s="52"/>
      <c r="E16732"/>
      <c r="N16732" s="56"/>
    </row>
    <row r="16733" spans="1:14" x14ac:dyDescent="0.3">
      <c r="A16733" s="42"/>
      <c r="C16733" s="52"/>
      <c r="E16733"/>
      <c r="N16733" s="56"/>
    </row>
    <row r="16734" spans="1:14" x14ac:dyDescent="0.3">
      <c r="A16734" s="42"/>
      <c r="C16734" s="52"/>
      <c r="E16734"/>
      <c r="N16734" s="56"/>
    </row>
    <row r="16735" spans="1:14" x14ac:dyDescent="0.3">
      <c r="A16735" s="42"/>
      <c r="C16735" s="52"/>
      <c r="E16735"/>
      <c r="N16735" s="56"/>
    </row>
    <row r="16736" spans="1:14" x14ac:dyDescent="0.3">
      <c r="A16736" s="42"/>
      <c r="C16736" s="52"/>
      <c r="E16736"/>
      <c r="N16736" s="56"/>
    </row>
    <row r="16737" spans="1:14" x14ac:dyDescent="0.3">
      <c r="A16737" s="42"/>
      <c r="C16737" s="52"/>
      <c r="E16737"/>
      <c r="N16737" s="56"/>
    </row>
    <row r="16738" spans="1:14" x14ac:dyDescent="0.3">
      <c r="A16738" s="42"/>
      <c r="C16738" s="52"/>
      <c r="E16738"/>
      <c r="N16738" s="56"/>
    </row>
    <row r="16739" spans="1:14" x14ac:dyDescent="0.3">
      <c r="A16739" s="42"/>
      <c r="C16739" s="52"/>
      <c r="E16739"/>
      <c r="N16739" s="56"/>
    </row>
    <row r="16740" spans="1:14" x14ac:dyDescent="0.3">
      <c r="A16740" s="42"/>
      <c r="C16740" s="52"/>
      <c r="E16740"/>
      <c r="N16740" s="56"/>
    </row>
    <row r="16741" spans="1:14" x14ac:dyDescent="0.3">
      <c r="A16741" s="42"/>
      <c r="C16741" s="52"/>
      <c r="E16741"/>
      <c r="N16741" s="56"/>
    </row>
    <row r="16742" spans="1:14" x14ac:dyDescent="0.3">
      <c r="A16742" s="42"/>
      <c r="C16742" s="52"/>
      <c r="E16742"/>
      <c r="N16742" s="56"/>
    </row>
    <row r="16743" spans="1:14" x14ac:dyDescent="0.3">
      <c r="A16743" s="42"/>
      <c r="C16743" s="52"/>
      <c r="E16743"/>
      <c r="N16743" s="56"/>
    </row>
    <row r="16744" spans="1:14" x14ac:dyDescent="0.3">
      <c r="A16744" s="42"/>
      <c r="C16744" s="52"/>
      <c r="E16744"/>
      <c r="N16744" s="56"/>
    </row>
    <row r="16745" spans="1:14" x14ac:dyDescent="0.3">
      <c r="A16745" s="42"/>
      <c r="C16745" s="52"/>
      <c r="E16745"/>
      <c r="N16745" s="56"/>
    </row>
    <row r="16746" spans="1:14" x14ac:dyDescent="0.3">
      <c r="A16746" s="42"/>
      <c r="C16746" s="52"/>
      <c r="E16746"/>
      <c r="N16746" s="56"/>
    </row>
    <row r="16747" spans="1:14" x14ac:dyDescent="0.3">
      <c r="A16747" s="42"/>
      <c r="C16747" s="52"/>
      <c r="E16747"/>
      <c r="N16747" s="56"/>
    </row>
    <row r="16748" spans="1:14" x14ac:dyDescent="0.3">
      <c r="A16748" s="42"/>
      <c r="C16748" s="52"/>
      <c r="E16748"/>
      <c r="N16748" s="56"/>
    </row>
    <row r="16749" spans="1:14" x14ac:dyDescent="0.3">
      <c r="A16749" s="42"/>
      <c r="C16749" s="52"/>
      <c r="E16749"/>
      <c r="N16749" s="56"/>
    </row>
    <row r="16750" spans="1:14" x14ac:dyDescent="0.3">
      <c r="A16750" s="42"/>
      <c r="C16750" s="52"/>
      <c r="E16750"/>
      <c r="N16750" s="56"/>
    </row>
    <row r="16751" spans="1:14" x14ac:dyDescent="0.3">
      <c r="A16751" s="42"/>
      <c r="C16751" s="52"/>
      <c r="E16751"/>
      <c r="N16751" s="56"/>
    </row>
    <row r="16752" spans="1:14" x14ac:dyDescent="0.3">
      <c r="A16752" s="42"/>
      <c r="C16752" s="52"/>
      <c r="E16752"/>
      <c r="N16752" s="56"/>
    </row>
    <row r="16753" spans="1:14" x14ac:dyDescent="0.3">
      <c r="A16753" s="42"/>
      <c r="C16753" s="52"/>
      <c r="E16753"/>
      <c r="N16753" s="56"/>
    </row>
    <row r="16754" spans="1:14" x14ac:dyDescent="0.3">
      <c r="A16754" s="42"/>
      <c r="C16754" s="52"/>
      <c r="E16754"/>
      <c r="N16754" s="56"/>
    </row>
    <row r="16755" spans="1:14" x14ac:dyDescent="0.3">
      <c r="A16755" s="42"/>
      <c r="C16755" s="52"/>
      <c r="E16755"/>
      <c r="N16755" s="56"/>
    </row>
    <row r="16756" spans="1:14" x14ac:dyDescent="0.3">
      <c r="A16756" s="42"/>
      <c r="C16756" s="52"/>
      <c r="E16756"/>
      <c r="N16756" s="56"/>
    </row>
    <row r="16757" spans="1:14" x14ac:dyDescent="0.3">
      <c r="A16757" s="42"/>
      <c r="C16757" s="52"/>
      <c r="E16757"/>
      <c r="N16757" s="56"/>
    </row>
    <row r="16758" spans="1:14" x14ac:dyDescent="0.3">
      <c r="A16758" s="42"/>
      <c r="C16758" s="52"/>
      <c r="E16758"/>
      <c r="N16758" s="56"/>
    </row>
    <row r="16759" spans="1:14" x14ac:dyDescent="0.3">
      <c r="A16759" s="42"/>
      <c r="C16759" s="52"/>
      <c r="E16759"/>
      <c r="N16759" s="56"/>
    </row>
    <row r="16760" spans="1:14" x14ac:dyDescent="0.3">
      <c r="A16760" s="42"/>
      <c r="C16760" s="52"/>
      <c r="E16760"/>
      <c r="N16760" s="56"/>
    </row>
    <row r="16761" spans="1:14" x14ac:dyDescent="0.3">
      <c r="A16761" s="42"/>
      <c r="C16761" s="52"/>
      <c r="E16761"/>
      <c r="N16761" s="56"/>
    </row>
    <row r="16762" spans="1:14" x14ac:dyDescent="0.3">
      <c r="A16762" s="42"/>
      <c r="C16762" s="52"/>
      <c r="E16762"/>
      <c r="N16762" s="56"/>
    </row>
    <row r="16763" spans="1:14" x14ac:dyDescent="0.3">
      <c r="A16763" s="42"/>
      <c r="C16763" s="52"/>
      <c r="E16763"/>
      <c r="N16763" s="56"/>
    </row>
    <row r="16764" spans="1:14" x14ac:dyDescent="0.3">
      <c r="A16764" s="42"/>
      <c r="C16764" s="52"/>
      <c r="E16764"/>
      <c r="N16764" s="56"/>
    </row>
    <row r="16765" spans="1:14" x14ac:dyDescent="0.3">
      <c r="A16765" s="42"/>
      <c r="C16765" s="52"/>
      <c r="E16765"/>
      <c r="N16765" s="56"/>
    </row>
    <row r="16766" spans="1:14" x14ac:dyDescent="0.3">
      <c r="A16766" s="42"/>
      <c r="C16766" s="52"/>
      <c r="E16766"/>
      <c r="N16766" s="56"/>
    </row>
    <row r="16767" spans="1:14" x14ac:dyDescent="0.3">
      <c r="A16767" s="42"/>
      <c r="C16767" s="52"/>
      <c r="E16767"/>
      <c r="N16767" s="56"/>
    </row>
    <row r="16768" spans="1:14" x14ac:dyDescent="0.3">
      <c r="A16768" s="42"/>
      <c r="C16768" s="52"/>
      <c r="E16768"/>
      <c r="N16768" s="56"/>
    </row>
    <row r="16769" spans="1:14" x14ac:dyDescent="0.3">
      <c r="A16769" s="42"/>
      <c r="C16769" s="52"/>
      <c r="E16769"/>
      <c r="N16769" s="56"/>
    </row>
    <row r="16770" spans="1:14" x14ac:dyDescent="0.3">
      <c r="A16770" s="42"/>
      <c r="C16770" s="52"/>
      <c r="E16770"/>
      <c r="N16770" s="56"/>
    </row>
    <row r="16771" spans="1:14" x14ac:dyDescent="0.3">
      <c r="A16771" s="42"/>
      <c r="C16771" s="52"/>
      <c r="E16771"/>
      <c r="N16771" s="56"/>
    </row>
    <row r="16772" spans="1:14" x14ac:dyDescent="0.3">
      <c r="A16772" s="42"/>
      <c r="C16772" s="52"/>
      <c r="E16772"/>
      <c r="N16772" s="56"/>
    </row>
    <row r="16773" spans="1:14" x14ac:dyDescent="0.3">
      <c r="A16773" s="42"/>
      <c r="C16773" s="52"/>
      <c r="E16773"/>
      <c r="N16773" s="56"/>
    </row>
    <row r="16774" spans="1:14" x14ac:dyDescent="0.3">
      <c r="A16774" s="42"/>
      <c r="C16774" s="52"/>
      <c r="E16774"/>
      <c r="N16774" s="56"/>
    </row>
    <row r="16775" spans="1:14" x14ac:dyDescent="0.3">
      <c r="A16775" s="42"/>
      <c r="C16775" s="52"/>
      <c r="E16775"/>
      <c r="N16775" s="56"/>
    </row>
    <row r="16776" spans="1:14" x14ac:dyDescent="0.3">
      <c r="A16776" s="42"/>
      <c r="C16776" s="52"/>
      <c r="E16776"/>
      <c r="N16776" s="56"/>
    </row>
    <row r="16777" spans="1:14" x14ac:dyDescent="0.3">
      <c r="A16777" s="42"/>
      <c r="C16777" s="52"/>
      <c r="E16777"/>
      <c r="N16777" s="56"/>
    </row>
    <row r="16778" spans="1:14" x14ac:dyDescent="0.3">
      <c r="A16778" s="42"/>
      <c r="C16778" s="52"/>
      <c r="E16778"/>
      <c r="N16778" s="56"/>
    </row>
    <row r="16779" spans="1:14" x14ac:dyDescent="0.3">
      <c r="A16779" s="42"/>
      <c r="C16779" s="52"/>
      <c r="E16779"/>
      <c r="N16779" s="56"/>
    </row>
    <row r="16780" spans="1:14" x14ac:dyDescent="0.3">
      <c r="A16780" s="42"/>
      <c r="C16780" s="52"/>
      <c r="E16780"/>
      <c r="N16780" s="56"/>
    </row>
    <row r="16781" spans="1:14" x14ac:dyDescent="0.3">
      <c r="A16781" s="42"/>
      <c r="C16781" s="52"/>
      <c r="E16781"/>
      <c r="N16781" s="56"/>
    </row>
    <row r="16782" spans="1:14" x14ac:dyDescent="0.3">
      <c r="A16782" s="42"/>
      <c r="C16782" s="52"/>
      <c r="E16782"/>
      <c r="N16782" s="56"/>
    </row>
    <row r="16783" spans="1:14" x14ac:dyDescent="0.3">
      <c r="A16783" s="42"/>
      <c r="C16783" s="52"/>
      <c r="E16783"/>
      <c r="N16783" s="56"/>
    </row>
    <row r="16784" spans="1:14" x14ac:dyDescent="0.3">
      <c r="A16784" s="42"/>
      <c r="C16784" s="52"/>
      <c r="E16784"/>
      <c r="N16784" s="56"/>
    </row>
    <row r="16785" spans="1:14" x14ac:dyDescent="0.3">
      <c r="A16785" s="42"/>
      <c r="C16785" s="52"/>
      <c r="E16785"/>
      <c r="N16785" s="56"/>
    </row>
    <row r="16786" spans="1:14" x14ac:dyDescent="0.3">
      <c r="A16786" s="42"/>
      <c r="C16786" s="52"/>
      <c r="E16786"/>
      <c r="N16786" s="56"/>
    </row>
    <row r="16787" spans="1:14" x14ac:dyDescent="0.3">
      <c r="A16787" s="42"/>
      <c r="C16787" s="52"/>
      <c r="E16787"/>
      <c r="N16787" s="56"/>
    </row>
    <row r="16788" spans="1:14" x14ac:dyDescent="0.3">
      <c r="A16788" s="42"/>
      <c r="C16788" s="52"/>
      <c r="E16788"/>
      <c r="N16788" s="56"/>
    </row>
    <row r="16789" spans="1:14" x14ac:dyDescent="0.3">
      <c r="A16789" s="42"/>
      <c r="C16789" s="52"/>
      <c r="E16789"/>
      <c r="N16789" s="56"/>
    </row>
    <row r="16790" spans="1:14" x14ac:dyDescent="0.3">
      <c r="A16790" s="42"/>
      <c r="C16790" s="52"/>
      <c r="E16790"/>
      <c r="N16790" s="56"/>
    </row>
    <row r="16791" spans="1:14" x14ac:dyDescent="0.3">
      <c r="A16791" s="42"/>
      <c r="C16791" s="52"/>
      <c r="E16791"/>
      <c r="N16791" s="56"/>
    </row>
    <row r="16792" spans="1:14" x14ac:dyDescent="0.3">
      <c r="A16792" s="42"/>
      <c r="C16792" s="52"/>
      <c r="E16792"/>
      <c r="N16792" s="56"/>
    </row>
    <row r="16793" spans="1:14" x14ac:dyDescent="0.3">
      <c r="A16793" s="42"/>
      <c r="C16793" s="52"/>
      <c r="E16793"/>
      <c r="N16793" s="56"/>
    </row>
    <row r="16794" spans="1:14" x14ac:dyDescent="0.3">
      <c r="A16794" s="42"/>
      <c r="C16794" s="52"/>
      <c r="E16794"/>
      <c r="N16794" s="56"/>
    </row>
    <row r="16795" spans="1:14" x14ac:dyDescent="0.3">
      <c r="A16795" s="42"/>
      <c r="C16795" s="52"/>
      <c r="E16795"/>
      <c r="N16795" s="56"/>
    </row>
    <row r="16796" spans="1:14" x14ac:dyDescent="0.3">
      <c r="A16796" s="42"/>
      <c r="C16796" s="52"/>
      <c r="E16796"/>
      <c r="N16796" s="56"/>
    </row>
    <row r="16797" spans="1:14" x14ac:dyDescent="0.3">
      <c r="A16797" s="42"/>
      <c r="C16797" s="52"/>
      <c r="E16797"/>
      <c r="N16797" s="56"/>
    </row>
    <row r="16798" spans="1:14" x14ac:dyDescent="0.3">
      <c r="A16798" s="42"/>
      <c r="C16798" s="52"/>
      <c r="E16798"/>
      <c r="N16798" s="56"/>
    </row>
    <row r="16799" spans="1:14" x14ac:dyDescent="0.3">
      <c r="A16799" s="42"/>
      <c r="C16799" s="52"/>
      <c r="E16799"/>
      <c r="N16799" s="56"/>
    </row>
    <row r="16800" spans="1:14" x14ac:dyDescent="0.3">
      <c r="A16800" s="42"/>
      <c r="C16800" s="52"/>
      <c r="E16800"/>
      <c r="N16800" s="56"/>
    </row>
    <row r="16801" spans="1:14" x14ac:dyDescent="0.3">
      <c r="A16801" s="42"/>
      <c r="C16801" s="52"/>
      <c r="E16801"/>
      <c r="N16801" s="56"/>
    </row>
    <row r="16802" spans="1:14" x14ac:dyDescent="0.3">
      <c r="A16802" s="42"/>
      <c r="C16802" s="52"/>
      <c r="E16802"/>
      <c r="N16802" s="56"/>
    </row>
    <row r="16803" spans="1:14" x14ac:dyDescent="0.3">
      <c r="A16803" s="42"/>
      <c r="C16803" s="52"/>
      <c r="E16803"/>
      <c r="N16803" s="56"/>
    </row>
    <row r="16804" spans="1:14" x14ac:dyDescent="0.3">
      <c r="A16804" s="42"/>
      <c r="C16804" s="52"/>
      <c r="E16804"/>
      <c r="N16804" s="56"/>
    </row>
    <row r="16805" spans="1:14" x14ac:dyDescent="0.3">
      <c r="A16805" s="42"/>
      <c r="C16805" s="52"/>
      <c r="E16805"/>
      <c r="N16805" s="56"/>
    </row>
    <row r="16806" spans="1:14" x14ac:dyDescent="0.3">
      <c r="A16806" s="42"/>
      <c r="C16806" s="52"/>
      <c r="E16806"/>
      <c r="N16806" s="56"/>
    </row>
    <row r="16807" spans="1:14" x14ac:dyDescent="0.3">
      <c r="A16807" s="42"/>
      <c r="C16807" s="52"/>
      <c r="E16807"/>
      <c r="N16807" s="56"/>
    </row>
    <row r="16808" spans="1:14" x14ac:dyDescent="0.3">
      <c r="A16808" s="42"/>
      <c r="C16808" s="52"/>
      <c r="E16808"/>
      <c r="N16808" s="56"/>
    </row>
    <row r="16809" spans="1:14" x14ac:dyDescent="0.3">
      <c r="A16809" s="42"/>
      <c r="C16809" s="52"/>
      <c r="E16809"/>
      <c r="N16809" s="56"/>
    </row>
    <row r="16810" spans="1:14" x14ac:dyDescent="0.3">
      <c r="A16810" s="42"/>
      <c r="C16810" s="52"/>
      <c r="E16810"/>
      <c r="N16810" s="56"/>
    </row>
    <row r="16811" spans="1:14" x14ac:dyDescent="0.3">
      <c r="A16811" s="42"/>
      <c r="C16811" s="52"/>
      <c r="E16811"/>
      <c r="N16811" s="56"/>
    </row>
    <row r="16812" spans="1:14" x14ac:dyDescent="0.3">
      <c r="A16812" s="42"/>
      <c r="C16812" s="52"/>
      <c r="E16812"/>
      <c r="N16812" s="56"/>
    </row>
    <row r="16813" spans="1:14" x14ac:dyDescent="0.3">
      <c r="A16813" s="42"/>
      <c r="C16813" s="52"/>
      <c r="E16813"/>
      <c r="N16813" s="56"/>
    </row>
    <row r="16814" spans="1:14" x14ac:dyDescent="0.3">
      <c r="A16814" s="42"/>
      <c r="C16814" s="52"/>
      <c r="E16814"/>
      <c r="N16814" s="56"/>
    </row>
    <row r="16815" spans="1:14" x14ac:dyDescent="0.3">
      <c r="A16815" s="42"/>
      <c r="C16815" s="52"/>
      <c r="E16815"/>
      <c r="N16815" s="56"/>
    </row>
    <row r="16816" spans="1:14" x14ac:dyDescent="0.3">
      <c r="A16816" s="42"/>
      <c r="C16816" s="52"/>
      <c r="E16816"/>
      <c r="N16816" s="56"/>
    </row>
    <row r="16817" spans="1:14" x14ac:dyDescent="0.3">
      <c r="A16817" s="42"/>
      <c r="C16817" s="52"/>
      <c r="E16817"/>
      <c r="N16817" s="56"/>
    </row>
    <row r="16818" spans="1:14" x14ac:dyDescent="0.3">
      <c r="A16818" s="42"/>
      <c r="C16818" s="52"/>
      <c r="E16818"/>
      <c r="N16818" s="56"/>
    </row>
    <row r="16819" spans="1:14" x14ac:dyDescent="0.3">
      <c r="A16819" s="42"/>
      <c r="C16819" s="52"/>
      <c r="E16819"/>
      <c r="N16819" s="56"/>
    </row>
    <row r="16820" spans="1:14" x14ac:dyDescent="0.3">
      <c r="A16820" s="42"/>
      <c r="C16820" s="52"/>
      <c r="E16820"/>
      <c r="N16820" s="56"/>
    </row>
    <row r="16821" spans="1:14" x14ac:dyDescent="0.3">
      <c r="A16821" s="42"/>
      <c r="C16821" s="52"/>
      <c r="E16821"/>
      <c r="N16821" s="56"/>
    </row>
    <row r="16822" spans="1:14" x14ac:dyDescent="0.3">
      <c r="A16822" s="42"/>
      <c r="C16822" s="52"/>
      <c r="E16822"/>
      <c r="N16822" s="56"/>
    </row>
    <row r="16823" spans="1:14" x14ac:dyDescent="0.3">
      <c r="A16823" s="42"/>
      <c r="C16823" s="52"/>
      <c r="E16823"/>
      <c r="N16823" s="56"/>
    </row>
    <row r="16824" spans="1:14" x14ac:dyDescent="0.3">
      <c r="A16824" s="42"/>
      <c r="C16824" s="52"/>
      <c r="E16824"/>
      <c r="M16824" s="45"/>
      <c r="N16824" s="56"/>
    </row>
    <row r="16825" spans="1:14" x14ac:dyDescent="0.3">
      <c r="A16825" s="42"/>
      <c r="C16825" s="52"/>
      <c r="E16825"/>
      <c r="N16825" s="56"/>
    </row>
    <row r="16826" spans="1:14" x14ac:dyDescent="0.3">
      <c r="A16826" s="42"/>
      <c r="C16826" s="52"/>
      <c r="E16826"/>
      <c r="M16826" s="45"/>
      <c r="N16826" s="56"/>
    </row>
    <row r="16827" spans="1:14" x14ac:dyDescent="0.3">
      <c r="A16827" s="42"/>
      <c r="C16827" s="52"/>
      <c r="E16827"/>
      <c r="N16827" s="56"/>
    </row>
    <row r="16828" spans="1:14" x14ac:dyDescent="0.3">
      <c r="A16828" s="42"/>
      <c r="C16828" s="52"/>
      <c r="E16828"/>
      <c r="N16828" s="56"/>
    </row>
    <row r="16829" spans="1:14" x14ac:dyDescent="0.3">
      <c r="A16829" s="42"/>
      <c r="C16829" s="52"/>
      <c r="E16829"/>
      <c r="N16829" s="56"/>
    </row>
    <row r="16830" spans="1:14" x14ac:dyDescent="0.3">
      <c r="A16830" s="42"/>
      <c r="C16830" s="52"/>
      <c r="E16830"/>
      <c r="N16830" s="56"/>
    </row>
    <row r="16831" spans="1:14" x14ac:dyDescent="0.3">
      <c r="A16831" s="42"/>
      <c r="C16831" s="52"/>
      <c r="E16831"/>
      <c r="N16831" s="56"/>
    </row>
    <row r="16832" spans="1:14" x14ac:dyDescent="0.3">
      <c r="A16832" s="42"/>
      <c r="C16832" s="52"/>
      <c r="E16832"/>
      <c r="N16832" s="56"/>
    </row>
    <row r="16833" spans="1:14" x14ac:dyDescent="0.3">
      <c r="A16833" s="42"/>
      <c r="C16833" s="52"/>
      <c r="E16833"/>
      <c r="N16833" s="56"/>
    </row>
    <row r="16834" spans="1:14" x14ac:dyDescent="0.3">
      <c r="A16834" s="42"/>
      <c r="C16834" s="52"/>
      <c r="E16834"/>
      <c r="N16834" s="56"/>
    </row>
    <row r="16835" spans="1:14" x14ac:dyDescent="0.3">
      <c r="A16835" s="42"/>
      <c r="C16835" s="52"/>
      <c r="E16835"/>
      <c r="N16835" s="56"/>
    </row>
    <row r="16836" spans="1:14" x14ac:dyDescent="0.3">
      <c r="A16836" s="42"/>
      <c r="C16836" s="52"/>
      <c r="E16836"/>
      <c r="N16836" s="56"/>
    </row>
    <row r="16837" spans="1:14" x14ac:dyDescent="0.3">
      <c r="A16837" s="42"/>
      <c r="C16837" s="52"/>
      <c r="E16837"/>
      <c r="N16837" s="56"/>
    </row>
    <row r="16838" spans="1:14" x14ac:dyDescent="0.3">
      <c r="A16838" s="42"/>
      <c r="C16838" s="52"/>
      <c r="E16838"/>
      <c r="N16838" s="56"/>
    </row>
    <row r="16839" spans="1:14" x14ac:dyDescent="0.3">
      <c r="A16839" s="42"/>
      <c r="C16839" s="52"/>
      <c r="E16839"/>
      <c r="N16839" s="56"/>
    </row>
    <row r="16840" spans="1:14" x14ac:dyDescent="0.3">
      <c r="A16840" s="42"/>
      <c r="C16840" s="52"/>
      <c r="E16840"/>
      <c r="N16840" s="56"/>
    </row>
    <row r="16841" spans="1:14" x14ac:dyDescent="0.3">
      <c r="A16841" s="42"/>
      <c r="C16841" s="52"/>
      <c r="E16841"/>
      <c r="N16841" s="56"/>
    </row>
    <row r="16842" spans="1:14" x14ac:dyDescent="0.3">
      <c r="A16842" s="42"/>
      <c r="C16842" s="52"/>
      <c r="E16842"/>
      <c r="N16842" s="56"/>
    </row>
    <row r="16843" spans="1:14" x14ac:dyDescent="0.3">
      <c r="A16843" s="42"/>
      <c r="C16843" s="52"/>
      <c r="E16843"/>
      <c r="N16843" s="56"/>
    </row>
    <row r="16844" spans="1:14" x14ac:dyDescent="0.3">
      <c r="A16844" s="42"/>
      <c r="C16844" s="52"/>
      <c r="E16844"/>
      <c r="N16844" s="56"/>
    </row>
    <row r="16845" spans="1:14" x14ac:dyDescent="0.3">
      <c r="A16845" s="42"/>
      <c r="C16845" s="52"/>
      <c r="E16845"/>
      <c r="N16845" s="56"/>
    </row>
    <row r="16846" spans="1:14" x14ac:dyDescent="0.3">
      <c r="A16846" s="42"/>
      <c r="C16846" s="52"/>
      <c r="E16846"/>
      <c r="N16846" s="56"/>
    </row>
    <row r="16847" spans="1:14" x14ac:dyDescent="0.3">
      <c r="A16847" s="42"/>
      <c r="C16847" s="52"/>
      <c r="E16847"/>
      <c r="N16847" s="56"/>
    </row>
    <row r="16848" spans="1:14" x14ac:dyDescent="0.3">
      <c r="A16848" s="42"/>
      <c r="C16848" s="52"/>
      <c r="E16848"/>
      <c r="N16848" s="56"/>
    </row>
    <row r="16849" spans="1:14" x14ac:dyDescent="0.3">
      <c r="A16849" s="42"/>
      <c r="C16849" s="52"/>
      <c r="E16849"/>
      <c r="N16849" s="56"/>
    </row>
    <row r="16850" spans="1:14" x14ac:dyDescent="0.3">
      <c r="A16850" s="42"/>
      <c r="C16850" s="52"/>
      <c r="E16850"/>
      <c r="N16850" s="56"/>
    </row>
    <row r="16851" spans="1:14" x14ac:dyDescent="0.3">
      <c r="A16851" s="42"/>
      <c r="C16851" s="52"/>
      <c r="E16851"/>
      <c r="N16851" s="56"/>
    </row>
    <row r="16852" spans="1:14" x14ac:dyDescent="0.3">
      <c r="A16852" s="42"/>
      <c r="C16852" s="52"/>
      <c r="E16852"/>
      <c r="N16852" s="56"/>
    </row>
    <row r="16853" spans="1:14" x14ac:dyDescent="0.3">
      <c r="A16853" s="42"/>
      <c r="C16853" s="52"/>
      <c r="E16853"/>
      <c r="N16853" s="56"/>
    </row>
    <row r="16854" spans="1:14" x14ac:dyDescent="0.3">
      <c r="A16854" s="42"/>
      <c r="C16854" s="52"/>
      <c r="E16854"/>
      <c r="N16854" s="56"/>
    </row>
    <row r="16855" spans="1:14" x14ac:dyDescent="0.3">
      <c r="A16855" s="42"/>
      <c r="C16855" s="52"/>
      <c r="E16855"/>
      <c r="N16855" s="56"/>
    </row>
    <row r="16856" spans="1:14" x14ac:dyDescent="0.3">
      <c r="A16856" s="42"/>
      <c r="C16856" s="52"/>
      <c r="E16856"/>
      <c r="N16856" s="56"/>
    </row>
    <row r="16857" spans="1:14" x14ac:dyDescent="0.3">
      <c r="A16857" s="42"/>
      <c r="C16857" s="52"/>
      <c r="E16857"/>
      <c r="N16857" s="56"/>
    </row>
    <row r="16858" spans="1:14" x14ac:dyDescent="0.3">
      <c r="A16858" s="42"/>
      <c r="C16858" s="52"/>
      <c r="E16858"/>
      <c r="N16858" s="56"/>
    </row>
    <row r="16859" spans="1:14" x14ac:dyDescent="0.3">
      <c r="A16859" s="42"/>
      <c r="C16859" s="52"/>
      <c r="E16859"/>
      <c r="N16859" s="56"/>
    </row>
    <row r="16860" spans="1:14" x14ac:dyDescent="0.3">
      <c r="A16860" s="42"/>
      <c r="C16860" s="52"/>
      <c r="E16860"/>
      <c r="N16860" s="56"/>
    </row>
    <row r="16861" spans="1:14" x14ac:dyDescent="0.3">
      <c r="A16861" s="42"/>
      <c r="C16861" s="52"/>
      <c r="E16861"/>
      <c r="N16861" s="56"/>
    </row>
    <row r="16862" spans="1:14" x14ac:dyDescent="0.3">
      <c r="A16862" s="42"/>
      <c r="C16862" s="52"/>
      <c r="E16862"/>
      <c r="N16862" s="56"/>
    </row>
    <row r="16863" spans="1:14" x14ac:dyDescent="0.3">
      <c r="A16863" s="42"/>
      <c r="C16863" s="52"/>
      <c r="E16863"/>
      <c r="N16863" s="56"/>
    </row>
    <row r="16864" spans="1:14" x14ac:dyDescent="0.3">
      <c r="A16864" s="42"/>
      <c r="C16864" s="52"/>
      <c r="E16864"/>
      <c r="N16864" s="56"/>
    </row>
    <row r="16865" spans="1:14" x14ac:dyDescent="0.3">
      <c r="A16865" s="42"/>
      <c r="C16865" s="52"/>
      <c r="E16865"/>
      <c r="M16865" s="45"/>
      <c r="N16865" s="56"/>
    </row>
    <row r="16866" spans="1:14" x14ac:dyDescent="0.3">
      <c r="A16866" s="42"/>
      <c r="C16866" s="52"/>
      <c r="E16866"/>
      <c r="N16866" s="56"/>
    </row>
    <row r="16867" spans="1:14" x14ac:dyDescent="0.3">
      <c r="A16867" s="42"/>
      <c r="C16867" s="52"/>
      <c r="E16867"/>
      <c r="N16867" s="56"/>
    </row>
    <row r="16868" spans="1:14" x14ac:dyDescent="0.3">
      <c r="A16868" s="42"/>
      <c r="C16868" s="52"/>
      <c r="E16868"/>
      <c r="N16868" s="56"/>
    </row>
    <row r="16869" spans="1:14" x14ac:dyDescent="0.3">
      <c r="A16869" s="42"/>
      <c r="C16869" s="52"/>
      <c r="E16869"/>
      <c r="N16869" s="56"/>
    </row>
    <row r="16870" spans="1:14" x14ac:dyDescent="0.3">
      <c r="A16870" s="42"/>
      <c r="C16870" s="52"/>
      <c r="E16870"/>
      <c r="N16870" s="56"/>
    </row>
    <row r="16871" spans="1:14" x14ac:dyDescent="0.3">
      <c r="A16871" s="42"/>
      <c r="C16871" s="52"/>
      <c r="E16871"/>
      <c r="N16871" s="56"/>
    </row>
    <row r="16872" spans="1:14" x14ac:dyDescent="0.3">
      <c r="A16872" s="42"/>
      <c r="C16872" s="52"/>
      <c r="E16872"/>
      <c r="N16872" s="56"/>
    </row>
    <row r="16873" spans="1:14" x14ac:dyDescent="0.3">
      <c r="A16873" s="42"/>
      <c r="C16873" s="52"/>
      <c r="E16873"/>
      <c r="N16873" s="56"/>
    </row>
    <row r="16874" spans="1:14" x14ac:dyDescent="0.3">
      <c r="A16874" s="42"/>
      <c r="C16874" s="52"/>
      <c r="E16874"/>
      <c r="N16874" s="56"/>
    </row>
    <row r="16875" spans="1:14" x14ac:dyDescent="0.3">
      <c r="A16875" s="42"/>
      <c r="C16875" s="52"/>
      <c r="E16875"/>
      <c r="N16875" s="56"/>
    </row>
    <row r="16876" spans="1:14" x14ac:dyDescent="0.3">
      <c r="A16876" s="42"/>
      <c r="C16876" s="52"/>
      <c r="E16876"/>
      <c r="N16876" s="56"/>
    </row>
    <row r="16877" spans="1:14" x14ac:dyDescent="0.3">
      <c r="A16877" s="42"/>
      <c r="C16877" s="52"/>
      <c r="E16877"/>
      <c r="N16877" s="56"/>
    </row>
    <row r="16878" spans="1:14" x14ac:dyDescent="0.3">
      <c r="A16878" s="42"/>
      <c r="C16878" s="52"/>
      <c r="E16878"/>
      <c r="N16878" s="56"/>
    </row>
    <row r="16879" spans="1:14" x14ac:dyDescent="0.3">
      <c r="A16879" s="42"/>
      <c r="C16879" s="52"/>
      <c r="E16879"/>
      <c r="N16879" s="56"/>
    </row>
    <row r="16880" spans="1:14" x14ac:dyDescent="0.3">
      <c r="A16880" s="42"/>
      <c r="C16880" s="52"/>
      <c r="E16880"/>
      <c r="N16880" s="56"/>
    </row>
    <row r="16881" spans="1:14" x14ac:dyDescent="0.3">
      <c r="A16881" s="42"/>
      <c r="C16881" s="52"/>
      <c r="E16881"/>
      <c r="N16881" s="56"/>
    </row>
    <row r="16882" spans="1:14" x14ac:dyDescent="0.3">
      <c r="A16882" s="42"/>
      <c r="C16882" s="52"/>
      <c r="E16882"/>
      <c r="N16882" s="56"/>
    </row>
    <row r="16883" spans="1:14" x14ac:dyDescent="0.3">
      <c r="A16883" s="42"/>
      <c r="C16883" s="52"/>
      <c r="E16883"/>
      <c r="N16883" s="56"/>
    </row>
    <row r="16884" spans="1:14" x14ac:dyDescent="0.3">
      <c r="A16884" s="42"/>
      <c r="C16884" s="52"/>
      <c r="E16884"/>
      <c r="N16884" s="56"/>
    </row>
    <row r="16885" spans="1:14" x14ac:dyDescent="0.3">
      <c r="A16885" s="42"/>
      <c r="C16885" s="52"/>
      <c r="E16885"/>
      <c r="N16885" s="56"/>
    </row>
    <row r="16886" spans="1:14" x14ac:dyDescent="0.3">
      <c r="A16886" s="42"/>
      <c r="C16886" s="52"/>
      <c r="E16886"/>
      <c r="N16886" s="56"/>
    </row>
    <row r="16887" spans="1:14" x14ac:dyDescent="0.3">
      <c r="A16887" s="42"/>
      <c r="C16887" s="52"/>
      <c r="E16887"/>
      <c r="N16887" s="56"/>
    </row>
    <row r="16888" spans="1:14" x14ac:dyDescent="0.3">
      <c r="A16888" s="42"/>
      <c r="C16888" s="52"/>
      <c r="E16888"/>
      <c r="N16888" s="56"/>
    </row>
    <row r="16889" spans="1:14" x14ac:dyDescent="0.3">
      <c r="A16889" s="42"/>
      <c r="C16889" s="52"/>
      <c r="E16889"/>
      <c r="N16889" s="56"/>
    </row>
    <row r="16890" spans="1:14" x14ac:dyDescent="0.3">
      <c r="A16890" s="42"/>
      <c r="C16890" s="52"/>
      <c r="E16890"/>
      <c r="N16890" s="56"/>
    </row>
    <row r="16891" spans="1:14" x14ac:dyDescent="0.3">
      <c r="A16891" s="42"/>
      <c r="C16891" s="52"/>
      <c r="E16891"/>
      <c r="N16891" s="56"/>
    </row>
    <row r="16892" spans="1:14" x14ac:dyDescent="0.3">
      <c r="A16892" s="42"/>
      <c r="C16892" s="52"/>
      <c r="E16892"/>
      <c r="N16892" s="56"/>
    </row>
    <row r="16893" spans="1:14" x14ac:dyDescent="0.3">
      <c r="A16893" s="42"/>
      <c r="C16893" s="52"/>
      <c r="E16893"/>
      <c r="N16893" s="56"/>
    </row>
    <row r="16894" spans="1:14" x14ac:dyDescent="0.3">
      <c r="A16894" s="42"/>
      <c r="C16894" s="52"/>
      <c r="E16894"/>
      <c r="N16894" s="56"/>
    </row>
    <row r="16895" spans="1:14" x14ac:dyDescent="0.3">
      <c r="A16895" s="42"/>
      <c r="C16895" s="52"/>
      <c r="E16895"/>
      <c r="N16895" s="56"/>
    </row>
    <row r="16896" spans="1:14" x14ac:dyDescent="0.3">
      <c r="A16896" s="42"/>
      <c r="C16896" s="52"/>
      <c r="E16896"/>
      <c r="N16896" s="56"/>
    </row>
    <row r="16897" spans="1:14" x14ac:dyDescent="0.3">
      <c r="A16897" s="42"/>
      <c r="C16897" s="52"/>
      <c r="E16897"/>
      <c r="N16897" s="56"/>
    </row>
    <row r="16898" spans="1:14" x14ac:dyDescent="0.3">
      <c r="A16898" s="42"/>
      <c r="C16898" s="52"/>
      <c r="E16898"/>
      <c r="N16898" s="56"/>
    </row>
    <row r="16899" spans="1:14" x14ac:dyDescent="0.3">
      <c r="A16899" s="42"/>
      <c r="C16899" s="52"/>
      <c r="E16899"/>
      <c r="N16899" s="56"/>
    </row>
    <row r="16900" spans="1:14" x14ac:dyDescent="0.3">
      <c r="A16900" s="42"/>
      <c r="C16900" s="52"/>
      <c r="E16900"/>
      <c r="N16900" s="56"/>
    </row>
    <row r="16901" spans="1:14" x14ac:dyDescent="0.3">
      <c r="A16901" s="42"/>
      <c r="C16901" s="52"/>
      <c r="E16901"/>
      <c r="N16901" s="56"/>
    </row>
    <row r="16902" spans="1:14" x14ac:dyDescent="0.3">
      <c r="A16902" s="42"/>
      <c r="C16902" s="52"/>
      <c r="E16902"/>
      <c r="N16902" s="56"/>
    </row>
    <row r="16903" spans="1:14" x14ac:dyDescent="0.3">
      <c r="A16903" s="42"/>
      <c r="C16903" s="52"/>
      <c r="E16903"/>
      <c r="N16903" s="56"/>
    </row>
    <row r="16904" spans="1:14" x14ac:dyDescent="0.3">
      <c r="A16904" s="42"/>
      <c r="C16904" s="52"/>
      <c r="E16904"/>
      <c r="N16904" s="56"/>
    </row>
    <row r="16905" spans="1:14" x14ac:dyDescent="0.3">
      <c r="A16905" s="42"/>
      <c r="C16905" s="52"/>
      <c r="E16905"/>
      <c r="N16905" s="56"/>
    </row>
    <row r="16906" spans="1:14" x14ac:dyDescent="0.3">
      <c r="A16906" s="42"/>
      <c r="C16906" s="52"/>
      <c r="E16906"/>
      <c r="N16906" s="56"/>
    </row>
    <row r="16907" spans="1:14" x14ac:dyDescent="0.3">
      <c r="A16907" s="42"/>
      <c r="C16907" s="52"/>
      <c r="E16907"/>
      <c r="N16907" s="56"/>
    </row>
    <row r="16908" spans="1:14" x14ac:dyDescent="0.3">
      <c r="A16908" s="42"/>
      <c r="C16908" s="52"/>
      <c r="E16908"/>
      <c r="N16908" s="56"/>
    </row>
    <row r="16909" spans="1:14" x14ac:dyDescent="0.3">
      <c r="A16909" s="42"/>
      <c r="C16909" s="52"/>
      <c r="E16909"/>
      <c r="N16909" s="56"/>
    </row>
    <row r="16910" spans="1:14" x14ac:dyDescent="0.3">
      <c r="A16910" s="42"/>
      <c r="C16910" s="52"/>
      <c r="E16910"/>
      <c r="N16910" s="56"/>
    </row>
    <row r="16911" spans="1:14" x14ac:dyDescent="0.3">
      <c r="A16911" s="42"/>
      <c r="C16911" s="52"/>
      <c r="E16911"/>
      <c r="N16911" s="56"/>
    </row>
    <row r="16912" spans="1:14" x14ac:dyDescent="0.3">
      <c r="A16912" s="42"/>
      <c r="C16912" s="52"/>
      <c r="E16912"/>
      <c r="N16912" s="56"/>
    </row>
    <row r="16913" spans="1:14" x14ac:dyDescent="0.3">
      <c r="A16913" s="42"/>
      <c r="C16913" s="52"/>
      <c r="E16913"/>
      <c r="N16913" s="56"/>
    </row>
    <row r="16914" spans="1:14" x14ac:dyDescent="0.3">
      <c r="A16914" s="42"/>
      <c r="C16914" s="52"/>
      <c r="E16914"/>
      <c r="N16914" s="56"/>
    </row>
    <row r="16915" spans="1:14" x14ac:dyDescent="0.3">
      <c r="A16915" s="42"/>
      <c r="C16915" s="52"/>
      <c r="E16915"/>
      <c r="N16915" s="56"/>
    </row>
    <row r="16916" spans="1:14" x14ac:dyDescent="0.3">
      <c r="A16916" s="42"/>
      <c r="C16916" s="52"/>
      <c r="E16916"/>
      <c r="N16916" s="56"/>
    </row>
    <row r="16917" spans="1:14" x14ac:dyDescent="0.3">
      <c r="A16917" s="42"/>
      <c r="C16917" s="52"/>
      <c r="E16917"/>
      <c r="N16917" s="56"/>
    </row>
    <row r="16918" spans="1:14" x14ac:dyDescent="0.3">
      <c r="A16918" s="42"/>
      <c r="C16918" s="52"/>
      <c r="E16918"/>
      <c r="N16918" s="56"/>
    </row>
    <row r="16919" spans="1:14" x14ac:dyDescent="0.3">
      <c r="A16919" s="42"/>
      <c r="C16919" s="52"/>
      <c r="E16919"/>
      <c r="N16919" s="56"/>
    </row>
    <row r="16920" spans="1:14" x14ac:dyDescent="0.3">
      <c r="A16920" s="42"/>
      <c r="C16920" s="52"/>
      <c r="E16920"/>
      <c r="N16920" s="56"/>
    </row>
    <row r="16921" spans="1:14" x14ac:dyDescent="0.3">
      <c r="A16921" s="42"/>
      <c r="C16921" s="52"/>
      <c r="E16921"/>
      <c r="N16921" s="56"/>
    </row>
    <row r="16922" spans="1:14" x14ac:dyDescent="0.3">
      <c r="A16922" s="42"/>
      <c r="C16922" s="52"/>
      <c r="E16922"/>
      <c r="N16922" s="56"/>
    </row>
    <row r="16923" spans="1:14" x14ac:dyDescent="0.3">
      <c r="A16923" s="42"/>
      <c r="C16923" s="52"/>
      <c r="E16923"/>
      <c r="N16923" s="56"/>
    </row>
    <row r="16924" spans="1:14" x14ac:dyDescent="0.3">
      <c r="A16924" s="42"/>
      <c r="C16924" s="52"/>
      <c r="E16924"/>
      <c r="N16924" s="56"/>
    </row>
    <row r="16925" spans="1:14" x14ac:dyDescent="0.3">
      <c r="A16925" s="42"/>
      <c r="C16925" s="52"/>
      <c r="E16925"/>
      <c r="N16925" s="56"/>
    </row>
    <row r="16926" spans="1:14" x14ac:dyDescent="0.3">
      <c r="A16926" s="42"/>
      <c r="C16926" s="52"/>
      <c r="E16926"/>
      <c r="N16926" s="56"/>
    </row>
    <row r="16927" spans="1:14" x14ac:dyDescent="0.3">
      <c r="A16927" s="42"/>
      <c r="C16927" s="52"/>
      <c r="E16927"/>
      <c r="N16927" s="56"/>
    </row>
    <row r="16928" spans="1:14" x14ac:dyDescent="0.3">
      <c r="A16928" s="42"/>
      <c r="C16928" s="52"/>
      <c r="E16928"/>
      <c r="N16928" s="56"/>
    </row>
    <row r="16929" spans="1:14" x14ac:dyDescent="0.3">
      <c r="A16929" s="42"/>
      <c r="C16929" s="52"/>
      <c r="E16929"/>
      <c r="N16929" s="56"/>
    </row>
    <row r="16930" spans="1:14" x14ac:dyDescent="0.3">
      <c r="A16930" s="42"/>
      <c r="C16930" s="52"/>
      <c r="E16930"/>
      <c r="M16930" s="45"/>
      <c r="N16930" s="56"/>
    </row>
    <row r="16931" spans="1:14" x14ac:dyDescent="0.3">
      <c r="A16931" s="42"/>
      <c r="C16931" s="52"/>
      <c r="E16931"/>
      <c r="N16931" s="56"/>
    </row>
    <row r="16932" spans="1:14" x14ac:dyDescent="0.3">
      <c r="A16932" s="42"/>
      <c r="C16932" s="52"/>
      <c r="E16932"/>
      <c r="N16932" s="56"/>
    </row>
    <row r="16933" spans="1:14" x14ac:dyDescent="0.3">
      <c r="A16933" s="42"/>
      <c r="C16933" s="52"/>
      <c r="E16933"/>
      <c r="N16933" s="56"/>
    </row>
    <row r="16934" spans="1:14" x14ac:dyDescent="0.3">
      <c r="A16934" s="42"/>
      <c r="C16934" s="52"/>
      <c r="E16934"/>
      <c r="N16934" s="56"/>
    </row>
    <row r="16935" spans="1:14" x14ac:dyDescent="0.3">
      <c r="A16935" s="42"/>
      <c r="C16935" s="52"/>
      <c r="E16935"/>
      <c r="N16935" s="56"/>
    </row>
    <row r="16936" spans="1:14" x14ac:dyDescent="0.3">
      <c r="A16936" s="42"/>
      <c r="C16936" s="52"/>
      <c r="E16936"/>
      <c r="N16936" s="56"/>
    </row>
    <row r="16937" spans="1:14" x14ac:dyDescent="0.3">
      <c r="A16937" s="42"/>
      <c r="C16937" s="52"/>
      <c r="E16937"/>
      <c r="N16937" s="56"/>
    </row>
    <row r="16938" spans="1:14" x14ac:dyDescent="0.3">
      <c r="A16938" s="42"/>
      <c r="C16938" s="52"/>
      <c r="E16938"/>
      <c r="N16938" s="56"/>
    </row>
    <row r="16939" spans="1:14" x14ac:dyDescent="0.3">
      <c r="A16939" s="42"/>
      <c r="C16939" s="52"/>
      <c r="E16939"/>
      <c r="N16939" s="56"/>
    </row>
    <row r="16940" spans="1:14" x14ac:dyDescent="0.3">
      <c r="A16940" s="42"/>
      <c r="C16940" s="52"/>
      <c r="E16940"/>
      <c r="N16940" s="56"/>
    </row>
    <row r="16941" spans="1:14" x14ac:dyDescent="0.3">
      <c r="A16941" s="42"/>
      <c r="C16941" s="52"/>
      <c r="E16941"/>
      <c r="N16941" s="56"/>
    </row>
    <row r="16942" spans="1:14" x14ac:dyDescent="0.3">
      <c r="A16942" s="42"/>
      <c r="C16942" s="52"/>
      <c r="E16942"/>
      <c r="N16942" s="56"/>
    </row>
    <row r="16943" spans="1:14" x14ac:dyDescent="0.3">
      <c r="A16943" s="42"/>
      <c r="C16943" s="52"/>
      <c r="E16943"/>
      <c r="N16943" s="56"/>
    </row>
    <row r="16944" spans="1:14" x14ac:dyDescent="0.3">
      <c r="A16944" s="42"/>
      <c r="C16944" s="52"/>
      <c r="E16944"/>
      <c r="N16944" s="56"/>
    </row>
    <row r="16945" spans="1:14" x14ac:dyDescent="0.3">
      <c r="A16945" s="42"/>
      <c r="C16945" s="52"/>
      <c r="E16945"/>
      <c r="N16945" s="56"/>
    </row>
    <row r="16946" spans="1:14" x14ac:dyDescent="0.3">
      <c r="A16946" s="42"/>
      <c r="C16946" s="52"/>
      <c r="E16946"/>
      <c r="N16946" s="56"/>
    </row>
    <row r="16947" spans="1:14" x14ac:dyDescent="0.3">
      <c r="A16947" s="42"/>
      <c r="C16947" s="52"/>
      <c r="E16947"/>
      <c r="N16947" s="56"/>
    </row>
    <row r="16948" spans="1:14" x14ac:dyDescent="0.3">
      <c r="A16948" s="42"/>
      <c r="C16948" s="52"/>
      <c r="E16948"/>
      <c r="N16948" s="56"/>
    </row>
    <row r="16949" spans="1:14" x14ac:dyDescent="0.3">
      <c r="A16949" s="42"/>
      <c r="C16949" s="52"/>
      <c r="E16949"/>
      <c r="N16949" s="56"/>
    </row>
    <row r="16950" spans="1:14" x14ac:dyDescent="0.3">
      <c r="A16950" s="42"/>
      <c r="C16950" s="52"/>
      <c r="E16950"/>
      <c r="N16950" s="56"/>
    </row>
    <row r="16951" spans="1:14" x14ac:dyDescent="0.3">
      <c r="A16951" s="42"/>
      <c r="C16951" s="52"/>
      <c r="E16951"/>
      <c r="N16951" s="56"/>
    </row>
    <row r="16952" spans="1:14" x14ac:dyDescent="0.3">
      <c r="A16952" s="42"/>
      <c r="C16952" s="52"/>
      <c r="E16952"/>
      <c r="N16952" s="56"/>
    </row>
    <row r="16953" spans="1:14" x14ac:dyDescent="0.3">
      <c r="A16953" s="42"/>
      <c r="C16953" s="52"/>
      <c r="E16953"/>
      <c r="N16953" s="56"/>
    </row>
    <row r="16954" spans="1:14" x14ac:dyDescent="0.3">
      <c r="A16954" s="42"/>
      <c r="C16954" s="52"/>
      <c r="E16954"/>
      <c r="N16954" s="56"/>
    </row>
    <row r="16955" spans="1:14" x14ac:dyDescent="0.3">
      <c r="A16955" s="42"/>
      <c r="C16955" s="52"/>
      <c r="E16955"/>
      <c r="N16955" s="56"/>
    </row>
    <row r="16956" spans="1:14" x14ac:dyDescent="0.3">
      <c r="A16956" s="42"/>
      <c r="C16956" s="52"/>
      <c r="E16956"/>
      <c r="N16956" s="56"/>
    </row>
    <row r="16957" spans="1:14" x14ac:dyDescent="0.3">
      <c r="A16957" s="42"/>
      <c r="C16957" s="52"/>
      <c r="E16957"/>
      <c r="N16957" s="56"/>
    </row>
    <row r="16958" spans="1:14" x14ac:dyDescent="0.3">
      <c r="A16958" s="42"/>
      <c r="C16958" s="52"/>
      <c r="E16958"/>
      <c r="N16958" s="56"/>
    </row>
    <row r="16959" spans="1:14" x14ac:dyDescent="0.3">
      <c r="A16959" s="42"/>
      <c r="C16959" s="52"/>
      <c r="E16959"/>
      <c r="N16959" s="56"/>
    </row>
    <row r="16960" spans="1:14" x14ac:dyDescent="0.3">
      <c r="A16960" s="42"/>
      <c r="C16960" s="52"/>
      <c r="E16960"/>
      <c r="N16960" s="56"/>
    </row>
    <row r="16961" spans="1:14" x14ac:dyDescent="0.3">
      <c r="A16961" s="42"/>
      <c r="C16961" s="52"/>
      <c r="E16961"/>
      <c r="N16961" s="56"/>
    </row>
    <row r="16962" spans="1:14" x14ac:dyDescent="0.3">
      <c r="A16962" s="42"/>
      <c r="C16962" s="52"/>
      <c r="E16962"/>
      <c r="N16962" s="56"/>
    </row>
    <row r="16963" spans="1:14" x14ac:dyDescent="0.3">
      <c r="A16963" s="42"/>
      <c r="C16963" s="52"/>
      <c r="E16963"/>
      <c r="N16963" s="56"/>
    </row>
    <row r="16964" spans="1:14" x14ac:dyDescent="0.3">
      <c r="A16964" s="42"/>
      <c r="C16964" s="52"/>
      <c r="E16964"/>
      <c r="N16964" s="56"/>
    </row>
    <row r="16965" spans="1:14" x14ac:dyDescent="0.3">
      <c r="A16965" s="42"/>
      <c r="C16965" s="52"/>
      <c r="E16965"/>
      <c r="N16965" s="56"/>
    </row>
    <row r="16966" spans="1:14" x14ac:dyDescent="0.3">
      <c r="A16966" s="42"/>
      <c r="C16966" s="52"/>
      <c r="E16966"/>
      <c r="N16966" s="56"/>
    </row>
    <row r="16967" spans="1:14" x14ac:dyDescent="0.3">
      <c r="A16967" s="42"/>
      <c r="C16967" s="52"/>
      <c r="E16967"/>
      <c r="N16967" s="56"/>
    </row>
    <row r="16968" spans="1:14" x14ac:dyDescent="0.3">
      <c r="A16968" s="42"/>
      <c r="C16968" s="52"/>
      <c r="E16968"/>
      <c r="N16968" s="56"/>
    </row>
    <row r="16969" spans="1:14" x14ac:dyDescent="0.3">
      <c r="A16969" s="42"/>
      <c r="C16969" s="52"/>
      <c r="E16969"/>
      <c r="N16969" s="56"/>
    </row>
    <row r="16970" spans="1:14" x14ac:dyDescent="0.3">
      <c r="A16970" s="42"/>
      <c r="C16970" s="52"/>
      <c r="E16970"/>
      <c r="N16970" s="56"/>
    </row>
    <row r="16971" spans="1:14" x14ac:dyDescent="0.3">
      <c r="A16971" s="42"/>
      <c r="C16971" s="52"/>
      <c r="E16971"/>
      <c r="N16971" s="56"/>
    </row>
    <row r="16972" spans="1:14" x14ac:dyDescent="0.3">
      <c r="A16972" s="42"/>
      <c r="C16972" s="52"/>
      <c r="E16972"/>
      <c r="N16972" s="56"/>
    </row>
    <row r="16973" spans="1:14" x14ac:dyDescent="0.3">
      <c r="A16973" s="42"/>
      <c r="C16973" s="52"/>
      <c r="E16973"/>
      <c r="N16973" s="56"/>
    </row>
    <row r="16974" spans="1:14" x14ac:dyDescent="0.3">
      <c r="A16974" s="42"/>
      <c r="C16974" s="52"/>
      <c r="E16974"/>
      <c r="N16974" s="56"/>
    </row>
    <row r="16975" spans="1:14" x14ac:dyDescent="0.3">
      <c r="A16975" s="42"/>
      <c r="C16975" s="52"/>
      <c r="E16975"/>
      <c r="N16975" s="56"/>
    </row>
    <row r="16976" spans="1:14" x14ac:dyDescent="0.3">
      <c r="A16976" s="42"/>
      <c r="C16976" s="52"/>
      <c r="E16976"/>
      <c r="N16976" s="56"/>
    </row>
    <row r="16977" spans="1:14" x14ac:dyDescent="0.3">
      <c r="A16977" s="42"/>
      <c r="C16977" s="52"/>
      <c r="E16977"/>
      <c r="N16977" s="56"/>
    </row>
    <row r="16978" spans="1:14" x14ac:dyDescent="0.3">
      <c r="A16978" s="42"/>
      <c r="C16978" s="52"/>
      <c r="E16978"/>
      <c r="N16978" s="56"/>
    </row>
    <row r="16979" spans="1:14" x14ac:dyDescent="0.3">
      <c r="A16979" s="42"/>
      <c r="C16979" s="52"/>
      <c r="E16979"/>
      <c r="N16979" s="56"/>
    </row>
    <row r="16980" spans="1:14" x14ac:dyDescent="0.3">
      <c r="A16980" s="42"/>
      <c r="C16980" s="52"/>
      <c r="E16980"/>
      <c r="N16980" s="56"/>
    </row>
    <row r="16981" spans="1:14" x14ac:dyDescent="0.3">
      <c r="A16981" s="42"/>
      <c r="C16981" s="52"/>
      <c r="E16981"/>
      <c r="N16981" s="56"/>
    </row>
    <row r="16982" spans="1:14" x14ac:dyDescent="0.3">
      <c r="A16982" s="42"/>
      <c r="C16982" s="52"/>
      <c r="E16982"/>
      <c r="N16982" s="56"/>
    </row>
    <row r="16983" spans="1:14" x14ac:dyDescent="0.3">
      <c r="A16983" s="42"/>
      <c r="C16983" s="52"/>
      <c r="E16983"/>
      <c r="N16983" s="56"/>
    </row>
    <row r="16984" spans="1:14" x14ac:dyDescent="0.3">
      <c r="A16984" s="42"/>
      <c r="C16984" s="52"/>
      <c r="E16984"/>
      <c r="N16984" s="56"/>
    </row>
    <row r="16985" spans="1:14" x14ac:dyDescent="0.3">
      <c r="A16985" s="42"/>
      <c r="C16985" s="52"/>
      <c r="E16985"/>
      <c r="N16985" s="56"/>
    </row>
    <row r="16986" spans="1:14" x14ac:dyDescent="0.3">
      <c r="A16986" s="42"/>
      <c r="C16986" s="52"/>
      <c r="E16986"/>
      <c r="N16986" s="56"/>
    </row>
    <row r="16987" spans="1:14" x14ac:dyDescent="0.3">
      <c r="A16987" s="42"/>
      <c r="C16987" s="52"/>
      <c r="E16987"/>
      <c r="N16987" s="56"/>
    </row>
    <row r="16988" spans="1:14" x14ac:dyDescent="0.3">
      <c r="A16988" s="42"/>
      <c r="C16988" s="52"/>
      <c r="E16988"/>
      <c r="N16988" s="56"/>
    </row>
    <row r="16989" spans="1:14" x14ac:dyDescent="0.3">
      <c r="A16989" s="42"/>
      <c r="C16989" s="52"/>
      <c r="E16989"/>
      <c r="N16989" s="56"/>
    </row>
    <row r="16990" spans="1:14" x14ac:dyDescent="0.3">
      <c r="A16990" s="42"/>
      <c r="C16990" s="52"/>
      <c r="E16990"/>
      <c r="N16990" s="56"/>
    </row>
    <row r="16991" spans="1:14" x14ac:dyDescent="0.3">
      <c r="A16991" s="42"/>
      <c r="C16991" s="52"/>
      <c r="E16991"/>
      <c r="N16991" s="56"/>
    </row>
    <row r="16992" spans="1:14" x14ac:dyDescent="0.3">
      <c r="A16992" s="42"/>
      <c r="C16992" s="52"/>
      <c r="E16992"/>
      <c r="N16992" s="56"/>
    </row>
    <row r="16993" spans="1:14" x14ac:dyDescent="0.3">
      <c r="A16993" s="42"/>
      <c r="C16993" s="52"/>
      <c r="E16993"/>
      <c r="N16993" s="56"/>
    </row>
    <row r="16994" spans="1:14" x14ac:dyDescent="0.3">
      <c r="A16994" s="42"/>
      <c r="C16994" s="52"/>
      <c r="E16994"/>
      <c r="N16994" s="56"/>
    </row>
    <row r="16995" spans="1:14" x14ac:dyDescent="0.3">
      <c r="A16995" s="42"/>
      <c r="C16995" s="52"/>
      <c r="E16995"/>
      <c r="N16995" s="56"/>
    </row>
    <row r="16996" spans="1:14" x14ac:dyDescent="0.3">
      <c r="A16996" s="42"/>
      <c r="C16996" s="52"/>
      <c r="E16996"/>
      <c r="N16996" s="56"/>
    </row>
    <row r="16997" spans="1:14" x14ac:dyDescent="0.3">
      <c r="A16997" s="42"/>
      <c r="C16997" s="52"/>
      <c r="E16997"/>
      <c r="N16997" s="56"/>
    </row>
    <row r="16998" spans="1:14" x14ac:dyDescent="0.3">
      <c r="A16998" s="42"/>
      <c r="C16998" s="52"/>
      <c r="E16998"/>
      <c r="N16998" s="56"/>
    </row>
    <row r="16999" spans="1:14" x14ac:dyDescent="0.3">
      <c r="A16999" s="42"/>
      <c r="C16999" s="52"/>
      <c r="E16999"/>
      <c r="N16999" s="56"/>
    </row>
    <row r="17000" spans="1:14" x14ac:dyDescent="0.3">
      <c r="A17000" s="42"/>
      <c r="C17000" s="52"/>
      <c r="E17000"/>
      <c r="N17000" s="56"/>
    </row>
    <row r="17001" spans="1:14" x14ac:dyDescent="0.3">
      <c r="A17001" s="42"/>
      <c r="C17001" s="52"/>
      <c r="E17001"/>
      <c r="N17001" s="56"/>
    </row>
    <row r="17002" spans="1:14" x14ac:dyDescent="0.3">
      <c r="A17002" s="42"/>
      <c r="C17002" s="52"/>
      <c r="E17002"/>
      <c r="N17002" s="56"/>
    </row>
    <row r="17003" spans="1:14" x14ac:dyDescent="0.3">
      <c r="A17003" s="42"/>
      <c r="C17003" s="52"/>
      <c r="E17003"/>
      <c r="N17003" s="56"/>
    </row>
    <row r="17004" spans="1:14" x14ac:dyDescent="0.3">
      <c r="A17004" s="42"/>
      <c r="C17004" s="52"/>
      <c r="E17004"/>
      <c r="N17004" s="56"/>
    </row>
    <row r="17005" spans="1:14" x14ac:dyDescent="0.3">
      <c r="A17005" s="42"/>
      <c r="C17005" s="52"/>
      <c r="E17005"/>
      <c r="N17005" s="56"/>
    </row>
    <row r="17006" spans="1:14" x14ac:dyDescent="0.3">
      <c r="A17006" s="42"/>
      <c r="C17006" s="52"/>
      <c r="E17006"/>
      <c r="N17006" s="56"/>
    </row>
    <row r="17007" spans="1:14" x14ac:dyDescent="0.3">
      <c r="A17007" s="42"/>
      <c r="C17007" s="52"/>
      <c r="E17007"/>
      <c r="N17007" s="56"/>
    </row>
    <row r="17008" spans="1:14" x14ac:dyDescent="0.3">
      <c r="A17008" s="42"/>
      <c r="C17008" s="52"/>
      <c r="E17008"/>
      <c r="N17008" s="56"/>
    </row>
    <row r="17009" spans="1:14" x14ac:dyDescent="0.3">
      <c r="A17009" s="42"/>
      <c r="C17009" s="52"/>
      <c r="E17009"/>
      <c r="M17009" s="45"/>
      <c r="N17009" s="56"/>
    </row>
    <row r="17010" spans="1:14" x14ac:dyDescent="0.3">
      <c r="A17010" s="42"/>
      <c r="C17010" s="52"/>
      <c r="E17010"/>
      <c r="N17010" s="56"/>
    </row>
    <row r="17011" spans="1:14" x14ac:dyDescent="0.3">
      <c r="A17011" s="42"/>
      <c r="C17011" s="52"/>
      <c r="E17011"/>
      <c r="N17011" s="56"/>
    </row>
    <row r="17012" spans="1:14" x14ac:dyDescent="0.3">
      <c r="A17012" s="42"/>
      <c r="C17012" s="52"/>
      <c r="E17012"/>
      <c r="M17012" s="45"/>
      <c r="N17012" s="56"/>
    </row>
    <row r="17013" spans="1:14" x14ac:dyDescent="0.3">
      <c r="A17013" s="42"/>
      <c r="C17013" s="52"/>
      <c r="E17013"/>
      <c r="N17013" s="56"/>
    </row>
    <row r="17014" spans="1:14" x14ac:dyDescent="0.3">
      <c r="A17014" s="42"/>
      <c r="C17014" s="52"/>
      <c r="E17014"/>
      <c r="N17014" s="56"/>
    </row>
    <row r="17015" spans="1:14" x14ac:dyDescent="0.3">
      <c r="A17015" s="42"/>
      <c r="C17015" s="52"/>
      <c r="E17015"/>
      <c r="N17015" s="56"/>
    </row>
    <row r="17016" spans="1:14" x14ac:dyDescent="0.3">
      <c r="A17016" s="42"/>
      <c r="C17016" s="52"/>
      <c r="E17016"/>
      <c r="N17016" s="56"/>
    </row>
    <row r="17017" spans="1:14" x14ac:dyDescent="0.3">
      <c r="A17017" s="42"/>
      <c r="C17017" s="52"/>
      <c r="E17017"/>
      <c r="N17017" s="56"/>
    </row>
    <row r="17018" spans="1:14" x14ac:dyDescent="0.3">
      <c r="A17018" s="42"/>
      <c r="C17018" s="52"/>
      <c r="E17018"/>
      <c r="N17018" s="56"/>
    </row>
    <row r="17019" spans="1:14" x14ac:dyDescent="0.3">
      <c r="A17019" s="42"/>
      <c r="C17019" s="52"/>
      <c r="E17019"/>
      <c r="N17019" s="56"/>
    </row>
    <row r="17020" spans="1:14" x14ac:dyDescent="0.3">
      <c r="A17020" s="42"/>
      <c r="C17020" s="52"/>
      <c r="E17020"/>
      <c r="N17020" s="56"/>
    </row>
    <row r="17021" spans="1:14" x14ac:dyDescent="0.3">
      <c r="A17021" s="42"/>
      <c r="C17021" s="52"/>
      <c r="E17021"/>
      <c r="N17021" s="56"/>
    </row>
    <row r="17022" spans="1:14" x14ac:dyDescent="0.3">
      <c r="A17022" s="42"/>
      <c r="C17022" s="52"/>
      <c r="E17022"/>
      <c r="N17022" s="56"/>
    </row>
    <row r="17023" spans="1:14" x14ac:dyDescent="0.3">
      <c r="A17023" s="42"/>
      <c r="C17023" s="52"/>
      <c r="E17023"/>
      <c r="N17023" s="56"/>
    </row>
    <row r="17024" spans="1:14" x14ac:dyDescent="0.3">
      <c r="A17024" s="42"/>
      <c r="C17024" s="52"/>
      <c r="E17024"/>
      <c r="N17024" s="56"/>
    </row>
    <row r="17025" spans="1:14" x14ac:dyDescent="0.3">
      <c r="A17025" s="42"/>
      <c r="C17025" s="52"/>
      <c r="E17025"/>
      <c r="N17025" s="56"/>
    </row>
    <row r="17026" spans="1:14" x14ac:dyDescent="0.3">
      <c r="A17026" s="42"/>
      <c r="C17026" s="52"/>
      <c r="E17026"/>
      <c r="N17026" s="56"/>
    </row>
    <row r="17027" spans="1:14" x14ac:dyDescent="0.3">
      <c r="A17027" s="42"/>
      <c r="C17027" s="52"/>
      <c r="E17027"/>
      <c r="N17027" s="56"/>
    </row>
    <row r="17028" spans="1:14" x14ac:dyDescent="0.3">
      <c r="A17028" s="42"/>
      <c r="C17028" s="52"/>
      <c r="E17028"/>
      <c r="N17028" s="56"/>
    </row>
    <row r="17029" spans="1:14" x14ac:dyDescent="0.3">
      <c r="A17029" s="42"/>
      <c r="C17029" s="52"/>
      <c r="E17029"/>
      <c r="N17029" s="56"/>
    </row>
    <row r="17030" spans="1:14" x14ac:dyDescent="0.3">
      <c r="A17030" s="42"/>
      <c r="C17030" s="52"/>
      <c r="E17030"/>
      <c r="N17030" s="56"/>
    </row>
    <row r="17031" spans="1:14" x14ac:dyDescent="0.3">
      <c r="A17031" s="42"/>
      <c r="C17031" s="52"/>
      <c r="E17031"/>
      <c r="N17031" s="56"/>
    </row>
    <row r="17032" spans="1:14" x14ac:dyDescent="0.3">
      <c r="A17032" s="42"/>
      <c r="C17032" s="52"/>
      <c r="E17032"/>
      <c r="N17032" s="56"/>
    </row>
    <row r="17033" spans="1:14" x14ac:dyDescent="0.3">
      <c r="A17033" s="42"/>
      <c r="C17033" s="52"/>
      <c r="E17033"/>
      <c r="N17033" s="56"/>
    </row>
    <row r="17034" spans="1:14" x14ac:dyDescent="0.3">
      <c r="A17034" s="42"/>
      <c r="C17034" s="52"/>
      <c r="E17034"/>
      <c r="N17034" s="56"/>
    </row>
    <row r="17035" spans="1:14" x14ac:dyDescent="0.3">
      <c r="A17035" s="42"/>
      <c r="C17035" s="52"/>
      <c r="E17035"/>
      <c r="N17035" s="56"/>
    </row>
    <row r="17036" spans="1:14" x14ac:dyDescent="0.3">
      <c r="A17036" s="42"/>
      <c r="C17036" s="52"/>
      <c r="E17036"/>
      <c r="N17036" s="56"/>
    </row>
    <row r="17037" spans="1:14" x14ac:dyDescent="0.3">
      <c r="A17037" s="42"/>
      <c r="C17037" s="52"/>
      <c r="E17037"/>
      <c r="N17037" s="56"/>
    </row>
    <row r="17038" spans="1:14" x14ac:dyDescent="0.3">
      <c r="A17038" s="42"/>
      <c r="C17038" s="52"/>
      <c r="E17038"/>
      <c r="N17038" s="56"/>
    </row>
    <row r="17039" spans="1:14" x14ac:dyDescent="0.3">
      <c r="A17039" s="42"/>
      <c r="C17039" s="52"/>
      <c r="E17039"/>
      <c r="N17039" s="56"/>
    </row>
    <row r="17040" spans="1:14" x14ac:dyDescent="0.3">
      <c r="A17040" s="42"/>
      <c r="C17040" s="52"/>
      <c r="E17040"/>
      <c r="N17040" s="56"/>
    </row>
    <row r="17041" spans="1:14" x14ac:dyDescent="0.3">
      <c r="A17041" s="42"/>
      <c r="C17041" s="52"/>
      <c r="E17041"/>
      <c r="N17041" s="56"/>
    </row>
    <row r="17042" spans="1:14" x14ac:dyDescent="0.3">
      <c r="A17042" s="42"/>
      <c r="C17042" s="52"/>
      <c r="E17042"/>
      <c r="N17042" s="56"/>
    </row>
    <row r="17043" spans="1:14" x14ac:dyDescent="0.3">
      <c r="A17043" s="42"/>
      <c r="C17043" s="52"/>
      <c r="E17043"/>
      <c r="N17043" s="56"/>
    </row>
    <row r="17044" spans="1:14" x14ac:dyDescent="0.3">
      <c r="A17044" s="42"/>
      <c r="C17044" s="52"/>
      <c r="E17044"/>
      <c r="N17044" s="56"/>
    </row>
    <row r="17045" spans="1:14" x14ac:dyDescent="0.3">
      <c r="A17045" s="42"/>
      <c r="C17045" s="52"/>
      <c r="E17045"/>
      <c r="N17045" s="56"/>
    </row>
    <row r="17046" spans="1:14" x14ac:dyDescent="0.3">
      <c r="A17046" s="42"/>
      <c r="C17046" s="52"/>
      <c r="E17046"/>
      <c r="N17046" s="56"/>
    </row>
    <row r="17047" spans="1:14" x14ac:dyDescent="0.3">
      <c r="A17047" s="42"/>
      <c r="C17047" s="52"/>
      <c r="E17047"/>
      <c r="N17047" s="56"/>
    </row>
    <row r="17048" spans="1:14" x14ac:dyDescent="0.3">
      <c r="A17048" s="42"/>
      <c r="C17048" s="52"/>
      <c r="E17048"/>
      <c r="N17048" s="56"/>
    </row>
    <row r="17049" spans="1:14" x14ac:dyDescent="0.3">
      <c r="A17049" s="42"/>
      <c r="C17049" s="52"/>
      <c r="E17049"/>
      <c r="N17049" s="56"/>
    </row>
    <row r="17050" spans="1:14" x14ac:dyDescent="0.3">
      <c r="A17050" s="42"/>
      <c r="C17050" s="52"/>
      <c r="E17050"/>
      <c r="N17050" s="56"/>
    </row>
    <row r="17051" spans="1:14" x14ac:dyDescent="0.3">
      <c r="A17051" s="42"/>
      <c r="C17051" s="52"/>
      <c r="E17051"/>
      <c r="N17051" s="56"/>
    </row>
    <row r="17052" spans="1:14" x14ac:dyDescent="0.3">
      <c r="A17052" s="42"/>
      <c r="C17052" s="52"/>
      <c r="E17052"/>
      <c r="N17052" s="56"/>
    </row>
    <row r="17053" spans="1:14" x14ac:dyDescent="0.3">
      <c r="A17053" s="42"/>
      <c r="C17053" s="52"/>
      <c r="E17053"/>
      <c r="N17053" s="56"/>
    </row>
    <row r="17054" spans="1:14" x14ac:dyDescent="0.3">
      <c r="A17054" s="42"/>
      <c r="C17054" s="52"/>
      <c r="E17054"/>
      <c r="N17054" s="56"/>
    </row>
    <row r="17055" spans="1:14" x14ac:dyDescent="0.3">
      <c r="A17055" s="42"/>
      <c r="C17055" s="52"/>
      <c r="E17055"/>
      <c r="N17055" s="56"/>
    </row>
    <row r="17056" spans="1:14" x14ac:dyDescent="0.3">
      <c r="A17056" s="42"/>
      <c r="C17056" s="52"/>
      <c r="E17056"/>
      <c r="N17056" s="56"/>
    </row>
    <row r="17057" spans="1:14" x14ac:dyDescent="0.3">
      <c r="A17057" s="42"/>
      <c r="C17057" s="52"/>
      <c r="E17057"/>
      <c r="N17057" s="56"/>
    </row>
    <row r="17058" spans="1:14" x14ac:dyDescent="0.3">
      <c r="A17058" s="42"/>
      <c r="C17058" s="52"/>
      <c r="E17058"/>
      <c r="N17058" s="56"/>
    </row>
    <row r="17059" spans="1:14" x14ac:dyDescent="0.3">
      <c r="A17059" s="42"/>
      <c r="C17059" s="52"/>
      <c r="E17059"/>
      <c r="N17059" s="56"/>
    </row>
    <row r="17060" spans="1:14" x14ac:dyDescent="0.3">
      <c r="A17060" s="42"/>
      <c r="C17060" s="52"/>
      <c r="E17060"/>
      <c r="N17060" s="56"/>
    </row>
    <row r="17061" spans="1:14" x14ac:dyDescent="0.3">
      <c r="A17061" s="42"/>
      <c r="C17061" s="52"/>
      <c r="E17061"/>
      <c r="N17061" s="56"/>
    </row>
    <row r="17062" spans="1:14" x14ac:dyDescent="0.3">
      <c r="A17062" s="42"/>
      <c r="C17062" s="52"/>
      <c r="E17062"/>
      <c r="N17062" s="56"/>
    </row>
    <row r="17063" spans="1:14" x14ac:dyDescent="0.3">
      <c r="A17063" s="42"/>
      <c r="C17063" s="52"/>
      <c r="E17063"/>
      <c r="N17063" s="56"/>
    </row>
    <row r="17064" spans="1:14" x14ac:dyDescent="0.3">
      <c r="A17064" s="42"/>
      <c r="C17064" s="52"/>
      <c r="E17064"/>
      <c r="N17064" s="56"/>
    </row>
    <row r="17065" spans="1:14" x14ac:dyDescent="0.3">
      <c r="A17065" s="42"/>
      <c r="C17065" s="52"/>
      <c r="E17065"/>
      <c r="N17065" s="56"/>
    </row>
    <row r="17066" spans="1:14" x14ac:dyDescent="0.3">
      <c r="A17066" s="42"/>
      <c r="C17066" s="52"/>
      <c r="E17066"/>
      <c r="N17066" s="56"/>
    </row>
    <row r="17067" spans="1:14" x14ac:dyDescent="0.3">
      <c r="A17067" s="42"/>
      <c r="C17067" s="52"/>
      <c r="E17067"/>
      <c r="N17067" s="56"/>
    </row>
    <row r="17068" spans="1:14" x14ac:dyDescent="0.3">
      <c r="A17068" s="42"/>
      <c r="C17068" s="52"/>
      <c r="E17068"/>
      <c r="N17068" s="56"/>
    </row>
    <row r="17069" spans="1:14" x14ac:dyDescent="0.3">
      <c r="A17069" s="42"/>
      <c r="C17069" s="52"/>
      <c r="E17069"/>
      <c r="N17069" s="56"/>
    </row>
    <row r="17070" spans="1:14" x14ac:dyDescent="0.3">
      <c r="A17070" s="42"/>
      <c r="C17070" s="52"/>
      <c r="E17070"/>
      <c r="N17070" s="56"/>
    </row>
    <row r="17071" spans="1:14" x14ac:dyDescent="0.3">
      <c r="A17071" s="42"/>
      <c r="C17071" s="52"/>
      <c r="E17071"/>
      <c r="N17071" s="56"/>
    </row>
    <row r="17072" spans="1:14" x14ac:dyDescent="0.3">
      <c r="A17072" s="42"/>
      <c r="C17072" s="52"/>
      <c r="E17072"/>
      <c r="N17072" s="56"/>
    </row>
    <row r="17073" spans="1:14" x14ac:dyDescent="0.3">
      <c r="A17073" s="42"/>
      <c r="C17073" s="52"/>
      <c r="E17073"/>
      <c r="N17073" s="56"/>
    </row>
    <row r="17074" spans="1:14" x14ac:dyDescent="0.3">
      <c r="A17074" s="42"/>
      <c r="C17074" s="52"/>
      <c r="E17074"/>
      <c r="N17074" s="56"/>
    </row>
    <row r="17075" spans="1:14" x14ac:dyDescent="0.3">
      <c r="A17075" s="42"/>
      <c r="C17075" s="52"/>
      <c r="E17075"/>
      <c r="N17075" s="56"/>
    </row>
    <row r="17076" spans="1:14" x14ac:dyDescent="0.3">
      <c r="A17076" s="42"/>
      <c r="C17076" s="52"/>
      <c r="E17076"/>
      <c r="N17076" s="56"/>
    </row>
    <row r="17077" spans="1:14" x14ac:dyDescent="0.3">
      <c r="A17077" s="42"/>
      <c r="C17077" s="52"/>
      <c r="E17077"/>
      <c r="N17077" s="56"/>
    </row>
    <row r="17078" spans="1:14" x14ac:dyDescent="0.3">
      <c r="A17078" s="42"/>
      <c r="C17078" s="52"/>
      <c r="E17078"/>
      <c r="N17078" s="56"/>
    </row>
    <row r="17079" spans="1:14" x14ac:dyDescent="0.3">
      <c r="A17079" s="42"/>
      <c r="C17079" s="52"/>
      <c r="E17079"/>
      <c r="N17079" s="56"/>
    </row>
    <row r="17080" spans="1:14" x14ac:dyDescent="0.3">
      <c r="A17080" s="42"/>
      <c r="C17080" s="52"/>
      <c r="E17080"/>
      <c r="N17080" s="56"/>
    </row>
    <row r="17081" spans="1:14" x14ac:dyDescent="0.3">
      <c r="A17081" s="42"/>
      <c r="C17081" s="52"/>
      <c r="E17081"/>
      <c r="N17081" s="56"/>
    </row>
    <row r="17082" spans="1:14" x14ac:dyDescent="0.3">
      <c r="A17082" s="42"/>
      <c r="C17082" s="52"/>
      <c r="E17082"/>
      <c r="N17082" s="56"/>
    </row>
    <row r="17083" spans="1:14" x14ac:dyDescent="0.3">
      <c r="A17083" s="42"/>
      <c r="C17083" s="52"/>
      <c r="E17083"/>
      <c r="N17083" s="56"/>
    </row>
    <row r="17084" spans="1:14" x14ac:dyDescent="0.3">
      <c r="A17084" s="42"/>
      <c r="C17084" s="52"/>
      <c r="E17084"/>
      <c r="N17084" s="56"/>
    </row>
    <row r="17085" spans="1:14" x14ac:dyDescent="0.3">
      <c r="A17085" s="42"/>
      <c r="C17085" s="52"/>
      <c r="E17085"/>
      <c r="N17085" s="56"/>
    </row>
    <row r="17086" spans="1:14" x14ac:dyDescent="0.3">
      <c r="A17086" s="42"/>
      <c r="C17086" s="52"/>
      <c r="E17086"/>
      <c r="N17086" s="56"/>
    </row>
    <row r="17087" spans="1:14" x14ac:dyDescent="0.3">
      <c r="A17087" s="42"/>
      <c r="C17087" s="52"/>
      <c r="E17087"/>
      <c r="N17087" s="56"/>
    </row>
    <row r="17088" spans="1:14" x14ac:dyDescent="0.3">
      <c r="A17088" s="42"/>
      <c r="C17088" s="52"/>
      <c r="E17088"/>
      <c r="N17088" s="56"/>
    </row>
    <row r="17089" spans="1:14" x14ac:dyDescent="0.3">
      <c r="A17089" s="42"/>
      <c r="C17089" s="52"/>
      <c r="E17089"/>
      <c r="N17089" s="56"/>
    </row>
    <row r="17090" spans="1:14" x14ac:dyDescent="0.3">
      <c r="A17090" s="42"/>
      <c r="C17090" s="52"/>
      <c r="E17090"/>
      <c r="N17090" s="56"/>
    </row>
    <row r="17091" spans="1:14" x14ac:dyDescent="0.3">
      <c r="A17091" s="42"/>
      <c r="C17091" s="52"/>
      <c r="E17091"/>
      <c r="N17091" s="56"/>
    </row>
    <row r="17092" spans="1:14" x14ac:dyDescent="0.3">
      <c r="A17092" s="42"/>
      <c r="C17092" s="52"/>
      <c r="E17092"/>
      <c r="N17092" s="56"/>
    </row>
    <row r="17093" spans="1:14" x14ac:dyDescent="0.3">
      <c r="A17093" s="42"/>
      <c r="C17093" s="52"/>
      <c r="E17093"/>
      <c r="N17093" s="56"/>
    </row>
    <row r="17094" spans="1:14" x14ac:dyDescent="0.3">
      <c r="A17094" s="42"/>
      <c r="C17094" s="52"/>
      <c r="E17094"/>
      <c r="N17094" s="56"/>
    </row>
    <row r="17095" spans="1:14" x14ac:dyDescent="0.3">
      <c r="A17095" s="42"/>
      <c r="C17095" s="52"/>
      <c r="E17095"/>
      <c r="N17095" s="56"/>
    </row>
    <row r="17096" spans="1:14" x14ac:dyDescent="0.3">
      <c r="A17096" s="42"/>
      <c r="C17096" s="52"/>
      <c r="E17096"/>
      <c r="N17096" s="56"/>
    </row>
    <row r="17097" spans="1:14" x14ac:dyDescent="0.3">
      <c r="A17097" s="42"/>
      <c r="C17097" s="52"/>
      <c r="E17097"/>
      <c r="N17097" s="56"/>
    </row>
    <row r="17098" spans="1:14" x14ac:dyDescent="0.3">
      <c r="A17098" s="42"/>
      <c r="C17098" s="52"/>
      <c r="E17098"/>
      <c r="N17098" s="56"/>
    </row>
    <row r="17099" spans="1:14" x14ac:dyDescent="0.3">
      <c r="A17099" s="42"/>
      <c r="C17099" s="52"/>
      <c r="E17099"/>
      <c r="N17099" s="56"/>
    </row>
    <row r="17100" spans="1:14" x14ac:dyDescent="0.3">
      <c r="A17100" s="42"/>
      <c r="C17100" s="52"/>
      <c r="E17100"/>
      <c r="N17100" s="56"/>
    </row>
    <row r="17101" spans="1:14" x14ac:dyDescent="0.3">
      <c r="A17101" s="42"/>
      <c r="C17101" s="52"/>
      <c r="E17101"/>
      <c r="N17101" s="56"/>
    </row>
    <row r="17102" spans="1:14" x14ac:dyDescent="0.3">
      <c r="A17102" s="42"/>
      <c r="C17102" s="52"/>
      <c r="E17102"/>
      <c r="N17102" s="56"/>
    </row>
    <row r="17103" spans="1:14" x14ac:dyDescent="0.3">
      <c r="A17103" s="42"/>
      <c r="C17103" s="52"/>
      <c r="E17103"/>
      <c r="N17103" s="56"/>
    </row>
    <row r="17104" spans="1:14" x14ac:dyDescent="0.3">
      <c r="A17104" s="42"/>
      <c r="C17104" s="52"/>
      <c r="E17104"/>
      <c r="N17104" s="56"/>
    </row>
    <row r="17105" spans="1:14" x14ac:dyDescent="0.3">
      <c r="A17105" s="42"/>
      <c r="C17105" s="52"/>
      <c r="E17105"/>
      <c r="N17105" s="56"/>
    </row>
    <row r="17106" spans="1:14" x14ac:dyDescent="0.3">
      <c r="A17106" s="42"/>
      <c r="C17106" s="52"/>
      <c r="E17106"/>
      <c r="N17106" s="56"/>
    </row>
    <row r="17107" spans="1:14" x14ac:dyDescent="0.3">
      <c r="A17107" s="42"/>
      <c r="C17107" s="52"/>
      <c r="E17107"/>
      <c r="N17107" s="56"/>
    </row>
    <row r="17108" spans="1:14" x14ac:dyDescent="0.3">
      <c r="A17108" s="42"/>
      <c r="C17108" s="52"/>
      <c r="E17108"/>
      <c r="N17108" s="56"/>
    </row>
    <row r="17109" spans="1:14" x14ac:dyDescent="0.3">
      <c r="A17109" s="42"/>
      <c r="C17109" s="52"/>
      <c r="E17109"/>
      <c r="N17109" s="56"/>
    </row>
    <row r="17110" spans="1:14" x14ac:dyDescent="0.3">
      <c r="A17110" s="42"/>
      <c r="C17110" s="52"/>
      <c r="E17110"/>
      <c r="N17110" s="56"/>
    </row>
    <row r="17111" spans="1:14" x14ac:dyDescent="0.3">
      <c r="A17111" s="42"/>
      <c r="C17111" s="52"/>
      <c r="E17111"/>
      <c r="N17111" s="56"/>
    </row>
    <row r="17112" spans="1:14" x14ac:dyDescent="0.3">
      <c r="A17112" s="42"/>
      <c r="C17112" s="52"/>
      <c r="E17112"/>
      <c r="N17112" s="56"/>
    </row>
    <row r="17113" spans="1:14" x14ac:dyDescent="0.3">
      <c r="A17113" s="42"/>
      <c r="C17113" s="52"/>
      <c r="E17113"/>
      <c r="N17113" s="56"/>
    </row>
    <row r="17114" spans="1:14" x14ac:dyDescent="0.3">
      <c r="A17114" s="42"/>
      <c r="C17114" s="52"/>
      <c r="E17114"/>
      <c r="N17114" s="56"/>
    </row>
    <row r="17115" spans="1:14" x14ac:dyDescent="0.3">
      <c r="A17115" s="42"/>
      <c r="C17115" s="52"/>
      <c r="E17115"/>
      <c r="N17115" s="56"/>
    </row>
    <row r="17116" spans="1:14" x14ac:dyDescent="0.3">
      <c r="A17116" s="42"/>
      <c r="C17116" s="52"/>
      <c r="E17116"/>
      <c r="N17116" s="56"/>
    </row>
    <row r="17117" spans="1:14" x14ac:dyDescent="0.3">
      <c r="A17117" s="42"/>
      <c r="C17117" s="52"/>
      <c r="E17117"/>
      <c r="N17117" s="56"/>
    </row>
    <row r="17118" spans="1:14" x14ac:dyDescent="0.3">
      <c r="A17118" s="42"/>
      <c r="C17118" s="52"/>
      <c r="E17118"/>
      <c r="N17118" s="56"/>
    </row>
    <row r="17119" spans="1:14" x14ac:dyDescent="0.3">
      <c r="A17119" s="42"/>
      <c r="C17119" s="52"/>
      <c r="E17119"/>
      <c r="N17119" s="56"/>
    </row>
    <row r="17120" spans="1:14" x14ac:dyDescent="0.3">
      <c r="A17120" s="42"/>
      <c r="C17120" s="52"/>
      <c r="E17120"/>
      <c r="N17120" s="56"/>
    </row>
    <row r="17121" spans="1:14" x14ac:dyDescent="0.3">
      <c r="A17121" s="42"/>
      <c r="C17121" s="52"/>
      <c r="E17121"/>
      <c r="N17121" s="56"/>
    </row>
    <row r="17122" spans="1:14" x14ac:dyDescent="0.3">
      <c r="A17122" s="42"/>
      <c r="C17122" s="52"/>
      <c r="E17122"/>
      <c r="N17122" s="56"/>
    </row>
    <row r="17123" spans="1:14" x14ac:dyDescent="0.3">
      <c r="A17123" s="42"/>
      <c r="C17123" s="52"/>
      <c r="E17123"/>
      <c r="N17123" s="56"/>
    </row>
    <row r="17124" spans="1:14" x14ac:dyDescent="0.3">
      <c r="A17124" s="42"/>
      <c r="C17124" s="52"/>
      <c r="E17124"/>
      <c r="N17124" s="56"/>
    </row>
    <row r="17125" spans="1:14" x14ac:dyDescent="0.3">
      <c r="A17125" s="42"/>
      <c r="C17125" s="52"/>
      <c r="E17125"/>
      <c r="N17125" s="56"/>
    </row>
    <row r="17126" spans="1:14" x14ac:dyDescent="0.3">
      <c r="A17126" s="42"/>
      <c r="C17126" s="52"/>
      <c r="E17126"/>
      <c r="N17126" s="56"/>
    </row>
    <row r="17127" spans="1:14" x14ac:dyDescent="0.3">
      <c r="A17127" s="42"/>
      <c r="C17127" s="52"/>
      <c r="E17127"/>
      <c r="N17127" s="56"/>
    </row>
    <row r="17128" spans="1:14" x14ac:dyDescent="0.3">
      <c r="A17128" s="42"/>
      <c r="C17128" s="52"/>
      <c r="E17128"/>
      <c r="N17128" s="56"/>
    </row>
    <row r="17129" spans="1:14" x14ac:dyDescent="0.3">
      <c r="A17129" s="42"/>
      <c r="C17129" s="52"/>
      <c r="E17129"/>
      <c r="N17129" s="56"/>
    </row>
    <row r="17130" spans="1:14" x14ac:dyDescent="0.3">
      <c r="A17130" s="42"/>
      <c r="C17130" s="52"/>
      <c r="E17130"/>
      <c r="N17130" s="56"/>
    </row>
    <row r="17131" spans="1:14" x14ac:dyDescent="0.3">
      <c r="A17131" s="42"/>
      <c r="C17131" s="52"/>
      <c r="E17131"/>
      <c r="N17131" s="56"/>
    </row>
    <row r="17132" spans="1:14" x14ac:dyDescent="0.3">
      <c r="A17132" s="42"/>
      <c r="C17132" s="52"/>
      <c r="E17132"/>
      <c r="N17132" s="56"/>
    </row>
    <row r="17133" spans="1:14" x14ac:dyDescent="0.3">
      <c r="A17133" s="42"/>
      <c r="C17133" s="52"/>
      <c r="E17133"/>
      <c r="N17133" s="56"/>
    </row>
    <row r="17134" spans="1:14" x14ac:dyDescent="0.3">
      <c r="A17134" s="42"/>
      <c r="C17134" s="52"/>
      <c r="E17134"/>
      <c r="N17134" s="56"/>
    </row>
    <row r="17135" spans="1:14" x14ac:dyDescent="0.3">
      <c r="A17135" s="42"/>
      <c r="C17135" s="52"/>
      <c r="E17135"/>
      <c r="N17135" s="56"/>
    </row>
    <row r="17136" spans="1:14" x14ac:dyDescent="0.3">
      <c r="A17136" s="42"/>
      <c r="C17136" s="52"/>
      <c r="E17136"/>
      <c r="N17136" s="56"/>
    </row>
    <row r="17137" spans="1:14" x14ac:dyDescent="0.3">
      <c r="A17137" s="42"/>
      <c r="C17137" s="52"/>
      <c r="E17137"/>
      <c r="N17137" s="56"/>
    </row>
    <row r="17138" spans="1:14" x14ac:dyDescent="0.3">
      <c r="A17138" s="42"/>
      <c r="C17138" s="52"/>
      <c r="E17138"/>
      <c r="N17138" s="56"/>
    </row>
    <row r="17139" spans="1:14" x14ac:dyDescent="0.3">
      <c r="A17139" s="42"/>
      <c r="C17139" s="52"/>
      <c r="E17139"/>
      <c r="N17139" s="56"/>
    </row>
    <row r="17140" spans="1:14" x14ac:dyDescent="0.3">
      <c r="A17140" s="42"/>
      <c r="C17140" s="52"/>
      <c r="E17140"/>
      <c r="N17140" s="56"/>
    </row>
    <row r="17141" spans="1:14" x14ac:dyDescent="0.3">
      <c r="A17141" s="42"/>
      <c r="C17141" s="52"/>
      <c r="E17141"/>
      <c r="N17141" s="56"/>
    </row>
    <row r="17142" spans="1:14" x14ac:dyDescent="0.3">
      <c r="A17142" s="42"/>
      <c r="C17142" s="52"/>
      <c r="E17142"/>
      <c r="N17142" s="56"/>
    </row>
    <row r="17143" spans="1:14" x14ac:dyDescent="0.3">
      <c r="A17143" s="42"/>
      <c r="C17143" s="52"/>
      <c r="E17143"/>
      <c r="N17143" s="56"/>
    </row>
    <row r="17144" spans="1:14" x14ac:dyDescent="0.3">
      <c r="A17144" s="42"/>
      <c r="C17144" s="52"/>
      <c r="E17144"/>
      <c r="N17144" s="56"/>
    </row>
    <row r="17145" spans="1:14" x14ac:dyDescent="0.3">
      <c r="A17145" s="42"/>
      <c r="C17145" s="52"/>
      <c r="E17145"/>
      <c r="N17145" s="56"/>
    </row>
    <row r="17146" spans="1:14" x14ac:dyDescent="0.3">
      <c r="A17146" s="42"/>
      <c r="C17146" s="52"/>
      <c r="E17146"/>
      <c r="N17146" s="56"/>
    </row>
    <row r="17147" spans="1:14" x14ac:dyDescent="0.3">
      <c r="A17147" s="42"/>
      <c r="C17147" s="52"/>
      <c r="E17147"/>
      <c r="N17147" s="56"/>
    </row>
    <row r="17148" spans="1:14" x14ac:dyDescent="0.3">
      <c r="A17148" s="42"/>
      <c r="C17148" s="52"/>
      <c r="E17148"/>
      <c r="N17148" s="56"/>
    </row>
    <row r="17149" spans="1:14" x14ac:dyDescent="0.3">
      <c r="A17149" s="42"/>
      <c r="C17149" s="52"/>
      <c r="E17149"/>
      <c r="N17149" s="56"/>
    </row>
    <row r="17150" spans="1:14" x14ac:dyDescent="0.3">
      <c r="A17150" s="42"/>
      <c r="C17150" s="52"/>
      <c r="E17150"/>
      <c r="N17150" s="56"/>
    </row>
    <row r="17151" spans="1:14" x14ac:dyDescent="0.3">
      <c r="A17151" s="42"/>
      <c r="C17151" s="52"/>
      <c r="E17151"/>
      <c r="N17151" s="56"/>
    </row>
    <row r="17152" spans="1:14" x14ac:dyDescent="0.3">
      <c r="A17152" s="42"/>
      <c r="C17152" s="52"/>
      <c r="E17152"/>
      <c r="N17152" s="56"/>
    </row>
    <row r="17153" spans="1:14" x14ac:dyDescent="0.3">
      <c r="A17153" s="42"/>
      <c r="C17153" s="52"/>
      <c r="E17153"/>
      <c r="N17153" s="56"/>
    </row>
    <row r="17154" spans="1:14" x14ac:dyDescent="0.3">
      <c r="A17154" s="42"/>
      <c r="C17154" s="52"/>
      <c r="E17154"/>
      <c r="N17154" s="56"/>
    </row>
    <row r="17155" spans="1:14" x14ac:dyDescent="0.3">
      <c r="A17155" s="42"/>
      <c r="C17155" s="52"/>
      <c r="E17155"/>
      <c r="N17155" s="56"/>
    </row>
    <row r="17156" spans="1:14" x14ac:dyDescent="0.3">
      <c r="A17156" s="42"/>
      <c r="C17156" s="52"/>
      <c r="E17156"/>
      <c r="N17156" s="56"/>
    </row>
    <row r="17157" spans="1:14" x14ac:dyDescent="0.3">
      <c r="A17157" s="42"/>
      <c r="C17157" s="52"/>
      <c r="E17157"/>
      <c r="N17157" s="56"/>
    </row>
    <row r="17158" spans="1:14" x14ac:dyDescent="0.3">
      <c r="A17158" s="42"/>
      <c r="C17158" s="52"/>
      <c r="E17158"/>
      <c r="N17158" s="56"/>
    </row>
    <row r="17159" spans="1:14" x14ac:dyDescent="0.3">
      <c r="A17159" s="42"/>
      <c r="C17159" s="52"/>
      <c r="E17159"/>
      <c r="N17159" s="56"/>
    </row>
    <row r="17160" spans="1:14" x14ac:dyDescent="0.3">
      <c r="A17160" s="42"/>
      <c r="C17160" s="52"/>
      <c r="E17160"/>
      <c r="N17160" s="56"/>
    </row>
    <row r="17161" spans="1:14" x14ac:dyDescent="0.3">
      <c r="A17161" s="42"/>
      <c r="C17161" s="52"/>
      <c r="E17161"/>
      <c r="N17161" s="56"/>
    </row>
    <row r="17162" spans="1:14" x14ac:dyDescent="0.3">
      <c r="A17162" s="42"/>
      <c r="C17162" s="52"/>
      <c r="E17162"/>
      <c r="N17162" s="56"/>
    </row>
    <row r="17163" spans="1:14" x14ac:dyDescent="0.3">
      <c r="A17163" s="42"/>
      <c r="C17163" s="52"/>
      <c r="E17163"/>
      <c r="N17163" s="56"/>
    </row>
    <row r="17164" spans="1:14" x14ac:dyDescent="0.3">
      <c r="A17164" s="42"/>
      <c r="C17164" s="52"/>
      <c r="E17164"/>
      <c r="N17164" s="56"/>
    </row>
    <row r="17165" spans="1:14" x14ac:dyDescent="0.3">
      <c r="A17165" s="42"/>
      <c r="C17165" s="52"/>
      <c r="E17165"/>
      <c r="N17165" s="56"/>
    </row>
    <row r="17166" spans="1:14" x14ac:dyDescent="0.3">
      <c r="A17166" s="42"/>
      <c r="C17166" s="52"/>
      <c r="E17166"/>
      <c r="N17166" s="56"/>
    </row>
    <row r="17167" spans="1:14" x14ac:dyDescent="0.3">
      <c r="A17167" s="42"/>
      <c r="C17167" s="52"/>
      <c r="E17167"/>
      <c r="N17167" s="56"/>
    </row>
    <row r="17168" spans="1:14" x14ac:dyDescent="0.3">
      <c r="A17168" s="42"/>
      <c r="C17168" s="52"/>
      <c r="E17168"/>
      <c r="N17168" s="56"/>
    </row>
    <row r="17169" spans="1:14" x14ac:dyDescent="0.3">
      <c r="A17169" s="42"/>
      <c r="C17169" s="52"/>
      <c r="E17169"/>
      <c r="N17169" s="56"/>
    </row>
    <row r="17170" spans="1:14" x14ac:dyDescent="0.3">
      <c r="A17170" s="42"/>
      <c r="C17170" s="52"/>
      <c r="E17170"/>
      <c r="N17170" s="56"/>
    </row>
    <row r="17171" spans="1:14" x14ac:dyDescent="0.3">
      <c r="A17171" s="42"/>
      <c r="C17171" s="52"/>
      <c r="E17171"/>
      <c r="N17171" s="56"/>
    </row>
    <row r="17172" spans="1:14" x14ac:dyDescent="0.3">
      <c r="A17172" s="42"/>
      <c r="C17172" s="52"/>
      <c r="E17172"/>
      <c r="N17172" s="56"/>
    </row>
    <row r="17173" spans="1:14" x14ac:dyDescent="0.3">
      <c r="A17173" s="42"/>
      <c r="C17173" s="52"/>
      <c r="E17173"/>
      <c r="N17173" s="56"/>
    </row>
    <row r="17174" spans="1:14" x14ac:dyDescent="0.3">
      <c r="A17174" s="42"/>
      <c r="C17174" s="52"/>
      <c r="E17174"/>
      <c r="N17174" s="56"/>
    </row>
    <row r="17175" spans="1:14" x14ac:dyDescent="0.3">
      <c r="A17175" s="42"/>
      <c r="C17175" s="52"/>
      <c r="E17175"/>
      <c r="N17175" s="56"/>
    </row>
    <row r="17176" spans="1:14" x14ac:dyDescent="0.3">
      <c r="A17176" s="42"/>
      <c r="C17176" s="52"/>
      <c r="E17176"/>
      <c r="N17176" s="56"/>
    </row>
    <row r="17177" spans="1:14" x14ac:dyDescent="0.3">
      <c r="A17177" s="42"/>
      <c r="C17177" s="52"/>
      <c r="E17177"/>
      <c r="N17177" s="56"/>
    </row>
    <row r="17178" spans="1:14" x14ac:dyDescent="0.3">
      <c r="A17178" s="42"/>
      <c r="C17178" s="52"/>
      <c r="E17178"/>
      <c r="N17178" s="56"/>
    </row>
    <row r="17179" spans="1:14" x14ac:dyDescent="0.3">
      <c r="A17179" s="42"/>
      <c r="C17179" s="52"/>
      <c r="E17179"/>
      <c r="N17179" s="56"/>
    </row>
    <row r="17180" spans="1:14" x14ac:dyDescent="0.3">
      <c r="A17180" s="42"/>
      <c r="C17180" s="52"/>
      <c r="E17180"/>
      <c r="N17180" s="56"/>
    </row>
    <row r="17181" spans="1:14" x14ac:dyDescent="0.3">
      <c r="A17181" s="42"/>
      <c r="C17181" s="52"/>
      <c r="E17181"/>
      <c r="N17181" s="56"/>
    </row>
    <row r="17182" spans="1:14" x14ac:dyDescent="0.3">
      <c r="A17182" s="42"/>
      <c r="C17182" s="52"/>
      <c r="E17182"/>
      <c r="N17182" s="56"/>
    </row>
    <row r="17183" spans="1:14" x14ac:dyDescent="0.3">
      <c r="A17183" s="42"/>
      <c r="C17183" s="52"/>
      <c r="E17183"/>
      <c r="N17183" s="56"/>
    </row>
    <row r="17184" spans="1:14" x14ac:dyDescent="0.3">
      <c r="A17184" s="42"/>
      <c r="C17184" s="52"/>
      <c r="E17184"/>
      <c r="N17184" s="56"/>
    </row>
    <row r="17185" spans="1:14" x14ac:dyDescent="0.3">
      <c r="A17185" s="42"/>
      <c r="C17185" s="52"/>
      <c r="E17185"/>
      <c r="N17185" s="56"/>
    </row>
    <row r="17186" spans="1:14" x14ac:dyDescent="0.3">
      <c r="A17186" s="42"/>
      <c r="C17186" s="52"/>
      <c r="E17186"/>
      <c r="N17186" s="56"/>
    </row>
    <row r="17187" spans="1:14" x14ac:dyDescent="0.3">
      <c r="A17187" s="42"/>
      <c r="C17187" s="52"/>
      <c r="E17187"/>
      <c r="M17187" s="45"/>
      <c r="N17187" s="56"/>
    </row>
    <row r="17188" spans="1:14" x14ac:dyDescent="0.3">
      <c r="A17188" s="42"/>
      <c r="C17188" s="52"/>
      <c r="E17188"/>
      <c r="N17188" s="56"/>
    </row>
    <row r="17189" spans="1:14" x14ac:dyDescent="0.3">
      <c r="A17189" s="42"/>
      <c r="C17189" s="52"/>
      <c r="E17189"/>
      <c r="N17189" s="56"/>
    </row>
    <row r="17190" spans="1:14" x14ac:dyDescent="0.3">
      <c r="A17190" s="42"/>
      <c r="C17190" s="52"/>
      <c r="E17190"/>
      <c r="N17190" s="56"/>
    </row>
    <row r="17191" spans="1:14" x14ac:dyDescent="0.3">
      <c r="A17191" s="42"/>
      <c r="C17191" s="52"/>
      <c r="E17191"/>
      <c r="N17191" s="56"/>
    </row>
    <row r="17192" spans="1:14" x14ac:dyDescent="0.3">
      <c r="A17192" s="42"/>
      <c r="C17192" s="52"/>
      <c r="E17192"/>
      <c r="N17192" s="56"/>
    </row>
    <row r="17193" spans="1:14" x14ac:dyDescent="0.3">
      <c r="A17193" s="42"/>
      <c r="C17193" s="52"/>
      <c r="E17193"/>
      <c r="N17193" s="56"/>
    </row>
    <row r="17194" spans="1:14" x14ac:dyDescent="0.3">
      <c r="A17194" s="42"/>
      <c r="C17194" s="52"/>
      <c r="E17194"/>
      <c r="N17194" s="56"/>
    </row>
    <row r="17195" spans="1:14" x14ac:dyDescent="0.3">
      <c r="A17195" s="42"/>
      <c r="C17195" s="52"/>
      <c r="E17195"/>
      <c r="N17195" s="56"/>
    </row>
    <row r="17196" spans="1:14" x14ac:dyDescent="0.3">
      <c r="A17196" s="42"/>
      <c r="C17196" s="52"/>
      <c r="E17196"/>
      <c r="N17196" s="56"/>
    </row>
    <row r="17197" spans="1:14" x14ac:dyDescent="0.3">
      <c r="A17197" s="42"/>
      <c r="C17197" s="52"/>
      <c r="E17197"/>
      <c r="N17197" s="56"/>
    </row>
    <row r="17198" spans="1:14" x14ac:dyDescent="0.3">
      <c r="A17198" s="42"/>
      <c r="C17198" s="52"/>
      <c r="E17198"/>
      <c r="N17198" s="56"/>
    </row>
    <row r="17199" spans="1:14" x14ac:dyDescent="0.3">
      <c r="A17199" s="42"/>
      <c r="C17199" s="52"/>
      <c r="E17199"/>
      <c r="N17199" s="56"/>
    </row>
    <row r="17200" spans="1:14" x14ac:dyDescent="0.3">
      <c r="A17200" s="42"/>
      <c r="C17200" s="52"/>
      <c r="E17200"/>
      <c r="N17200" s="56"/>
    </row>
    <row r="17201" spans="1:14" x14ac:dyDescent="0.3">
      <c r="A17201" s="42"/>
      <c r="C17201" s="52"/>
      <c r="E17201"/>
      <c r="N17201" s="56"/>
    </row>
    <row r="17202" spans="1:14" x14ac:dyDescent="0.3">
      <c r="A17202" s="42"/>
      <c r="C17202" s="52"/>
      <c r="E17202"/>
      <c r="N17202" s="56"/>
    </row>
    <row r="17203" spans="1:14" x14ac:dyDescent="0.3">
      <c r="A17203" s="42"/>
      <c r="C17203" s="52"/>
      <c r="E17203"/>
      <c r="N17203" s="56"/>
    </row>
    <row r="17204" spans="1:14" x14ac:dyDescent="0.3">
      <c r="A17204" s="42"/>
      <c r="C17204" s="52"/>
      <c r="E17204"/>
      <c r="N17204" s="56"/>
    </row>
    <row r="17205" spans="1:14" x14ac:dyDescent="0.3">
      <c r="A17205" s="42"/>
      <c r="C17205" s="52"/>
      <c r="E17205"/>
      <c r="N17205" s="56"/>
    </row>
    <row r="17206" spans="1:14" x14ac:dyDescent="0.3">
      <c r="A17206" s="42"/>
      <c r="C17206" s="52"/>
      <c r="E17206"/>
      <c r="N17206" s="56"/>
    </row>
    <row r="17207" spans="1:14" x14ac:dyDescent="0.3">
      <c r="A17207" s="42"/>
      <c r="C17207" s="52"/>
      <c r="E17207"/>
      <c r="N17207" s="56"/>
    </row>
    <row r="17208" spans="1:14" x14ac:dyDescent="0.3">
      <c r="A17208" s="42"/>
      <c r="C17208" s="52"/>
      <c r="E17208"/>
      <c r="N17208" s="56"/>
    </row>
    <row r="17209" spans="1:14" x14ac:dyDescent="0.3">
      <c r="A17209" s="42"/>
      <c r="C17209" s="52"/>
      <c r="E17209"/>
      <c r="N17209" s="56"/>
    </row>
    <row r="17210" spans="1:14" x14ac:dyDescent="0.3">
      <c r="A17210" s="42"/>
      <c r="C17210" s="52"/>
      <c r="E17210"/>
      <c r="N17210" s="56"/>
    </row>
    <row r="17211" spans="1:14" x14ac:dyDescent="0.3">
      <c r="A17211" s="42"/>
      <c r="C17211" s="52"/>
      <c r="E17211"/>
      <c r="N17211" s="56"/>
    </row>
    <row r="17212" spans="1:14" x14ac:dyDescent="0.3">
      <c r="A17212" s="42"/>
      <c r="C17212" s="52"/>
      <c r="E17212"/>
      <c r="N17212" s="56"/>
    </row>
    <row r="17213" spans="1:14" x14ac:dyDescent="0.3">
      <c r="A17213" s="42"/>
      <c r="C17213" s="52"/>
      <c r="E17213"/>
      <c r="N17213" s="56"/>
    </row>
    <row r="17214" spans="1:14" x14ac:dyDescent="0.3">
      <c r="A17214" s="42"/>
      <c r="C17214" s="52"/>
      <c r="E17214"/>
      <c r="N17214" s="56"/>
    </row>
    <row r="17215" spans="1:14" x14ac:dyDescent="0.3">
      <c r="A17215" s="42"/>
      <c r="C17215" s="52"/>
      <c r="E17215"/>
      <c r="N17215" s="56"/>
    </row>
    <row r="17216" spans="1:14" x14ac:dyDescent="0.3">
      <c r="A17216" s="42"/>
      <c r="C17216" s="52"/>
      <c r="E17216"/>
      <c r="N17216" s="56"/>
    </row>
    <row r="17217" spans="1:14" x14ac:dyDescent="0.3">
      <c r="A17217" s="42"/>
      <c r="C17217" s="52"/>
      <c r="E17217"/>
      <c r="N17217" s="56"/>
    </row>
    <row r="17218" spans="1:14" x14ac:dyDescent="0.3">
      <c r="A17218" s="42"/>
      <c r="C17218" s="52"/>
      <c r="E17218"/>
      <c r="N17218" s="56"/>
    </row>
    <row r="17219" spans="1:14" x14ac:dyDescent="0.3">
      <c r="A17219" s="42"/>
      <c r="C17219" s="52"/>
      <c r="E17219"/>
      <c r="N17219" s="56"/>
    </row>
    <row r="17220" spans="1:14" x14ac:dyDescent="0.3">
      <c r="A17220" s="42"/>
      <c r="C17220" s="52"/>
      <c r="E17220"/>
      <c r="N17220" s="56"/>
    </row>
    <row r="17221" spans="1:14" x14ac:dyDescent="0.3">
      <c r="A17221" s="42"/>
      <c r="C17221" s="52"/>
      <c r="E17221"/>
      <c r="N17221" s="56"/>
    </row>
    <row r="17222" spans="1:14" x14ac:dyDescent="0.3">
      <c r="A17222" s="42"/>
      <c r="C17222" s="52"/>
      <c r="E17222"/>
      <c r="N17222" s="56"/>
    </row>
    <row r="17223" spans="1:14" x14ac:dyDescent="0.3">
      <c r="A17223" s="42"/>
      <c r="C17223" s="52"/>
      <c r="D17223"/>
      <c r="E17223"/>
      <c r="F17223"/>
      <c r="N17223" s="56"/>
    </row>
    <row r="17224" spans="1:14" x14ac:dyDescent="0.3">
      <c r="A17224" s="42"/>
      <c r="C17224" s="52"/>
      <c r="D17224"/>
      <c r="E17224"/>
      <c r="F17224"/>
      <c r="N17224" s="56"/>
    </row>
    <row r="17225" spans="1:14" x14ac:dyDescent="0.3">
      <c r="A17225" s="42"/>
      <c r="C17225" s="52"/>
      <c r="D17225"/>
      <c r="E17225"/>
      <c r="F17225"/>
      <c r="N17225" s="56"/>
    </row>
    <row r="17226" spans="1:14" x14ac:dyDescent="0.3">
      <c r="A17226" s="42"/>
      <c r="C17226" s="52"/>
      <c r="D17226"/>
      <c r="E17226"/>
      <c r="F17226"/>
      <c r="N17226" s="56"/>
    </row>
    <row r="17227" spans="1:14" x14ac:dyDescent="0.3">
      <c r="A17227" s="42"/>
      <c r="C17227" s="52"/>
      <c r="D17227"/>
      <c r="E17227"/>
      <c r="F17227"/>
      <c r="N17227" s="56"/>
    </row>
    <row r="17228" spans="1:14" x14ac:dyDescent="0.3">
      <c r="A17228" s="42"/>
      <c r="C17228" s="52"/>
      <c r="D17228"/>
      <c r="E17228"/>
      <c r="F17228"/>
      <c r="N17228" s="56"/>
    </row>
    <row r="17229" spans="1:14" x14ac:dyDescent="0.3">
      <c r="A17229" s="42"/>
      <c r="C17229" s="52"/>
      <c r="D17229"/>
      <c r="E17229"/>
      <c r="F17229"/>
      <c r="N17229" s="56"/>
    </row>
    <row r="17230" spans="1:14" x14ac:dyDescent="0.3">
      <c r="A17230" s="42"/>
      <c r="C17230" s="52"/>
      <c r="D17230"/>
      <c r="E17230"/>
      <c r="F17230"/>
      <c r="N17230" s="56"/>
    </row>
    <row r="17231" spans="1:14" x14ac:dyDescent="0.3">
      <c r="A17231" s="42"/>
      <c r="C17231" s="52"/>
      <c r="D17231"/>
      <c r="E17231"/>
      <c r="F17231"/>
      <c r="N17231" s="56"/>
    </row>
    <row r="17232" spans="1:14" x14ac:dyDescent="0.3">
      <c r="A17232" s="42"/>
      <c r="C17232" s="52"/>
      <c r="D17232"/>
      <c r="E17232"/>
      <c r="F17232"/>
      <c r="N17232" s="56"/>
    </row>
    <row r="17233" spans="1:14" x14ac:dyDescent="0.3">
      <c r="A17233" s="42"/>
      <c r="C17233" s="52"/>
      <c r="D17233"/>
      <c r="E17233"/>
      <c r="F17233"/>
      <c r="N17233" s="56"/>
    </row>
    <row r="17234" spans="1:14" x14ac:dyDescent="0.3">
      <c r="A17234" s="42"/>
      <c r="C17234" s="52"/>
      <c r="D17234"/>
      <c r="E17234"/>
      <c r="F17234"/>
      <c r="N17234" s="56"/>
    </row>
    <row r="17235" spans="1:14" x14ac:dyDescent="0.3">
      <c r="A17235" s="42"/>
      <c r="C17235" s="52"/>
      <c r="D17235"/>
      <c r="E17235"/>
      <c r="F17235"/>
      <c r="N17235" s="56"/>
    </row>
    <row r="17236" spans="1:14" x14ac:dyDescent="0.3">
      <c r="A17236" s="42"/>
      <c r="C17236" s="52"/>
      <c r="D17236"/>
      <c r="E17236"/>
      <c r="F17236"/>
      <c r="N17236" s="56"/>
    </row>
    <row r="17237" spans="1:14" x14ac:dyDescent="0.3">
      <c r="A17237" s="42"/>
      <c r="C17237" s="52"/>
      <c r="D17237"/>
      <c r="E17237"/>
      <c r="F17237"/>
      <c r="N17237" s="56"/>
    </row>
    <row r="17238" spans="1:14" x14ac:dyDescent="0.3">
      <c r="A17238" s="42"/>
      <c r="C17238" s="52"/>
      <c r="D17238"/>
      <c r="E17238"/>
      <c r="F17238"/>
      <c r="N17238" s="56"/>
    </row>
    <row r="17239" spans="1:14" x14ac:dyDescent="0.3">
      <c r="A17239" s="42"/>
      <c r="C17239" s="52"/>
      <c r="D17239"/>
      <c r="E17239"/>
      <c r="F17239"/>
      <c r="N17239" s="56"/>
    </row>
    <row r="17240" spans="1:14" x14ac:dyDescent="0.3">
      <c r="A17240" s="42"/>
      <c r="C17240" s="52"/>
      <c r="D17240"/>
      <c r="E17240"/>
      <c r="F17240"/>
      <c r="N17240" s="56"/>
    </row>
    <row r="17241" spans="1:14" x14ac:dyDescent="0.3">
      <c r="A17241" s="42"/>
      <c r="C17241" s="52"/>
      <c r="D17241"/>
      <c r="E17241"/>
      <c r="F17241"/>
      <c r="L17241" s="45"/>
      <c r="N17241" s="56"/>
    </row>
    <row r="17242" spans="1:14" x14ac:dyDescent="0.3">
      <c r="A17242" s="42"/>
      <c r="C17242" s="52"/>
      <c r="D17242"/>
      <c r="E17242"/>
      <c r="F17242"/>
      <c r="L17242" s="45"/>
      <c r="N17242" s="56"/>
    </row>
    <row r="17243" spans="1:14" x14ac:dyDescent="0.3">
      <c r="A17243" s="42"/>
      <c r="C17243" s="52"/>
      <c r="D17243"/>
      <c r="E17243"/>
      <c r="F17243"/>
      <c r="L17243" s="45"/>
      <c r="N17243" s="56"/>
    </row>
    <row r="17244" spans="1:14" x14ac:dyDescent="0.3">
      <c r="A17244" s="42"/>
      <c r="C17244" s="52"/>
      <c r="D17244"/>
      <c r="E17244"/>
      <c r="F17244"/>
      <c r="N17244" s="56"/>
    </row>
    <row r="17245" spans="1:14" x14ac:dyDescent="0.3">
      <c r="A17245" s="42"/>
      <c r="C17245" s="52"/>
      <c r="D17245"/>
      <c r="E17245"/>
      <c r="F17245"/>
      <c r="N17245" s="56"/>
    </row>
    <row r="17246" spans="1:14" x14ac:dyDescent="0.3">
      <c r="A17246" s="42"/>
      <c r="C17246" s="52"/>
      <c r="D17246"/>
      <c r="E17246"/>
      <c r="F17246"/>
      <c r="N17246" s="56"/>
    </row>
    <row r="17247" spans="1:14" x14ac:dyDescent="0.3">
      <c r="A17247" s="42"/>
      <c r="C17247" s="52"/>
      <c r="D17247"/>
      <c r="E17247"/>
      <c r="F17247"/>
      <c r="N17247" s="56"/>
    </row>
    <row r="17248" spans="1:14" x14ac:dyDescent="0.3">
      <c r="A17248" s="42"/>
      <c r="C17248" s="52"/>
      <c r="D17248"/>
      <c r="E17248"/>
      <c r="F17248"/>
      <c r="L17248" s="45"/>
      <c r="N17248" s="56"/>
    </row>
    <row r="17249" spans="1:14" x14ac:dyDescent="0.3">
      <c r="A17249" s="42"/>
      <c r="C17249" s="52"/>
      <c r="D17249"/>
      <c r="E17249"/>
      <c r="F17249"/>
      <c r="N17249" s="56"/>
    </row>
    <row r="17250" spans="1:14" x14ac:dyDescent="0.3">
      <c r="A17250" s="42"/>
      <c r="C17250" s="52"/>
      <c r="D17250"/>
      <c r="E17250"/>
      <c r="F17250"/>
      <c r="N17250" s="56"/>
    </row>
    <row r="17251" spans="1:14" x14ac:dyDescent="0.3">
      <c r="A17251" s="42"/>
      <c r="C17251" s="52"/>
      <c r="D17251"/>
      <c r="E17251"/>
      <c r="F17251"/>
      <c r="N17251" s="56"/>
    </row>
    <row r="17252" spans="1:14" x14ac:dyDescent="0.3">
      <c r="A17252" s="42"/>
      <c r="C17252" s="52"/>
      <c r="D17252"/>
      <c r="E17252"/>
      <c r="F17252"/>
      <c r="L17252" s="45"/>
      <c r="N17252" s="56"/>
    </row>
    <row r="17253" spans="1:14" x14ac:dyDescent="0.3">
      <c r="A17253" s="42"/>
      <c r="C17253" s="52"/>
      <c r="D17253"/>
      <c r="E17253"/>
      <c r="F17253"/>
      <c r="L17253" s="45"/>
      <c r="N17253" s="56"/>
    </row>
    <row r="17254" spans="1:14" x14ac:dyDescent="0.3">
      <c r="A17254" s="42"/>
      <c r="C17254" s="52"/>
      <c r="D17254"/>
      <c r="E17254"/>
      <c r="F17254"/>
      <c r="L17254" s="45"/>
      <c r="N17254" s="56"/>
    </row>
    <row r="17255" spans="1:14" x14ac:dyDescent="0.3">
      <c r="A17255" s="42"/>
      <c r="C17255" s="52"/>
      <c r="D17255"/>
      <c r="E17255"/>
      <c r="F17255"/>
      <c r="N17255" s="56"/>
    </row>
    <row r="17256" spans="1:14" x14ac:dyDescent="0.3">
      <c r="A17256" s="42"/>
      <c r="C17256" s="52"/>
      <c r="D17256"/>
      <c r="E17256"/>
      <c r="F17256"/>
      <c r="L17256" s="45"/>
      <c r="N17256" s="56"/>
    </row>
    <row r="17257" spans="1:14" x14ac:dyDescent="0.3">
      <c r="A17257" s="42"/>
      <c r="C17257" s="52"/>
      <c r="D17257"/>
      <c r="E17257"/>
      <c r="F17257"/>
      <c r="L17257" s="45"/>
      <c r="N17257" s="56"/>
    </row>
    <row r="17258" spans="1:14" x14ac:dyDescent="0.3">
      <c r="A17258" s="42"/>
      <c r="C17258" s="52"/>
      <c r="D17258"/>
      <c r="E17258"/>
      <c r="F17258"/>
      <c r="L17258" s="45"/>
      <c r="N17258" s="56"/>
    </row>
    <row r="17259" spans="1:14" x14ac:dyDescent="0.3">
      <c r="A17259" s="42"/>
      <c r="C17259" s="52"/>
      <c r="D17259"/>
      <c r="E17259"/>
      <c r="F17259"/>
      <c r="L17259" s="45"/>
      <c r="N17259" s="56"/>
    </row>
    <row r="17260" spans="1:14" x14ac:dyDescent="0.3">
      <c r="A17260" s="42"/>
      <c r="C17260" s="52"/>
      <c r="D17260"/>
      <c r="E17260"/>
      <c r="F17260"/>
      <c r="L17260" s="45"/>
      <c r="N17260" s="56"/>
    </row>
    <row r="17261" spans="1:14" x14ac:dyDescent="0.3">
      <c r="A17261" s="42"/>
      <c r="C17261" s="52"/>
      <c r="D17261"/>
      <c r="E17261"/>
      <c r="F17261"/>
      <c r="L17261" s="45"/>
      <c r="N17261" s="56"/>
    </row>
    <row r="17262" spans="1:14" x14ac:dyDescent="0.3">
      <c r="A17262" s="42"/>
      <c r="C17262" s="52"/>
      <c r="D17262"/>
      <c r="E17262"/>
      <c r="F17262"/>
      <c r="N17262" s="56"/>
    </row>
    <row r="17263" spans="1:14" x14ac:dyDescent="0.3">
      <c r="A17263" s="42"/>
      <c r="C17263" s="52"/>
      <c r="D17263"/>
      <c r="E17263"/>
      <c r="F17263"/>
      <c r="L17263" s="45"/>
      <c r="N17263" s="56"/>
    </row>
    <row r="17264" spans="1:14" x14ac:dyDescent="0.3">
      <c r="A17264" s="42"/>
      <c r="C17264" s="52"/>
      <c r="D17264"/>
      <c r="E17264"/>
      <c r="F17264"/>
      <c r="N17264" s="56"/>
    </row>
    <row r="17265" spans="1:14" x14ac:dyDescent="0.3">
      <c r="A17265" s="42"/>
      <c r="C17265" s="52"/>
      <c r="D17265"/>
      <c r="E17265"/>
      <c r="F17265"/>
      <c r="N17265" s="56"/>
    </row>
    <row r="17266" spans="1:14" x14ac:dyDescent="0.3">
      <c r="A17266" s="42"/>
      <c r="C17266" s="52"/>
      <c r="D17266"/>
      <c r="E17266"/>
      <c r="F17266"/>
      <c r="L17266" s="45"/>
      <c r="N17266" s="56"/>
    </row>
    <row r="17267" spans="1:14" x14ac:dyDescent="0.3">
      <c r="A17267" s="42"/>
      <c r="C17267" s="52"/>
      <c r="D17267"/>
      <c r="E17267"/>
      <c r="F17267"/>
      <c r="L17267" s="45"/>
      <c r="N17267" s="56"/>
    </row>
    <row r="17268" spans="1:14" x14ac:dyDescent="0.3">
      <c r="A17268" s="42"/>
      <c r="C17268" s="52"/>
      <c r="D17268"/>
      <c r="E17268"/>
      <c r="F17268"/>
      <c r="L17268" s="45"/>
      <c r="N17268" s="56"/>
    </row>
    <row r="17269" spans="1:14" x14ac:dyDescent="0.3">
      <c r="A17269" s="42"/>
      <c r="C17269" s="52"/>
      <c r="D17269"/>
      <c r="E17269"/>
      <c r="F17269"/>
      <c r="L17269" s="45"/>
      <c r="N17269" s="56"/>
    </row>
    <row r="17270" spans="1:14" x14ac:dyDescent="0.3">
      <c r="A17270" s="42"/>
      <c r="C17270" s="52"/>
      <c r="D17270"/>
      <c r="E17270"/>
      <c r="F17270"/>
      <c r="L17270" s="45"/>
      <c r="N17270" s="56"/>
    </row>
    <row r="17271" spans="1:14" x14ac:dyDescent="0.3">
      <c r="A17271" s="42"/>
      <c r="C17271" s="52"/>
      <c r="D17271"/>
      <c r="E17271"/>
      <c r="F17271"/>
      <c r="L17271" s="45"/>
      <c r="N17271" s="56"/>
    </row>
    <row r="17272" spans="1:14" x14ac:dyDescent="0.3">
      <c r="A17272" s="42"/>
      <c r="C17272" s="52"/>
      <c r="D17272"/>
      <c r="E17272"/>
      <c r="F17272"/>
      <c r="L17272" s="45"/>
      <c r="N17272" s="56"/>
    </row>
    <row r="17273" spans="1:14" x14ac:dyDescent="0.3">
      <c r="A17273" s="42"/>
      <c r="C17273" s="52"/>
      <c r="D17273"/>
      <c r="E17273"/>
      <c r="F17273"/>
      <c r="L17273" s="45"/>
      <c r="N17273" s="56"/>
    </row>
    <row r="17274" spans="1:14" x14ac:dyDescent="0.3">
      <c r="A17274" s="42"/>
      <c r="C17274" s="52"/>
      <c r="D17274"/>
      <c r="E17274"/>
      <c r="F17274"/>
      <c r="L17274" s="45"/>
      <c r="N17274" s="56"/>
    </row>
    <row r="17275" spans="1:14" x14ac:dyDescent="0.3">
      <c r="A17275" s="42"/>
      <c r="C17275" s="52"/>
      <c r="D17275"/>
      <c r="E17275"/>
      <c r="F17275"/>
      <c r="L17275" s="45"/>
      <c r="N17275" s="56"/>
    </row>
    <row r="17276" spans="1:14" x14ac:dyDescent="0.3">
      <c r="A17276" s="42"/>
      <c r="C17276" s="52"/>
      <c r="D17276"/>
      <c r="E17276"/>
      <c r="F17276"/>
      <c r="L17276" s="45"/>
      <c r="N17276" s="56"/>
    </row>
    <row r="17277" spans="1:14" x14ac:dyDescent="0.3">
      <c r="A17277" s="42"/>
      <c r="C17277" s="52"/>
      <c r="D17277"/>
      <c r="E17277"/>
      <c r="F17277"/>
      <c r="L17277" s="45"/>
      <c r="N17277" s="56"/>
    </row>
    <row r="17278" spans="1:14" x14ac:dyDescent="0.3">
      <c r="A17278" s="42"/>
      <c r="C17278" s="52"/>
      <c r="D17278"/>
      <c r="E17278"/>
      <c r="F17278"/>
      <c r="N17278" s="56"/>
    </row>
    <row r="17279" spans="1:14" x14ac:dyDescent="0.3">
      <c r="A17279" s="42"/>
      <c r="C17279" s="52"/>
      <c r="D17279"/>
      <c r="E17279"/>
      <c r="F17279"/>
      <c r="N17279" s="56"/>
    </row>
    <row r="17280" spans="1:14" x14ac:dyDescent="0.3">
      <c r="A17280" s="42"/>
      <c r="C17280" s="52"/>
      <c r="D17280"/>
      <c r="E17280"/>
      <c r="F17280"/>
      <c r="N17280" s="56"/>
    </row>
    <row r="17281" spans="1:14" x14ac:dyDescent="0.3">
      <c r="A17281" s="42"/>
      <c r="C17281" s="52"/>
      <c r="D17281"/>
      <c r="E17281"/>
      <c r="F17281"/>
      <c r="N17281" s="56"/>
    </row>
    <row r="17282" spans="1:14" x14ac:dyDescent="0.3">
      <c r="A17282" s="42"/>
      <c r="C17282" s="52"/>
      <c r="D17282"/>
      <c r="E17282"/>
      <c r="F17282"/>
      <c r="N17282" s="56"/>
    </row>
    <row r="17283" spans="1:14" x14ac:dyDescent="0.3">
      <c r="A17283" s="42"/>
      <c r="C17283" s="52"/>
      <c r="D17283"/>
      <c r="E17283"/>
      <c r="F17283"/>
      <c r="L17283" s="45"/>
      <c r="N17283" s="56"/>
    </row>
    <row r="17284" spans="1:14" x14ac:dyDescent="0.3">
      <c r="A17284" s="42"/>
      <c r="C17284" s="52"/>
      <c r="D17284"/>
      <c r="E17284"/>
      <c r="F17284"/>
      <c r="N17284" s="56"/>
    </row>
    <row r="17285" spans="1:14" x14ac:dyDescent="0.3">
      <c r="A17285" s="42"/>
      <c r="C17285" s="52"/>
      <c r="D17285"/>
      <c r="E17285"/>
      <c r="F17285"/>
      <c r="L17285" s="45"/>
      <c r="N17285" s="56"/>
    </row>
    <row r="17286" spans="1:14" x14ac:dyDescent="0.3">
      <c r="A17286" s="42"/>
      <c r="C17286" s="52"/>
      <c r="D17286"/>
      <c r="E17286"/>
      <c r="F17286"/>
      <c r="L17286" s="45"/>
      <c r="N17286" s="56"/>
    </row>
    <row r="17287" spans="1:14" x14ac:dyDescent="0.3">
      <c r="A17287" s="42"/>
      <c r="C17287" s="52"/>
      <c r="D17287"/>
      <c r="E17287"/>
      <c r="F17287"/>
      <c r="N17287" s="56"/>
    </row>
    <row r="17288" spans="1:14" x14ac:dyDescent="0.3">
      <c r="A17288" s="42"/>
      <c r="C17288" s="52"/>
      <c r="D17288"/>
      <c r="E17288"/>
      <c r="F17288"/>
      <c r="L17288" s="45"/>
      <c r="N17288" s="56"/>
    </row>
    <row r="17289" spans="1:14" x14ac:dyDescent="0.3">
      <c r="A17289" s="42"/>
      <c r="C17289" s="52"/>
      <c r="D17289"/>
      <c r="E17289"/>
      <c r="F17289"/>
      <c r="N17289" s="56"/>
    </row>
    <row r="17290" spans="1:14" x14ac:dyDescent="0.3">
      <c r="A17290" s="42"/>
      <c r="C17290" s="52"/>
      <c r="D17290"/>
      <c r="E17290"/>
      <c r="F17290"/>
      <c r="N17290" s="56"/>
    </row>
    <row r="17291" spans="1:14" x14ac:dyDescent="0.3">
      <c r="A17291" s="42"/>
      <c r="C17291" s="52"/>
      <c r="D17291"/>
      <c r="E17291"/>
      <c r="F17291"/>
      <c r="N17291" s="56"/>
    </row>
    <row r="17292" spans="1:14" x14ac:dyDescent="0.3">
      <c r="A17292" s="42"/>
      <c r="C17292" s="52"/>
      <c r="D17292"/>
      <c r="E17292"/>
      <c r="F17292"/>
      <c r="N17292" s="56"/>
    </row>
    <row r="17293" spans="1:14" x14ac:dyDescent="0.3">
      <c r="A17293" s="42"/>
      <c r="C17293" s="52"/>
      <c r="D17293"/>
      <c r="E17293"/>
      <c r="F17293"/>
      <c r="N17293" s="56"/>
    </row>
    <row r="17294" spans="1:14" x14ac:dyDescent="0.3">
      <c r="A17294" s="42"/>
      <c r="C17294" s="52"/>
      <c r="D17294"/>
      <c r="E17294"/>
      <c r="F17294"/>
      <c r="N17294" s="56"/>
    </row>
    <row r="17295" spans="1:14" x14ac:dyDescent="0.3">
      <c r="A17295" s="42"/>
      <c r="C17295" s="52"/>
      <c r="D17295"/>
      <c r="E17295"/>
      <c r="F17295"/>
      <c r="N17295" s="56"/>
    </row>
    <row r="17296" spans="1:14" x14ac:dyDescent="0.3">
      <c r="A17296" s="42"/>
      <c r="C17296" s="52"/>
      <c r="D17296"/>
      <c r="E17296"/>
      <c r="F17296"/>
      <c r="N17296" s="56"/>
    </row>
    <row r="17297" spans="1:14" x14ac:dyDescent="0.3">
      <c r="A17297" s="42"/>
      <c r="C17297" s="52"/>
      <c r="D17297"/>
      <c r="E17297"/>
      <c r="F17297"/>
      <c r="N17297" s="87"/>
    </row>
    <row r="17298" spans="1:14" x14ac:dyDescent="0.3">
      <c r="A17298" s="42"/>
      <c r="C17298" s="52"/>
      <c r="D17298"/>
      <c r="E17298"/>
      <c r="F17298"/>
      <c r="N17298" s="56"/>
    </row>
    <row r="17299" spans="1:14" x14ac:dyDescent="0.3">
      <c r="A17299" s="42"/>
      <c r="C17299" s="52"/>
      <c r="D17299"/>
      <c r="E17299"/>
      <c r="F17299"/>
      <c r="N17299" s="56"/>
    </row>
    <row r="17300" spans="1:14" x14ac:dyDescent="0.3">
      <c r="A17300" s="42"/>
      <c r="C17300" s="52"/>
      <c r="D17300"/>
      <c r="E17300"/>
      <c r="F17300"/>
      <c r="N17300" s="56"/>
    </row>
    <row r="17301" spans="1:14" x14ac:dyDescent="0.3">
      <c r="A17301" s="42"/>
      <c r="C17301" s="52"/>
      <c r="D17301"/>
      <c r="E17301"/>
      <c r="F17301"/>
      <c r="N17301" s="56"/>
    </row>
    <row r="17302" spans="1:14" x14ac:dyDescent="0.3">
      <c r="A17302" s="42"/>
      <c r="C17302" s="52"/>
      <c r="D17302"/>
      <c r="E17302"/>
      <c r="F17302"/>
      <c r="N17302" s="56"/>
    </row>
    <row r="17303" spans="1:14" x14ac:dyDescent="0.3">
      <c r="A17303" s="42"/>
      <c r="C17303" s="52"/>
      <c r="D17303"/>
      <c r="E17303"/>
      <c r="F17303"/>
      <c r="N17303" s="56"/>
    </row>
    <row r="17304" spans="1:14" x14ac:dyDescent="0.3">
      <c r="A17304" s="42"/>
      <c r="C17304" s="52"/>
      <c r="D17304"/>
      <c r="E17304"/>
      <c r="F17304"/>
      <c r="N17304" s="56"/>
    </row>
    <row r="17305" spans="1:14" x14ac:dyDescent="0.3">
      <c r="A17305" s="42"/>
      <c r="C17305" s="52"/>
      <c r="D17305"/>
      <c r="E17305"/>
      <c r="F17305"/>
      <c r="N17305" s="56"/>
    </row>
    <row r="17306" spans="1:14" x14ac:dyDescent="0.3">
      <c r="A17306" s="42"/>
      <c r="C17306" s="52"/>
      <c r="D17306"/>
      <c r="E17306"/>
      <c r="F17306"/>
      <c r="N17306" s="56"/>
    </row>
    <row r="17307" spans="1:14" x14ac:dyDescent="0.3">
      <c r="A17307" s="42"/>
      <c r="C17307" s="52"/>
      <c r="D17307"/>
      <c r="E17307"/>
      <c r="F17307"/>
      <c r="N17307" s="56"/>
    </row>
    <row r="17308" spans="1:14" x14ac:dyDescent="0.3">
      <c r="A17308" s="42"/>
      <c r="C17308" s="52"/>
      <c r="D17308"/>
      <c r="E17308"/>
      <c r="F17308"/>
      <c r="N17308" s="56"/>
    </row>
    <row r="17309" spans="1:14" x14ac:dyDescent="0.3">
      <c r="A17309" s="42"/>
      <c r="C17309" s="98"/>
      <c r="D17309" s="97"/>
      <c r="E17309" s="97"/>
      <c r="F17309" s="97"/>
      <c r="G17309" s="100"/>
      <c r="H17309" s="101"/>
      <c r="I17309" s="99"/>
      <c r="J17309" s="102"/>
      <c r="K17309" s="103"/>
      <c r="L17309" s="97"/>
      <c r="N17309" s="56"/>
    </row>
    <row r="17310" spans="1:14" x14ac:dyDescent="0.3">
      <c r="A17310" s="42"/>
      <c r="C17310" s="52"/>
      <c r="D17310"/>
      <c r="E17310"/>
      <c r="F17310"/>
      <c r="N17310" s="56"/>
    </row>
    <row r="17311" spans="1:14" x14ac:dyDescent="0.3">
      <c r="A17311" s="42"/>
      <c r="C17311" s="52"/>
      <c r="D17311"/>
      <c r="E17311"/>
      <c r="F17311"/>
      <c r="N17311" s="56"/>
    </row>
    <row r="17312" spans="1:14" x14ac:dyDescent="0.3">
      <c r="A17312" s="42"/>
      <c r="C17312" s="52"/>
      <c r="D17312"/>
      <c r="E17312"/>
      <c r="F17312"/>
      <c r="N17312" s="56"/>
    </row>
    <row r="17313" spans="1:14" x14ac:dyDescent="0.3">
      <c r="A17313" s="42"/>
      <c r="C17313" s="52"/>
      <c r="D17313"/>
      <c r="E17313"/>
      <c r="F17313"/>
      <c r="N17313" s="56"/>
    </row>
    <row r="17314" spans="1:14" x14ac:dyDescent="0.3">
      <c r="A17314" s="42"/>
      <c r="C17314" s="52"/>
      <c r="D17314"/>
      <c r="E17314"/>
      <c r="F17314"/>
      <c r="N17314" s="56"/>
    </row>
    <row r="17315" spans="1:14" x14ac:dyDescent="0.3">
      <c r="A17315" s="42"/>
      <c r="C17315" s="52"/>
      <c r="D17315"/>
      <c r="E17315"/>
      <c r="F17315"/>
      <c r="N17315" s="56"/>
    </row>
    <row r="17316" spans="1:14" x14ac:dyDescent="0.3">
      <c r="A17316" s="42"/>
      <c r="C17316" s="52"/>
      <c r="D17316"/>
      <c r="E17316"/>
      <c r="F17316"/>
      <c r="N17316" s="56"/>
    </row>
    <row r="17317" spans="1:14" x14ac:dyDescent="0.3">
      <c r="A17317" s="42"/>
      <c r="C17317" s="52"/>
      <c r="D17317"/>
      <c r="E17317"/>
      <c r="F17317"/>
      <c r="N17317" s="56"/>
    </row>
    <row r="17318" spans="1:14" x14ac:dyDescent="0.3">
      <c r="A17318" s="42"/>
      <c r="C17318" s="52"/>
      <c r="D17318"/>
      <c r="E17318"/>
      <c r="F17318"/>
      <c r="N17318" s="56"/>
    </row>
    <row r="17319" spans="1:14" x14ac:dyDescent="0.3">
      <c r="A17319" s="42"/>
      <c r="C17319" s="52"/>
      <c r="D17319"/>
      <c r="E17319"/>
      <c r="F17319"/>
      <c r="N17319" s="56"/>
    </row>
    <row r="17320" spans="1:14" x14ac:dyDescent="0.3">
      <c r="A17320" s="42"/>
      <c r="C17320" s="98"/>
      <c r="D17320" s="97"/>
      <c r="E17320" s="104"/>
      <c r="F17320" s="97"/>
      <c r="G17320" s="100"/>
      <c r="H17320" s="101"/>
      <c r="I17320" s="99"/>
      <c r="J17320" s="102"/>
      <c r="K17320" s="103"/>
      <c r="L17320" s="97"/>
      <c r="N17320" s="56"/>
    </row>
    <row r="17321" spans="1:14" x14ac:dyDescent="0.3">
      <c r="A17321" s="42"/>
      <c r="C17321" s="52"/>
      <c r="D17321"/>
      <c r="E17321"/>
      <c r="F17321"/>
      <c r="N17321" s="56"/>
    </row>
    <row r="17322" spans="1:14" x14ac:dyDescent="0.3">
      <c r="A17322" s="42"/>
      <c r="C17322" s="52"/>
      <c r="D17322"/>
      <c r="E17322"/>
      <c r="F17322"/>
      <c r="N17322" s="56"/>
    </row>
    <row r="17323" spans="1:14" x14ac:dyDescent="0.3">
      <c r="A17323" s="42"/>
      <c r="C17323" s="52"/>
      <c r="D17323"/>
      <c r="E17323"/>
      <c r="F17323"/>
      <c r="N17323" s="56"/>
    </row>
    <row r="17324" spans="1:14" x14ac:dyDescent="0.3">
      <c r="A17324" s="42"/>
      <c r="C17324" s="52"/>
      <c r="D17324"/>
      <c r="E17324"/>
      <c r="F17324"/>
      <c r="L17324" s="45"/>
      <c r="N17324" s="56"/>
    </row>
    <row r="17325" spans="1:14" x14ac:dyDescent="0.3">
      <c r="A17325" s="42"/>
      <c r="C17325" s="52"/>
      <c r="D17325"/>
      <c r="E17325"/>
      <c r="F17325"/>
      <c r="L17325" s="45"/>
      <c r="N17325" s="56"/>
    </row>
    <row r="17326" spans="1:14" x14ac:dyDescent="0.3">
      <c r="A17326" s="42"/>
      <c r="C17326" s="52"/>
      <c r="D17326"/>
      <c r="E17326"/>
      <c r="F17326"/>
      <c r="L17326" s="45"/>
      <c r="N17326" s="56"/>
    </row>
    <row r="17327" spans="1:14" x14ac:dyDescent="0.3">
      <c r="A17327" s="42"/>
      <c r="C17327" s="52"/>
      <c r="D17327"/>
      <c r="E17327"/>
      <c r="F17327"/>
      <c r="N17327" s="56"/>
    </row>
    <row r="17328" spans="1:14" x14ac:dyDescent="0.3">
      <c r="A17328" s="42"/>
      <c r="C17328" s="52"/>
      <c r="D17328"/>
      <c r="E17328"/>
      <c r="F17328"/>
      <c r="N17328" s="56"/>
    </row>
    <row r="17329" spans="1:14" x14ac:dyDescent="0.3">
      <c r="A17329" s="42"/>
      <c r="C17329" s="52"/>
      <c r="D17329"/>
      <c r="E17329"/>
      <c r="F17329"/>
      <c r="L17329" s="45"/>
      <c r="N17329" s="56"/>
    </row>
    <row r="17330" spans="1:14" x14ac:dyDescent="0.3">
      <c r="A17330" s="42"/>
      <c r="C17330" s="52"/>
      <c r="D17330"/>
      <c r="E17330"/>
      <c r="F17330"/>
      <c r="N17330" s="56"/>
    </row>
    <row r="17331" spans="1:14" x14ac:dyDescent="0.3">
      <c r="A17331" s="42"/>
      <c r="C17331" s="52"/>
      <c r="D17331"/>
      <c r="E17331"/>
      <c r="F17331"/>
      <c r="N17331" s="56"/>
    </row>
    <row r="17332" spans="1:14" x14ac:dyDescent="0.3">
      <c r="A17332" s="42"/>
      <c r="C17332" s="52"/>
      <c r="D17332"/>
      <c r="E17332"/>
      <c r="F17332"/>
      <c r="N17332" s="56"/>
    </row>
    <row r="17333" spans="1:14" x14ac:dyDescent="0.3">
      <c r="A17333" s="42"/>
      <c r="C17333" s="52"/>
      <c r="D17333"/>
      <c r="E17333"/>
      <c r="F17333"/>
      <c r="N17333" s="56"/>
    </row>
    <row r="17334" spans="1:14" x14ac:dyDescent="0.3">
      <c r="A17334" s="42"/>
      <c r="C17334" s="52"/>
      <c r="D17334"/>
      <c r="E17334"/>
      <c r="F17334"/>
      <c r="N17334" s="56"/>
    </row>
    <row r="17335" spans="1:14" x14ac:dyDescent="0.3">
      <c r="A17335" s="42"/>
      <c r="C17335" s="52"/>
      <c r="D17335"/>
      <c r="E17335"/>
      <c r="F17335"/>
      <c r="N17335" s="56"/>
    </row>
    <row r="17336" spans="1:14" x14ac:dyDescent="0.3">
      <c r="A17336" s="42"/>
      <c r="C17336" s="52"/>
      <c r="D17336"/>
      <c r="E17336"/>
      <c r="F17336"/>
      <c r="L17336" s="45"/>
      <c r="N17336" s="56"/>
    </row>
    <row r="17337" spans="1:14" x14ac:dyDescent="0.3">
      <c r="A17337" s="42"/>
      <c r="C17337" s="52"/>
      <c r="D17337"/>
      <c r="E17337"/>
      <c r="F17337"/>
      <c r="N17337" s="56"/>
    </row>
    <row r="17338" spans="1:14" x14ac:dyDescent="0.3">
      <c r="A17338" s="42"/>
      <c r="C17338" s="52"/>
      <c r="D17338"/>
      <c r="E17338"/>
      <c r="F17338"/>
      <c r="N17338" s="56"/>
    </row>
    <row r="17339" spans="1:14" x14ac:dyDescent="0.3">
      <c r="A17339" s="42"/>
      <c r="C17339" s="52"/>
      <c r="D17339"/>
      <c r="E17339"/>
      <c r="F17339"/>
      <c r="N17339" s="56"/>
    </row>
    <row r="17340" spans="1:14" x14ac:dyDescent="0.3">
      <c r="A17340" s="42"/>
      <c r="C17340" s="52"/>
      <c r="D17340"/>
      <c r="E17340"/>
      <c r="F17340"/>
      <c r="N17340" s="56"/>
    </row>
    <row r="17341" spans="1:14" x14ac:dyDescent="0.3">
      <c r="A17341" s="42"/>
      <c r="C17341" s="52"/>
      <c r="D17341"/>
      <c r="E17341"/>
      <c r="F17341"/>
      <c r="N17341" s="56"/>
    </row>
    <row r="17342" spans="1:14" x14ac:dyDescent="0.3">
      <c r="A17342" s="42"/>
      <c r="C17342" s="52"/>
      <c r="D17342"/>
      <c r="E17342"/>
      <c r="F17342"/>
      <c r="N17342" s="56"/>
    </row>
    <row r="17343" spans="1:14" x14ac:dyDescent="0.3">
      <c r="A17343" s="42"/>
      <c r="C17343" s="52"/>
      <c r="D17343"/>
      <c r="E17343"/>
      <c r="F17343"/>
      <c r="N17343" s="56"/>
    </row>
    <row r="17344" spans="1:14" x14ac:dyDescent="0.3">
      <c r="A17344" s="42"/>
      <c r="C17344" s="52"/>
      <c r="D17344"/>
      <c r="E17344"/>
      <c r="F17344"/>
      <c r="N17344" s="56"/>
    </row>
    <row r="17345" spans="1:14" x14ac:dyDescent="0.3">
      <c r="A17345" s="42"/>
      <c r="C17345" s="52"/>
      <c r="D17345"/>
      <c r="E17345"/>
      <c r="F17345"/>
      <c r="N17345" s="56"/>
    </row>
    <row r="17346" spans="1:14" x14ac:dyDescent="0.3">
      <c r="A17346" s="42"/>
      <c r="C17346" s="52"/>
      <c r="D17346"/>
      <c r="E17346"/>
      <c r="F17346"/>
      <c r="N17346" s="56"/>
    </row>
    <row r="17347" spans="1:14" x14ac:dyDescent="0.3">
      <c r="A17347" s="42"/>
      <c r="C17347" s="52"/>
      <c r="D17347"/>
      <c r="E17347"/>
      <c r="F17347"/>
      <c r="N17347" s="56"/>
    </row>
    <row r="17348" spans="1:14" x14ac:dyDescent="0.3">
      <c r="A17348" s="42"/>
      <c r="C17348" s="52"/>
      <c r="D17348"/>
      <c r="E17348"/>
      <c r="F17348"/>
      <c r="L17348" s="45"/>
      <c r="N17348" s="56"/>
    </row>
    <row r="17349" spans="1:14" x14ac:dyDescent="0.3">
      <c r="A17349" s="42"/>
      <c r="C17349" s="52"/>
      <c r="D17349"/>
      <c r="E17349"/>
      <c r="F17349"/>
      <c r="N17349" s="56"/>
    </row>
    <row r="17350" spans="1:14" x14ac:dyDescent="0.3">
      <c r="A17350" s="42"/>
      <c r="C17350" s="52"/>
      <c r="D17350"/>
      <c r="E17350"/>
      <c r="F17350"/>
      <c r="N17350" s="56"/>
    </row>
    <row r="17351" spans="1:14" x14ac:dyDescent="0.3">
      <c r="A17351" s="42"/>
      <c r="C17351" s="52"/>
      <c r="D17351"/>
      <c r="E17351"/>
      <c r="F17351"/>
      <c r="N17351" s="56"/>
    </row>
    <row r="17352" spans="1:14" x14ac:dyDescent="0.3">
      <c r="A17352" s="42"/>
      <c r="C17352" s="52"/>
      <c r="D17352"/>
      <c r="E17352"/>
      <c r="F17352"/>
      <c r="N17352" s="56"/>
    </row>
    <row r="17353" spans="1:14" x14ac:dyDescent="0.3">
      <c r="A17353" s="42"/>
      <c r="C17353" s="52"/>
      <c r="D17353"/>
      <c r="E17353"/>
      <c r="F17353"/>
      <c r="N17353" s="56"/>
    </row>
    <row r="17354" spans="1:14" x14ac:dyDescent="0.3">
      <c r="A17354" s="42"/>
      <c r="C17354" s="52"/>
      <c r="D17354"/>
      <c r="E17354"/>
      <c r="F17354"/>
      <c r="N17354" s="56"/>
    </row>
    <row r="17355" spans="1:14" x14ac:dyDescent="0.3">
      <c r="A17355" s="42"/>
      <c r="C17355" s="52"/>
      <c r="D17355"/>
      <c r="E17355"/>
      <c r="F17355"/>
      <c r="N17355" s="56"/>
    </row>
    <row r="17356" spans="1:14" x14ac:dyDescent="0.3">
      <c r="A17356" s="42"/>
      <c r="C17356" s="52"/>
      <c r="D17356"/>
      <c r="E17356"/>
      <c r="F17356"/>
      <c r="N17356" s="56"/>
    </row>
    <row r="17357" spans="1:14" x14ac:dyDescent="0.3">
      <c r="A17357" s="42"/>
      <c r="C17357" s="52"/>
      <c r="D17357"/>
      <c r="E17357"/>
      <c r="F17357"/>
      <c r="N17357" s="56"/>
    </row>
    <row r="17358" spans="1:14" x14ac:dyDescent="0.3">
      <c r="A17358" s="42"/>
      <c r="C17358" s="52"/>
      <c r="D17358"/>
      <c r="E17358"/>
      <c r="F17358"/>
      <c r="N17358" s="56"/>
    </row>
    <row r="17359" spans="1:14" x14ac:dyDescent="0.3">
      <c r="A17359" s="42"/>
      <c r="C17359" s="52"/>
      <c r="D17359"/>
      <c r="E17359"/>
      <c r="F17359"/>
      <c r="N17359" s="56"/>
    </row>
    <row r="17360" spans="1:14" x14ac:dyDescent="0.3">
      <c r="A17360" s="42"/>
      <c r="C17360" s="52"/>
      <c r="D17360"/>
      <c r="E17360"/>
      <c r="F17360"/>
      <c r="N17360" s="56"/>
    </row>
    <row r="17361" spans="1:14" x14ac:dyDescent="0.3">
      <c r="A17361" s="42"/>
      <c r="C17361" s="52"/>
      <c r="D17361"/>
      <c r="E17361"/>
      <c r="F17361"/>
      <c r="N17361" s="56"/>
    </row>
    <row r="17362" spans="1:14" x14ac:dyDescent="0.3">
      <c r="A17362" s="42"/>
      <c r="C17362" s="52"/>
      <c r="D17362"/>
      <c r="E17362"/>
      <c r="F17362"/>
      <c r="N17362" s="56"/>
    </row>
    <row r="17363" spans="1:14" x14ac:dyDescent="0.3">
      <c r="A17363" s="42"/>
      <c r="C17363" s="52"/>
      <c r="D17363"/>
      <c r="E17363"/>
      <c r="F17363"/>
      <c r="N17363" s="56"/>
    </row>
    <row r="17364" spans="1:14" x14ac:dyDescent="0.3">
      <c r="A17364" s="42"/>
      <c r="C17364" s="52"/>
      <c r="D17364"/>
      <c r="E17364"/>
      <c r="F17364"/>
      <c r="N17364" s="56"/>
    </row>
    <row r="17365" spans="1:14" x14ac:dyDescent="0.3">
      <c r="A17365" s="42"/>
      <c r="C17365" s="52"/>
      <c r="D17365"/>
      <c r="E17365"/>
      <c r="F17365"/>
      <c r="N17365" s="56"/>
    </row>
    <row r="17366" spans="1:14" x14ac:dyDescent="0.3">
      <c r="A17366" s="42"/>
      <c r="C17366" s="52"/>
      <c r="D17366"/>
      <c r="E17366"/>
      <c r="F17366"/>
      <c r="N17366" s="56"/>
    </row>
    <row r="17367" spans="1:14" x14ac:dyDescent="0.3">
      <c r="A17367" s="42"/>
      <c r="C17367" s="52"/>
      <c r="D17367"/>
      <c r="E17367"/>
      <c r="F17367"/>
      <c r="N17367" s="56"/>
    </row>
    <row r="17368" spans="1:14" x14ac:dyDescent="0.3">
      <c r="A17368" s="42"/>
      <c r="C17368" s="52"/>
      <c r="D17368"/>
      <c r="E17368"/>
      <c r="F17368"/>
      <c r="N17368" s="56"/>
    </row>
    <row r="17369" spans="1:14" x14ac:dyDescent="0.3">
      <c r="A17369" s="42"/>
      <c r="C17369" s="52"/>
      <c r="D17369"/>
      <c r="E17369"/>
      <c r="F17369"/>
      <c r="N17369" s="56"/>
    </row>
    <row r="17370" spans="1:14" x14ac:dyDescent="0.3">
      <c r="A17370" s="42"/>
      <c r="C17370" s="52"/>
      <c r="D17370"/>
      <c r="E17370"/>
      <c r="F17370"/>
      <c r="N17370" s="56"/>
    </row>
    <row r="17371" spans="1:14" x14ac:dyDescent="0.3">
      <c r="A17371" s="42"/>
      <c r="C17371" s="52"/>
      <c r="D17371"/>
      <c r="E17371"/>
      <c r="F17371"/>
      <c r="N17371" s="56"/>
    </row>
    <row r="17372" spans="1:14" x14ac:dyDescent="0.3">
      <c r="A17372" s="42"/>
      <c r="C17372" s="52"/>
      <c r="D17372"/>
      <c r="E17372"/>
      <c r="F17372"/>
      <c r="N17372" s="56"/>
    </row>
    <row r="17373" spans="1:14" x14ac:dyDescent="0.3">
      <c r="A17373" s="42"/>
      <c r="C17373" s="52"/>
      <c r="D17373"/>
      <c r="E17373"/>
      <c r="F17373"/>
      <c r="L17373" s="45"/>
      <c r="N17373" s="56"/>
    </row>
    <row r="17374" spans="1:14" x14ac:dyDescent="0.3">
      <c r="A17374" s="42"/>
      <c r="C17374" s="52"/>
      <c r="D17374"/>
      <c r="E17374"/>
      <c r="F17374"/>
      <c r="N17374" s="56"/>
    </row>
    <row r="17375" spans="1:14" x14ac:dyDescent="0.3">
      <c r="A17375" s="42"/>
      <c r="C17375" s="52"/>
      <c r="D17375"/>
      <c r="E17375"/>
      <c r="F17375"/>
      <c r="N17375" s="56"/>
    </row>
    <row r="17376" spans="1:14" x14ac:dyDescent="0.3">
      <c r="A17376" s="42"/>
      <c r="C17376" s="52"/>
      <c r="D17376"/>
      <c r="E17376"/>
      <c r="F17376"/>
      <c r="L17376" s="45"/>
      <c r="N17376" s="56"/>
    </row>
    <row r="17377" spans="1:14" x14ac:dyDescent="0.3">
      <c r="A17377" s="42"/>
      <c r="C17377" s="52"/>
      <c r="D17377"/>
      <c r="E17377"/>
      <c r="F17377"/>
      <c r="N17377" s="56"/>
    </row>
    <row r="17378" spans="1:14" x14ac:dyDescent="0.3">
      <c r="A17378" s="42"/>
      <c r="C17378" s="52"/>
      <c r="D17378"/>
      <c r="E17378"/>
      <c r="F17378"/>
      <c r="N17378" s="56"/>
    </row>
    <row r="17379" spans="1:14" x14ac:dyDescent="0.3">
      <c r="A17379" s="42"/>
      <c r="C17379" s="52"/>
      <c r="D17379"/>
      <c r="E17379"/>
      <c r="F17379"/>
      <c r="N17379" s="56"/>
    </row>
    <row r="17380" spans="1:14" x14ac:dyDescent="0.3">
      <c r="A17380" s="42"/>
      <c r="C17380" s="52"/>
      <c r="D17380"/>
      <c r="E17380"/>
      <c r="F17380"/>
      <c r="N17380" s="56"/>
    </row>
    <row r="17381" spans="1:14" x14ac:dyDescent="0.3">
      <c r="A17381" s="42"/>
      <c r="C17381" s="52"/>
      <c r="D17381"/>
      <c r="E17381"/>
      <c r="F17381"/>
      <c r="N17381" s="56"/>
    </row>
    <row r="17382" spans="1:14" x14ac:dyDescent="0.3">
      <c r="A17382" s="42"/>
      <c r="C17382" s="52"/>
      <c r="D17382"/>
      <c r="E17382"/>
      <c r="F17382"/>
      <c r="N17382" s="56"/>
    </row>
    <row r="17383" spans="1:14" x14ac:dyDescent="0.3">
      <c r="A17383" s="42"/>
      <c r="C17383" s="52"/>
      <c r="D17383"/>
      <c r="E17383"/>
      <c r="F17383"/>
      <c r="L17383" s="45"/>
      <c r="N17383" s="56"/>
    </row>
    <row r="17384" spans="1:14" x14ac:dyDescent="0.3">
      <c r="A17384" s="42"/>
      <c r="C17384" s="52"/>
      <c r="D17384"/>
      <c r="E17384"/>
      <c r="F17384"/>
      <c r="N17384" s="56"/>
    </row>
    <row r="17385" spans="1:14" x14ac:dyDescent="0.3">
      <c r="A17385" s="42"/>
      <c r="C17385" s="52"/>
      <c r="D17385"/>
      <c r="E17385"/>
      <c r="F17385"/>
      <c r="N17385" s="56"/>
    </row>
    <row r="17386" spans="1:14" x14ac:dyDescent="0.3">
      <c r="A17386" s="42"/>
      <c r="C17386" s="52"/>
      <c r="D17386"/>
      <c r="E17386"/>
      <c r="F17386"/>
      <c r="N17386" s="56"/>
    </row>
    <row r="17387" spans="1:14" x14ac:dyDescent="0.3">
      <c r="A17387" s="42"/>
      <c r="C17387" s="52"/>
      <c r="D17387"/>
      <c r="E17387"/>
      <c r="F17387"/>
      <c r="N17387" s="56"/>
    </row>
    <row r="17388" spans="1:14" x14ac:dyDescent="0.3">
      <c r="A17388" s="42"/>
      <c r="C17388" s="52"/>
      <c r="D17388"/>
      <c r="E17388"/>
      <c r="F17388"/>
      <c r="N17388" s="56"/>
    </row>
    <row r="17389" spans="1:14" x14ac:dyDescent="0.3">
      <c r="A17389" s="42"/>
      <c r="C17389" s="52"/>
      <c r="D17389"/>
      <c r="E17389"/>
      <c r="F17389"/>
      <c r="N17389" s="56"/>
    </row>
    <row r="17390" spans="1:14" x14ac:dyDescent="0.3">
      <c r="A17390" s="42"/>
      <c r="C17390" s="52"/>
      <c r="D17390"/>
      <c r="E17390"/>
      <c r="F17390"/>
      <c r="N17390" s="56"/>
    </row>
    <row r="17391" spans="1:14" x14ac:dyDescent="0.3">
      <c r="A17391" s="42"/>
      <c r="C17391" s="52"/>
      <c r="D17391"/>
      <c r="E17391"/>
      <c r="F17391"/>
      <c r="N17391" s="56"/>
    </row>
    <row r="17392" spans="1:14" x14ac:dyDescent="0.3">
      <c r="A17392" s="42"/>
      <c r="C17392" s="52"/>
      <c r="D17392"/>
      <c r="E17392"/>
      <c r="F17392"/>
      <c r="N17392" s="56"/>
    </row>
    <row r="17393" spans="1:14" x14ac:dyDescent="0.3">
      <c r="A17393" s="42"/>
      <c r="C17393" s="52"/>
      <c r="D17393"/>
      <c r="E17393"/>
      <c r="F17393"/>
      <c r="L17393" s="45"/>
      <c r="N17393" s="56"/>
    </row>
    <row r="17394" spans="1:14" x14ac:dyDescent="0.3">
      <c r="A17394" s="42"/>
      <c r="C17394" s="52"/>
      <c r="D17394"/>
      <c r="E17394"/>
      <c r="F17394"/>
      <c r="N17394" s="56"/>
    </row>
    <row r="17395" spans="1:14" x14ac:dyDescent="0.3">
      <c r="A17395" s="42"/>
      <c r="C17395" s="52"/>
      <c r="D17395"/>
      <c r="E17395"/>
      <c r="F17395"/>
      <c r="N17395" s="56"/>
    </row>
    <row r="17396" spans="1:14" x14ac:dyDescent="0.3">
      <c r="A17396" s="42"/>
      <c r="C17396" s="52"/>
      <c r="D17396"/>
      <c r="E17396"/>
      <c r="F17396"/>
      <c r="N17396" s="56"/>
    </row>
    <row r="17397" spans="1:14" x14ac:dyDescent="0.3">
      <c r="A17397" s="42"/>
      <c r="C17397" s="52"/>
      <c r="D17397"/>
      <c r="E17397"/>
      <c r="F17397"/>
      <c r="L17397" s="45"/>
      <c r="N17397" s="56"/>
    </row>
    <row r="17398" spans="1:14" x14ac:dyDescent="0.3">
      <c r="A17398" s="42"/>
      <c r="C17398" s="52"/>
      <c r="D17398"/>
      <c r="E17398"/>
      <c r="F17398"/>
      <c r="N17398" s="56"/>
    </row>
    <row r="17399" spans="1:14" x14ac:dyDescent="0.3">
      <c r="A17399" s="42"/>
      <c r="C17399" s="52"/>
      <c r="D17399"/>
      <c r="E17399"/>
      <c r="F17399"/>
      <c r="L17399" s="45"/>
      <c r="N17399" s="56"/>
    </row>
    <row r="17400" spans="1:14" x14ac:dyDescent="0.3">
      <c r="A17400" s="42"/>
      <c r="C17400" s="52"/>
      <c r="D17400"/>
      <c r="E17400"/>
      <c r="F17400"/>
      <c r="N17400" s="56"/>
    </row>
    <row r="17401" spans="1:14" x14ac:dyDescent="0.3">
      <c r="A17401" s="42"/>
      <c r="C17401" s="52"/>
      <c r="D17401"/>
      <c r="E17401"/>
      <c r="F17401"/>
      <c r="N17401" s="56"/>
    </row>
    <row r="17402" spans="1:14" x14ac:dyDescent="0.3">
      <c r="A17402" s="42"/>
      <c r="C17402" s="52"/>
      <c r="D17402"/>
      <c r="E17402"/>
      <c r="F17402"/>
      <c r="N17402" s="56"/>
    </row>
    <row r="17403" spans="1:14" x14ac:dyDescent="0.3">
      <c r="A17403" s="42"/>
      <c r="C17403" s="52"/>
      <c r="D17403"/>
      <c r="E17403"/>
      <c r="F17403"/>
      <c r="N17403" s="56"/>
    </row>
    <row r="17404" spans="1:14" x14ac:dyDescent="0.3">
      <c r="A17404" s="42"/>
      <c r="C17404" s="52"/>
      <c r="D17404"/>
      <c r="E17404"/>
      <c r="F17404"/>
      <c r="N17404" s="56"/>
    </row>
    <row r="17405" spans="1:14" x14ac:dyDescent="0.3">
      <c r="A17405" s="42"/>
      <c r="C17405" s="52"/>
      <c r="D17405"/>
      <c r="E17405"/>
      <c r="F17405"/>
      <c r="N17405" s="56"/>
    </row>
    <row r="17406" spans="1:14" x14ac:dyDescent="0.3">
      <c r="A17406" s="42"/>
      <c r="C17406" s="52"/>
      <c r="D17406"/>
      <c r="E17406"/>
      <c r="F17406"/>
      <c r="N17406" s="56"/>
    </row>
    <row r="17407" spans="1:14" x14ac:dyDescent="0.3">
      <c r="A17407" s="42"/>
      <c r="C17407" s="52"/>
      <c r="D17407"/>
      <c r="E17407"/>
      <c r="F17407"/>
      <c r="N17407" s="56"/>
    </row>
    <row r="17408" spans="1:14" x14ac:dyDescent="0.3">
      <c r="A17408" s="42"/>
      <c r="C17408" s="52"/>
      <c r="D17408"/>
      <c r="E17408"/>
      <c r="F17408"/>
      <c r="N17408" s="56"/>
    </row>
    <row r="17409" spans="1:14" x14ac:dyDescent="0.3">
      <c r="A17409" s="42"/>
      <c r="C17409" s="52"/>
      <c r="D17409"/>
      <c r="E17409"/>
      <c r="F17409"/>
      <c r="N17409" s="56"/>
    </row>
    <row r="17410" spans="1:14" x14ac:dyDescent="0.3">
      <c r="A17410" s="42"/>
      <c r="C17410" s="52"/>
      <c r="D17410"/>
      <c r="E17410"/>
      <c r="F17410"/>
      <c r="N17410" s="56"/>
    </row>
    <row r="17411" spans="1:14" x14ac:dyDescent="0.3">
      <c r="A17411" s="42"/>
      <c r="C17411" s="52"/>
      <c r="D17411"/>
      <c r="E17411"/>
      <c r="F17411"/>
      <c r="N17411" s="56"/>
    </row>
    <row r="17412" spans="1:14" x14ac:dyDescent="0.3">
      <c r="A17412" s="42"/>
      <c r="C17412" s="52"/>
      <c r="D17412"/>
      <c r="E17412"/>
      <c r="F17412"/>
      <c r="N17412" s="56"/>
    </row>
    <row r="17413" spans="1:14" x14ac:dyDescent="0.3">
      <c r="A17413" s="42"/>
      <c r="C17413" s="52"/>
      <c r="D17413"/>
      <c r="E17413"/>
      <c r="F17413"/>
      <c r="N17413" s="56"/>
    </row>
    <row r="17414" spans="1:14" x14ac:dyDescent="0.3">
      <c r="A17414" s="42"/>
      <c r="C17414" s="52"/>
      <c r="D17414"/>
      <c r="E17414"/>
      <c r="F17414"/>
      <c r="N17414" s="56"/>
    </row>
    <row r="17415" spans="1:14" x14ac:dyDescent="0.3">
      <c r="A17415" s="42"/>
      <c r="C17415" s="52"/>
      <c r="D17415"/>
      <c r="E17415"/>
      <c r="F17415"/>
      <c r="N17415" s="56"/>
    </row>
    <row r="17416" spans="1:14" x14ac:dyDescent="0.3">
      <c r="A17416" s="42"/>
      <c r="C17416" s="52"/>
      <c r="D17416"/>
      <c r="E17416"/>
      <c r="F17416"/>
      <c r="L17416" s="45"/>
      <c r="N17416" s="56"/>
    </row>
    <row r="17417" spans="1:14" x14ac:dyDescent="0.3">
      <c r="A17417" s="42"/>
      <c r="C17417" s="52"/>
      <c r="D17417"/>
      <c r="E17417"/>
      <c r="F17417"/>
      <c r="N17417" s="56"/>
    </row>
    <row r="17418" spans="1:14" x14ac:dyDescent="0.3">
      <c r="A17418" s="42"/>
      <c r="C17418" s="52"/>
      <c r="D17418"/>
      <c r="E17418"/>
      <c r="F17418"/>
      <c r="N17418" s="56"/>
    </row>
    <row r="17419" spans="1:14" x14ac:dyDescent="0.3">
      <c r="A17419" s="42"/>
      <c r="C17419" s="52"/>
      <c r="D17419"/>
      <c r="E17419"/>
      <c r="F17419"/>
      <c r="N17419" s="56"/>
    </row>
    <row r="17420" spans="1:14" x14ac:dyDescent="0.3">
      <c r="A17420" s="42"/>
      <c r="C17420" s="52"/>
      <c r="D17420"/>
      <c r="E17420"/>
      <c r="F17420"/>
      <c r="N17420" s="56"/>
    </row>
    <row r="17421" spans="1:14" x14ac:dyDescent="0.3">
      <c r="A17421" s="42"/>
      <c r="C17421" s="52"/>
      <c r="D17421"/>
      <c r="E17421"/>
      <c r="F17421"/>
      <c r="N17421" s="56"/>
    </row>
    <row r="17422" spans="1:14" x14ac:dyDescent="0.3">
      <c r="A17422" s="42"/>
      <c r="C17422" s="52"/>
      <c r="D17422"/>
      <c r="E17422"/>
      <c r="F17422"/>
      <c r="N17422" s="56"/>
    </row>
    <row r="17423" spans="1:14" x14ac:dyDescent="0.3">
      <c r="A17423" s="42"/>
      <c r="C17423" s="52"/>
      <c r="D17423"/>
      <c r="E17423"/>
      <c r="F17423"/>
      <c r="L17423" s="45"/>
      <c r="N17423" s="56"/>
    </row>
    <row r="17424" spans="1:14" x14ac:dyDescent="0.3">
      <c r="A17424" s="42"/>
      <c r="C17424" s="52"/>
      <c r="D17424"/>
      <c r="E17424"/>
      <c r="F17424"/>
      <c r="N17424" s="56"/>
    </row>
    <row r="17425" spans="1:14" x14ac:dyDescent="0.3">
      <c r="A17425" s="42"/>
      <c r="C17425" s="52"/>
      <c r="D17425"/>
      <c r="E17425"/>
      <c r="F17425"/>
      <c r="N17425" s="56"/>
    </row>
    <row r="17426" spans="1:14" x14ac:dyDescent="0.3">
      <c r="A17426" s="42"/>
      <c r="C17426" s="52"/>
      <c r="D17426"/>
      <c r="E17426"/>
      <c r="F17426"/>
      <c r="L17426" s="45"/>
      <c r="N17426" s="56"/>
    </row>
    <row r="17427" spans="1:14" x14ac:dyDescent="0.3">
      <c r="A17427" s="42"/>
      <c r="C17427" s="52"/>
      <c r="D17427"/>
      <c r="E17427"/>
      <c r="F17427"/>
      <c r="N17427" s="56"/>
    </row>
    <row r="17428" spans="1:14" x14ac:dyDescent="0.3">
      <c r="A17428" s="42"/>
      <c r="C17428" s="52"/>
      <c r="D17428"/>
      <c r="E17428"/>
      <c r="N17428" s="56"/>
    </row>
    <row r="17429" spans="1:14" x14ac:dyDescent="0.3">
      <c r="A17429" s="42"/>
      <c r="C17429" s="52"/>
      <c r="D17429"/>
      <c r="E17429"/>
      <c r="N17429" s="56"/>
    </row>
    <row r="17430" spans="1:14" x14ac:dyDescent="0.3">
      <c r="A17430" s="42"/>
      <c r="C17430" s="52"/>
      <c r="D17430"/>
      <c r="E17430"/>
      <c r="N17430" s="56"/>
    </row>
    <row r="17431" spans="1:14" x14ac:dyDescent="0.3">
      <c r="A17431" s="42"/>
      <c r="C17431" s="52"/>
      <c r="D17431"/>
      <c r="E17431"/>
      <c r="N17431" s="56"/>
    </row>
    <row r="17432" spans="1:14" x14ac:dyDescent="0.3">
      <c r="A17432" s="42"/>
      <c r="C17432" s="52"/>
      <c r="D17432"/>
      <c r="E17432"/>
      <c r="N17432" s="56"/>
    </row>
    <row r="17433" spans="1:14" x14ac:dyDescent="0.3">
      <c r="A17433" s="42"/>
      <c r="C17433" s="52"/>
      <c r="D17433"/>
      <c r="E17433"/>
      <c r="N17433" s="56"/>
    </row>
    <row r="17434" spans="1:14" x14ac:dyDescent="0.3">
      <c r="A17434" s="42"/>
      <c r="C17434" s="52"/>
      <c r="D17434"/>
      <c r="E17434"/>
      <c r="N17434" s="56"/>
    </row>
    <row r="17435" spans="1:14" x14ac:dyDescent="0.3">
      <c r="A17435" s="42"/>
      <c r="C17435" s="52"/>
      <c r="D17435"/>
      <c r="E17435"/>
      <c r="N17435" s="56"/>
    </row>
    <row r="17436" spans="1:14" x14ac:dyDescent="0.3">
      <c r="A17436" s="42"/>
      <c r="C17436" s="52"/>
      <c r="D17436"/>
      <c r="E17436"/>
      <c r="N17436" s="56"/>
    </row>
    <row r="17437" spans="1:14" x14ac:dyDescent="0.3">
      <c r="A17437" s="42"/>
      <c r="C17437" s="52"/>
      <c r="D17437"/>
      <c r="E17437"/>
      <c r="N17437" s="56"/>
    </row>
    <row r="17438" spans="1:14" x14ac:dyDescent="0.3">
      <c r="A17438" s="42"/>
      <c r="C17438" s="52"/>
      <c r="D17438"/>
      <c r="E17438"/>
      <c r="N17438" s="56"/>
    </row>
    <row r="17439" spans="1:14" x14ac:dyDescent="0.3">
      <c r="A17439" s="42"/>
      <c r="C17439" s="52"/>
      <c r="D17439"/>
      <c r="E17439"/>
      <c r="N17439" s="56"/>
    </row>
    <row r="17440" spans="1:14" x14ac:dyDescent="0.3">
      <c r="A17440" s="42"/>
      <c r="C17440" s="52"/>
      <c r="D17440"/>
      <c r="E17440"/>
      <c r="N17440" s="56"/>
    </row>
    <row r="17441" spans="1:14" x14ac:dyDescent="0.3">
      <c r="A17441" s="42"/>
      <c r="C17441" s="52"/>
      <c r="D17441"/>
      <c r="E17441"/>
      <c r="N17441" s="56"/>
    </row>
    <row r="17442" spans="1:14" x14ac:dyDescent="0.3">
      <c r="A17442" s="42"/>
      <c r="C17442" s="52"/>
      <c r="D17442"/>
      <c r="E17442"/>
      <c r="N17442" s="56"/>
    </row>
    <row r="17443" spans="1:14" x14ac:dyDescent="0.3">
      <c r="A17443" s="42"/>
      <c r="C17443" s="52"/>
      <c r="D17443"/>
      <c r="E17443"/>
      <c r="N17443" s="56"/>
    </row>
    <row r="17444" spans="1:14" x14ac:dyDescent="0.3">
      <c r="A17444" s="42"/>
      <c r="C17444" s="52"/>
      <c r="D17444"/>
      <c r="E17444"/>
      <c r="N17444" s="56"/>
    </row>
    <row r="17445" spans="1:14" x14ac:dyDescent="0.3">
      <c r="A17445" s="42"/>
      <c r="C17445" s="52"/>
      <c r="D17445"/>
      <c r="E17445"/>
      <c r="N17445" s="56"/>
    </row>
    <row r="17446" spans="1:14" x14ac:dyDescent="0.3">
      <c r="A17446" s="42"/>
      <c r="C17446" s="52"/>
      <c r="D17446"/>
      <c r="E17446"/>
      <c r="N17446" s="56"/>
    </row>
    <row r="17447" spans="1:14" x14ac:dyDescent="0.3">
      <c r="A17447" s="42"/>
      <c r="C17447" s="52"/>
      <c r="D17447"/>
      <c r="E17447"/>
      <c r="N17447" s="56"/>
    </row>
    <row r="17448" spans="1:14" x14ac:dyDescent="0.3">
      <c r="A17448" s="42"/>
      <c r="C17448" s="52"/>
      <c r="D17448"/>
      <c r="E17448"/>
      <c r="N17448" s="56"/>
    </row>
    <row r="17449" spans="1:14" x14ac:dyDescent="0.3">
      <c r="A17449" s="42"/>
      <c r="C17449" s="52"/>
      <c r="D17449"/>
      <c r="E17449"/>
      <c r="N17449" s="56"/>
    </row>
    <row r="17450" spans="1:14" x14ac:dyDescent="0.3">
      <c r="A17450" s="42"/>
      <c r="C17450" s="52"/>
      <c r="D17450"/>
      <c r="E17450"/>
      <c r="N17450" s="56"/>
    </row>
    <row r="17451" spans="1:14" x14ac:dyDescent="0.3">
      <c r="A17451" s="42"/>
      <c r="C17451" s="52"/>
      <c r="D17451"/>
      <c r="E17451"/>
      <c r="N17451" s="56"/>
    </row>
    <row r="17452" spans="1:14" x14ac:dyDescent="0.3">
      <c r="A17452" s="42"/>
      <c r="C17452" s="52"/>
      <c r="D17452"/>
      <c r="E17452"/>
      <c r="N17452" s="56"/>
    </row>
    <row r="17453" spans="1:14" x14ac:dyDescent="0.3">
      <c r="A17453" s="42"/>
      <c r="C17453" s="52"/>
      <c r="D17453"/>
      <c r="E17453"/>
      <c r="N17453" s="56"/>
    </row>
    <row r="17454" spans="1:14" x14ac:dyDescent="0.3">
      <c r="A17454" s="42"/>
      <c r="C17454" s="52"/>
      <c r="D17454"/>
      <c r="E17454"/>
      <c r="N17454" s="56"/>
    </row>
    <row r="17455" spans="1:14" x14ac:dyDescent="0.3">
      <c r="A17455" s="42"/>
      <c r="C17455" s="52"/>
      <c r="D17455"/>
      <c r="E17455"/>
      <c r="N17455" s="56"/>
    </row>
    <row r="17456" spans="1:14" x14ac:dyDescent="0.3">
      <c r="A17456" s="42"/>
      <c r="C17456" s="52"/>
      <c r="D17456"/>
      <c r="E17456"/>
      <c r="N17456" s="56"/>
    </row>
    <row r="17457" spans="1:14" x14ac:dyDescent="0.3">
      <c r="A17457" s="42"/>
      <c r="C17457" s="52"/>
      <c r="D17457"/>
      <c r="E17457"/>
      <c r="N17457" s="56"/>
    </row>
    <row r="17458" spans="1:14" x14ac:dyDescent="0.3">
      <c r="A17458" s="42"/>
      <c r="C17458" s="52"/>
      <c r="D17458"/>
      <c r="E17458"/>
      <c r="N17458" s="56"/>
    </row>
    <row r="17459" spans="1:14" x14ac:dyDescent="0.3">
      <c r="A17459" s="42"/>
      <c r="C17459" s="52"/>
      <c r="D17459"/>
      <c r="E17459"/>
      <c r="N17459" s="56"/>
    </row>
    <row r="17460" spans="1:14" x14ac:dyDescent="0.3">
      <c r="A17460" s="42"/>
      <c r="C17460" s="52"/>
      <c r="D17460"/>
      <c r="E17460"/>
      <c r="N17460" s="56"/>
    </row>
    <row r="17461" spans="1:14" x14ac:dyDescent="0.3">
      <c r="A17461" s="42"/>
      <c r="C17461" s="52"/>
      <c r="D17461"/>
      <c r="E17461"/>
      <c r="N17461" s="56"/>
    </row>
    <row r="17462" spans="1:14" x14ac:dyDescent="0.3">
      <c r="A17462" s="42"/>
      <c r="C17462" s="52"/>
      <c r="D17462"/>
      <c r="E17462"/>
      <c r="N17462" s="56"/>
    </row>
    <row r="17463" spans="1:14" x14ac:dyDescent="0.3">
      <c r="A17463" s="42"/>
      <c r="C17463" s="52"/>
      <c r="D17463"/>
      <c r="E17463"/>
      <c r="N17463" s="56"/>
    </row>
    <row r="17464" spans="1:14" x14ac:dyDescent="0.3">
      <c r="A17464" s="42"/>
      <c r="C17464" s="52"/>
      <c r="D17464"/>
      <c r="E17464"/>
      <c r="N17464" s="56"/>
    </row>
    <row r="17465" spans="1:14" x14ac:dyDescent="0.3">
      <c r="A17465" s="42"/>
      <c r="C17465" s="52"/>
      <c r="D17465"/>
      <c r="E17465"/>
      <c r="N17465" s="56"/>
    </row>
    <row r="17466" spans="1:14" x14ac:dyDescent="0.3">
      <c r="A17466" s="42"/>
      <c r="C17466" s="52"/>
      <c r="D17466"/>
      <c r="E17466"/>
      <c r="N17466" s="56"/>
    </row>
    <row r="17467" spans="1:14" x14ac:dyDescent="0.3">
      <c r="A17467" s="42"/>
      <c r="C17467" s="52"/>
      <c r="D17467"/>
      <c r="E17467"/>
      <c r="N17467" s="56"/>
    </row>
    <row r="17468" spans="1:14" x14ac:dyDescent="0.3">
      <c r="A17468" s="42"/>
      <c r="C17468" s="52"/>
      <c r="D17468"/>
      <c r="E17468"/>
      <c r="N17468" s="56"/>
    </row>
    <row r="17469" spans="1:14" x14ac:dyDescent="0.3">
      <c r="A17469" s="42"/>
      <c r="C17469" s="52"/>
      <c r="D17469"/>
      <c r="E17469"/>
      <c r="N17469" s="56"/>
    </row>
    <row r="17470" spans="1:14" x14ac:dyDescent="0.3">
      <c r="A17470" s="42"/>
      <c r="C17470" s="52"/>
      <c r="D17470"/>
      <c r="E17470"/>
      <c r="N17470" s="56"/>
    </row>
    <row r="17471" spans="1:14" x14ac:dyDescent="0.3">
      <c r="A17471" s="42"/>
      <c r="C17471" s="52"/>
      <c r="D17471"/>
      <c r="E17471"/>
      <c r="N17471" s="56"/>
    </row>
    <row r="17472" spans="1:14" x14ac:dyDescent="0.3">
      <c r="A17472" s="42"/>
      <c r="C17472" s="52"/>
      <c r="D17472"/>
      <c r="E17472"/>
      <c r="N17472" s="56"/>
    </row>
    <row r="17473" spans="1:15" x14ac:dyDescent="0.3">
      <c r="A17473" s="42"/>
      <c r="C17473" s="52"/>
      <c r="D17473"/>
      <c r="E17473"/>
      <c r="N17473" s="56"/>
    </row>
    <row r="17474" spans="1:15" x14ac:dyDescent="0.3">
      <c r="A17474" s="42"/>
      <c r="C17474" s="52"/>
      <c r="D17474"/>
      <c r="E17474"/>
      <c r="N17474" s="56"/>
    </row>
    <row r="17475" spans="1:15" x14ac:dyDescent="0.3">
      <c r="A17475" s="42"/>
      <c r="C17475" s="52"/>
      <c r="D17475"/>
      <c r="E17475"/>
      <c r="N17475" s="56"/>
    </row>
    <row r="17476" spans="1:15" x14ac:dyDescent="0.3">
      <c r="A17476" s="42"/>
      <c r="C17476" s="52"/>
      <c r="D17476"/>
      <c r="E17476"/>
      <c r="N17476" s="56"/>
    </row>
    <row r="17477" spans="1:15" x14ac:dyDescent="0.3">
      <c r="A17477" s="42"/>
      <c r="C17477" s="52"/>
      <c r="D17477"/>
      <c r="E17477"/>
      <c r="N17477" s="56"/>
    </row>
    <row r="17478" spans="1:15" x14ac:dyDescent="0.3">
      <c r="A17478" s="42"/>
      <c r="C17478" s="52"/>
      <c r="D17478"/>
      <c r="E17478"/>
      <c r="N17478" s="56"/>
    </row>
    <row r="17479" spans="1:15" x14ac:dyDescent="0.3">
      <c r="A17479" s="42"/>
      <c r="C17479" s="89"/>
      <c r="D17479" s="90"/>
      <c r="E17479" s="90"/>
      <c r="F17479" s="88"/>
      <c r="G17479" s="91"/>
      <c r="H17479" s="92"/>
      <c r="I17479" s="88"/>
      <c r="J17479" s="93"/>
      <c r="K17479" s="94"/>
      <c r="L17479" s="90"/>
      <c r="M17479" s="95"/>
      <c r="N17479" s="96"/>
      <c r="O17479" s="90"/>
    </row>
    <row r="17480" spans="1:15" x14ac:dyDescent="0.3">
      <c r="A17480" s="42"/>
      <c r="C17480" s="52"/>
      <c r="D17480"/>
      <c r="E17480"/>
      <c r="N17480" s="56"/>
    </row>
    <row r="17481" spans="1:15" x14ac:dyDescent="0.3">
      <c r="A17481" s="42"/>
      <c r="C17481" s="52"/>
      <c r="D17481"/>
      <c r="E17481"/>
      <c r="N17481" s="56"/>
    </row>
    <row r="17482" spans="1:15" x14ac:dyDescent="0.3">
      <c r="A17482" s="42"/>
      <c r="C17482" s="52"/>
      <c r="D17482"/>
      <c r="E17482"/>
      <c r="N17482" s="56"/>
    </row>
    <row r="17483" spans="1:15" x14ac:dyDescent="0.3">
      <c r="A17483" s="42"/>
      <c r="C17483" s="52"/>
      <c r="D17483"/>
      <c r="E17483"/>
      <c r="N17483" s="56"/>
    </row>
    <row r="17484" spans="1:15" x14ac:dyDescent="0.3">
      <c r="A17484" s="42"/>
      <c r="C17484" s="52"/>
      <c r="D17484"/>
      <c r="E17484"/>
      <c r="N17484" s="56"/>
    </row>
    <row r="17485" spans="1:15" x14ac:dyDescent="0.3">
      <c r="A17485" s="42"/>
      <c r="C17485" s="52"/>
      <c r="D17485"/>
      <c r="E17485"/>
      <c r="N17485" s="56"/>
    </row>
    <row r="17486" spans="1:15" x14ac:dyDescent="0.3">
      <c r="A17486" s="42"/>
      <c r="C17486" s="52"/>
      <c r="D17486"/>
      <c r="E17486"/>
      <c r="N17486" s="56"/>
    </row>
    <row r="17487" spans="1:15" x14ac:dyDescent="0.3">
      <c r="A17487" s="42"/>
      <c r="C17487" s="52"/>
      <c r="D17487"/>
      <c r="E17487"/>
      <c r="N17487" s="56"/>
    </row>
    <row r="17488" spans="1:15" x14ac:dyDescent="0.3">
      <c r="A17488" s="42"/>
      <c r="C17488" s="52"/>
      <c r="D17488"/>
      <c r="E17488"/>
      <c r="N17488" s="56"/>
    </row>
    <row r="17489" spans="1:14" x14ac:dyDescent="0.3">
      <c r="A17489" s="42"/>
      <c r="C17489" s="52"/>
      <c r="D17489"/>
      <c r="E17489"/>
      <c r="N17489" s="56"/>
    </row>
    <row r="17490" spans="1:14" x14ac:dyDescent="0.3">
      <c r="A17490" s="42"/>
      <c r="C17490" s="52"/>
      <c r="D17490"/>
      <c r="E17490"/>
      <c r="N17490" s="56"/>
    </row>
    <row r="17491" spans="1:14" x14ac:dyDescent="0.3">
      <c r="A17491" s="42"/>
      <c r="C17491" s="52"/>
      <c r="D17491"/>
      <c r="E17491"/>
      <c r="N17491" s="56"/>
    </row>
    <row r="17492" spans="1:14" x14ac:dyDescent="0.3">
      <c r="A17492" s="42"/>
      <c r="C17492" s="52"/>
      <c r="D17492"/>
      <c r="E17492"/>
      <c r="N17492" s="56"/>
    </row>
    <row r="17493" spans="1:14" x14ac:dyDescent="0.3">
      <c r="A17493" s="42"/>
      <c r="C17493" s="52"/>
      <c r="D17493"/>
      <c r="E17493"/>
      <c r="N17493" s="56"/>
    </row>
    <row r="17494" spans="1:14" x14ac:dyDescent="0.3">
      <c r="A17494" s="42"/>
      <c r="C17494" s="52"/>
      <c r="D17494"/>
      <c r="E17494"/>
      <c r="N17494" s="56"/>
    </row>
    <row r="17495" spans="1:14" x14ac:dyDescent="0.3">
      <c r="A17495" s="42"/>
      <c r="C17495" s="52"/>
      <c r="D17495"/>
      <c r="E17495"/>
      <c r="N17495" s="56"/>
    </row>
    <row r="17496" spans="1:14" x14ac:dyDescent="0.3">
      <c r="A17496" s="42"/>
      <c r="C17496" s="52"/>
      <c r="D17496"/>
      <c r="E17496"/>
      <c r="N17496" s="56"/>
    </row>
    <row r="17497" spans="1:14" x14ac:dyDescent="0.3">
      <c r="A17497" s="42"/>
      <c r="C17497" s="52"/>
      <c r="D17497"/>
      <c r="E17497"/>
      <c r="N17497" s="56"/>
    </row>
    <row r="17498" spans="1:14" x14ac:dyDescent="0.3">
      <c r="A17498" s="42"/>
      <c r="C17498" s="52"/>
      <c r="D17498"/>
      <c r="E17498"/>
      <c r="N17498" s="56"/>
    </row>
    <row r="17499" spans="1:14" x14ac:dyDescent="0.3">
      <c r="A17499" s="42"/>
      <c r="C17499" s="52"/>
      <c r="D17499"/>
      <c r="E17499"/>
      <c r="N17499" s="56"/>
    </row>
    <row r="17500" spans="1:14" x14ac:dyDescent="0.3">
      <c r="A17500" s="42"/>
      <c r="C17500" s="52"/>
      <c r="D17500"/>
      <c r="E17500"/>
      <c r="N17500" s="56"/>
    </row>
    <row r="17501" spans="1:14" x14ac:dyDescent="0.3">
      <c r="A17501" s="42"/>
      <c r="C17501" s="52"/>
      <c r="D17501"/>
      <c r="E17501"/>
      <c r="N17501" s="56"/>
    </row>
    <row r="17502" spans="1:14" x14ac:dyDescent="0.3">
      <c r="A17502" s="42"/>
      <c r="C17502" s="52"/>
      <c r="D17502"/>
      <c r="E17502"/>
      <c r="N17502" s="56"/>
    </row>
    <row r="17503" spans="1:14" x14ac:dyDescent="0.3">
      <c r="A17503" s="42"/>
      <c r="C17503" s="52"/>
      <c r="D17503"/>
      <c r="E17503"/>
      <c r="N17503" s="56"/>
    </row>
    <row r="17504" spans="1:14" x14ac:dyDescent="0.3">
      <c r="A17504" s="42"/>
      <c r="C17504" s="52"/>
      <c r="D17504"/>
      <c r="E17504"/>
      <c r="N17504" s="56"/>
    </row>
    <row r="17505" spans="1:14" x14ac:dyDescent="0.3">
      <c r="A17505" s="42"/>
      <c r="C17505" s="52"/>
      <c r="D17505"/>
      <c r="E17505"/>
      <c r="N17505" s="56"/>
    </row>
    <row r="17506" spans="1:14" x14ac:dyDescent="0.3">
      <c r="A17506" s="42"/>
      <c r="C17506" s="52"/>
      <c r="D17506"/>
      <c r="E17506"/>
      <c r="N17506" s="56"/>
    </row>
    <row r="17507" spans="1:14" x14ac:dyDescent="0.3">
      <c r="A17507" s="42"/>
      <c r="C17507" s="52"/>
      <c r="D17507"/>
      <c r="E17507"/>
      <c r="N17507" s="56"/>
    </row>
    <row r="17508" spans="1:14" x14ac:dyDescent="0.3">
      <c r="A17508" s="42"/>
      <c r="C17508" s="52"/>
      <c r="D17508"/>
      <c r="E17508"/>
      <c r="N17508" s="56"/>
    </row>
    <row r="17509" spans="1:14" x14ac:dyDescent="0.3">
      <c r="A17509" s="42"/>
      <c r="C17509" s="52"/>
      <c r="D17509"/>
      <c r="E17509"/>
      <c r="N17509" s="56"/>
    </row>
    <row r="17510" spans="1:14" x14ac:dyDescent="0.3">
      <c r="A17510" s="42"/>
      <c r="C17510" s="52"/>
      <c r="D17510"/>
      <c r="E17510"/>
      <c r="N17510" s="56"/>
    </row>
    <row r="17511" spans="1:14" x14ac:dyDescent="0.3">
      <c r="A17511" s="42"/>
      <c r="C17511" s="52"/>
      <c r="D17511"/>
      <c r="E17511"/>
      <c r="N17511" s="56"/>
    </row>
    <row r="17512" spans="1:14" x14ac:dyDescent="0.3">
      <c r="A17512" s="42"/>
      <c r="C17512" s="52"/>
      <c r="D17512"/>
      <c r="E17512"/>
      <c r="N17512" s="56"/>
    </row>
    <row r="17513" spans="1:14" x14ac:dyDescent="0.3">
      <c r="A17513" s="42"/>
      <c r="C17513" s="52"/>
      <c r="D17513"/>
      <c r="E17513"/>
      <c r="N17513" s="56"/>
    </row>
    <row r="17514" spans="1:14" x14ac:dyDescent="0.3">
      <c r="A17514" s="42"/>
      <c r="C17514" s="52"/>
      <c r="D17514"/>
      <c r="E17514"/>
      <c r="N17514" s="56"/>
    </row>
    <row r="17515" spans="1:14" x14ac:dyDescent="0.3">
      <c r="A17515" s="42"/>
      <c r="C17515" s="52"/>
      <c r="D17515"/>
      <c r="E17515"/>
      <c r="N17515" s="56"/>
    </row>
    <row r="17516" spans="1:14" x14ac:dyDescent="0.3">
      <c r="A17516" s="42"/>
      <c r="C17516" s="52"/>
      <c r="D17516"/>
      <c r="E17516"/>
      <c r="N17516" s="56"/>
    </row>
    <row r="17517" spans="1:14" x14ac:dyDescent="0.3">
      <c r="A17517" s="42"/>
      <c r="C17517" s="52"/>
      <c r="D17517"/>
      <c r="E17517"/>
      <c r="N17517" s="56"/>
    </row>
    <row r="17518" spans="1:14" x14ac:dyDescent="0.3">
      <c r="A17518" s="42"/>
      <c r="C17518" s="52"/>
      <c r="D17518"/>
      <c r="E17518"/>
      <c r="N17518" s="56"/>
    </row>
    <row r="17519" spans="1:14" x14ac:dyDescent="0.3">
      <c r="A17519" s="42"/>
      <c r="C17519" s="52"/>
      <c r="D17519"/>
      <c r="E17519"/>
      <c r="N17519" s="56"/>
    </row>
    <row r="17520" spans="1:14" x14ac:dyDescent="0.3">
      <c r="A17520" s="42"/>
      <c r="C17520" s="52"/>
      <c r="D17520"/>
      <c r="E17520"/>
      <c r="N17520" s="56"/>
    </row>
    <row r="17521" spans="1:14" x14ac:dyDescent="0.3">
      <c r="A17521" s="42"/>
      <c r="C17521" s="52"/>
      <c r="D17521"/>
      <c r="E17521"/>
      <c r="N17521" s="56"/>
    </row>
    <row r="17522" spans="1:14" x14ac:dyDescent="0.3">
      <c r="A17522" s="42"/>
      <c r="C17522" s="52"/>
      <c r="D17522"/>
      <c r="E17522"/>
      <c r="N17522" s="56"/>
    </row>
    <row r="17523" spans="1:14" x14ac:dyDescent="0.3">
      <c r="A17523" s="42"/>
      <c r="C17523" s="52"/>
      <c r="D17523"/>
      <c r="E17523"/>
      <c r="N17523" s="56"/>
    </row>
    <row r="17524" spans="1:14" x14ac:dyDescent="0.3">
      <c r="A17524" s="42"/>
      <c r="C17524" s="52"/>
      <c r="D17524"/>
      <c r="E17524"/>
      <c r="N17524" s="56"/>
    </row>
    <row r="17525" spans="1:14" x14ac:dyDescent="0.3">
      <c r="A17525" s="42"/>
      <c r="C17525" s="52"/>
      <c r="D17525"/>
      <c r="E17525"/>
      <c r="N17525" s="56"/>
    </row>
    <row r="17526" spans="1:14" x14ac:dyDescent="0.3">
      <c r="A17526" s="42"/>
      <c r="C17526" s="52"/>
      <c r="D17526"/>
      <c r="E17526"/>
      <c r="N17526" s="56"/>
    </row>
    <row r="17527" spans="1:14" x14ac:dyDescent="0.3">
      <c r="A17527" s="42"/>
      <c r="C17527" s="52"/>
      <c r="D17527"/>
      <c r="E17527"/>
      <c r="N17527" s="56"/>
    </row>
    <row r="17528" spans="1:14" x14ac:dyDescent="0.3">
      <c r="A17528" s="42"/>
      <c r="C17528" s="52"/>
      <c r="D17528"/>
      <c r="E17528"/>
      <c r="N17528" s="56"/>
    </row>
    <row r="17529" spans="1:14" x14ac:dyDescent="0.3">
      <c r="A17529" s="42"/>
      <c r="C17529" s="52"/>
      <c r="D17529"/>
      <c r="E17529"/>
      <c r="N17529" s="56"/>
    </row>
    <row r="17530" spans="1:14" x14ac:dyDescent="0.3">
      <c r="A17530" s="42"/>
      <c r="C17530" s="52"/>
      <c r="D17530"/>
      <c r="E17530"/>
      <c r="N17530" s="56"/>
    </row>
    <row r="17531" spans="1:14" x14ac:dyDescent="0.3">
      <c r="A17531" s="42"/>
      <c r="C17531" s="52"/>
      <c r="D17531"/>
      <c r="E17531"/>
      <c r="N17531" s="56"/>
    </row>
    <row r="17532" spans="1:14" x14ac:dyDescent="0.3">
      <c r="A17532" s="42"/>
      <c r="C17532" s="52"/>
      <c r="D17532"/>
      <c r="E17532"/>
      <c r="N17532" s="56"/>
    </row>
    <row r="17533" spans="1:14" x14ac:dyDescent="0.3">
      <c r="A17533" s="42"/>
      <c r="C17533" s="52"/>
      <c r="D17533"/>
      <c r="E17533"/>
      <c r="N17533" s="56"/>
    </row>
    <row r="17534" spans="1:14" x14ac:dyDescent="0.3">
      <c r="A17534" s="42"/>
      <c r="C17534" s="52"/>
      <c r="D17534"/>
      <c r="E17534"/>
      <c r="N17534" s="56"/>
    </row>
    <row r="17535" spans="1:14" x14ac:dyDescent="0.3">
      <c r="A17535" s="42"/>
      <c r="C17535" s="52"/>
      <c r="D17535"/>
      <c r="E17535"/>
      <c r="N17535" s="56"/>
    </row>
    <row r="17536" spans="1:14" x14ac:dyDescent="0.3">
      <c r="A17536" s="42"/>
      <c r="C17536" s="52"/>
      <c r="D17536"/>
      <c r="E17536"/>
      <c r="N17536" s="56"/>
    </row>
    <row r="17537" spans="1:14" x14ac:dyDescent="0.3">
      <c r="A17537" s="42"/>
      <c r="C17537" s="52"/>
      <c r="D17537"/>
      <c r="E17537"/>
      <c r="N17537" s="56"/>
    </row>
    <row r="17538" spans="1:14" x14ac:dyDescent="0.3">
      <c r="A17538" s="42"/>
      <c r="C17538" s="52"/>
      <c r="D17538"/>
      <c r="E17538"/>
      <c r="N17538" s="56"/>
    </row>
    <row r="17539" spans="1:14" x14ac:dyDescent="0.3">
      <c r="A17539" s="42"/>
      <c r="C17539" s="52"/>
      <c r="D17539"/>
      <c r="E17539"/>
      <c r="N17539" s="56"/>
    </row>
    <row r="17540" spans="1:14" x14ac:dyDescent="0.3">
      <c r="A17540" s="42"/>
      <c r="C17540" s="52"/>
      <c r="D17540"/>
      <c r="E17540"/>
      <c r="N17540" s="56"/>
    </row>
    <row r="17541" spans="1:14" x14ac:dyDescent="0.3">
      <c r="A17541" s="42"/>
      <c r="C17541" s="52"/>
      <c r="D17541"/>
      <c r="E17541"/>
      <c r="N17541" s="56"/>
    </row>
    <row r="17542" spans="1:14" x14ac:dyDescent="0.3">
      <c r="A17542" s="42"/>
      <c r="C17542" s="52"/>
      <c r="D17542"/>
      <c r="E17542"/>
      <c r="N17542" s="56"/>
    </row>
    <row r="17543" spans="1:14" x14ac:dyDescent="0.3">
      <c r="A17543" s="42"/>
      <c r="C17543" s="52"/>
      <c r="D17543"/>
      <c r="E17543"/>
      <c r="N17543" s="56"/>
    </row>
    <row r="17544" spans="1:14" x14ac:dyDescent="0.3">
      <c r="A17544" s="42"/>
      <c r="C17544" s="52"/>
      <c r="D17544"/>
      <c r="E17544"/>
      <c r="N17544" s="56"/>
    </row>
    <row r="17545" spans="1:14" x14ac:dyDescent="0.3">
      <c r="A17545" s="42"/>
      <c r="C17545" s="52"/>
      <c r="D17545"/>
      <c r="E17545"/>
      <c r="N17545" s="56"/>
    </row>
    <row r="17546" spans="1:14" x14ac:dyDescent="0.3">
      <c r="A17546" s="42"/>
      <c r="C17546" s="52"/>
      <c r="D17546"/>
      <c r="E17546"/>
      <c r="N17546" s="56"/>
    </row>
    <row r="17547" spans="1:14" x14ac:dyDescent="0.3">
      <c r="A17547" s="42"/>
      <c r="C17547" s="52"/>
      <c r="D17547"/>
      <c r="E17547"/>
      <c r="N17547" s="56"/>
    </row>
    <row r="17548" spans="1:14" x14ac:dyDescent="0.3">
      <c r="A17548" s="42"/>
      <c r="C17548" s="52"/>
      <c r="D17548"/>
      <c r="E17548"/>
      <c r="N17548" s="56"/>
    </row>
    <row r="17549" spans="1:14" x14ac:dyDescent="0.3">
      <c r="A17549" s="42"/>
      <c r="C17549" s="52"/>
      <c r="D17549"/>
      <c r="E17549"/>
      <c r="N17549" s="56"/>
    </row>
    <row r="17550" spans="1:14" x14ac:dyDescent="0.3">
      <c r="A17550" s="42"/>
      <c r="C17550" s="52"/>
      <c r="D17550"/>
      <c r="E17550"/>
      <c r="N17550" s="56"/>
    </row>
    <row r="17551" spans="1:14" x14ac:dyDescent="0.3">
      <c r="A17551" s="42"/>
      <c r="C17551" s="52"/>
      <c r="D17551"/>
      <c r="E17551"/>
      <c r="N17551" s="56"/>
    </row>
    <row r="17552" spans="1:14" x14ac:dyDescent="0.3">
      <c r="A17552" s="42"/>
      <c r="C17552" s="52"/>
      <c r="D17552"/>
      <c r="E17552"/>
      <c r="N17552" s="56"/>
    </row>
    <row r="17553" spans="1:14" x14ac:dyDescent="0.3">
      <c r="A17553" s="42"/>
      <c r="C17553" s="52"/>
      <c r="D17553"/>
      <c r="E17553"/>
      <c r="N17553" s="56"/>
    </row>
    <row r="17554" spans="1:14" x14ac:dyDescent="0.3">
      <c r="A17554" s="42"/>
      <c r="C17554" s="52"/>
      <c r="D17554"/>
      <c r="E17554"/>
      <c r="N17554" s="56"/>
    </row>
    <row r="17555" spans="1:14" x14ac:dyDescent="0.3">
      <c r="A17555" s="42"/>
      <c r="C17555" s="52"/>
      <c r="D17555"/>
      <c r="E17555"/>
      <c r="N17555" s="56"/>
    </row>
    <row r="17556" spans="1:14" x14ac:dyDescent="0.3">
      <c r="A17556" s="42"/>
      <c r="C17556" s="52"/>
      <c r="D17556"/>
      <c r="E17556"/>
      <c r="N17556" s="56"/>
    </row>
    <row r="17557" spans="1:14" x14ac:dyDescent="0.3">
      <c r="A17557" s="42"/>
      <c r="C17557" s="52"/>
      <c r="D17557"/>
      <c r="E17557"/>
      <c r="N17557" s="56"/>
    </row>
    <row r="17558" spans="1:14" x14ac:dyDescent="0.3">
      <c r="A17558" s="42"/>
      <c r="C17558" s="52"/>
      <c r="D17558"/>
      <c r="E17558"/>
      <c r="N17558" s="56"/>
    </row>
    <row r="17559" spans="1:14" x14ac:dyDescent="0.3">
      <c r="A17559" s="42"/>
      <c r="C17559" s="52"/>
      <c r="D17559"/>
      <c r="E17559"/>
      <c r="N17559" s="56"/>
    </row>
    <row r="17560" spans="1:14" x14ac:dyDescent="0.3">
      <c r="A17560" s="42"/>
      <c r="C17560" s="52"/>
      <c r="D17560"/>
      <c r="E17560"/>
      <c r="N17560" s="56"/>
    </row>
    <row r="17561" spans="1:14" x14ac:dyDescent="0.3">
      <c r="A17561" s="42"/>
      <c r="C17561" s="52"/>
      <c r="D17561"/>
      <c r="E17561"/>
      <c r="N17561" s="56"/>
    </row>
    <row r="17562" spans="1:14" x14ac:dyDescent="0.3">
      <c r="A17562" s="42"/>
      <c r="C17562" s="52"/>
      <c r="D17562"/>
      <c r="E17562"/>
      <c r="N17562" s="56"/>
    </row>
    <row r="17563" spans="1:14" x14ac:dyDescent="0.3">
      <c r="A17563" s="42"/>
      <c r="C17563" s="52"/>
      <c r="D17563"/>
      <c r="E17563"/>
      <c r="M17563" s="45"/>
      <c r="N17563" s="56"/>
    </row>
    <row r="17564" spans="1:14" x14ac:dyDescent="0.3">
      <c r="A17564" s="42"/>
      <c r="C17564" s="52"/>
      <c r="D17564"/>
      <c r="E17564"/>
      <c r="N17564" s="56"/>
    </row>
    <row r="17565" spans="1:14" x14ac:dyDescent="0.3">
      <c r="A17565" s="42"/>
      <c r="C17565" s="52"/>
      <c r="D17565"/>
      <c r="E17565"/>
      <c r="N17565" s="56"/>
    </row>
    <row r="17566" spans="1:14" x14ac:dyDescent="0.3">
      <c r="A17566" s="42"/>
      <c r="C17566" s="52"/>
      <c r="D17566"/>
      <c r="E17566"/>
      <c r="N17566" s="56"/>
    </row>
    <row r="17567" spans="1:14" x14ac:dyDescent="0.3">
      <c r="A17567" s="42"/>
      <c r="C17567" s="52"/>
      <c r="D17567"/>
      <c r="E17567"/>
      <c r="N17567" s="56"/>
    </row>
    <row r="17568" spans="1:14" x14ac:dyDescent="0.3">
      <c r="A17568" s="42"/>
      <c r="C17568" s="52"/>
      <c r="D17568"/>
      <c r="E17568"/>
      <c r="N17568" s="56"/>
    </row>
    <row r="17569" spans="1:14" x14ac:dyDescent="0.3">
      <c r="A17569" s="42"/>
      <c r="C17569" s="52"/>
      <c r="D17569"/>
      <c r="E17569"/>
      <c r="N17569" s="56"/>
    </row>
    <row r="17570" spans="1:14" x14ac:dyDescent="0.3">
      <c r="A17570" s="42"/>
      <c r="C17570" s="52"/>
      <c r="D17570"/>
      <c r="E17570"/>
      <c r="N17570" s="56"/>
    </row>
    <row r="17571" spans="1:14" x14ac:dyDescent="0.3">
      <c r="A17571" s="42"/>
      <c r="C17571" s="52"/>
      <c r="D17571"/>
      <c r="E17571"/>
      <c r="N17571" s="56"/>
    </row>
    <row r="17572" spans="1:14" x14ac:dyDescent="0.3">
      <c r="A17572" s="42"/>
      <c r="C17572" s="52"/>
      <c r="D17572"/>
      <c r="E17572"/>
      <c r="N17572" s="56"/>
    </row>
    <row r="17573" spans="1:14" x14ac:dyDescent="0.3">
      <c r="A17573" s="42"/>
      <c r="C17573" s="52"/>
      <c r="D17573"/>
      <c r="E17573"/>
      <c r="N17573" s="56"/>
    </row>
    <row r="17574" spans="1:14" x14ac:dyDescent="0.3">
      <c r="A17574" s="42"/>
      <c r="C17574" s="52"/>
      <c r="D17574"/>
      <c r="E17574"/>
      <c r="N17574" s="56"/>
    </row>
    <row r="17575" spans="1:14" x14ac:dyDescent="0.3">
      <c r="A17575" s="42"/>
      <c r="C17575" s="52"/>
      <c r="D17575"/>
      <c r="E17575"/>
      <c r="N17575" s="56"/>
    </row>
    <row r="17576" spans="1:14" x14ac:dyDescent="0.3">
      <c r="A17576" s="42"/>
      <c r="C17576" s="52"/>
      <c r="D17576"/>
      <c r="E17576"/>
      <c r="N17576" s="56"/>
    </row>
    <row r="17577" spans="1:14" x14ac:dyDescent="0.3">
      <c r="A17577" s="42"/>
      <c r="C17577" s="52"/>
      <c r="D17577"/>
      <c r="E17577"/>
      <c r="N17577" s="56"/>
    </row>
    <row r="17578" spans="1:14" x14ac:dyDescent="0.3">
      <c r="A17578" s="42"/>
      <c r="C17578" s="52"/>
      <c r="D17578"/>
      <c r="E17578"/>
      <c r="N17578" s="56"/>
    </row>
    <row r="17579" spans="1:14" x14ac:dyDescent="0.3">
      <c r="A17579" s="42"/>
      <c r="C17579" s="52"/>
      <c r="D17579"/>
      <c r="E17579"/>
      <c r="N17579" s="56"/>
    </row>
    <row r="17580" spans="1:14" x14ac:dyDescent="0.3">
      <c r="A17580" s="42"/>
      <c r="C17580" s="52"/>
      <c r="D17580"/>
      <c r="E17580"/>
      <c r="N17580" s="56"/>
    </row>
    <row r="17581" spans="1:14" x14ac:dyDescent="0.3">
      <c r="A17581" s="42"/>
      <c r="C17581" s="52"/>
      <c r="D17581"/>
      <c r="E17581"/>
      <c r="N17581" s="56"/>
    </row>
    <row r="17582" spans="1:14" x14ac:dyDescent="0.3">
      <c r="A17582" s="42"/>
      <c r="C17582" s="52"/>
      <c r="D17582"/>
      <c r="E17582"/>
      <c r="N17582" s="56"/>
    </row>
    <row r="17583" spans="1:14" x14ac:dyDescent="0.3">
      <c r="A17583" s="42"/>
      <c r="C17583" s="52"/>
      <c r="D17583"/>
      <c r="E17583"/>
      <c r="N17583" s="56"/>
    </row>
    <row r="17584" spans="1:14" x14ac:dyDescent="0.3">
      <c r="A17584" s="42"/>
      <c r="C17584" s="52"/>
      <c r="D17584"/>
      <c r="E17584"/>
      <c r="N17584" s="56"/>
    </row>
    <row r="17585" spans="1:14" x14ac:dyDescent="0.3">
      <c r="A17585" s="42"/>
      <c r="C17585" s="52"/>
      <c r="D17585"/>
      <c r="E17585"/>
      <c r="N17585" s="56"/>
    </row>
    <row r="17586" spans="1:14" x14ac:dyDescent="0.3">
      <c r="A17586" s="42"/>
      <c r="C17586" s="52"/>
      <c r="D17586"/>
      <c r="E17586"/>
      <c r="N17586" s="56"/>
    </row>
    <row r="17587" spans="1:14" x14ac:dyDescent="0.3">
      <c r="A17587" s="42"/>
      <c r="C17587" s="52"/>
      <c r="D17587"/>
      <c r="E17587"/>
      <c r="N17587" s="56"/>
    </row>
    <row r="17588" spans="1:14" x14ac:dyDescent="0.3">
      <c r="A17588" s="42"/>
      <c r="C17588" s="52"/>
      <c r="D17588"/>
      <c r="E17588"/>
      <c r="N17588" s="56"/>
    </row>
    <row r="17589" spans="1:14" x14ac:dyDescent="0.3">
      <c r="A17589" s="42"/>
      <c r="C17589" s="52"/>
      <c r="D17589"/>
      <c r="E17589"/>
      <c r="N17589" s="56"/>
    </row>
    <row r="17590" spans="1:14" x14ac:dyDescent="0.3">
      <c r="A17590" s="42"/>
      <c r="C17590" s="52"/>
      <c r="D17590"/>
      <c r="E17590"/>
      <c r="N17590" s="56"/>
    </row>
    <row r="17591" spans="1:14" x14ac:dyDescent="0.3">
      <c r="A17591" s="42"/>
      <c r="C17591" s="52"/>
      <c r="D17591"/>
      <c r="E17591"/>
      <c r="N17591" s="56"/>
    </row>
    <row r="17592" spans="1:14" x14ac:dyDescent="0.3">
      <c r="A17592" s="42"/>
      <c r="C17592" s="52"/>
      <c r="D17592"/>
      <c r="E17592"/>
      <c r="N17592" s="56"/>
    </row>
    <row r="17593" spans="1:14" x14ac:dyDescent="0.3">
      <c r="A17593" s="42"/>
      <c r="C17593" s="52"/>
      <c r="D17593"/>
      <c r="E17593"/>
      <c r="N17593" s="56"/>
    </row>
    <row r="17594" spans="1:14" x14ac:dyDescent="0.3">
      <c r="A17594" s="42"/>
      <c r="C17594" s="52"/>
      <c r="D17594"/>
      <c r="E17594"/>
      <c r="N17594" s="56"/>
    </row>
    <row r="17595" spans="1:14" x14ac:dyDescent="0.3">
      <c r="A17595" s="42"/>
      <c r="C17595" s="52"/>
      <c r="D17595"/>
      <c r="E17595"/>
      <c r="N17595" s="56"/>
    </row>
    <row r="17596" spans="1:14" x14ac:dyDescent="0.3">
      <c r="A17596" s="42"/>
      <c r="C17596" s="52"/>
      <c r="D17596"/>
      <c r="E17596"/>
      <c r="N17596" s="56"/>
    </row>
    <row r="17597" spans="1:14" x14ac:dyDescent="0.3">
      <c r="A17597" s="42"/>
      <c r="C17597" s="52"/>
      <c r="D17597"/>
      <c r="E17597"/>
      <c r="N17597" s="56"/>
    </row>
    <row r="17598" spans="1:14" x14ac:dyDescent="0.3">
      <c r="A17598" s="42"/>
      <c r="C17598" s="52"/>
      <c r="D17598"/>
      <c r="E17598"/>
      <c r="N17598" s="56"/>
    </row>
    <row r="17599" spans="1:14" x14ac:dyDescent="0.3">
      <c r="A17599" s="42"/>
      <c r="C17599" s="52"/>
      <c r="D17599"/>
      <c r="E17599"/>
      <c r="N17599" s="56"/>
    </row>
    <row r="17600" spans="1:14" x14ac:dyDescent="0.3">
      <c r="A17600" s="42"/>
      <c r="C17600" s="52"/>
      <c r="D17600"/>
      <c r="E17600"/>
      <c r="N17600" s="56"/>
    </row>
    <row r="17601" spans="1:14" x14ac:dyDescent="0.3">
      <c r="A17601" s="42"/>
      <c r="C17601" s="52"/>
      <c r="D17601"/>
      <c r="E17601"/>
      <c r="N17601" s="56"/>
    </row>
    <row r="17602" spans="1:14" x14ac:dyDescent="0.3">
      <c r="A17602" s="42"/>
      <c r="C17602" s="52"/>
      <c r="D17602"/>
      <c r="E17602"/>
      <c r="N17602" s="56"/>
    </row>
    <row r="17603" spans="1:14" x14ac:dyDescent="0.3">
      <c r="A17603" s="42"/>
      <c r="C17603" s="52"/>
      <c r="D17603"/>
      <c r="E17603"/>
      <c r="N17603" s="56"/>
    </row>
    <row r="17604" spans="1:14" x14ac:dyDescent="0.3">
      <c r="A17604" s="42"/>
      <c r="C17604" s="52"/>
      <c r="D17604"/>
      <c r="E17604"/>
      <c r="N17604" s="56"/>
    </row>
    <row r="17605" spans="1:14" x14ac:dyDescent="0.3">
      <c r="A17605" s="42"/>
      <c r="C17605" s="52"/>
      <c r="D17605"/>
      <c r="E17605"/>
      <c r="N17605" s="56"/>
    </row>
    <row r="17606" spans="1:14" x14ac:dyDescent="0.3">
      <c r="A17606" s="42"/>
      <c r="C17606" s="52"/>
      <c r="D17606"/>
      <c r="E17606"/>
      <c r="N17606" s="56"/>
    </row>
    <row r="17607" spans="1:14" x14ac:dyDescent="0.3">
      <c r="A17607" s="42"/>
      <c r="C17607" s="52"/>
      <c r="D17607"/>
      <c r="E17607"/>
      <c r="N17607" s="56"/>
    </row>
    <row r="17608" spans="1:14" x14ac:dyDescent="0.3">
      <c r="A17608" s="42"/>
      <c r="C17608" s="52"/>
      <c r="D17608"/>
      <c r="E17608"/>
      <c r="N17608" s="56"/>
    </row>
    <row r="17609" spans="1:14" x14ac:dyDescent="0.3">
      <c r="A17609" s="42"/>
      <c r="C17609" s="52"/>
      <c r="D17609"/>
      <c r="E17609"/>
      <c r="N17609" s="56"/>
    </row>
    <row r="17610" spans="1:14" x14ac:dyDescent="0.3">
      <c r="A17610" s="42"/>
      <c r="C17610" s="52"/>
      <c r="D17610"/>
      <c r="E17610"/>
      <c r="N17610" s="56"/>
    </row>
    <row r="17611" spans="1:14" x14ac:dyDescent="0.3">
      <c r="A17611" s="42"/>
      <c r="C17611" s="52"/>
      <c r="D17611"/>
      <c r="E17611"/>
      <c r="N17611" s="56"/>
    </row>
    <row r="17612" spans="1:14" x14ac:dyDescent="0.3">
      <c r="A17612" s="42"/>
      <c r="C17612" s="52"/>
      <c r="D17612"/>
      <c r="E17612"/>
      <c r="N17612" s="56"/>
    </row>
    <row r="17613" spans="1:14" x14ac:dyDescent="0.3">
      <c r="A17613" s="42"/>
      <c r="C17613" s="52"/>
      <c r="D17613"/>
      <c r="E17613"/>
      <c r="N17613" s="56"/>
    </row>
    <row r="17614" spans="1:14" x14ac:dyDescent="0.3">
      <c r="A17614" s="42"/>
      <c r="C17614" s="52"/>
      <c r="D17614"/>
      <c r="E17614"/>
      <c r="N17614" s="56"/>
    </row>
    <row r="17615" spans="1:14" x14ac:dyDescent="0.3">
      <c r="A17615" s="42"/>
      <c r="C17615" s="52"/>
      <c r="D17615"/>
      <c r="E17615"/>
      <c r="N17615" s="56"/>
    </row>
    <row r="17616" spans="1:14" x14ac:dyDescent="0.3">
      <c r="A17616" s="42"/>
      <c r="C17616" s="52"/>
      <c r="D17616"/>
      <c r="E17616"/>
      <c r="N17616" s="56"/>
    </row>
    <row r="17617" spans="1:14" x14ac:dyDescent="0.3">
      <c r="A17617" s="42"/>
      <c r="C17617" s="52"/>
      <c r="D17617"/>
      <c r="E17617"/>
      <c r="N17617" s="56"/>
    </row>
    <row r="17618" spans="1:14" x14ac:dyDescent="0.3">
      <c r="A17618" s="42"/>
      <c r="C17618" s="52"/>
      <c r="D17618"/>
      <c r="E17618"/>
      <c r="N17618" s="56"/>
    </row>
    <row r="17619" spans="1:14" x14ac:dyDescent="0.3">
      <c r="A17619" s="42"/>
      <c r="C17619" s="52"/>
      <c r="D17619"/>
      <c r="E17619"/>
      <c r="N17619" s="56"/>
    </row>
    <row r="17620" spans="1:14" x14ac:dyDescent="0.3">
      <c r="A17620" s="42"/>
      <c r="C17620" s="52"/>
      <c r="D17620"/>
      <c r="E17620"/>
      <c r="N17620" s="56"/>
    </row>
    <row r="17621" spans="1:14" x14ac:dyDescent="0.3">
      <c r="A17621" s="42"/>
      <c r="C17621" s="52"/>
      <c r="D17621"/>
      <c r="E17621"/>
      <c r="N17621" s="56"/>
    </row>
    <row r="17622" spans="1:14" x14ac:dyDescent="0.3">
      <c r="A17622" s="42"/>
      <c r="C17622" s="52"/>
      <c r="D17622"/>
      <c r="E17622"/>
      <c r="N17622" s="56"/>
    </row>
    <row r="17623" spans="1:14" x14ac:dyDescent="0.3">
      <c r="A17623" s="42"/>
      <c r="C17623" s="52"/>
      <c r="D17623"/>
      <c r="E17623"/>
      <c r="N17623" s="56"/>
    </row>
    <row r="17624" spans="1:14" x14ac:dyDescent="0.3">
      <c r="A17624" s="42"/>
      <c r="C17624" s="52"/>
      <c r="D17624"/>
      <c r="E17624"/>
      <c r="N17624" s="56"/>
    </row>
    <row r="17625" spans="1:14" x14ac:dyDescent="0.3">
      <c r="A17625" s="42"/>
      <c r="C17625" s="52"/>
      <c r="D17625"/>
      <c r="E17625"/>
      <c r="N17625" s="56"/>
    </row>
    <row r="17626" spans="1:14" x14ac:dyDescent="0.3">
      <c r="A17626" s="42"/>
      <c r="C17626" s="52"/>
      <c r="D17626"/>
      <c r="E17626"/>
      <c r="N17626" s="56"/>
    </row>
    <row r="17627" spans="1:14" x14ac:dyDescent="0.3">
      <c r="A17627" s="42"/>
      <c r="C17627" s="52"/>
      <c r="D17627"/>
      <c r="E17627"/>
      <c r="N17627" s="56"/>
    </row>
    <row r="17628" spans="1:14" x14ac:dyDescent="0.3">
      <c r="A17628" s="42"/>
      <c r="C17628" s="52"/>
      <c r="D17628"/>
      <c r="E17628"/>
      <c r="N17628" s="56"/>
    </row>
    <row r="17629" spans="1:14" x14ac:dyDescent="0.3">
      <c r="A17629" s="42"/>
      <c r="C17629" s="52"/>
      <c r="D17629"/>
      <c r="E17629"/>
      <c r="N17629" s="56"/>
    </row>
    <row r="17630" spans="1:14" x14ac:dyDescent="0.3">
      <c r="A17630" s="42"/>
      <c r="C17630" s="52"/>
      <c r="D17630"/>
      <c r="E17630"/>
      <c r="N17630" s="56"/>
    </row>
    <row r="17631" spans="1:14" x14ac:dyDescent="0.3">
      <c r="A17631" s="42"/>
      <c r="C17631" s="52"/>
      <c r="D17631"/>
      <c r="E17631"/>
      <c r="N17631" s="56"/>
    </row>
    <row r="17632" spans="1:14" x14ac:dyDescent="0.3">
      <c r="A17632" s="42"/>
      <c r="C17632" s="52"/>
      <c r="D17632"/>
      <c r="E17632"/>
      <c r="N17632" s="56"/>
    </row>
    <row r="17633" spans="1:14" x14ac:dyDescent="0.3">
      <c r="A17633" s="42"/>
      <c r="C17633" s="52"/>
      <c r="D17633"/>
      <c r="E17633"/>
      <c r="N17633" s="56"/>
    </row>
    <row r="17634" spans="1:14" x14ac:dyDescent="0.3">
      <c r="A17634" s="42"/>
      <c r="C17634" s="52"/>
      <c r="D17634"/>
      <c r="E17634"/>
      <c r="N17634" s="56"/>
    </row>
    <row r="17635" spans="1:14" x14ac:dyDescent="0.3">
      <c r="A17635" s="42"/>
      <c r="C17635" s="52"/>
      <c r="D17635"/>
      <c r="E17635"/>
      <c r="N17635" s="56"/>
    </row>
    <row r="17636" spans="1:14" x14ac:dyDescent="0.3">
      <c r="A17636" s="42"/>
      <c r="C17636" s="52"/>
      <c r="D17636"/>
      <c r="E17636"/>
      <c r="N17636" s="56"/>
    </row>
    <row r="17637" spans="1:14" x14ac:dyDescent="0.3">
      <c r="A17637" s="42"/>
      <c r="C17637" s="52"/>
      <c r="D17637"/>
      <c r="E17637"/>
      <c r="N17637" s="56"/>
    </row>
    <row r="17638" spans="1:14" x14ac:dyDescent="0.3">
      <c r="A17638" s="42"/>
      <c r="C17638" s="52"/>
      <c r="D17638"/>
      <c r="E17638"/>
      <c r="N17638" s="56"/>
    </row>
    <row r="17639" spans="1:14" x14ac:dyDescent="0.3">
      <c r="A17639" s="42"/>
      <c r="C17639" s="52"/>
      <c r="D17639"/>
      <c r="E17639"/>
      <c r="N17639" s="56"/>
    </row>
    <row r="17640" spans="1:14" x14ac:dyDescent="0.3">
      <c r="A17640" s="42"/>
      <c r="C17640" s="52"/>
      <c r="D17640"/>
      <c r="E17640"/>
      <c r="N17640" s="56"/>
    </row>
    <row r="17641" spans="1:14" x14ac:dyDescent="0.3">
      <c r="A17641" s="42"/>
      <c r="C17641" s="52"/>
      <c r="D17641"/>
      <c r="E17641"/>
      <c r="N17641" s="56"/>
    </row>
    <row r="17642" spans="1:14" x14ac:dyDescent="0.3">
      <c r="A17642" s="42"/>
      <c r="C17642" s="52"/>
      <c r="D17642"/>
      <c r="E17642"/>
      <c r="N17642" s="56"/>
    </row>
    <row r="17643" spans="1:14" x14ac:dyDescent="0.3">
      <c r="A17643" s="42"/>
      <c r="C17643" s="52"/>
      <c r="D17643"/>
      <c r="E17643"/>
      <c r="N17643" s="56"/>
    </row>
    <row r="17644" spans="1:14" x14ac:dyDescent="0.3">
      <c r="A17644" s="42"/>
      <c r="C17644" s="52"/>
      <c r="D17644"/>
      <c r="E17644"/>
      <c r="N17644" s="56"/>
    </row>
    <row r="17645" spans="1:14" x14ac:dyDescent="0.3">
      <c r="A17645" s="42"/>
      <c r="C17645" s="52"/>
      <c r="D17645"/>
      <c r="E17645"/>
      <c r="N17645" s="56"/>
    </row>
    <row r="17646" spans="1:14" x14ac:dyDescent="0.3">
      <c r="A17646" s="42"/>
      <c r="C17646" s="52"/>
      <c r="D17646"/>
      <c r="E17646"/>
      <c r="N17646" s="56"/>
    </row>
    <row r="17647" spans="1:14" x14ac:dyDescent="0.3">
      <c r="A17647" s="42"/>
      <c r="C17647" s="52"/>
      <c r="D17647"/>
      <c r="E17647"/>
      <c r="N17647" s="56"/>
    </row>
    <row r="17648" spans="1:14" x14ac:dyDescent="0.3">
      <c r="A17648" s="42"/>
      <c r="C17648" s="52"/>
      <c r="D17648"/>
      <c r="E17648"/>
      <c r="N17648" s="56"/>
    </row>
    <row r="17649" spans="1:14" x14ac:dyDescent="0.3">
      <c r="A17649" s="42"/>
      <c r="C17649" s="52"/>
      <c r="D17649"/>
      <c r="E17649"/>
      <c r="N17649" s="56"/>
    </row>
    <row r="17650" spans="1:14" x14ac:dyDescent="0.3">
      <c r="A17650" s="42"/>
      <c r="C17650" s="52"/>
      <c r="D17650"/>
      <c r="E17650"/>
      <c r="N17650" s="56"/>
    </row>
    <row r="17651" spans="1:14" x14ac:dyDescent="0.3">
      <c r="A17651" s="42"/>
      <c r="C17651" s="52"/>
      <c r="D17651"/>
      <c r="E17651"/>
      <c r="N17651" s="56"/>
    </row>
    <row r="17652" spans="1:14" x14ac:dyDescent="0.3">
      <c r="A17652" s="42"/>
      <c r="C17652" s="52"/>
      <c r="D17652"/>
      <c r="E17652"/>
      <c r="N17652" s="56"/>
    </row>
    <row r="17653" spans="1:14" x14ac:dyDescent="0.3">
      <c r="A17653" s="42"/>
      <c r="C17653" s="52"/>
      <c r="D17653"/>
      <c r="E17653"/>
      <c r="M17653" s="45"/>
      <c r="N17653" s="56"/>
    </row>
    <row r="17654" spans="1:14" x14ac:dyDescent="0.3">
      <c r="A17654" s="42"/>
      <c r="C17654" s="52"/>
      <c r="D17654"/>
      <c r="E17654"/>
      <c r="N17654" s="56"/>
    </row>
    <row r="17655" spans="1:14" x14ac:dyDescent="0.3">
      <c r="A17655" s="42"/>
      <c r="C17655" s="52"/>
      <c r="D17655"/>
      <c r="E17655"/>
      <c r="N17655" s="56"/>
    </row>
    <row r="17656" spans="1:14" x14ac:dyDescent="0.3">
      <c r="A17656" s="42"/>
      <c r="C17656" s="52"/>
      <c r="D17656"/>
      <c r="E17656"/>
      <c r="N17656" s="56"/>
    </row>
    <row r="17657" spans="1:14" x14ac:dyDescent="0.3">
      <c r="A17657" s="42"/>
      <c r="C17657" s="52"/>
      <c r="D17657"/>
      <c r="E17657"/>
      <c r="N17657" s="56"/>
    </row>
    <row r="17658" spans="1:14" x14ac:dyDescent="0.3">
      <c r="A17658" s="42"/>
      <c r="C17658" s="52"/>
      <c r="D17658"/>
      <c r="E17658"/>
      <c r="N17658" s="56"/>
    </row>
    <row r="17659" spans="1:14" x14ac:dyDescent="0.3">
      <c r="A17659" s="42"/>
      <c r="C17659" s="52"/>
      <c r="D17659"/>
      <c r="E17659"/>
      <c r="N17659" s="56"/>
    </row>
    <row r="17660" spans="1:14" x14ac:dyDescent="0.3">
      <c r="A17660" s="42"/>
      <c r="C17660" s="52"/>
      <c r="D17660"/>
      <c r="E17660"/>
      <c r="N17660" s="56"/>
    </row>
    <row r="17661" spans="1:14" x14ac:dyDescent="0.3">
      <c r="A17661" s="42"/>
      <c r="C17661" s="52"/>
      <c r="D17661"/>
      <c r="E17661"/>
      <c r="N17661" s="56"/>
    </row>
    <row r="17662" spans="1:14" x14ac:dyDescent="0.3">
      <c r="A17662" s="42"/>
      <c r="C17662" s="52"/>
      <c r="D17662"/>
      <c r="E17662"/>
      <c r="N17662" s="56"/>
    </row>
    <row r="17663" spans="1:14" x14ac:dyDescent="0.3">
      <c r="A17663" s="42"/>
      <c r="C17663" s="52"/>
      <c r="D17663"/>
      <c r="E17663"/>
      <c r="N17663" s="56"/>
    </row>
    <row r="17664" spans="1:14" x14ac:dyDescent="0.3">
      <c r="A17664" s="42"/>
      <c r="C17664" s="52"/>
      <c r="D17664"/>
      <c r="E17664"/>
      <c r="N17664" s="56"/>
    </row>
    <row r="17665" spans="1:14" x14ac:dyDescent="0.3">
      <c r="A17665" s="42"/>
      <c r="C17665" s="52"/>
      <c r="D17665"/>
      <c r="E17665"/>
      <c r="N17665" s="56"/>
    </row>
    <row r="17666" spans="1:14" x14ac:dyDescent="0.3">
      <c r="A17666" s="42"/>
      <c r="C17666" s="52"/>
      <c r="D17666"/>
      <c r="E17666"/>
      <c r="N17666" s="56"/>
    </row>
    <row r="17667" spans="1:14" x14ac:dyDescent="0.3">
      <c r="A17667" s="42"/>
      <c r="C17667" s="52"/>
      <c r="D17667"/>
      <c r="E17667"/>
      <c r="N17667" s="56"/>
    </row>
    <row r="17668" spans="1:14" x14ac:dyDescent="0.3">
      <c r="A17668" s="42"/>
      <c r="C17668" s="52"/>
      <c r="D17668"/>
      <c r="E17668"/>
      <c r="N17668" s="56"/>
    </row>
    <row r="17669" spans="1:14" x14ac:dyDescent="0.3">
      <c r="A17669" s="42"/>
      <c r="C17669" s="52"/>
      <c r="D17669"/>
      <c r="E17669"/>
      <c r="N17669" s="56"/>
    </row>
    <row r="17670" spans="1:14" x14ac:dyDescent="0.3">
      <c r="A17670" s="42"/>
      <c r="C17670" s="52"/>
      <c r="D17670"/>
      <c r="E17670"/>
      <c r="N17670" s="56"/>
    </row>
    <row r="17671" spans="1:14" x14ac:dyDescent="0.3">
      <c r="A17671" s="42"/>
      <c r="C17671" s="52"/>
      <c r="D17671"/>
      <c r="E17671"/>
      <c r="N17671" s="56"/>
    </row>
    <row r="17672" spans="1:14" x14ac:dyDescent="0.3">
      <c r="A17672" s="42"/>
      <c r="C17672" s="52"/>
      <c r="D17672"/>
      <c r="E17672"/>
      <c r="N17672" s="56"/>
    </row>
    <row r="17673" spans="1:14" x14ac:dyDescent="0.3">
      <c r="A17673" s="42"/>
      <c r="C17673" s="52"/>
      <c r="D17673"/>
      <c r="E17673"/>
      <c r="N17673" s="56"/>
    </row>
    <row r="17674" spans="1:14" x14ac:dyDescent="0.3">
      <c r="A17674" s="42"/>
      <c r="C17674" s="52"/>
      <c r="D17674"/>
      <c r="E17674"/>
      <c r="N17674" s="56"/>
    </row>
    <row r="17675" spans="1:14" x14ac:dyDescent="0.3">
      <c r="A17675" s="42"/>
      <c r="C17675" s="52"/>
      <c r="D17675"/>
      <c r="E17675"/>
      <c r="N17675" s="56"/>
    </row>
    <row r="17676" spans="1:14" x14ac:dyDescent="0.3">
      <c r="A17676" s="42"/>
      <c r="C17676" s="52"/>
      <c r="D17676"/>
      <c r="E17676"/>
      <c r="N17676" s="56"/>
    </row>
    <row r="17677" spans="1:14" x14ac:dyDescent="0.3">
      <c r="A17677" s="42"/>
      <c r="C17677" s="52"/>
      <c r="D17677"/>
      <c r="E17677"/>
      <c r="M17677" s="45"/>
      <c r="N17677" s="56"/>
    </row>
    <row r="17678" spans="1:14" x14ac:dyDescent="0.3">
      <c r="A17678" s="42"/>
      <c r="C17678" s="52"/>
      <c r="D17678"/>
      <c r="E17678"/>
      <c r="N17678" s="56"/>
    </row>
    <row r="17679" spans="1:14" x14ac:dyDescent="0.3">
      <c r="A17679" s="42"/>
      <c r="C17679" s="52"/>
      <c r="D17679"/>
      <c r="E17679"/>
      <c r="N17679" s="56"/>
    </row>
    <row r="17680" spans="1:14" x14ac:dyDescent="0.3">
      <c r="A17680" s="42"/>
      <c r="C17680" s="52"/>
      <c r="D17680"/>
      <c r="E17680"/>
      <c r="N17680" s="56"/>
    </row>
    <row r="17681" spans="1:14" x14ac:dyDescent="0.3">
      <c r="A17681" s="42"/>
      <c r="C17681" s="52"/>
      <c r="D17681"/>
      <c r="E17681"/>
      <c r="N17681" s="56"/>
    </row>
    <row r="17682" spans="1:14" x14ac:dyDescent="0.3">
      <c r="A17682" s="42"/>
      <c r="C17682" s="52"/>
      <c r="D17682"/>
      <c r="E17682"/>
      <c r="N17682" s="56"/>
    </row>
    <row r="17683" spans="1:14" x14ac:dyDescent="0.3">
      <c r="A17683" s="42"/>
      <c r="C17683" s="52"/>
      <c r="D17683"/>
      <c r="E17683"/>
      <c r="N17683" s="56"/>
    </row>
    <row r="17684" spans="1:14" x14ac:dyDescent="0.3">
      <c r="A17684" s="42"/>
      <c r="C17684" s="52"/>
      <c r="D17684"/>
      <c r="E17684"/>
      <c r="N17684" s="56"/>
    </row>
    <row r="17685" spans="1:14" x14ac:dyDescent="0.3">
      <c r="A17685" s="42"/>
      <c r="C17685" s="52"/>
      <c r="D17685"/>
      <c r="E17685"/>
      <c r="N17685" s="56"/>
    </row>
    <row r="17686" spans="1:14" x14ac:dyDescent="0.3">
      <c r="A17686" s="42"/>
      <c r="C17686" s="52"/>
      <c r="D17686"/>
      <c r="E17686"/>
      <c r="N17686" s="56"/>
    </row>
    <row r="17687" spans="1:14" x14ac:dyDescent="0.3">
      <c r="A17687" s="42"/>
      <c r="C17687" s="52"/>
      <c r="D17687"/>
      <c r="E17687"/>
      <c r="N17687" s="56"/>
    </row>
    <row r="17688" spans="1:14" x14ac:dyDescent="0.3">
      <c r="A17688" s="42"/>
      <c r="C17688" s="52"/>
      <c r="D17688"/>
      <c r="E17688"/>
      <c r="N17688" s="56"/>
    </row>
    <row r="17689" spans="1:14" x14ac:dyDescent="0.3">
      <c r="A17689" s="42"/>
      <c r="C17689" s="52"/>
      <c r="D17689"/>
      <c r="E17689"/>
      <c r="N17689" s="56"/>
    </row>
    <row r="17690" spans="1:14" x14ac:dyDescent="0.3">
      <c r="A17690" s="42"/>
      <c r="C17690" s="52"/>
      <c r="D17690"/>
      <c r="E17690"/>
      <c r="N17690" s="56"/>
    </row>
    <row r="17691" spans="1:14" x14ac:dyDescent="0.3">
      <c r="A17691" s="42"/>
      <c r="C17691" s="52"/>
      <c r="D17691"/>
      <c r="E17691"/>
      <c r="N17691" s="56"/>
    </row>
    <row r="17692" spans="1:14" x14ac:dyDescent="0.3">
      <c r="A17692" s="42"/>
      <c r="C17692" s="52"/>
      <c r="D17692"/>
      <c r="E17692"/>
      <c r="N17692" s="56"/>
    </row>
    <row r="17693" spans="1:14" x14ac:dyDescent="0.3">
      <c r="A17693" s="42"/>
      <c r="C17693" s="52"/>
      <c r="D17693"/>
      <c r="E17693"/>
      <c r="N17693" s="56"/>
    </row>
    <row r="17694" spans="1:14" x14ac:dyDescent="0.3">
      <c r="A17694" s="42"/>
      <c r="C17694" s="52"/>
      <c r="D17694"/>
      <c r="E17694"/>
      <c r="N17694" s="56"/>
    </row>
    <row r="17695" spans="1:14" x14ac:dyDescent="0.3">
      <c r="A17695" s="42"/>
      <c r="C17695" s="52"/>
      <c r="D17695"/>
      <c r="E17695"/>
      <c r="N17695" s="56"/>
    </row>
    <row r="17696" spans="1:14" x14ac:dyDescent="0.3">
      <c r="A17696" s="42"/>
      <c r="C17696" s="52"/>
      <c r="D17696"/>
      <c r="E17696"/>
      <c r="N17696" s="56"/>
    </row>
    <row r="17697" spans="1:14" x14ac:dyDescent="0.3">
      <c r="A17697" s="42"/>
      <c r="C17697" s="52"/>
      <c r="D17697"/>
      <c r="E17697"/>
      <c r="N17697" s="56"/>
    </row>
    <row r="17698" spans="1:14" x14ac:dyDescent="0.3">
      <c r="A17698" s="42"/>
      <c r="C17698" s="52"/>
      <c r="D17698"/>
      <c r="E17698"/>
      <c r="N17698" s="56"/>
    </row>
    <row r="17699" spans="1:14" x14ac:dyDescent="0.3">
      <c r="A17699" s="42"/>
      <c r="C17699" s="52"/>
      <c r="D17699"/>
      <c r="E17699"/>
      <c r="N17699" s="56"/>
    </row>
    <row r="17700" spans="1:14" x14ac:dyDescent="0.3">
      <c r="A17700" s="42"/>
      <c r="C17700" s="52"/>
      <c r="D17700"/>
      <c r="E17700"/>
      <c r="N17700" s="56"/>
    </row>
    <row r="17701" spans="1:14" x14ac:dyDescent="0.3">
      <c r="A17701" s="42"/>
      <c r="C17701" s="52"/>
      <c r="D17701"/>
      <c r="E17701"/>
      <c r="N17701" s="56"/>
    </row>
    <row r="17702" spans="1:14" x14ac:dyDescent="0.3">
      <c r="A17702" s="42"/>
      <c r="C17702" s="52"/>
      <c r="D17702"/>
      <c r="E17702"/>
      <c r="N17702" s="56"/>
    </row>
    <row r="17703" spans="1:14" x14ac:dyDescent="0.3">
      <c r="A17703" s="42"/>
      <c r="C17703" s="52"/>
      <c r="D17703"/>
      <c r="E17703"/>
      <c r="N17703" s="56"/>
    </row>
    <row r="17704" spans="1:14" x14ac:dyDescent="0.3">
      <c r="A17704" s="42"/>
      <c r="C17704" s="52"/>
      <c r="D17704"/>
      <c r="E17704"/>
      <c r="N17704" s="56"/>
    </row>
    <row r="17705" spans="1:14" x14ac:dyDescent="0.3">
      <c r="A17705" s="42"/>
      <c r="C17705" s="52"/>
      <c r="D17705"/>
      <c r="E17705"/>
      <c r="N17705" s="56"/>
    </row>
    <row r="17706" spans="1:14" x14ac:dyDescent="0.3">
      <c r="A17706" s="42"/>
      <c r="C17706" s="52"/>
      <c r="D17706"/>
      <c r="E17706"/>
      <c r="N17706" s="56"/>
    </row>
    <row r="17707" spans="1:14" x14ac:dyDescent="0.3">
      <c r="A17707" s="42"/>
      <c r="C17707" s="52"/>
      <c r="D17707"/>
      <c r="E17707"/>
      <c r="N17707" s="56"/>
    </row>
    <row r="17708" spans="1:14" x14ac:dyDescent="0.3">
      <c r="A17708" s="42"/>
      <c r="C17708" s="52"/>
      <c r="D17708"/>
      <c r="E17708"/>
      <c r="N17708" s="56"/>
    </row>
    <row r="17709" spans="1:14" x14ac:dyDescent="0.3">
      <c r="A17709" s="42"/>
      <c r="C17709" s="52"/>
      <c r="D17709"/>
      <c r="E17709"/>
      <c r="N17709" s="56"/>
    </row>
    <row r="17710" spans="1:14" x14ac:dyDescent="0.3">
      <c r="A17710" s="42"/>
      <c r="C17710" s="52"/>
      <c r="D17710"/>
      <c r="E17710"/>
      <c r="N17710" s="56"/>
    </row>
    <row r="17711" spans="1:14" x14ac:dyDescent="0.3">
      <c r="A17711" s="42"/>
      <c r="C17711" s="52"/>
      <c r="D17711"/>
      <c r="E17711"/>
      <c r="M17711" s="45"/>
      <c r="N17711" s="56"/>
    </row>
    <row r="17712" spans="1:14" x14ac:dyDescent="0.3">
      <c r="A17712" s="42"/>
      <c r="C17712" s="52"/>
      <c r="D17712"/>
      <c r="E17712"/>
      <c r="N17712" s="56"/>
    </row>
    <row r="17713" spans="1:14" x14ac:dyDescent="0.3">
      <c r="A17713" s="42"/>
      <c r="C17713" s="52"/>
      <c r="D17713"/>
      <c r="E17713"/>
      <c r="N17713" s="56"/>
    </row>
    <row r="17714" spans="1:14" x14ac:dyDescent="0.3">
      <c r="A17714" s="42"/>
      <c r="C17714" s="52"/>
      <c r="D17714"/>
      <c r="E17714"/>
      <c r="N17714" s="56"/>
    </row>
    <row r="17715" spans="1:14" x14ac:dyDescent="0.3">
      <c r="A17715" s="42"/>
      <c r="C17715" s="52"/>
      <c r="D17715"/>
      <c r="E17715"/>
      <c r="N17715" s="56"/>
    </row>
    <row r="17716" spans="1:14" x14ac:dyDescent="0.3">
      <c r="A17716" s="42"/>
      <c r="C17716" s="52"/>
      <c r="D17716"/>
      <c r="E17716"/>
      <c r="N17716" s="56"/>
    </row>
    <row r="17717" spans="1:14" x14ac:dyDescent="0.3">
      <c r="A17717" s="42"/>
      <c r="C17717" s="52"/>
      <c r="D17717"/>
      <c r="E17717"/>
      <c r="N17717" s="56"/>
    </row>
    <row r="17718" spans="1:14" x14ac:dyDescent="0.3">
      <c r="A17718" s="42"/>
      <c r="C17718" s="52"/>
      <c r="D17718"/>
      <c r="E17718"/>
      <c r="N17718" s="56"/>
    </row>
    <row r="17719" spans="1:14" x14ac:dyDescent="0.3">
      <c r="A17719" s="42"/>
      <c r="C17719" s="52"/>
      <c r="D17719"/>
      <c r="E17719"/>
      <c r="N17719" s="56"/>
    </row>
    <row r="17720" spans="1:14" x14ac:dyDescent="0.3">
      <c r="A17720" s="42"/>
      <c r="C17720" s="52"/>
      <c r="D17720"/>
      <c r="E17720"/>
      <c r="N17720" s="56"/>
    </row>
    <row r="17721" spans="1:14" x14ac:dyDescent="0.3">
      <c r="A17721" s="42"/>
      <c r="C17721" s="52"/>
      <c r="D17721"/>
      <c r="E17721"/>
      <c r="N17721" s="56"/>
    </row>
    <row r="17722" spans="1:14" x14ac:dyDescent="0.3">
      <c r="A17722" s="42"/>
      <c r="C17722" s="52"/>
      <c r="D17722"/>
      <c r="E17722"/>
      <c r="N17722" s="56"/>
    </row>
    <row r="17723" spans="1:14" x14ac:dyDescent="0.3">
      <c r="A17723" s="42"/>
      <c r="C17723" s="52"/>
      <c r="D17723"/>
      <c r="E17723"/>
      <c r="N17723" s="56"/>
    </row>
    <row r="17724" spans="1:14" x14ac:dyDescent="0.3">
      <c r="A17724" s="42"/>
      <c r="C17724" s="52"/>
      <c r="D17724"/>
      <c r="E17724"/>
      <c r="N17724" s="56"/>
    </row>
    <row r="17725" spans="1:14" x14ac:dyDescent="0.3">
      <c r="A17725" s="42"/>
      <c r="C17725" s="52"/>
      <c r="D17725"/>
      <c r="E17725"/>
      <c r="N17725" s="56"/>
    </row>
    <row r="17726" spans="1:14" x14ac:dyDescent="0.3">
      <c r="A17726" s="42"/>
      <c r="C17726" s="52"/>
      <c r="D17726"/>
      <c r="E17726"/>
      <c r="N17726" s="56"/>
    </row>
    <row r="17727" spans="1:14" x14ac:dyDescent="0.3">
      <c r="A17727" s="42"/>
      <c r="C17727" s="52"/>
      <c r="D17727"/>
      <c r="E17727"/>
      <c r="N17727" s="56"/>
    </row>
    <row r="17728" spans="1:14" x14ac:dyDescent="0.3">
      <c r="A17728" s="42"/>
      <c r="C17728" s="52"/>
      <c r="D17728"/>
      <c r="E17728"/>
      <c r="N17728" s="56"/>
    </row>
    <row r="17729" spans="1:14" x14ac:dyDescent="0.3">
      <c r="A17729" s="42"/>
      <c r="C17729" s="52"/>
      <c r="D17729"/>
      <c r="E17729"/>
      <c r="N17729" s="56"/>
    </row>
    <row r="17730" spans="1:14" x14ac:dyDescent="0.3">
      <c r="A17730" s="42"/>
      <c r="C17730" s="52"/>
      <c r="D17730"/>
      <c r="E17730"/>
      <c r="N17730" s="56"/>
    </row>
    <row r="17731" spans="1:14" x14ac:dyDescent="0.3">
      <c r="A17731" s="42"/>
      <c r="C17731" s="52"/>
      <c r="D17731"/>
      <c r="E17731"/>
      <c r="N17731" s="56"/>
    </row>
    <row r="17732" spans="1:14" x14ac:dyDescent="0.3">
      <c r="A17732" s="42"/>
      <c r="C17732" s="52"/>
      <c r="D17732"/>
      <c r="E17732"/>
      <c r="N17732" s="56"/>
    </row>
    <row r="17733" spans="1:14" x14ac:dyDescent="0.3">
      <c r="A17733" s="42"/>
      <c r="C17733" s="52"/>
      <c r="D17733"/>
      <c r="E17733"/>
      <c r="N17733" s="56"/>
    </row>
    <row r="17734" spans="1:14" x14ac:dyDescent="0.3">
      <c r="A17734" s="42"/>
      <c r="C17734" s="52"/>
      <c r="D17734"/>
      <c r="E17734"/>
      <c r="N17734" s="56"/>
    </row>
    <row r="17735" spans="1:14" x14ac:dyDescent="0.3">
      <c r="A17735" s="42"/>
      <c r="C17735" s="52"/>
      <c r="D17735"/>
      <c r="E17735"/>
      <c r="N17735" s="56"/>
    </row>
    <row r="17736" spans="1:14" x14ac:dyDescent="0.3">
      <c r="A17736" s="42"/>
      <c r="C17736" s="52"/>
      <c r="D17736"/>
      <c r="E17736"/>
      <c r="N17736" s="56"/>
    </row>
    <row r="17737" spans="1:14" x14ac:dyDescent="0.3">
      <c r="A17737" s="42"/>
      <c r="C17737" s="52"/>
      <c r="D17737"/>
      <c r="E17737"/>
      <c r="N17737" s="56"/>
    </row>
    <row r="17738" spans="1:14" x14ac:dyDescent="0.3">
      <c r="A17738" s="42"/>
      <c r="C17738" s="52"/>
      <c r="D17738"/>
      <c r="E17738"/>
      <c r="N17738" s="56"/>
    </row>
    <row r="17739" spans="1:14" x14ac:dyDescent="0.3">
      <c r="A17739" s="42"/>
      <c r="C17739" s="52"/>
      <c r="D17739"/>
      <c r="E17739"/>
      <c r="N17739" s="56"/>
    </row>
    <row r="17740" spans="1:14" x14ac:dyDescent="0.3">
      <c r="A17740" s="42"/>
      <c r="C17740" s="52"/>
      <c r="D17740"/>
      <c r="E17740"/>
      <c r="N17740" s="56"/>
    </row>
    <row r="17741" spans="1:14" x14ac:dyDescent="0.3">
      <c r="A17741" s="42"/>
      <c r="C17741" s="52"/>
      <c r="D17741"/>
      <c r="E17741"/>
      <c r="N17741" s="56"/>
    </row>
    <row r="17742" spans="1:14" x14ac:dyDescent="0.3">
      <c r="A17742" s="42"/>
      <c r="C17742" s="52"/>
      <c r="D17742"/>
      <c r="E17742"/>
      <c r="N17742" s="56"/>
    </row>
    <row r="17743" spans="1:14" x14ac:dyDescent="0.3">
      <c r="A17743" s="42"/>
      <c r="C17743" s="52"/>
      <c r="D17743"/>
      <c r="E17743"/>
      <c r="N17743" s="56"/>
    </row>
    <row r="17744" spans="1:14" x14ac:dyDescent="0.3">
      <c r="A17744" s="42"/>
      <c r="C17744" s="52"/>
      <c r="D17744"/>
      <c r="E17744"/>
      <c r="N17744" s="56"/>
    </row>
    <row r="17745" spans="1:14" x14ac:dyDescent="0.3">
      <c r="A17745" s="42"/>
      <c r="C17745" s="52"/>
      <c r="D17745"/>
      <c r="E17745"/>
      <c r="N17745" s="56"/>
    </row>
    <row r="17746" spans="1:14" x14ac:dyDescent="0.3">
      <c r="A17746" s="42"/>
      <c r="C17746" s="52"/>
      <c r="D17746"/>
      <c r="E17746"/>
      <c r="N17746" s="56"/>
    </row>
    <row r="17747" spans="1:14" x14ac:dyDescent="0.3">
      <c r="A17747" s="42"/>
      <c r="C17747" s="52"/>
      <c r="D17747"/>
      <c r="E17747"/>
      <c r="N17747" s="56"/>
    </row>
    <row r="17748" spans="1:14" x14ac:dyDescent="0.3">
      <c r="A17748" s="42"/>
      <c r="C17748" s="52"/>
      <c r="D17748"/>
      <c r="E17748"/>
      <c r="N17748" s="56"/>
    </row>
    <row r="17749" spans="1:14" x14ac:dyDescent="0.3">
      <c r="A17749" s="42"/>
      <c r="C17749" s="52"/>
      <c r="D17749"/>
      <c r="E17749"/>
      <c r="N17749" s="56"/>
    </row>
    <row r="17750" spans="1:14" x14ac:dyDescent="0.3">
      <c r="A17750" s="42"/>
      <c r="C17750" s="52"/>
      <c r="D17750"/>
      <c r="E17750"/>
      <c r="N17750" s="56"/>
    </row>
    <row r="17751" spans="1:14" x14ac:dyDescent="0.3">
      <c r="A17751" s="42"/>
      <c r="C17751" s="52"/>
      <c r="D17751"/>
      <c r="E17751"/>
      <c r="N17751" s="56"/>
    </row>
    <row r="17752" spans="1:14" x14ac:dyDescent="0.3">
      <c r="A17752" s="42"/>
      <c r="C17752" s="52"/>
      <c r="D17752"/>
      <c r="E17752"/>
      <c r="N17752" s="56"/>
    </row>
    <row r="17753" spans="1:14" x14ac:dyDescent="0.3">
      <c r="A17753" s="42"/>
      <c r="C17753" s="52"/>
      <c r="D17753"/>
      <c r="E17753"/>
      <c r="N17753" s="56"/>
    </row>
    <row r="17754" spans="1:14" x14ac:dyDescent="0.3">
      <c r="A17754" s="42"/>
      <c r="C17754" s="52"/>
      <c r="D17754"/>
      <c r="E17754"/>
      <c r="N17754" s="56"/>
    </row>
    <row r="17755" spans="1:14" x14ac:dyDescent="0.3">
      <c r="A17755" s="42"/>
      <c r="C17755" s="52"/>
      <c r="D17755"/>
      <c r="E17755"/>
      <c r="N17755" s="56"/>
    </row>
    <row r="17756" spans="1:14" x14ac:dyDescent="0.3">
      <c r="A17756" s="42"/>
      <c r="C17756" s="52"/>
      <c r="D17756"/>
      <c r="E17756"/>
      <c r="N17756" s="56"/>
    </row>
    <row r="17757" spans="1:14" x14ac:dyDescent="0.3">
      <c r="A17757" s="42"/>
      <c r="C17757" s="52"/>
      <c r="D17757"/>
      <c r="E17757"/>
      <c r="N17757" s="56"/>
    </row>
    <row r="17758" spans="1:14" x14ac:dyDescent="0.3">
      <c r="A17758" s="42"/>
      <c r="C17758" s="52"/>
      <c r="D17758"/>
      <c r="E17758"/>
      <c r="N17758" s="56"/>
    </row>
    <row r="17759" spans="1:14" x14ac:dyDescent="0.3">
      <c r="A17759" s="42"/>
      <c r="C17759" s="52"/>
      <c r="D17759"/>
      <c r="E17759"/>
      <c r="N17759" s="56"/>
    </row>
    <row r="17760" spans="1:14" x14ac:dyDescent="0.3">
      <c r="A17760" s="42"/>
      <c r="C17760" s="52"/>
      <c r="D17760"/>
      <c r="E17760"/>
      <c r="N17760" s="56"/>
    </row>
    <row r="17761" spans="1:14" x14ac:dyDescent="0.3">
      <c r="A17761" s="42"/>
      <c r="C17761" s="52"/>
      <c r="D17761"/>
      <c r="E17761"/>
      <c r="N17761" s="56"/>
    </row>
    <row r="17762" spans="1:14" x14ac:dyDescent="0.3">
      <c r="A17762" s="42"/>
      <c r="C17762" s="52"/>
      <c r="D17762"/>
      <c r="E17762"/>
      <c r="N17762" s="56"/>
    </row>
    <row r="17763" spans="1:14" x14ac:dyDescent="0.3">
      <c r="A17763" s="42"/>
      <c r="C17763" s="52"/>
      <c r="D17763"/>
      <c r="E17763"/>
      <c r="N17763" s="56"/>
    </row>
    <row r="17764" spans="1:14" x14ac:dyDescent="0.3">
      <c r="A17764" s="42"/>
      <c r="C17764" s="52"/>
      <c r="D17764"/>
      <c r="E17764"/>
      <c r="N17764" s="56"/>
    </row>
    <row r="17765" spans="1:14" x14ac:dyDescent="0.3">
      <c r="A17765" s="42"/>
      <c r="C17765" s="52"/>
      <c r="D17765"/>
      <c r="E17765"/>
      <c r="N17765" s="56"/>
    </row>
    <row r="17766" spans="1:14" x14ac:dyDescent="0.3">
      <c r="A17766" s="42"/>
      <c r="C17766" s="52"/>
      <c r="D17766"/>
      <c r="E17766"/>
      <c r="N17766" s="56"/>
    </row>
    <row r="17767" spans="1:14" x14ac:dyDescent="0.3">
      <c r="A17767" s="42"/>
      <c r="C17767" s="52"/>
      <c r="D17767"/>
      <c r="E17767"/>
      <c r="N17767" s="56"/>
    </row>
    <row r="17768" spans="1:14" x14ac:dyDescent="0.3">
      <c r="A17768" s="42"/>
      <c r="C17768" s="52"/>
      <c r="D17768"/>
      <c r="E17768"/>
      <c r="N17768" s="56"/>
    </row>
    <row r="17769" spans="1:14" x14ac:dyDescent="0.3">
      <c r="A17769" s="42"/>
      <c r="C17769" s="52"/>
      <c r="D17769"/>
      <c r="E17769"/>
      <c r="N17769" s="56"/>
    </row>
    <row r="17770" spans="1:14" x14ac:dyDescent="0.3">
      <c r="A17770" s="42"/>
      <c r="C17770" s="52"/>
      <c r="D17770"/>
      <c r="E17770"/>
      <c r="N17770" s="56"/>
    </row>
    <row r="17771" spans="1:14" x14ac:dyDescent="0.3">
      <c r="A17771" s="42"/>
      <c r="C17771" s="52"/>
      <c r="D17771"/>
      <c r="E17771"/>
      <c r="N17771" s="56"/>
    </row>
    <row r="17772" spans="1:14" x14ac:dyDescent="0.3">
      <c r="A17772" s="42"/>
      <c r="C17772" s="52"/>
      <c r="D17772"/>
      <c r="E17772"/>
      <c r="N17772" s="56"/>
    </row>
    <row r="17773" spans="1:14" x14ac:dyDescent="0.3">
      <c r="A17773" s="42"/>
      <c r="C17773" s="52"/>
      <c r="D17773"/>
      <c r="E17773"/>
      <c r="N17773" s="56"/>
    </row>
    <row r="17774" spans="1:14" x14ac:dyDescent="0.3">
      <c r="A17774" s="42"/>
      <c r="C17774" s="52"/>
      <c r="D17774"/>
      <c r="E17774"/>
      <c r="N17774" s="56"/>
    </row>
    <row r="17775" spans="1:14" x14ac:dyDescent="0.3">
      <c r="A17775" s="42"/>
      <c r="C17775" s="52"/>
      <c r="D17775"/>
      <c r="E17775"/>
      <c r="N17775" s="56"/>
    </row>
    <row r="17776" spans="1:14" x14ac:dyDescent="0.3">
      <c r="A17776" s="42"/>
      <c r="C17776" s="52"/>
      <c r="D17776"/>
      <c r="E17776"/>
      <c r="N17776" s="56"/>
    </row>
    <row r="17777" spans="1:14" x14ac:dyDescent="0.3">
      <c r="A17777" s="42"/>
      <c r="C17777" s="52"/>
      <c r="D17777"/>
      <c r="E17777"/>
      <c r="N17777" s="56"/>
    </row>
    <row r="17778" spans="1:14" x14ac:dyDescent="0.3">
      <c r="A17778" s="42"/>
      <c r="C17778" s="52"/>
      <c r="D17778"/>
      <c r="E17778"/>
      <c r="N17778" s="56"/>
    </row>
    <row r="17779" spans="1:14" x14ac:dyDescent="0.3">
      <c r="A17779" s="42"/>
      <c r="C17779" s="52"/>
      <c r="D17779"/>
      <c r="E17779"/>
      <c r="N17779" s="56"/>
    </row>
    <row r="17780" spans="1:14" x14ac:dyDescent="0.3">
      <c r="A17780" s="42"/>
      <c r="C17780" s="52"/>
      <c r="D17780"/>
      <c r="E17780"/>
      <c r="N17780" s="56"/>
    </row>
    <row r="17781" spans="1:14" x14ac:dyDescent="0.3">
      <c r="A17781" s="42"/>
      <c r="C17781" s="52"/>
      <c r="D17781"/>
      <c r="E17781"/>
      <c r="N17781" s="56"/>
    </row>
    <row r="17782" spans="1:14" x14ac:dyDescent="0.3">
      <c r="A17782" s="42"/>
      <c r="C17782" s="52"/>
      <c r="D17782"/>
      <c r="E17782"/>
      <c r="N17782" s="56"/>
    </row>
    <row r="17783" spans="1:14" x14ac:dyDescent="0.3">
      <c r="A17783" s="42"/>
      <c r="C17783" s="52"/>
      <c r="D17783"/>
      <c r="E17783"/>
      <c r="N17783" s="56"/>
    </row>
    <row r="17784" spans="1:14" x14ac:dyDescent="0.3">
      <c r="A17784" s="42"/>
      <c r="C17784" s="52"/>
      <c r="D17784"/>
      <c r="E17784"/>
      <c r="N17784" s="56"/>
    </row>
    <row r="17785" spans="1:14" x14ac:dyDescent="0.3">
      <c r="A17785" s="42"/>
      <c r="C17785" s="52"/>
      <c r="D17785"/>
      <c r="E17785"/>
      <c r="N17785" s="56"/>
    </row>
    <row r="17786" spans="1:14" x14ac:dyDescent="0.3">
      <c r="A17786" s="42"/>
      <c r="C17786" s="52"/>
      <c r="D17786"/>
      <c r="E17786"/>
      <c r="N17786" s="56"/>
    </row>
    <row r="17787" spans="1:14" x14ac:dyDescent="0.3">
      <c r="A17787" s="42"/>
      <c r="C17787" s="52"/>
      <c r="D17787"/>
      <c r="E17787"/>
      <c r="N17787" s="56"/>
    </row>
    <row r="17788" spans="1:14" x14ac:dyDescent="0.3">
      <c r="A17788" s="42"/>
      <c r="C17788" s="52"/>
      <c r="D17788"/>
      <c r="E17788"/>
      <c r="N17788" s="56"/>
    </row>
    <row r="17789" spans="1:14" x14ac:dyDescent="0.3">
      <c r="A17789" s="42"/>
      <c r="C17789" s="52"/>
      <c r="D17789"/>
      <c r="E17789"/>
      <c r="N17789" s="56"/>
    </row>
    <row r="17790" spans="1:14" x14ac:dyDescent="0.3">
      <c r="A17790" s="42"/>
      <c r="C17790" s="52"/>
      <c r="D17790"/>
      <c r="E17790"/>
      <c r="N17790" s="56"/>
    </row>
    <row r="17791" spans="1:14" x14ac:dyDescent="0.3">
      <c r="A17791" s="42"/>
      <c r="C17791" s="52"/>
      <c r="D17791"/>
      <c r="E17791"/>
      <c r="N17791" s="56"/>
    </row>
    <row r="17792" spans="1:14" x14ac:dyDescent="0.3">
      <c r="A17792" s="42"/>
      <c r="C17792" s="52"/>
      <c r="D17792"/>
      <c r="E17792"/>
      <c r="N17792" s="56"/>
    </row>
    <row r="17793" spans="1:14" x14ac:dyDescent="0.3">
      <c r="A17793" s="42"/>
      <c r="C17793" s="52"/>
      <c r="D17793"/>
      <c r="E17793"/>
      <c r="N17793" s="56"/>
    </row>
    <row r="17794" spans="1:14" x14ac:dyDescent="0.3">
      <c r="A17794" s="42"/>
      <c r="C17794" s="52"/>
      <c r="D17794"/>
      <c r="E17794"/>
      <c r="N17794" s="56"/>
    </row>
    <row r="17795" spans="1:14" x14ac:dyDescent="0.3">
      <c r="A17795" s="42"/>
      <c r="C17795" s="52"/>
      <c r="D17795"/>
      <c r="E17795"/>
      <c r="N17795" s="56"/>
    </row>
    <row r="17796" spans="1:14" x14ac:dyDescent="0.3">
      <c r="A17796" s="42"/>
      <c r="C17796" s="52"/>
      <c r="D17796"/>
      <c r="E17796"/>
      <c r="N17796" s="56"/>
    </row>
    <row r="17797" spans="1:14" x14ac:dyDescent="0.3">
      <c r="A17797" s="42"/>
      <c r="C17797" s="52"/>
      <c r="D17797"/>
      <c r="E17797"/>
      <c r="N17797" s="56"/>
    </row>
    <row r="17798" spans="1:14" x14ac:dyDescent="0.3">
      <c r="A17798" s="42"/>
      <c r="C17798" s="52"/>
      <c r="D17798"/>
      <c r="E17798"/>
      <c r="N17798" s="56"/>
    </row>
    <row r="17799" spans="1:14" x14ac:dyDescent="0.3">
      <c r="A17799" s="42"/>
      <c r="C17799" s="52"/>
      <c r="D17799"/>
      <c r="E17799"/>
      <c r="N17799" s="56"/>
    </row>
    <row r="17800" spans="1:14" x14ac:dyDescent="0.3">
      <c r="A17800" s="42"/>
      <c r="C17800" s="52"/>
      <c r="D17800"/>
      <c r="E17800"/>
      <c r="N17800" s="56"/>
    </row>
    <row r="17801" spans="1:14" x14ac:dyDescent="0.3">
      <c r="A17801" s="42"/>
      <c r="C17801" s="52"/>
      <c r="D17801"/>
      <c r="E17801"/>
      <c r="N17801" s="56"/>
    </row>
    <row r="17802" spans="1:14" x14ac:dyDescent="0.3">
      <c r="A17802" s="42"/>
      <c r="C17802" s="52"/>
      <c r="D17802"/>
      <c r="E17802"/>
      <c r="N17802" s="56"/>
    </row>
    <row r="17803" spans="1:14" x14ac:dyDescent="0.3">
      <c r="A17803" s="42"/>
      <c r="C17803" s="52"/>
      <c r="D17803"/>
      <c r="E17803"/>
      <c r="N17803" s="56"/>
    </row>
    <row r="17804" spans="1:14" x14ac:dyDescent="0.3">
      <c r="A17804" s="42"/>
      <c r="C17804" s="52"/>
      <c r="D17804"/>
      <c r="E17804"/>
      <c r="N17804" s="56"/>
    </row>
    <row r="17805" spans="1:14" x14ac:dyDescent="0.3">
      <c r="A17805" s="42"/>
      <c r="C17805" s="52"/>
      <c r="D17805"/>
      <c r="E17805"/>
      <c r="N17805" s="56"/>
    </row>
    <row r="17806" spans="1:14" x14ac:dyDescent="0.3">
      <c r="A17806" s="42"/>
      <c r="C17806" s="52"/>
      <c r="D17806"/>
      <c r="E17806"/>
      <c r="N17806" s="56"/>
    </row>
    <row r="17807" spans="1:14" x14ac:dyDescent="0.3">
      <c r="A17807" s="42"/>
      <c r="C17807" s="52"/>
      <c r="D17807"/>
      <c r="E17807"/>
      <c r="N17807" s="56"/>
    </row>
    <row r="17808" spans="1:14" x14ac:dyDescent="0.3">
      <c r="A17808" s="42"/>
      <c r="C17808" s="52"/>
      <c r="D17808"/>
      <c r="E17808"/>
      <c r="N17808" s="56"/>
    </row>
    <row r="17809" spans="1:14" x14ac:dyDescent="0.3">
      <c r="A17809" s="42"/>
      <c r="C17809" s="52"/>
      <c r="D17809"/>
      <c r="E17809"/>
      <c r="N17809" s="56"/>
    </row>
    <row r="17810" spans="1:14" x14ac:dyDescent="0.3">
      <c r="A17810" s="42"/>
      <c r="C17810" s="52"/>
      <c r="D17810"/>
      <c r="E17810"/>
      <c r="N17810" s="56"/>
    </row>
    <row r="17811" spans="1:14" x14ac:dyDescent="0.3">
      <c r="A17811" s="42"/>
      <c r="C17811" s="52"/>
      <c r="D17811"/>
      <c r="E17811"/>
      <c r="N17811" s="56"/>
    </row>
    <row r="17812" spans="1:14" x14ac:dyDescent="0.3">
      <c r="A17812" s="42"/>
      <c r="C17812" s="52"/>
      <c r="D17812"/>
      <c r="E17812"/>
      <c r="N17812" s="56"/>
    </row>
    <row r="17813" spans="1:14" x14ac:dyDescent="0.3">
      <c r="A17813" s="42"/>
      <c r="C17813" s="52"/>
      <c r="D17813"/>
      <c r="E17813"/>
      <c r="N17813" s="56"/>
    </row>
    <row r="17814" spans="1:14" x14ac:dyDescent="0.3">
      <c r="A17814" s="42"/>
      <c r="C17814" s="52"/>
      <c r="D17814"/>
      <c r="E17814"/>
      <c r="N17814" s="56"/>
    </row>
    <row r="17815" spans="1:14" x14ac:dyDescent="0.3">
      <c r="A17815" s="42"/>
      <c r="C17815" s="52"/>
      <c r="D17815"/>
      <c r="E17815"/>
      <c r="N17815" s="56"/>
    </row>
    <row r="17816" spans="1:14" x14ac:dyDescent="0.3">
      <c r="A17816" s="42"/>
      <c r="C17816" s="52"/>
      <c r="D17816"/>
      <c r="E17816"/>
      <c r="N17816" s="56"/>
    </row>
    <row r="17817" spans="1:14" x14ac:dyDescent="0.3">
      <c r="A17817" s="42"/>
      <c r="C17817" s="52"/>
      <c r="D17817"/>
      <c r="E17817"/>
      <c r="N17817" s="56"/>
    </row>
    <row r="17818" spans="1:14" x14ac:dyDescent="0.3">
      <c r="A17818" s="42"/>
      <c r="C17818" s="52"/>
      <c r="D17818"/>
      <c r="E17818"/>
      <c r="N17818" s="56"/>
    </row>
    <row r="17819" spans="1:14" x14ac:dyDescent="0.3">
      <c r="A17819" s="42"/>
      <c r="C17819" s="52"/>
      <c r="D17819"/>
      <c r="E17819"/>
      <c r="N17819" s="56"/>
    </row>
    <row r="17820" spans="1:14" x14ac:dyDescent="0.3">
      <c r="A17820" s="42"/>
      <c r="C17820" s="52"/>
      <c r="D17820"/>
      <c r="E17820"/>
      <c r="N17820" s="56"/>
    </row>
    <row r="17821" spans="1:14" x14ac:dyDescent="0.3">
      <c r="A17821" s="42"/>
      <c r="C17821" s="52"/>
      <c r="D17821"/>
      <c r="E17821"/>
      <c r="N17821" s="56"/>
    </row>
    <row r="17822" spans="1:14" x14ac:dyDescent="0.3">
      <c r="A17822" s="42"/>
      <c r="C17822" s="52"/>
      <c r="D17822"/>
      <c r="E17822"/>
      <c r="N17822" s="56"/>
    </row>
    <row r="17823" spans="1:14" x14ac:dyDescent="0.3">
      <c r="A17823" s="42"/>
      <c r="C17823" s="52"/>
      <c r="D17823"/>
      <c r="E17823"/>
      <c r="N17823" s="56"/>
    </row>
    <row r="17824" spans="1:14" x14ac:dyDescent="0.3">
      <c r="A17824" s="42"/>
      <c r="C17824" s="52"/>
      <c r="D17824"/>
      <c r="E17824"/>
      <c r="N17824" s="56"/>
    </row>
    <row r="17825" spans="1:14" x14ac:dyDescent="0.3">
      <c r="A17825" s="42"/>
      <c r="C17825" s="52"/>
      <c r="D17825"/>
      <c r="E17825"/>
      <c r="N17825" s="56"/>
    </row>
    <row r="17826" spans="1:14" x14ac:dyDescent="0.3">
      <c r="A17826" s="42"/>
      <c r="C17826" s="52"/>
      <c r="D17826"/>
      <c r="E17826"/>
      <c r="N17826" s="56"/>
    </row>
    <row r="17827" spans="1:14" x14ac:dyDescent="0.3">
      <c r="A17827" s="42"/>
      <c r="C17827" s="52"/>
      <c r="D17827"/>
      <c r="E17827"/>
      <c r="N17827" s="56"/>
    </row>
    <row r="17828" spans="1:14" x14ac:dyDescent="0.3">
      <c r="A17828" s="42"/>
      <c r="C17828" s="52"/>
      <c r="D17828"/>
      <c r="E17828"/>
      <c r="N17828" s="56"/>
    </row>
    <row r="17829" spans="1:14" x14ac:dyDescent="0.3">
      <c r="A17829" s="42"/>
      <c r="C17829" s="52"/>
      <c r="D17829"/>
      <c r="E17829"/>
      <c r="N17829" s="56"/>
    </row>
    <row r="17830" spans="1:14" x14ac:dyDescent="0.3">
      <c r="A17830" s="42"/>
      <c r="C17830" s="52"/>
      <c r="D17830"/>
      <c r="E17830"/>
      <c r="N17830" s="56"/>
    </row>
    <row r="17831" spans="1:14" x14ac:dyDescent="0.3">
      <c r="A17831" s="42"/>
      <c r="C17831" s="52"/>
      <c r="D17831"/>
      <c r="E17831"/>
      <c r="N17831" s="56"/>
    </row>
    <row r="17832" spans="1:14" x14ac:dyDescent="0.3">
      <c r="A17832" s="42"/>
      <c r="C17832" s="52"/>
      <c r="D17832"/>
      <c r="E17832"/>
      <c r="N17832" s="56"/>
    </row>
    <row r="17833" spans="1:14" x14ac:dyDescent="0.3">
      <c r="A17833" s="42"/>
      <c r="C17833" s="52"/>
      <c r="D17833"/>
      <c r="E17833"/>
      <c r="N17833" s="56"/>
    </row>
    <row r="17834" spans="1:14" x14ac:dyDescent="0.3">
      <c r="A17834" s="42"/>
      <c r="C17834" s="52"/>
      <c r="D17834"/>
      <c r="E17834"/>
      <c r="N17834" s="56"/>
    </row>
    <row r="17835" spans="1:14" x14ac:dyDescent="0.3">
      <c r="A17835" s="42"/>
      <c r="C17835" s="52"/>
      <c r="D17835"/>
      <c r="E17835"/>
      <c r="N17835" s="56"/>
    </row>
    <row r="17836" spans="1:14" x14ac:dyDescent="0.3">
      <c r="A17836" s="42"/>
      <c r="C17836" s="52"/>
      <c r="D17836"/>
      <c r="E17836"/>
      <c r="N17836" s="56"/>
    </row>
    <row r="17837" spans="1:14" x14ac:dyDescent="0.3">
      <c r="A17837" s="42"/>
      <c r="C17837" s="52"/>
      <c r="D17837"/>
      <c r="E17837"/>
      <c r="N17837" s="56"/>
    </row>
    <row r="17838" spans="1:14" x14ac:dyDescent="0.3">
      <c r="A17838" s="42"/>
      <c r="C17838" s="52"/>
      <c r="D17838"/>
      <c r="E17838"/>
      <c r="N17838" s="56"/>
    </row>
    <row r="17839" spans="1:14" x14ac:dyDescent="0.3">
      <c r="A17839" s="42"/>
      <c r="C17839" s="52"/>
      <c r="D17839"/>
      <c r="E17839"/>
      <c r="N17839" s="56"/>
    </row>
    <row r="17840" spans="1:14" x14ac:dyDescent="0.3">
      <c r="A17840" s="42"/>
      <c r="C17840" s="52"/>
      <c r="D17840"/>
      <c r="E17840"/>
      <c r="N17840" s="56"/>
    </row>
    <row r="17841" spans="1:14" x14ac:dyDescent="0.3">
      <c r="A17841" s="42"/>
      <c r="C17841" s="52"/>
      <c r="D17841"/>
      <c r="E17841"/>
      <c r="N17841" s="56"/>
    </row>
    <row r="17842" spans="1:14" x14ac:dyDescent="0.3">
      <c r="A17842" s="42"/>
      <c r="C17842" s="52"/>
      <c r="D17842"/>
      <c r="E17842"/>
      <c r="N17842" s="56"/>
    </row>
    <row r="17843" spans="1:14" x14ac:dyDescent="0.3">
      <c r="A17843" s="42"/>
      <c r="C17843" s="52"/>
      <c r="D17843"/>
      <c r="E17843"/>
      <c r="N17843" s="56"/>
    </row>
    <row r="17844" spans="1:14" x14ac:dyDescent="0.3">
      <c r="A17844" s="42"/>
      <c r="C17844" s="52"/>
      <c r="D17844"/>
      <c r="E17844"/>
      <c r="N17844" s="56"/>
    </row>
    <row r="17845" spans="1:14" x14ac:dyDescent="0.3">
      <c r="A17845" s="42"/>
      <c r="C17845" s="52"/>
      <c r="D17845"/>
      <c r="E17845"/>
      <c r="N17845" s="56"/>
    </row>
    <row r="17846" spans="1:14" x14ac:dyDescent="0.3">
      <c r="A17846" s="42"/>
      <c r="C17846" s="52"/>
      <c r="D17846"/>
      <c r="E17846"/>
      <c r="N17846" s="56"/>
    </row>
    <row r="17847" spans="1:14" x14ac:dyDescent="0.3">
      <c r="A17847" s="42"/>
      <c r="C17847" s="52"/>
      <c r="D17847"/>
      <c r="E17847"/>
      <c r="M17847" s="45"/>
      <c r="N17847" s="56"/>
    </row>
    <row r="17848" spans="1:14" x14ac:dyDescent="0.3">
      <c r="A17848" s="42"/>
      <c r="C17848" s="52"/>
      <c r="D17848"/>
      <c r="E17848"/>
      <c r="N17848" s="56"/>
    </row>
    <row r="17849" spans="1:14" x14ac:dyDescent="0.3">
      <c r="A17849" s="42"/>
      <c r="C17849" s="52"/>
      <c r="D17849"/>
      <c r="E17849"/>
      <c r="N17849" s="56"/>
    </row>
    <row r="17850" spans="1:14" x14ac:dyDescent="0.3">
      <c r="A17850" s="42"/>
      <c r="C17850" s="52"/>
      <c r="D17850"/>
      <c r="E17850"/>
      <c r="N17850" s="56"/>
    </row>
    <row r="17851" spans="1:14" x14ac:dyDescent="0.3">
      <c r="A17851" s="42"/>
      <c r="C17851" s="52"/>
      <c r="D17851"/>
      <c r="E17851"/>
      <c r="N17851" s="56"/>
    </row>
    <row r="17852" spans="1:14" x14ac:dyDescent="0.3">
      <c r="A17852" s="42"/>
      <c r="C17852" s="52"/>
      <c r="D17852"/>
      <c r="E17852"/>
      <c r="N17852" s="56"/>
    </row>
    <row r="17853" spans="1:14" x14ac:dyDescent="0.3">
      <c r="A17853" s="42"/>
      <c r="C17853" s="52"/>
      <c r="D17853"/>
      <c r="E17853"/>
      <c r="N17853" s="56"/>
    </row>
    <row r="17854" spans="1:14" x14ac:dyDescent="0.3">
      <c r="A17854" s="42"/>
      <c r="C17854" s="52"/>
      <c r="D17854"/>
      <c r="E17854"/>
      <c r="N17854" s="56"/>
    </row>
    <row r="17855" spans="1:14" x14ac:dyDescent="0.3">
      <c r="A17855" s="42"/>
      <c r="C17855" s="52"/>
      <c r="D17855"/>
      <c r="E17855"/>
      <c r="N17855" s="56"/>
    </row>
    <row r="17856" spans="1:14" x14ac:dyDescent="0.3">
      <c r="A17856" s="42"/>
      <c r="C17856" s="52"/>
      <c r="D17856"/>
      <c r="E17856"/>
      <c r="N17856" s="56"/>
    </row>
    <row r="17857" spans="1:14" x14ac:dyDescent="0.3">
      <c r="A17857" s="42"/>
      <c r="C17857" s="52"/>
      <c r="D17857"/>
      <c r="E17857"/>
      <c r="N17857" s="56"/>
    </row>
    <row r="17858" spans="1:14" x14ac:dyDescent="0.3">
      <c r="A17858" s="42"/>
      <c r="C17858" s="52"/>
      <c r="D17858"/>
      <c r="E17858"/>
      <c r="N17858" s="56"/>
    </row>
    <row r="17859" spans="1:14" x14ac:dyDescent="0.3">
      <c r="A17859" s="42"/>
      <c r="C17859" s="52"/>
      <c r="D17859"/>
      <c r="E17859"/>
      <c r="N17859" s="56"/>
    </row>
    <row r="17860" spans="1:14" x14ac:dyDescent="0.3">
      <c r="A17860" s="42"/>
      <c r="C17860" s="52"/>
      <c r="D17860"/>
      <c r="E17860"/>
      <c r="N17860" s="56"/>
    </row>
    <row r="17861" spans="1:14" x14ac:dyDescent="0.3">
      <c r="A17861" s="42"/>
      <c r="C17861" s="52"/>
      <c r="D17861"/>
      <c r="E17861"/>
      <c r="N17861" s="56"/>
    </row>
    <row r="17862" spans="1:14" x14ac:dyDescent="0.3">
      <c r="A17862" s="42"/>
      <c r="C17862" s="52"/>
      <c r="D17862"/>
      <c r="E17862"/>
      <c r="N17862" s="56"/>
    </row>
    <row r="17863" spans="1:14" x14ac:dyDescent="0.3">
      <c r="A17863" s="42"/>
      <c r="C17863" s="52"/>
      <c r="D17863"/>
      <c r="E17863"/>
      <c r="N17863" s="56"/>
    </row>
    <row r="17864" spans="1:14" x14ac:dyDescent="0.3">
      <c r="A17864" s="42"/>
      <c r="C17864" s="52"/>
      <c r="D17864"/>
      <c r="E17864"/>
      <c r="N17864" s="56"/>
    </row>
    <row r="17865" spans="1:14" x14ac:dyDescent="0.3">
      <c r="A17865" s="42"/>
      <c r="C17865" s="52"/>
      <c r="D17865"/>
      <c r="E17865"/>
      <c r="N17865" s="56"/>
    </row>
    <row r="17866" spans="1:14" x14ac:dyDescent="0.3">
      <c r="A17866" s="42"/>
      <c r="C17866" s="52"/>
      <c r="D17866"/>
      <c r="E17866"/>
      <c r="N17866" s="56"/>
    </row>
    <row r="17867" spans="1:14" x14ac:dyDescent="0.3">
      <c r="A17867" s="42"/>
      <c r="C17867" s="52"/>
      <c r="D17867"/>
      <c r="E17867"/>
      <c r="N17867" s="56"/>
    </row>
    <row r="17868" spans="1:14" x14ac:dyDescent="0.3">
      <c r="A17868" s="42"/>
      <c r="C17868" s="52"/>
      <c r="D17868"/>
      <c r="E17868"/>
      <c r="N17868" s="56"/>
    </row>
    <row r="17869" spans="1:14" x14ac:dyDescent="0.3">
      <c r="A17869" s="42"/>
      <c r="C17869" s="52"/>
      <c r="D17869"/>
      <c r="E17869"/>
      <c r="N17869" s="56"/>
    </row>
    <row r="17870" spans="1:14" x14ac:dyDescent="0.3">
      <c r="A17870" s="42"/>
      <c r="C17870" s="52"/>
      <c r="D17870"/>
      <c r="E17870"/>
      <c r="N17870" s="56"/>
    </row>
    <row r="17871" spans="1:14" x14ac:dyDescent="0.3">
      <c r="A17871" s="42"/>
      <c r="C17871" s="52"/>
      <c r="D17871"/>
      <c r="E17871"/>
      <c r="N17871" s="56"/>
    </row>
    <row r="17872" spans="1:14" x14ac:dyDescent="0.3">
      <c r="A17872" s="42"/>
      <c r="C17872" s="52"/>
      <c r="D17872"/>
      <c r="E17872"/>
      <c r="N17872" s="56"/>
    </row>
    <row r="17873" spans="1:14" x14ac:dyDescent="0.3">
      <c r="A17873" s="42"/>
      <c r="C17873" s="52"/>
      <c r="D17873"/>
      <c r="E17873"/>
      <c r="N17873" s="56"/>
    </row>
    <row r="17874" spans="1:14" x14ac:dyDescent="0.3">
      <c r="A17874" s="42"/>
      <c r="C17874" s="52"/>
      <c r="D17874"/>
      <c r="E17874"/>
      <c r="N17874" s="56"/>
    </row>
    <row r="17875" spans="1:14" x14ac:dyDescent="0.3">
      <c r="A17875" s="42"/>
      <c r="C17875" s="52"/>
      <c r="D17875"/>
      <c r="E17875"/>
      <c r="N17875" s="56"/>
    </row>
    <row r="17876" spans="1:14" x14ac:dyDescent="0.3">
      <c r="A17876" s="42"/>
      <c r="C17876" s="52"/>
      <c r="D17876"/>
      <c r="E17876"/>
      <c r="N17876" s="56"/>
    </row>
    <row r="17877" spans="1:14" x14ac:dyDescent="0.3">
      <c r="A17877" s="42"/>
      <c r="C17877" s="52"/>
      <c r="D17877"/>
      <c r="E17877"/>
      <c r="N17877" s="56"/>
    </row>
    <row r="17878" spans="1:14" x14ac:dyDescent="0.3">
      <c r="A17878" s="42"/>
      <c r="C17878" s="52"/>
      <c r="D17878"/>
      <c r="E17878"/>
      <c r="N17878" s="56"/>
    </row>
    <row r="17879" spans="1:14" x14ac:dyDescent="0.3">
      <c r="A17879" s="42"/>
      <c r="C17879" s="52"/>
      <c r="D17879"/>
      <c r="E17879"/>
      <c r="N17879" s="56"/>
    </row>
    <row r="17880" spans="1:14" x14ac:dyDescent="0.3">
      <c r="A17880" s="42"/>
      <c r="C17880" s="52"/>
      <c r="D17880"/>
      <c r="E17880"/>
      <c r="N17880" s="56"/>
    </row>
    <row r="17881" spans="1:14" x14ac:dyDescent="0.3">
      <c r="A17881" s="42"/>
      <c r="C17881" s="52"/>
      <c r="D17881"/>
      <c r="E17881"/>
      <c r="N17881" s="56"/>
    </row>
    <row r="17882" spans="1:14" x14ac:dyDescent="0.3">
      <c r="A17882" s="42"/>
      <c r="C17882" s="52"/>
      <c r="D17882"/>
      <c r="E17882"/>
      <c r="N17882" s="56"/>
    </row>
    <row r="17883" spans="1:14" x14ac:dyDescent="0.3">
      <c r="A17883" s="42"/>
      <c r="C17883" s="52"/>
      <c r="D17883"/>
      <c r="E17883"/>
      <c r="N17883" s="56"/>
    </row>
    <row r="17884" spans="1:14" x14ac:dyDescent="0.3">
      <c r="A17884" s="42"/>
      <c r="C17884" s="52"/>
      <c r="D17884"/>
      <c r="E17884"/>
      <c r="N17884" s="56"/>
    </row>
    <row r="17885" spans="1:14" x14ac:dyDescent="0.3">
      <c r="A17885" s="42"/>
      <c r="C17885" s="52"/>
      <c r="D17885"/>
      <c r="E17885"/>
      <c r="N17885" s="56"/>
    </row>
    <row r="17886" spans="1:14" x14ac:dyDescent="0.3">
      <c r="A17886" s="42"/>
      <c r="C17886" s="52"/>
      <c r="D17886"/>
      <c r="E17886"/>
      <c r="N17886" s="56"/>
    </row>
    <row r="17887" spans="1:14" x14ac:dyDescent="0.3">
      <c r="A17887" s="42"/>
      <c r="C17887" s="52"/>
      <c r="D17887"/>
      <c r="E17887"/>
      <c r="N17887" s="56"/>
    </row>
    <row r="17888" spans="1:14" x14ac:dyDescent="0.3">
      <c r="A17888" s="42"/>
      <c r="C17888" s="52"/>
      <c r="D17888"/>
      <c r="E17888"/>
      <c r="N17888" s="56"/>
    </row>
    <row r="17889" spans="1:14" x14ac:dyDescent="0.3">
      <c r="A17889" s="42"/>
      <c r="C17889" s="52"/>
      <c r="D17889"/>
      <c r="E17889"/>
      <c r="N17889" s="56"/>
    </row>
    <row r="17890" spans="1:14" x14ac:dyDescent="0.3">
      <c r="A17890" s="42"/>
      <c r="C17890" s="52"/>
      <c r="D17890"/>
      <c r="E17890"/>
      <c r="N17890" s="56"/>
    </row>
    <row r="17891" spans="1:14" x14ac:dyDescent="0.3">
      <c r="A17891" s="42"/>
      <c r="C17891" s="52"/>
      <c r="D17891"/>
      <c r="E17891"/>
      <c r="N17891" s="56"/>
    </row>
    <row r="17892" spans="1:14" x14ac:dyDescent="0.3">
      <c r="A17892" s="42"/>
      <c r="C17892" s="52"/>
      <c r="D17892"/>
      <c r="E17892"/>
      <c r="N17892" s="56"/>
    </row>
    <row r="17893" spans="1:14" x14ac:dyDescent="0.3">
      <c r="A17893" s="42"/>
      <c r="C17893" s="52"/>
      <c r="D17893"/>
      <c r="E17893"/>
      <c r="N17893" s="56"/>
    </row>
    <row r="17894" spans="1:14" x14ac:dyDescent="0.3">
      <c r="A17894" s="42"/>
      <c r="C17894" s="52"/>
      <c r="D17894"/>
      <c r="E17894"/>
      <c r="N17894" s="56"/>
    </row>
    <row r="17895" spans="1:14" x14ac:dyDescent="0.3">
      <c r="A17895" s="42"/>
      <c r="C17895" s="52"/>
      <c r="D17895"/>
      <c r="E17895"/>
      <c r="N17895" s="56"/>
    </row>
    <row r="17896" spans="1:14" x14ac:dyDescent="0.3">
      <c r="A17896" s="42"/>
      <c r="C17896" s="52"/>
      <c r="D17896"/>
      <c r="E17896"/>
      <c r="N17896" s="56"/>
    </row>
    <row r="17897" spans="1:14" x14ac:dyDescent="0.3">
      <c r="A17897" s="42"/>
      <c r="C17897" s="52"/>
      <c r="D17897"/>
      <c r="E17897"/>
      <c r="N17897" s="56"/>
    </row>
    <row r="17898" spans="1:14" x14ac:dyDescent="0.3">
      <c r="A17898" s="42"/>
      <c r="C17898" s="52"/>
      <c r="D17898"/>
      <c r="E17898"/>
      <c r="N17898" s="56"/>
    </row>
    <row r="17899" spans="1:14" x14ac:dyDescent="0.3">
      <c r="A17899" s="42"/>
      <c r="C17899" s="52"/>
      <c r="D17899"/>
      <c r="E17899"/>
      <c r="N17899" s="56"/>
    </row>
    <row r="17900" spans="1:14" x14ac:dyDescent="0.3">
      <c r="A17900" s="42"/>
      <c r="C17900" s="52"/>
      <c r="D17900"/>
      <c r="E17900"/>
      <c r="N17900" s="56"/>
    </row>
    <row r="17901" spans="1:14" x14ac:dyDescent="0.3">
      <c r="A17901" s="42"/>
      <c r="C17901" s="52"/>
      <c r="D17901"/>
      <c r="E17901"/>
      <c r="N17901" s="56"/>
    </row>
    <row r="17902" spans="1:14" x14ac:dyDescent="0.3">
      <c r="A17902" s="42"/>
      <c r="C17902" s="52"/>
      <c r="D17902"/>
      <c r="E17902"/>
      <c r="N17902" s="56"/>
    </row>
    <row r="17903" spans="1:14" x14ac:dyDescent="0.3">
      <c r="A17903" s="42"/>
      <c r="C17903" s="52"/>
      <c r="D17903"/>
      <c r="E17903"/>
      <c r="N17903" s="56"/>
    </row>
    <row r="17904" spans="1:14" x14ac:dyDescent="0.3">
      <c r="A17904" s="42"/>
      <c r="C17904" s="52"/>
      <c r="D17904"/>
      <c r="E17904"/>
      <c r="N17904" s="56"/>
    </row>
    <row r="17905" spans="1:14" x14ac:dyDescent="0.3">
      <c r="A17905" s="42"/>
      <c r="C17905" s="52"/>
      <c r="D17905"/>
      <c r="E17905"/>
      <c r="N17905" s="56"/>
    </row>
    <row r="17906" spans="1:14" x14ac:dyDescent="0.3">
      <c r="A17906" s="42"/>
      <c r="C17906" s="52"/>
      <c r="D17906"/>
      <c r="E17906"/>
      <c r="N17906" s="56"/>
    </row>
    <row r="17907" spans="1:14" x14ac:dyDescent="0.3">
      <c r="A17907" s="42"/>
      <c r="C17907" s="52"/>
      <c r="D17907"/>
      <c r="E17907"/>
      <c r="N17907" s="56"/>
    </row>
    <row r="17908" spans="1:14" x14ac:dyDescent="0.3">
      <c r="A17908" s="42"/>
      <c r="C17908" s="52"/>
      <c r="D17908"/>
      <c r="E17908"/>
      <c r="N17908" s="56"/>
    </row>
    <row r="17909" spans="1:14" x14ac:dyDescent="0.3">
      <c r="A17909" s="42"/>
      <c r="C17909" s="52"/>
      <c r="D17909"/>
      <c r="E17909"/>
      <c r="N17909" s="56"/>
    </row>
    <row r="17910" spans="1:14" x14ac:dyDescent="0.3">
      <c r="A17910" s="42"/>
      <c r="C17910" s="52"/>
      <c r="D17910"/>
      <c r="E17910"/>
      <c r="N17910" s="56"/>
    </row>
    <row r="17911" spans="1:14" x14ac:dyDescent="0.3">
      <c r="A17911" s="42"/>
      <c r="C17911" s="52"/>
      <c r="D17911"/>
      <c r="E17911"/>
      <c r="N17911" s="56"/>
    </row>
    <row r="17912" spans="1:14" x14ac:dyDescent="0.3">
      <c r="A17912" s="42"/>
      <c r="C17912" s="52"/>
      <c r="D17912"/>
      <c r="E17912"/>
      <c r="N17912" s="56"/>
    </row>
    <row r="17913" spans="1:14" x14ac:dyDescent="0.3">
      <c r="A17913" s="42"/>
      <c r="C17913" s="52"/>
      <c r="D17913"/>
      <c r="E17913"/>
      <c r="N17913" s="56"/>
    </row>
    <row r="17914" spans="1:14" x14ac:dyDescent="0.3">
      <c r="A17914" s="42"/>
      <c r="C17914" s="52"/>
      <c r="D17914"/>
      <c r="E17914"/>
      <c r="N17914" s="56"/>
    </row>
    <row r="17915" spans="1:14" x14ac:dyDescent="0.3">
      <c r="A17915" s="42"/>
      <c r="C17915" s="52"/>
      <c r="D17915"/>
      <c r="E17915"/>
      <c r="N17915" s="56"/>
    </row>
    <row r="17916" spans="1:14" x14ac:dyDescent="0.3">
      <c r="A17916" s="42"/>
      <c r="C17916" s="52"/>
      <c r="D17916"/>
      <c r="E17916"/>
      <c r="N17916" s="56"/>
    </row>
    <row r="17917" spans="1:14" x14ac:dyDescent="0.3">
      <c r="A17917" s="42"/>
      <c r="C17917" s="52"/>
      <c r="D17917"/>
      <c r="E17917"/>
      <c r="N17917" s="56"/>
    </row>
    <row r="17918" spans="1:14" x14ac:dyDescent="0.3">
      <c r="A17918" s="42"/>
      <c r="C17918" s="52"/>
      <c r="D17918"/>
      <c r="E17918"/>
      <c r="N17918" s="56"/>
    </row>
    <row r="17919" spans="1:14" x14ac:dyDescent="0.3">
      <c r="A17919" s="42"/>
      <c r="C17919" s="52"/>
      <c r="D17919"/>
      <c r="E17919"/>
      <c r="N17919" s="56"/>
    </row>
    <row r="17920" spans="1:14" x14ac:dyDescent="0.3">
      <c r="A17920" s="42"/>
      <c r="C17920" s="52"/>
      <c r="D17920"/>
      <c r="E17920"/>
      <c r="N17920" s="56"/>
    </row>
    <row r="17921" spans="1:14" x14ac:dyDescent="0.3">
      <c r="A17921" s="42"/>
      <c r="C17921" s="52"/>
      <c r="D17921"/>
      <c r="E17921"/>
      <c r="N17921" s="56"/>
    </row>
    <row r="17922" spans="1:14" x14ac:dyDescent="0.3">
      <c r="A17922" s="42"/>
      <c r="C17922" s="52"/>
      <c r="D17922"/>
      <c r="E17922"/>
      <c r="N17922" s="56"/>
    </row>
    <row r="17923" spans="1:14" x14ac:dyDescent="0.3">
      <c r="A17923" s="42"/>
      <c r="C17923" s="52"/>
      <c r="D17923"/>
      <c r="E17923"/>
      <c r="N17923" s="56"/>
    </row>
    <row r="17924" spans="1:14" x14ac:dyDescent="0.3">
      <c r="A17924" s="42"/>
      <c r="C17924" s="52"/>
      <c r="D17924"/>
      <c r="E17924"/>
      <c r="N17924" s="56"/>
    </row>
    <row r="17925" spans="1:14" x14ac:dyDescent="0.3">
      <c r="A17925" s="42"/>
      <c r="C17925" s="52"/>
      <c r="D17925"/>
      <c r="E17925"/>
      <c r="N17925" s="56"/>
    </row>
    <row r="17926" spans="1:14" x14ac:dyDescent="0.3">
      <c r="A17926" s="42"/>
      <c r="C17926" s="52"/>
      <c r="D17926"/>
      <c r="E17926"/>
      <c r="N17926" s="56"/>
    </row>
    <row r="17927" spans="1:14" x14ac:dyDescent="0.3">
      <c r="A17927" s="42"/>
      <c r="C17927" s="52"/>
      <c r="D17927"/>
      <c r="E17927"/>
      <c r="N17927" s="56"/>
    </row>
    <row r="17928" spans="1:14" x14ac:dyDescent="0.3">
      <c r="A17928" s="42"/>
      <c r="C17928" s="52"/>
      <c r="D17928"/>
      <c r="E17928"/>
      <c r="N17928" s="56"/>
    </row>
    <row r="17929" spans="1:14" x14ac:dyDescent="0.3">
      <c r="A17929" s="42"/>
      <c r="C17929" s="52"/>
      <c r="D17929"/>
      <c r="E17929"/>
      <c r="N17929" s="56"/>
    </row>
    <row r="17930" spans="1:14" x14ac:dyDescent="0.3">
      <c r="A17930" s="42"/>
      <c r="C17930" s="52"/>
      <c r="D17930"/>
      <c r="E17930"/>
      <c r="N17930" s="56"/>
    </row>
    <row r="17931" spans="1:14" x14ac:dyDescent="0.3">
      <c r="A17931" s="42"/>
      <c r="C17931" s="52"/>
      <c r="D17931"/>
      <c r="E17931"/>
      <c r="N17931" s="56"/>
    </row>
    <row r="17932" spans="1:14" x14ac:dyDescent="0.3">
      <c r="A17932" s="42"/>
      <c r="C17932" s="52"/>
      <c r="D17932"/>
      <c r="E17932"/>
      <c r="N17932" s="56"/>
    </row>
    <row r="17933" spans="1:14" x14ac:dyDescent="0.3">
      <c r="A17933" s="42"/>
      <c r="C17933" s="52"/>
      <c r="D17933"/>
      <c r="E17933"/>
      <c r="N17933" s="56"/>
    </row>
    <row r="17934" spans="1:14" x14ac:dyDescent="0.3">
      <c r="A17934" s="42"/>
      <c r="C17934" s="52"/>
      <c r="D17934"/>
      <c r="E17934"/>
      <c r="N17934" s="56"/>
    </row>
    <row r="17935" spans="1:14" x14ac:dyDescent="0.3">
      <c r="A17935" s="42"/>
      <c r="C17935" s="52"/>
      <c r="D17935"/>
      <c r="E17935"/>
      <c r="N17935" s="56"/>
    </row>
    <row r="17936" spans="1:14" x14ac:dyDescent="0.3">
      <c r="A17936" s="42"/>
      <c r="C17936" s="52"/>
      <c r="D17936"/>
      <c r="E17936"/>
      <c r="N17936" s="56"/>
    </row>
    <row r="17937" spans="1:14" x14ac:dyDescent="0.3">
      <c r="A17937" s="42"/>
      <c r="C17937" s="52"/>
      <c r="D17937"/>
      <c r="E17937"/>
      <c r="N17937" s="56"/>
    </row>
    <row r="17938" spans="1:14" x14ac:dyDescent="0.3">
      <c r="A17938" s="42"/>
      <c r="C17938" s="52"/>
      <c r="D17938"/>
      <c r="E17938"/>
      <c r="N17938" s="56"/>
    </row>
    <row r="17939" spans="1:14" x14ac:dyDescent="0.3">
      <c r="A17939" s="42"/>
      <c r="C17939" s="52"/>
      <c r="D17939"/>
      <c r="E17939"/>
      <c r="N17939" s="56"/>
    </row>
    <row r="17940" spans="1:14" x14ac:dyDescent="0.3">
      <c r="A17940" s="42"/>
      <c r="C17940" s="52"/>
      <c r="D17940"/>
      <c r="E17940"/>
      <c r="N17940" s="56"/>
    </row>
    <row r="17941" spans="1:14" x14ac:dyDescent="0.3">
      <c r="A17941" s="42"/>
      <c r="C17941" s="52"/>
      <c r="D17941"/>
      <c r="E17941"/>
      <c r="N17941" s="56"/>
    </row>
    <row r="17942" spans="1:14" x14ac:dyDescent="0.3">
      <c r="A17942" s="42"/>
      <c r="C17942" s="52"/>
      <c r="D17942"/>
      <c r="E17942"/>
      <c r="N17942" s="56"/>
    </row>
    <row r="17943" spans="1:14" x14ac:dyDescent="0.3">
      <c r="A17943" s="42"/>
      <c r="C17943" s="52"/>
      <c r="D17943"/>
      <c r="E17943"/>
      <c r="N17943" s="56"/>
    </row>
    <row r="17944" spans="1:14" x14ac:dyDescent="0.3">
      <c r="A17944" s="42"/>
      <c r="C17944" s="52"/>
      <c r="D17944"/>
      <c r="E17944"/>
      <c r="N17944" s="56"/>
    </row>
    <row r="17945" spans="1:14" x14ac:dyDescent="0.3">
      <c r="A17945" s="42"/>
      <c r="C17945" s="52"/>
      <c r="D17945"/>
      <c r="E17945"/>
      <c r="N17945" s="56"/>
    </row>
    <row r="17946" spans="1:14" x14ac:dyDescent="0.3">
      <c r="A17946" s="42"/>
      <c r="C17946" s="52"/>
      <c r="D17946"/>
      <c r="E17946"/>
      <c r="N17946" s="56"/>
    </row>
    <row r="17947" spans="1:14" x14ac:dyDescent="0.3">
      <c r="A17947" s="42"/>
      <c r="C17947" s="52"/>
      <c r="D17947"/>
      <c r="E17947"/>
      <c r="N17947" s="56"/>
    </row>
    <row r="17948" spans="1:14" x14ac:dyDescent="0.3">
      <c r="A17948" s="42"/>
      <c r="C17948" s="52"/>
      <c r="D17948"/>
      <c r="E17948"/>
      <c r="N17948" s="56"/>
    </row>
    <row r="17949" spans="1:14" x14ac:dyDescent="0.3">
      <c r="A17949" s="42"/>
      <c r="C17949" s="52"/>
      <c r="D17949"/>
      <c r="E17949"/>
      <c r="N17949" s="56"/>
    </row>
    <row r="17950" spans="1:14" x14ac:dyDescent="0.3">
      <c r="A17950" s="42"/>
      <c r="C17950" s="52"/>
      <c r="D17950"/>
      <c r="E17950"/>
      <c r="N17950" s="56"/>
    </row>
    <row r="17951" spans="1:14" x14ac:dyDescent="0.3">
      <c r="A17951" s="42"/>
      <c r="C17951" s="52"/>
      <c r="D17951"/>
      <c r="E17951"/>
      <c r="N17951" s="56"/>
    </row>
    <row r="17952" spans="1:14" x14ac:dyDescent="0.3">
      <c r="A17952" s="42"/>
      <c r="C17952" s="52"/>
      <c r="D17952"/>
      <c r="E17952"/>
      <c r="N17952" s="56"/>
    </row>
    <row r="17953" spans="1:14" x14ac:dyDescent="0.3">
      <c r="A17953" s="42"/>
      <c r="C17953" s="52"/>
      <c r="D17953"/>
      <c r="E17953"/>
      <c r="N17953" s="56"/>
    </row>
    <row r="17954" spans="1:14" x14ac:dyDescent="0.3">
      <c r="A17954" s="42"/>
      <c r="C17954" s="52"/>
      <c r="D17954"/>
      <c r="E17954"/>
      <c r="N17954" s="56"/>
    </row>
    <row r="17955" spans="1:14" x14ac:dyDescent="0.3">
      <c r="A17955" s="42"/>
      <c r="C17955" s="52"/>
      <c r="D17955"/>
      <c r="E17955"/>
      <c r="N17955" s="56"/>
    </row>
    <row r="17956" spans="1:14" x14ac:dyDescent="0.3">
      <c r="A17956" s="42"/>
      <c r="C17956" s="52"/>
      <c r="D17956"/>
      <c r="E17956"/>
      <c r="N17956" s="56"/>
    </row>
    <row r="17957" spans="1:14" x14ac:dyDescent="0.3">
      <c r="A17957" s="42"/>
      <c r="C17957" s="52"/>
      <c r="D17957"/>
      <c r="E17957"/>
      <c r="N17957" s="56"/>
    </row>
    <row r="17958" spans="1:14" x14ac:dyDescent="0.3">
      <c r="A17958" s="42"/>
      <c r="C17958" s="52"/>
      <c r="D17958"/>
      <c r="E17958"/>
      <c r="N17958" s="56"/>
    </row>
    <row r="17959" spans="1:14" x14ac:dyDescent="0.3">
      <c r="A17959" s="42"/>
      <c r="C17959" s="52"/>
      <c r="D17959"/>
      <c r="E17959"/>
      <c r="N17959" s="56"/>
    </row>
    <row r="17960" spans="1:14" x14ac:dyDescent="0.3">
      <c r="A17960" s="42"/>
      <c r="C17960" s="52"/>
      <c r="D17960"/>
      <c r="E17960"/>
      <c r="N17960" s="56"/>
    </row>
    <row r="17961" spans="1:14" x14ac:dyDescent="0.3">
      <c r="A17961" s="42"/>
      <c r="C17961" s="52"/>
      <c r="D17961"/>
      <c r="E17961"/>
      <c r="N17961" s="56"/>
    </row>
    <row r="17962" spans="1:14" x14ac:dyDescent="0.3">
      <c r="A17962" s="42"/>
      <c r="C17962" s="52"/>
      <c r="D17962"/>
      <c r="E17962"/>
      <c r="N17962" s="56"/>
    </row>
    <row r="17963" spans="1:14" x14ac:dyDescent="0.3">
      <c r="A17963" s="42"/>
      <c r="C17963" s="52"/>
      <c r="D17963"/>
      <c r="E17963"/>
      <c r="N17963" s="56"/>
    </row>
    <row r="17964" spans="1:14" x14ac:dyDescent="0.3">
      <c r="A17964" s="42"/>
      <c r="C17964" s="52"/>
      <c r="D17964"/>
      <c r="E17964"/>
      <c r="N17964" s="56"/>
    </row>
    <row r="17965" spans="1:14" x14ac:dyDescent="0.3">
      <c r="A17965" s="42"/>
      <c r="C17965" s="52"/>
      <c r="D17965"/>
      <c r="E17965"/>
      <c r="N17965" s="56"/>
    </row>
    <row r="17966" spans="1:14" x14ac:dyDescent="0.3">
      <c r="A17966" s="42"/>
      <c r="C17966" s="52"/>
      <c r="D17966"/>
      <c r="E17966"/>
      <c r="N17966" s="56"/>
    </row>
    <row r="17967" spans="1:14" x14ac:dyDescent="0.3">
      <c r="A17967" s="42"/>
      <c r="C17967" s="52"/>
      <c r="D17967"/>
      <c r="E17967"/>
      <c r="M17967" s="45"/>
      <c r="N17967" s="56"/>
    </row>
    <row r="17968" spans="1:14" x14ac:dyDescent="0.3">
      <c r="A17968" s="42"/>
      <c r="C17968" s="52"/>
      <c r="D17968"/>
      <c r="E17968"/>
      <c r="N17968" s="56"/>
    </row>
    <row r="17969" spans="1:14" x14ac:dyDescent="0.3">
      <c r="A17969" s="42"/>
      <c r="C17969" s="52"/>
      <c r="D17969"/>
      <c r="E17969"/>
      <c r="N17969" s="56"/>
    </row>
    <row r="17970" spans="1:14" x14ac:dyDescent="0.3">
      <c r="A17970" s="42"/>
      <c r="C17970" s="52"/>
      <c r="D17970"/>
      <c r="E17970"/>
      <c r="N17970" s="56"/>
    </row>
    <row r="17971" spans="1:14" x14ac:dyDescent="0.3">
      <c r="A17971" s="42"/>
      <c r="C17971" s="52"/>
      <c r="D17971"/>
      <c r="E17971"/>
      <c r="N17971" s="56"/>
    </row>
    <row r="17972" spans="1:14" x14ac:dyDescent="0.3">
      <c r="A17972" s="42"/>
      <c r="C17972" s="52"/>
      <c r="D17972"/>
      <c r="E17972"/>
      <c r="N17972" s="56"/>
    </row>
    <row r="17973" spans="1:14" x14ac:dyDescent="0.3">
      <c r="A17973" s="42"/>
      <c r="C17973" s="52"/>
      <c r="D17973"/>
      <c r="E17973"/>
      <c r="N17973" s="56"/>
    </row>
    <row r="17974" spans="1:14" x14ac:dyDescent="0.3">
      <c r="A17974" s="42"/>
      <c r="C17974" s="52"/>
      <c r="D17974"/>
      <c r="E17974"/>
      <c r="N17974" s="56"/>
    </row>
    <row r="17975" spans="1:14" x14ac:dyDescent="0.3">
      <c r="A17975" s="42"/>
      <c r="C17975" s="52"/>
      <c r="D17975"/>
      <c r="E17975"/>
      <c r="N17975" s="56"/>
    </row>
    <row r="17976" spans="1:14" x14ac:dyDescent="0.3">
      <c r="A17976" s="42"/>
      <c r="C17976" s="52"/>
      <c r="D17976"/>
      <c r="E17976"/>
      <c r="N17976" s="56"/>
    </row>
    <row r="17977" spans="1:14" x14ac:dyDescent="0.3">
      <c r="A17977" s="42"/>
      <c r="C17977" s="52"/>
      <c r="D17977"/>
      <c r="E17977"/>
      <c r="N17977" s="56"/>
    </row>
    <row r="17978" spans="1:14" x14ac:dyDescent="0.3">
      <c r="A17978" s="42"/>
      <c r="C17978" s="52"/>
      <c r="D17978"/>
      <c r="E17978"/>
      <c r="N17978" s="56"/>
    </row>
    <row r="17979" spans="1:14" x14ac:dyDescent="0.3">
      <c r="A17979" s="42"/>
      <c r="C17979" s="52"/>
      <c r="D17979"/>
      <c r="E17979"/>
      <c r="N17979" s="56"/>
    </row>
    <row r="17980" spans="1:14" x14ac:dyDescent="0.3">
      <c r="A17980" s="42"/>
      <c r="C17980" s="52"/>
      <c r="D17980"/>
      <c r="E17980"/>
      <c r="N17980" s="56"/>
    </row>
    <row r="17981" spans="1:14" x14ac:dyDescent="0.3">
      <c r="A17981" s="42"/>
      <c r="C17981" s="52"/>
      <c r="D17981"/>
      <c r="E17981"/>
      <c r="N17981" s="56"/>
    </row>
    <row r="17982" spans="1:14" x14ac:dyDescent="0.3">
      <c r="A17982" s="42"/>
      <c r="C17982" s="52"/>
      <c r="D17982"/>
      <c r="E17982"/>
      <c r="N17982" s="56"/>
    </row>
    <row r="17983" spans="1:14" x14ac:dyDescent="0.3">
      <c r="A17983" s="42"/>
      <c r="C17983" s="52"/>
      <c r="D17983"/>
      <c r="E17983"/>
      <c r="N17983" s="56"/>
    </row>
    <row r="17984" spans="1:14" x14ac:dyDescent="0.3">
      <c r="A17984" s="42"/>
      <c r="C17984" s="52"/>
      <c r="D17984"/>
      <c r="E17984"/>
      <c r="N17984" s="56"/>
    </row>
    <row r="17985" spans="1:14" x14ac:dyDescent="0.3">
      <c r="A17985" s="42"/>
      <c r="C17985" s="52"/>
      <c r="D17985"/>
      <c r="E17985"/>
      <c r="N17985" s="56"/>
    </row>
    <row r="17986" spans="1:14" x14ac:dyDescent="0.3">
      <c r="A17986" s="42"/>
      <c r="C17986" s="52"/>
      <c r="D17986"/>
      <c r="E17986"/>
      <c r="N17986" s="56"/>
    </row>
    <row r="17987" spans="1:14" x14ac:dyDescent="0.3">
      <c r="A17987" s="42"/>
      <c r="C17987" s="52"/>
      <c r="D17987"/>
      <c r="E17987"/>
      <c r="N17987" s="56"/>
    </row>
    <row r="17988" spans="1:14" x14ac:dyDescent="0.3">
      <c r="A17988" s="42"/>
      <c r="C17988" s="52"/>
      <c r="D17988"/>
      <c r="E17988"/>
      <c r="N17988" s="56"/>
    </row>
    <row r="17989" spans="1:14" x14ac:dyDescent="0.3">
      <c r="A17989" s="42"/>
      <c r="C17989" s="52"/>
      <c r="D17989"/>
      <c r="E17989"/>
      <c r="N17989" s="56"/>
    </row>
    <row r="17990" spans="1:14" x14ac:dyDescent="0.3">
      <c r="A17990" s="42"/>
      <c r="C17990" s="52"/>
      <c r="D17990"/>
      <c r="E17990"/>
      <c r="N17990" s="56"/>
    </row>
    <row r="17991" spans="1:14" x14ac:dyDescent="0.3">
      <c r="A17991" s="42"/>
      <c r="C17991" s="52"/>
      <c r="D17991"/>
      <c r="E17991"/>
      <c r="N17991" s="56"/>
    </row>
    <row r="17992" spans="1:14" x14ac:dyDescent="0.3">
      <c r="A17992" s="42"/>
      <c r="C17992" s="52"/>
      <c r="D17992"/>
      <c r="E17992"/>
      <c r="N17992" s="56"/>
    </row>
    <row r="17993" spans="1:14" x14ac:dyDescent="0.3">
      <c r="A17993" s="42"/>
      <c r="C17993" s="52"/>
      <c r="D17993"/>
      <c r="E17993"/>
      <c r="N17993" s="56"/>
    </row>
    <row r="17994" spans="1:14" x14ac:dyDescent="0.3">
      <c r="A17994" s="42"/>
      <c r="C17994" s="52"/>
      <c r="D17994"/>
      <c r="E17994"/>
      <c r="N17994" s="56"/>
    </row>
    <row r="17995" spans="1:14" x14ac:dyDescent="0.3">
      <c r="A17995" s="42"/>
      <c r="C17995" s="52"/>
      <c r="D17995"/>
      <c r="E17995"/>
      <c r="N17995" s="56"/>
    </row>
    <row r="17996" spans="1:14" x14ac:dyDescent="0.3">
      <c r="A17996" s="42"/>
      <c r="C17996" s="52"/>
      <c r="D17996"/>
      <c r="E17996"/>
      <c r="N17996" s="56"/>
    </row>
    <row r="17997" spans="1:14" x14ac:dyDescent="0.3">
      <c r="A17997" s="42"/>
      <c r="C17997" s="52"/>
      <c r="D17997"/>
      <c r="E17997"/>
      <c r="N17997" s="56"/>
    </row>
    <row r="17998" spans="1:14" x14ac:dyDescent="0.3">
      <c r="A17998" s="42"/>
      <c r="C17998" s="52"/>
      <c r="D17998"/>
      <c r="E17998"/>
      <c r="N17998" s="56"/>
    </row>
    <row r="17999" spans="1:14" x14ac:dyDescent="0.3">
      <c r="A17999" s="42"/>
      <c r="C17999" s="52"/>
      <c r="D17999"/>
      <c r="E17999"/>
      <c r="N17999" s="56"/>
    </row>
    <row r="18000" spans="1:14" x14ac:dyDescent="0.3">
      <c r="A18000" s="42"/>
      <c r="C18000" s="52"/>
      <c r="D18000"/>
      <c r="E18000"/>
      <c r="N18000" s="56"/>
    </row>
    <row r="18001" spans="1:14" x14ac:dyDescent="0.3">
      <c r="A18001" s="42"/>
      <c r="C18001" s="52"/>
      <c r="D18001"/>
      <c r="E18001"/>
      <c r="N18001" s="56"/>
    </row>
    <row r="18002" spans="1:14" x14ac:dyDescent="0.3">
      <c r="A18002" s="42"/>
      <c r="C18002" s="52"/>
      <c r="D18002"/>
      <c r="E18002"/>
      <c r="N18002" s="56"/>
    </row>
    <row r="18003" spans="1:14" x14ac:dyDescent="0.3">
      <c r="A18003" s="42"/>
      <c r="C18003" s="52"/>
      <c r="D18003"/>
      <c r="E18003"/>
      <c r="N18003" s="56"/>
    </row>
    <row r="18004" spans="1:14" x14ac:dyDescent="0.3">
      <c r="A18004" s="42"/>
      <c r="C18004" s="52"/>
      <c r="D18004"/>
      <c r="E18004"/>
      <c r="N18004" s="56"/>
    </row>
    <row r="18005" spans="1:14" x14ac:dyDescent="0.3">
      <c r="A18005" s="42"/>
      <c r="C18005" s="52"/>
      <c r="D18005"/>
      <c r="E18005"/>
      <c r="N18005" s="56"/>
    </row>
    <row r="18006" spans="1:14" x14ac:dyDescent="0.3">
      <c r="A18006" s="42"/>
      <c r="C18006" s="52"/>
      <c r="D18006"/>
      <c r="E18006"/>
      <c r="N18006" s="56"/>
    </row>
    <row r="18007" spans="1:14" x14ac:dyDescent="0.3">
      <c r="A18007" s="42"/>
      <c r="C18007" s="52"/>
      <c r="D18007"/>
      <c r="E18007"/>
      <c r="N18007" s="56"/>
    </row>
    <row r="18008" spans="1:14" x14ac:dyDescent="0.3">
      <c r="A18008" s="42"/>
      <c r="C18008" s="52"/>
      <c r="D18008"/>
      <c r="E18008"/>
      <c r="N18008" s="56"/>
    </row>
    <row r="18009" spans="1:14" x14ac:dyDescent="0.3">
      <c r="A18009" s="42"/>
      <c r="C18009" s="52"/>
      <c r="D18009"/>
      <c r="E18009"/>
      <c r="N18009" s="56"/>
    </row>
    <row r="18010" spans="1:14" x14ac:dyDescent="0.3">
      <c r="A18010" s="42"/>
      <c r="C18010" s="52"/>
      <c r="D18010"/>
      <c r="E18010"/>
      <c r="N18010" s="56"/>
    </row>
    <row r="18011" spans="1:14" x14ac:dyDescent="0.3">
      <c r="A18011" s="42"/>
      <c r="C18011" s="52"/>
      <c r="D18011"/>
      <c r="E18011"/>
      <c r="N18011" s="56"/>
    </row>
    <row r="18012" spans="1:14" x14ac:dyDescent="0.3">
      <c r="A18012" s="42"/>
      <c r="C18012" s="52"/>
      <c r="D18012"/>
      <c r="E18012"/>
      <c r="N18012" s="56"/>
    </row>
    <row r="18013" spans="1:14" x14ac:dyDescent="0.3">
      <c r="A18013" s="42"/>
      <c r="C18013" s="52"/>
      <c r="D18013"/>
      <c r="E18013"/>
      <c r="N18013" s="56"/>
    </row>
    <row r="18014" spans="1:14" x14ac:dyDescent="0.3">
      <c r="A18014" s="42"/>
      <c r="C18014" s="52"/>
      <c r="D18014"/>
      <c r="E18014"/>
      <c r="N18014" s="56"/>
    </row>
    <row r="18015" spans="1:14" x14ac:dyDescent="0.3">
      <c r="A18015" s="42"/>
      <c r="C18015" s="52"/>
      <c r="D18015"/>
      <c r="E18015"/>
      <c r="N18015" s="56"/>
    </row>
    <row r="18016" spans="1:14" x14ac:dyDescent="0.3">
      <c r="A18016" s="42"/>
      <c r="C18016" s="52"/>
      <c r="D18016"/>
      <c r="E18016"/>
      <c r="N18016" s="56"/>
    </row>
    <row r="18017" spans="1:14" x14ac:dyDescent="0.3">
      <c r="A18017" s="42"/>
      <c r="C18017" s="52"/>
      <c r="D18017"/>
      <c r="E18017"/>
      <c r="N18017" s="56"/>
    </row>
    <row r="18018" spans="1:14" x14ac:dyDescent="0.3">
      <c r="A18018" s="42"/>
      <c r="C18018" s="52"/>
      <c r="D18018"/>
      <c r="E18018"/>
      <c r="N18018" s="56"/>
    </row>
    <row r="18019" spans="1:14" x14ac:dyDescent="0.3">
      <c r="A18019" s="42"/>
      <c r="C18019" s="52"/>
      <c r="D18019"/>
      <c r="E18019"/>
      <c r="N18019" s="56"/>
    </row>
    <row r="18020" spans="1:14" x14ac:dyDescent="0.3">
      <c r="A18020" s="42"/>
      <c r="C18020" s="52"/>
      <c r="D18020"/>
      <c r="E18020"/>
      <c r="N18020" s="56"/>
    </row>
    <row r="18021" spans="1:14" x14ac:dyDescent="0.3">
      <c r="A18021" s="42"/>
      <c r="C18021" s="52"/>
      <c r="D18021"/>
      <c r="E18021"/>
      <c r="N18021" s="56"/>
    </row>
    <row r="18022" spans="1:14" x14ac:dyDescent="0.3">
      <c r="A18022" s="42"/>
      <c r="C18022" s="52"/>
      <c r="D18022"/>
      <c r="E18022"/>
      <c r="N18022" s="56"/>
    </row>
    <row r="18023" spans="1:14" x14ac:dyDescent="0.3">
      <c r="A18023" s="42"/>
      <c r="C18023" s="52"/>
      <c r="D18023"/>
      <c r="E18023"/>
      <c r="N18023" s="56"/>
    </row>
    <row r="18024" spans="1:14" x14ac:dyDescent="0.3">
      <c r="A18024" s="42"/>
      <c r="C18024" s="52"/>
      <c r="D18024"/>
      <c r="E18024"/>
      <c r="N18024" s="56"/>
    </row>
    <row r="18025" spans="1:14" x14ac:dyDescent="0.3">
      <c r="A18025" s="42"/>
      <c r="C18025" s="52"/>
      <c r="D18025"/>
      <c r="E18025"/>
      <c r="N18025" s="56"/>
    </row>
    <row r="18026" spans="1:14" x14ac:dyDescent="0.3">
      <c r="A18026" s="42"/>
      <c r="C18026" s="52"/>
      <c r="D18026"/>
      <c r="E18026"/>
      <c r="N18026" s="56"/>
    </row>
    <row r="18027" spans="1:14" x14ac:dyDescent="0.3">
      <c r="A18027" s="42"/>
      <c r="C18027" s="52"/>
      <c r="D18027"/>
      <c r="E18027"/>
      <c r="N18027" s="56"/>
    </row>
    <row r="18028" spans="1:14" x14ac:dyDescent="0.3">
      <c r="A18028" s="42"/>
      <c r="C18028" s="52"/>
      <c r="D18028"/>
      <c r="E18028"/>
      <c r="N18028" s="56"/>
    </row>
    <row r="18029" spans="1:14" x14ac:dyDescent="0.3">
      <c r="A18029" s="42"/>
      <c r="C18029" s="52"/>
      <c r="D18029"/>
      <c r="E18029"/>
      <c r="N18029" s="56"/>
    </row>
    <row r="18030" spans="1:14" x14ac:dyDescent="0.3">
      <c r="A18030" s="42"/>
      <c r="C18030" s="52"/>
      <c r="D18030"/>
      <c r="E18030"/>
      <c r="N18030" s="56"/>
    </row>
    <row r="18031" spans="1:14" x14ac:dyDescent="0.3">
      <c r="A18031" s="42"/>
      <c r="C18031" s="52"/>
      <c r="D18031"/>
      <c r="E18031"/>
      <c r="N18031" s="56"/>
    </row>
    <row r="18032" spans="1:14" x14ac:dyDescent="0.3">
      <c r="A18032" s="42"/>
      <c r="C18032" s="52"/>
      <c r="D18032"/>
      <c r="E18032"/>
      <c r="N18032" s="56"/>
    </row>
    <row r="18033" spans="1:14" x14ac:dyDescent="0.3">
      <c r="A18033" s="42"/>
      <c r="C18033" s="52"/>
      <c r="D18033"/>
      <c r="E18033"/>
      <c r="M18033" s="45"/>
      <c r="N18033" s="56"/>
    </row>
    <row r="18034" spans="1:14" x14ac:dyDescent="0.3">
      <c r="A18034" s="42"/>
      <c r="C18034" s="52"/>
      <c r="D18034"/>
      <c r="E18034"/>
      <c r="N18034" s="56"/>
    </row>
    <row r="18035" spans="1:14" x14ac:dyDescent="0.3">
      <c r="A18035" s="42"/>
      <c r="C18035" s="52"/>
      <c r="D18035"/>
      <c r="E18035"/>
      <c r="N18035" s="56"/>
    </row>
    <row r="18036" spans="1:14" x14ac:dyDescent="0.3">
      <c r="A18036" s="42"/>
      <c r="C18036" s="52"/>
      <c r="D18036"/>
      <c r="E18036"/>
      <c r="N18036" s="56"/>
    </row>
    <row r="18037" spans="1:14" x14ac:dyDescent="0.3">
      <c r="A18037" s="42"/>
      <c r="C18037" s="52"/>
      <c r="D18037"/>
      <c r="E18037"/>
      <c r="N18037" s="56"/>
    </row>
    <row r="18038" spans="1:14" x14ac:dyDescent="0.3">
      <c r="A18038" s="42"/>
      <c r="C18038" s="52"/>
      <c r="D18038"/>
      <c r="E18038"/>
      <c r="N18038" s="56"/>
    </row>
    <row r="18039" spans="1:14" x14ac:dyDescent="0.3">
      <c r="A18039" s="42"/>
      <c r="C18039" s="52"/>
      <c r="D18039"/>
      <c r="E18039"/>
      <c r="N18039" s="56"/>
    </row>
    <row r="18040" spans="1:14" x14ac:dyDescent="0.3">
      <c r="A18040" s="42"/>
      <c r="C18040" s="52"/>
      <c r="D18040"/>
      <c r="E18040"/>
      <c r="N18040" s="56"/>
    </row>
    <row r="18041" spans="1:14" x14ac:dyDescent="0.3">
      <c r="A18041" s="42"/>
      <c r="C18041" s="52"/>
      <c r="D18041"/>
      <c r="E18041"/>
      <c r="N18041" s="56"/>
    </row>
    <row r="18042" spans="1:14" x14ac:dyDescent="0.3">
      <c r="A18042" s="42"/>
      <c r="C18042" s="52"/>
      <c r="D18042"/>
      <c r="E18042"/>
      <c r="N18042" s="56"/>
    </row>
    <row r="18043" spans="1:14" x14ac:dyDescent="0.3">
      <c r="A18043" s="42"/>
      <c r="C18043" s="52"/>
      <c r="D18043"/>
      <c r="E18043"/>
      <c r="N18043" s="56"/>
    </row>
    <row r="18044" spans="1:14" x14ac:dyDescent="0.3">
      <c r="A18044" s="42"/>
      <c r="C18044" s="52"/>
      <c r="D18044"/>
      <c r="E18044"/>
      <c r="N18044" s="56"/>
    </row>
    <row r="18045" spans="1:14" x14ac:dyDescent="0.3">
      <c r="A18045" s="42"/>
      <c r="C18045" s="52"/>
      <c r="D18045"/>
      <c r="E18045"/>
      <c r="N18045" s="56"/>
    </row>
    <row r="18046" spans="1:14" x14ac:dyDescent="0.3">
      <c r="A18046" s="42"/>
      <c r="C18046" s="52"/>
      <c r="D18046"/>
      <c r="E18046"/>
      <c r="N18046" s="56"/>
    </row>
    <row r="18047" spans="1:14" x14ac:dyDescent="0.3">
      <c r="A18047" s="42"/>
      <c r="C18047" s="52"/>
      <c r="D18047"/>
      <c r="E18047"/>
      <c r="N18047" s="56"/>
    </row>
    <row r="18048" spans="1:14" x14ac:dyDescent="0.3">
      <c r="A18048" s="42"/>
      <c r="C18048" s="52"/>
      <c r="D18048"/>
      <c r="E18048"/>
      <c r="N18048" s="56"/>
    </row>
    <row r="18049" spans="1:14" x14ac:dyDescent="0.3">
      <c r="A18049" s="42"/>
      <c r="C18049" s="52"/>
      <c r="D18049"/>
      <c r="E18049"/>
      <c r="N18049" s="56"/>
    </row>
    <row r="18050" spans="1:14" x14ac:dyDescent="0.3">
      <c r="A18050" s="42"/>
      <c r="C18050" s="52"/>
      <c r="D18050"/>
      <c r="E18050"/>
      <c r="N18050" s="56"/>
    </row>
    <row r="18051" spans="1:14" x14ac:dyDescent="0.3">
      <c r="A18051" s="42"/>
      <c r="C18051" s="52"/>
      <c r="D18051"/>
      <c r="E18051"/>
      <c r="N18051" s="56"/>
    </row>
    <row r="18052" spans="1:14" x14ac:dyDescent="0.3">
      <c r="A18052" s="42"/>
      <c r="C18052" s="52"/>
      <c r="D18052"/>
      <c r="E18052"/>
      <c r="N18052" s="56"/>
    </row>
    <row r="18053" spans="1:14" x14ac:dyDescent="0.3">
      <c r="A18053" s="42"/>
      <c r="C18053" s="52"/>
      <c r="D18053"/>
      <c r="E18053"/>
      <c r="N18053" s="56"/>
    </row>
    <row r="18054" spans="1:14" x14ac:dyDescent="0.3">
      <c r="A18054" s="42"/>
      <c r="C18054" s="52"/>
      <c r="D18054"/>
      <c r="E18054"/>
      <c r="N18054" s="56"/>
    </row>
    <row r="18055" spans="1:14" x14ac:dyDescent="0.3">
      <c r="A18055" s="42"/>
      <c r="C18055" s="52"/>
      <c r="D18055"/>
      <c r="E18055"/>
      <c r="N18055" s="56"/>
    </row>
    <row r="18056" spans="1:14" x14ac:dyDescent="0.3">
      <c r="A18056" s="42"/>
      <c r="C18056" s="52"/>
      <c r="D18056"/>
      <c r="E18056"/>
      <c r="N18056" s="56"/>
    </row>
    <row r="18057" spans="1:14" x14ac:dyDescent="0.3">
      <c r="A18057" s="42"/>
      <c r="C18057" s="52"/>
      <c r="D18057"/>
      <c r="E18057"/>
      <c r="N18057" s="56"/>
    </row>
    <row r="18058" spans="1:14" x14ac:dyDescent="0.3">
      <c r="A18058" s="42"/>
      <c r="C18058" s="52"/>
      <c r="D18058"/>
      <c r="E18058"/>
      <c r="N18058" s="56"/>
    </row>
    <row r="18059" spans="1:14" x14ac:dyDescent="0.3">
      <c r="A18059" s="42"/>
      <c r="C18059" s="52"/>
      <c r="D18059"/>
      <c r="E18059"/>
      <c r="N18059" s="56"/>
    </row>
    <row r="18060" spans="1:14" x14ac:dyDescent="0.3">
      <c r="A18060" s="42"/>
      <c r="C18060" s="52"/>
      <c r="D18060"/>
      <c r="E18060"/>
      <c r="N18060" s="56"/>
    </row>
    <row r="18061" spans="1:14" x14ac:dyDescent="0.3">
      <c r="A18061" s="42"/>
      <c r="C18061" s="52"/>
      <c r="D18061"/>
      <c r="E18061"/>
      <c r="N18061" s="56"/>
    </row>
    <row r="18062" spans="1:14" x14ac:dyDescent="0.3">
      <c r="A18062" s="42"/>
      <c r="C18062" s="52"/>
      <c r="D18062"/>
      <c r="E18062"/>
      <c r="N18062" s="56"/>
    </row>
    <row r="18063" spans="1:14" x14ac:dyDescent="0.3">
      <c r="A18063" s="42"/>
      <c r="C18063" s="52"/>
      <c r="D18063"/>
      <c r="E18063"/>
      <c r="N18063" s="56"/>
    </row>
    <row r="18064" spans="1:14" x14ac:dyDescent="0.3">
      <c r="A18064" s="42"/>
      <c r="C18064" s="52"/>
      <c r="D18064"/>
      <c r="E18064"/>
      <c r="N18064" s="56"/>
    </row>
    <row r="18065" spans="1:14" x14ac:dyDescent="0.3">
      <c r="A18065" s="42"/>
      <c r="C18065" s="52"/>
      <c r="D18065"/>
      <c r="E18065"/>
      <c r="N18065" s="56"/>
    </row>
    <row r="18066" spans="1:14" x14ac:dyDescent="0.3">
      <c r="A18066" s="42"/>
      <c r="C18066" s="52"/>
      <c r="D18066"/>
      <c r="E18066"/>
      <c r="N18066" s="56"/>
    </row>
    <row r="18067" spans="1:14" x14ac:dyDescent="0.3">
      <c r="A18067" s="42"/>
      <c r="C18067" s="52"/>
      <c r="D18067"/>
      <c r="E18067"/>
      <c r="N18067" s="56"/>
    </row>
    <row r="18068" spans="1:14" x14ac:dyDescent="0.3">
      <c r="A18068" s="42"/>
      <c r="C18068" s="52"/>
      <c r="D18068"/>
      <c r="E18068"/>
      <c r="N18068" s="56"/>
    </row>
    <row r="18069" spans="1:14" x14ac:dyDescent="0.3">
      <c r="A18069" s="42"/>
      <c r="C18069" s="52"/>
      <c r="D18069"/>
      <c r="E18069"/>
      <c r="N18069" s="56"/>
    </row>
    <row r="18070" spans="1:14" x14ac:dyDescent="0.3">
      <c r="A18070" s="42"/>
      <c r="C18070" s="52"/>
      <c r="D18070"/>
      <c r="E18070"/>
      <c r="N18070" s="56"/>
    </row>
    <row r="18071" spans="1:14" x14ac:dyDescent="0.3">
      <c r="A18071" s="42"/>
      <c r="C18071" s="52"/>
      <c r="D18071"/>
      <c r="E18071"/>
      <c r="N18071" s="56"/>
    </row>
    <row r="18072" spans="1:14" x14ac:dyDescent="0.3">
      <c r="A18072" s="42"/>
      <c r="C18072" s="52"/>
      <c r="D18072"/>
      <c r="E18072"/>
      <c r="N18072" s="56"/>
    </row>
    <row r="18073" spans="1:14" x14ac:dyDescent="0.3">
      <c r="A18073" s="42"/>
      <c r="C18073" s="52"/>
      <c r="D18073"/>
      <c r="E18073"/>
      <c r="N18073" s="56"/>
    </row>
    <row r="18074" spans="1:14" x14ac:dyDescent="0.3">
      <c r="A18074" s="42"/>
      <c r="C18074" s="52"/>
      <c r="D18074"/>
      <c r="E18074"/>
      <c r="N18074" s="56"/>
    </row>
    <row r="18075" spans="1:14" x14ac:dyDescent="0.3">
      <c r="A18075" s="42"/>
      <c r="C18075" s="52"/>
      <c r="D18075"/>
      <c r="E18075"/>
      <c r="N18075" s="56"/>
    </row>
    <row r="18076" spans="1:14" x14ac:dyDescent="0.3">
      <c r="A18076" s="42"/>
      <c r="C18076" s="52"/>
      <c r="D18076"/>
      <c r="E18076"/>
      <c r="N18076" s="56"/>
    </row>
    <row r="18077" spans="1:14" x14ac:dyDescent="0.3">
      <c r="A18077" s="42"/>
      <c r="C18077" s="52"/>
      <c r="D18077"/>
      <c r="E18077"/>
      <c r="N18077" s="56"/>
    </row>
    <row r="18078" spans="1:14" x14ac:dyDescent="0.3">
      <c r="A18078" s="42"/>
      <c r="C18078" s="52"/>
      <c r="D18078"/>
      <c r="E18078"/>
      <c r="N18078" s="56"/>
    </row>
    <row r="18079" spans="1:14" x14ac:dyDescent="0.3">
      <c r="A18079" s="42"/>
      <c r="C18079" s="52"/>
      <c r="D18079"/>
      <c r="E18079"/>
      <c r="N18079" s="56"/>
    </row>
    <row r="18080" spans="1:14" x14ac:dyDescent="0.3">
      <c r="A18080" s="42"/>
      <c r="C18080" s="52"/>
      <c r="D18080"/>
      <c r="E18080"/>
      <c r="N18080" s="56"/>
    </row>
    <row r="18081" spans="1:14" x14ac:dyDescent="0.3">
      <c r="A18081" s="42"/>
      <c r="C18081" s="52"/>
      <c r="D18081"/>
      <c r="E18081"/>
      <c r="N18081" s="56"/>
    </row>
    <row r="18082" spans="1:14" x14ac:dyDescent="0.3">
      <c r="A18082" s="42"/>
      <c r="C18082" s="52"/>
      <c r="D18082"/>
      <c r="E18082"/>
      <c r="N18082" s="56"/>
    </row>
    <row r="18083" spans="1:14" x14ac:dyDescent="0.3">
      <c r="A18083" s="42"/>
      <c r="C18083" s="52"/>
      <c r="D18083"/>
      <c r="E18083"/>
      <c r="N18083" s="56"/>
    </row>
    <row r="18084" spans="1:14" x14ac:dyDescent="0.3">
      <c r="A18084" s="42"/>
      <c r="C18084" s="52"/>
      <c r="D18084"/>
      <c r="E18084"/>
      <c r="N18084" s="56"/>
    </row>
    <row r="18085" spans="1:14" x14ac:dyDescent="0.3">
      <c r="A18085" s="42"/>
      <c r="C18085" s="52"/>
      <c r="D18085"/>
      <c r="E18085"/>
      <c r="N18085" s="56"/>
    </row>
    <row r="18086" spans="1:14" x14ac:dyDescent="0.3">
      <c r="A18086" s="42"/>
      <c r="C18086" s="52"/>
      <c r="D18086"/>
      <c r="E18086"/>
      <c r="N18086" s="56"/>
    </row>
    <row r="18087" spans="1:14" x14ac:dyDescent="0.3">
      <c r="A18087" s="42"/>
      <c r="C18087" s="52"/>
      <c r="D18087"/>
      <c r="E18087"/>
      <c r="N18087" s="56"/>
    </row>
    <row r="18088" spans="1:14" x14ac:dyDescent="0.3">
      <c r="A18088" s="42"/>
      <c r="C18088" s="52"/>
      <c r="D18088"/>
      <c r="E18088"/>
      <c r="N18088" s="56"/>
    </row>
    <row r="18089" spans="1:14" x14ac:dyDescent="0.3">
      <c r="A18089" s="42"/>
      <c r="C18089" s="52"/>
      <c r="D18089"/>
      <c r="E18089"/>
      <c r="N18089" s="56"/>
    </row>
    <row r="18090" spans="1:14" x14ac:dyDescent="0.3">
      <c r="A18090" s="42"/>
      <c r="C18090" s="52"/>
      <c r="D18090"/>
      <c r="E18090"/>
      <c r="N18090" s="56"/>
    </row>
    <row r="18091" spans="1:14" x14ac:dyDescent="0.3">
      <c r="A18091" s="42"/>
      <c r="C18091" s="52"/>
      <c r="D18091"/>
      <c r="E18091"/>
      <c r="N18091" s="56"/>
    </row>
    <row r="18092" spans="1:14" x14ac:dyDescent="0.3">
      <c r="A18092" s="42"/>
      <c r="C18092" s="52"/>
      <c r="D18092"/>
      <c r="E18092"/>
      <c r="N18092" s="56"/>
    </row>
    <row r="18093" spans="1:14" x14ac:dyDescent="0.3">
      <c r="A18093" s="42"/>
      <c r="C18093" s="52"/>
      <c r="D18093"/>
      <c r="E18093"/>
      <c r="N18093" s="56"/>
    </row>
    <row r="18094" spans="1:14" x14ac:dyDescent="0.3">
      <c r="A18094" s="42"/>
      <c r="C18094" s="52"/>
      <c r="D18094"/>
      <c r="E18094"/>
      <c r="N18094" s="56"/>
    </row>
    <row r="18095" spans="1:14" x14ac:dyDescent="0.3">
      <c r="A18095" s="42"/>
      <c r="C18095" s="52"/>
      <c r="D18095"/>
      <c r="E18095"/>
      <c r="N18095" s="56"/>
    </row>
    <row r="18096" spans="1:14" x14ac:dyDescent="0.3">
      <c r="A18096" s="42"/>
      <c r="C18096" s="52"/>
      <c r="D18096"/>
      <c r="E18096"/>
      <c r="N18096" s="56"/>
    </row>
    <row r="18097" spans="1:14" x14ac:dyDescent="0.3">
      <c r="A18097" s="42"/>
      <c r="C18097" s="52"/>
      <c r="D18097"/>
      <c r="E18097"/>
      <c r="N18097" s="56"/>
    </row>
    <row r="18098" spans="1:14" x14ac:dyDescent="0.3">
      <c r="A18098" s="42"/>
      <c r="C18098" s="52"/>
      <c r="D18098"/>
      <c r="E18098"/>
      <c r="N18098" s="56"/>
    </row>
    <row r="18099" spans="1:14" x14ac:dyDescent="0.3">
      <c r="A18099" s="42"/>
      <c r="C18099" s="52"/>
      <c r="D18099"/>
      <c r="E18099"/>
      <c r="N18099" s="56"/>
    </row>
    <row r="18100" spans="1:14" x14ac:dyDescent="0.3">
      <c r="A18100" s="42"/>
      <c r="C18100" s="52"/>
      <c r="D18100"/>
      <c r="E18100"/>
      <c r="N18100" s="56"/>
    </row>
    <row r="18101" spans="1:14" x14ac:dyDescent="0.3">
      <c r="A18101" s="42"/>
      <c r="C18101" s="52"/>
      <c r="D18101"/>
      <c r="E18101"/>
      <c r="N18101" s="56"/>
    </row>
    <row r="18102" spans="1:14" x14ac:dyDescent="0.3">
      <c r="A18102" s="42"/>
      <c r="C18102" s="52"/>
      <c r="D18102"/>
      <c r="E18102"/>
      <c r="N18102" s="56"/>
    </row>
    <row r="18103" spans="1:14" x14ac:dyDescent="0.3">
      <c r="A18103" s="42"/>
      <c r="C18103" s="52"/>
      <c r="D18103"/>
      <c r="E18103"/>
      <c r="N18103" s="56"/>
    </row>
    <row r="18104" spans="1:14" x14ac:dyDescent="0.3">
      <c r="A18104" s="42"/>
      <c r="C18104" s="52"/>
      <c r="D18104"/>
      <c r="E18104"/>
      <c r="N18104" s="56"/>
    </row>
    <row r="18105" spans="1:14" x14ac:dyDescent="0.3">
      <c r="A18105" s="42"/>
      <c r="C18105" s="52"/>
      <c r="D18105"/>
      <c r="E18105"/>
      <c r="N18105" s="56"/>
    </row>
    <row r="18106" spans="1:14" x14ac:dyDescent="0.3">
      <c r="A18106" s="42"/>
      <c r="C18106" s="52"/>
      <c r="D18106"/>
      <c r="E18106"/>
      <c r="N18106" s="56"/>
    </row>
    <row r="18107" spans="1:14" x14ac:dyDescent="0.3">
      <c r="A18107" s="42"/>
      <c r="C18107" s="52"/>
      <c r="D18107"/>
      <c r="E18107"/>
      <c r="N18107" s="56"/>
    </row>
    <row r="18108" spans="1:14" x14ac:dyDescent="0.3">
      <c r="A18108" s="42"/>
      <c r="C18108" s="52"/>
      <c r="D18108"/>
      <c r="E18108"/>
      <c r="N18108" s="56"/>
    </row>
    <row r="18109" spans="1:14" x14ac:dyDescent="0.3">
      <c r="A18109" s="42"/>
      <c r="C18109" s="52"/>
      <c r="D18109"/>
      <c r="E18109"/>
      <c r="N18109" s="56"/>
    </row>
    <row r="18110" spans="1:14" x14ac:dyDescent="0.3">
      <c r="A18110" s="42"/>
      <c r="C18110" s="52"/>
      <c r="D18110"/>
      <c r="E18110"/>
      <c r="N18110" s="56"/>
    </row>
    <row r="18111" spans="1:14" x14ac:dyDescent="0.3">
      <c r="A18111" s="42"/>
      <c r="C18111" s="52"/>
      <c r="D18111"/>
      <c r="E18111"/>
      <c r="N18111" s="56"/>
    </row>
    <row r="18112" spans="1:14" x14ac:dyDescent="0.3">
      <c r="A18112" s="42"/>
      <c r="C18112" s="52"/>
      <c r="D18112"/>
      <c r="E18112"/>
      <c r="N18112" s="56"/>
    </row>
    <row r="18113" spans="1:14" x14ac:dyDescent="0.3">
      <c r="A18113" s="42"/>
      <c r="C18113" s="52"/>
      <c r="D18113"/>
      <c r="E18113"/>
      <c r="N18113" s="56"/>
    </row>
    <row r="18114" spans="1:14" x14ac:dyDescent="0.3">
      <c r="A18114" s="42"/>
      <c r="C18114" s="52"/>
      <c r="D18114"/>
      <c r="E18114"/>
      <c r="N18114" s="56"/>
    </row>
    <row r="18115" spans="1:14" x14ac:dyDescent="0.3">
      <c r="A18115" s="42"/>
      <c r="C18115" s="52"/>
      <c r="D18115"/>
      <c r="E18115"/>
      <c r="N18115" s="56"/>
    </row>
    <row r="18116" spans="1:14" x14ac:dyDescent="0.3">
      <c r="A18116" s="42"/>
      <c r="C18116" s="52"/>
      <c r="D18116"/>
      <c r="E18116"/>
      <c r="N18116" s="56"/>
    </row>
    <row r="18117" spans="1:14" x14ac:dyDescent="0.3">
      <c r="A18117" s="42"/>
      <c r="C18117" s="52"/>
      <c r="D18117"/>
      <c r="E18117"/>
      <c r="N18117" s="56"/>
    </row>
    <row r="18118" spans="1:14" x14ac:dyDescent="0.3">
      <c r="A18118" s="42"/>
      <c r="C18118" s="52"/>
      <c r="D18118"/>
      <c r="E18118"/>
      <c r="N18118" s="56"/>
    </row>
    <row r="18119" spans="1:14" x14ac:dyDescent="0.3">
      <c r="A18119" s="42"/>
      <c r="C18119" s="52"/>
      <c r="D18119"/>
      <c r="E18119"/>
      <c r="N18119" s="56"/>
    </row>
    <row r="18120" spans="1:14" x14ac:dyDescent="0.3">
      <c r="A18120" s="42"/>
      <c r="C18120" s="52"/>
      <c r="D18120"/>
      <c r="E18120"/>
      <c r="N18120" s="56"/>
    </row>
    <row r="18121" spans="1:14" x14ac:dyDescent="0.3">
      <c r="A18121" s="42"/>
      <c r="C18121" s="52"/>
      <c r="D18121"/>
      <c r="E18121"/>
      <c r="N18121" s="56"/>
    </row>
    <row r="18122" spans="1:14" x14ac:dyDescent="0.3">
      <c r="A18122" s="42"/>
      <c r="C18122" s="52"/>
      <c r="D18122"/>
      <c r="E18122"/>
      <c r="N18122" s="56"/>
    </row>
    <row r="18123" spans="1:14" x14ac:dyDescent="0.3">
      <c r="A18123" s="42"/>
      <c r="C18123" s="52"/>
      <c r="D18123"/>
      <c r="E18123"/>
      <c r="N18123" s="56"/>
    </row>
    <row r="18124" spans="1:14" x14ac:dyDescent="0.3">
      <c r="A18124" s="42"/>
      <c r="C18124" s="52"/>
      <c r="D18124"/>
      <c r="E18124"/>
      <c r="N18124" s="56"/>
    </row>
    <row r="18125" spans="1:14" x14ac:dyDescent="0.3">
      <c r="A18125" s="42"/>
      <c r="C18125" s="52"/>
      <c r="D18125"/>
      <c r="E18125"/>
      <c r="N18125" s="56"/>
    </row>
    <row r="18126" spans="1:14" x14ac:dyDescent="0.3">
      <c r="A18126" s="42"/>
      <c r="C18126" s="52"/>
      <c r="D18126"/>
      <c r="E18126"/>
      <c r="N18126" s="56"/>
    </row>
    <row r="18127" spans="1:14" x14ac:dyDescent="0.3">
      <c r="A18127" s="42"/>
      <c r="C18127" s="52"/>
      <c r="D18127"/>
      <c r="E18127"/>
      <c r="N18127" s="56"/>
    </row>
    <row r="18128" spans="1:14" x14ac:dyDescent="0.3">
      <c r="A18128" s="42"/>
      <c r="C18128" s="52"/>
      <c r="D18128"/>
      <c r="E18128"/>
      <c r="N18128" s="56"/>
    </row>
    <row r="18129" spans="1:14" x14ac:dyDescent="0.3">
      <c r="A18129" s="42"/>
      <c r="C18129" s="52"/>
      <c r="D18129"/>
      <c r="E18129"/>
      <c r="N18129" s="56"/>
    </row>
    <row r="18130" spans="1:14" x14ac:dyDescent="0.3">
      <c r="A18130" s="42"/>
      <c r="C18130" s="52"/>
      <c r="D18130"/>
      <c r="E18130"/>
      <c r="N18130" s="56"/>
    </row>
    <row r="18131" spans="1:14" x14ac:dyDescent="0.3">
      <c r="A18131" s="42"/>
      <c r="C18131" s="52"/>
      <c r="D18131"/>
      <c r="E18131"/>
      <c r="N18131" s="56"/>
    </row>
    <row r="18132" spans="1:14" x14ac:dyDescent="0.3">
      <c r="A18132" s="42"/>
      <c r="C18132" s="52"/>
      <c r="D18132"/>
      <c r="E18132"/>
      <c r="N18132" s="56"/>
    </row>
    <row r="18133" spans="1:14" x14ac:dyDescent="0.3">
      <c r="A18133" s="42"/>
      <c r="C18133" s="52"/>
      <c r="D18133"/>
      <c r="E18133"/>
      <c r="N18133" s="56"/>
    </row>
    <row r="18134" spans="1:14" x14ac:dyDescent="0.3">
      <c r="A18134" s="42"/>
      <c r="C18134" s="52"/>
      <c r="D18134"/>
      <c r="E18134"/>
      <c r="N18134" s="56"/>
    </row>
    <row r="18135" spans="1:14" x14ac:dyDescent="0.3">
      <c r="A18135" s="42"/>
      <c r="C18135" s="52"/>
      <c r="D18135"/>
      <c r="E18135"/>
      <c r="N18135" s="56"/>
    </row>
    <row r="18136" spans="1:14" x14ac:dyDescent="0.3">
      <c r="A18136" s="42"/>
      <c r="C18136" s="52"/>
      <c r="D18136"/>
      <c r="E18136"/>
      <c r="N18136" s="56"/>
    </row>
    <row r="18137" spans="1:14" x14ac:dyDescent="0.3">
      <c r="A18137" s="42"/>
      <c r="C18137" s="52"/>
      <c r="D18137"/>
      <c r="E18137"/>
      <c r="N18137" s="56"/>
    </row>
    <row r="18138" spans="1:14" x14ac:dyDescent="0.3">
      <c r="A18138" s="42"/>
      <c r="C18138" s="52"/>
      <c r="D18138"/>
      <c r="E18138"/>
      <c r="N18138" s="56"/>
    </row>
    <row r="18139" spans="1:14" x14ac:dyDescent="0.3">
      <c r="A18139" s="42"/>
      <c r="C18139" s="52"/>
      <c r="D18139"/>
      <c r="E18139"/>
      <c r="N18139" s="56"/>
    </row>
    <row r="18140" spans="1:14" x14ac:dyDescent="0.3">
      <c r="A18140" s="42"/>
      <c r="C18140" s="52"/>
      <c r="D18140"/>
      <c r="E18140"/>
      <c r="N18140" s="56"/>
    </row>
    <row r="18141" spans="1:14" x14ac:dyDescent="0.3">
      <c r="A18141" s="42"/>
      <c r="C18141" s="52"/>
      <c r="D18141"/>
      <c r="E18141"/>
      <c r="N18141" s="56"/>
    </row>
    <row r="18142" spans="1:14" x14ac:dyDescent="0.3">
      <c r="A18142" s="42"/>
      <c r="C18142" s="52"/>
      <c r="D18142"/>
      <c r="E18142"/>
      <c r="N18142" s="56"/>
    </row>
    <row r="18143" spans="1:14" x14ac:dyDescent="0.3">
      <c r="A18143" s="42"/>
      <c r="C18143" s="52"/>
      <c r="D18143"/>
      <c r="E18143"/>
      <c r="N18143" s="56"/>
    </row>
    <row r="18144" spans="1:14" x14ac:dyDescent="0.3">
      <c r="A18144" s="42"/>
      <c r="C18144" s="52"/>
      <c r="D18144"/>
      <c r="E18144"/>
      <c r="N18144" s="56"/>
    </row>
    <row r="18145" spans="1:14" x14ac:dyDescent="0.3">
      <c r="A18145" s="42"/>
      <c r="C18145" s="52"/>
      <c r="D18145"/>
      <c r="E18145"/>
      <c r="N18145" s="56"/>
    </row>
    <row r="18146" spans="1:14" x14ac:dyDescent="0.3">
      <c r="A18146" s="42"/>
      <c r="C18146" s="52"/>
      <c r="D18146"/>
      <c r="E18146"/>
      <c r="N18146" s="56"/>
    </row>
    <row r="18147" spans="1:14" x14ac:dyDescent="0.3">
      <c r="A18147" s="42"/>
      <c r="C18147" s="52"/>
      <c r="D18147"/>
      <c r="E18147"/>
      <c r="N18147" s="56"/>
    </row>
    <row r="18148" spans="1:14" x14ac:dyDescent="0.3">
      <c r="A18148" s="42"/>
      <c r="C18148" s="52"/>
      <c r="D18148"/>
      <c r="E18148"/>
      <c r="N18148" s="56"/>
    </row>
    <row r="18149" spans="1:14" x14ac:dyDescent="0.3">
      <c r="A18149" s="42"/>
      <c r="C18149" s="52"/>
      <c r="D18149"/>
      <c r="E18149"/>
      <c r="N18149" s="56"/>
    </row>
    <row r="18150" spans="1:14" x14ac:dyDescent="0.3">
      <c r="A18150" s="42"/>
      <c r="C18150" s="52"/>
      <c r="D18150"/>
      <c r="E18150"/>
      <c r="N18150" s="56"/>
    </row>
    <row r="18151" spans="1:14" x14ac:dyDescent="0.3">
      <c r="A18151" s="42"/>
      <c r="C18151" s="52"/>
      <c r="D18151"/>
      <c r="E18151"/>
      <c r="N18151" s="56"/>
    </row>
    <row r="18152" spans="1:14" x14ac:dyDescent="0.3">
      <c r="A18152" s="42"/>
      <c r="C18152" s="52"/>
      <c r="D18152"/>
      <c r="E18152"/>
      <c r="N18152" s="56"/>
    </row>
    <row r="18153" spans="1:14" x14ac:dyDescent="0.3">
      <c r="A18153" s="42"/>
      <c r="C18153" s="52"/>
      <c r="D18153"/>
      <c r="E18153"/>
      <c r="N18153" s="56"/>
    </row>
    <row r="18154" spans="1:14" x14ac:dyDescent="0.3">
      <c r="A18154" s="42"/>
      <c r="C18154" s="52"/>
      <c r="D18154"/>
      <c r="E18154"/>
      <c r="N18154" s="56"/>
    </row>
    <row r="18155" spans="1:14" x14ac:dyDescent="0.3">
      <c r="A18155" s="42"/>
      <c r="C18155" s="52"/>
      <c r="D18155"/>
      <c r="E18155"/>
      <c r="N18155" s="56"/>
    </row>
    <row r="18156" spans="1:14" x14ac:dyDescent="0.3">
      <c r="A18156" s="42"/>
      <c r="C18156" s="52"/>
      <c r="D18156"/>
      <c r="E18156"/>
      <c r="N18156" s="56"/>
    </row>
    <row r="18157" spans="1:14" x14ac:dyDescent="0.3">
      <c r="A18157" s="42"/>
      <c r="C18157" s="52"/>
      <c r="D18157"/>
      <c r="E18157"/>
      <c r="N18157" s="56"/>
    </row>
    <row r="18158" spans="1:14" x14ac:dyDescent="0.3">
      <c r="A18158" s="42"/>
      <c r="C18158" s="52"/>
      <c r="D18158"/>
      <c r="E18158"/>
      <c r="N18158" s="56"/>
    </row>
    <row r="18159" spans="1:14" x14ac:dyDescent="0.3">
      <c r="A18159" s="42"/>
      <c r="C18159" s="52"/>
      <c r="D18159"/>
      <c r="E18159"/>
      <c r="N18159" s="56"/>
    </row>
    <row r="18160" spans="1:14" x14ac:dyDescent="0.3">
      <c r="A18160" s="42"/>
      <c r="C18160" s="52"/>
      <c r="D18160"/>
      <c r="E18160"/>
      <c r="N18160" s="56"/>
    </row>
    <row r="18161" spans="1:14" x14ac:dyDescent="0.3">
      <c r="A18161" s="42"/>
      <c r="C18161" s="52"/>
      <c r="D18161"/>
      <c r="E18161"/>
      <c r="N18161" s="56"/>
    </row>
    <row r="18162" spans="1:14" x14ac:dyDescent="0.3">
      <c r="A18162" s="42"/>
      <c r="C18162" s="52"/>
      <c r="D18162"/>
      <c r="E18162"/>
      <c r="N18162" s="56"/>
    </row>
    <row r="18163" spans="1:14" x14ac:dyDescent="0.3">
      <c r="A18163" s="42"/>
      <c r="C18163" s="52"/>
      <c r="D18163"/>
      <c r="E18163"/>
      <c r="N18163" s="56"/>
    </row>
    <row r="18164" spans="1:14" x14ac:dyDescent="0.3">
      <c r="A18164" s="42"/>
      <c r="C18164" s="52"/>
      <c r="D18164"/>
      <c r="E18164"/>
      <c r="N18164" s="56"/>
    </row>
    <row r="18165" spans="1:14" x14ac:dyDescent="0.3">
      <c r="A18165" s="42"/>
      <c r="C18165" s="52"/>
      <c r="D18165"/>
      <c r="E18165"/>
      <c r="N18165" s="56"/>
    </row>
    <row r="18166" spans="1:14" x14ac:dyDescent="0.3">
      <c r="A18166" s="42"/>
      <c r="C18166" s="52"/>
      <c r="D18166"/>
      <c r="E18166"/>
      <c r="N18166" s="56"/>
    </row>
    <row r="18167" spans="1:14" x14ac:dyDescent="0.3">
      <c r="A18167" s="42"/>
      <c r="C18167" s="52"/>
      <c r="D18167"/>
      <c r="E18167"/>
      <c r="N18167" s="56"/>
    </row>
    <row r="18168" spans="1:14" x14ac:dyDescent="0.3">
      <c r="A18168" s="42"/>
      <c r="C18168" s="52"/>
      <c r="D18168"/>
      <c r="E18168"/>
      <c r="N18168" s="56"/>
    </row>
    <row r="18169" spans="1:14" x14ac:dyDescent="0.3">
      <c r="A18169" s="42"/>
      <c r="C18169" s="52"/>
      <c r="D18169"/>
      <c r="E18169"/>
      <c r="N18169" s="56"/>
    </row>
    <row r="18170" spans="1:14" x14ac:dyDescent="0.3">
      <c r="A18170" s="42"/>
      <c r="C18170" s="52"/>
      <c r="D18170"/>
      <c r="E18170"/>
      <c r="N18170" s="56"/>
    </row>
    <row r="18171" spans="1:14" x14ac:dyDescent="0.3">
      <c r="A18171" s="42"/>
      <c r="C18171" s="52"/>
      <c r="D18171"/>
      <c r="E18171"/>
      <c r="N18171" s="56"/>
    </row>
    <row r="18172" spans="1:14" x14ac:dyDescent="0.3">
      <c r="A18172" s="42"/>
      <c r="C18172" s="52"/>
      <c r="D18172"/>
      <c r="E18172"/>
      <c r="N18172" s="56"/>
    </row>
    <row r="18173" spans="1:14" x14ac:dyDescent="0.3">
      <c r="A18173" s="42"/>
      <c r="C18173" s="52"/>
      <c r="D18173"/>
      <c r="E18173"/>
      <c r="N18173" s="56"/>
    </row>
    <row r="18174" spans="1:14" x14ac:dyDescent="0.3">
      <c r="A18174" s="42"/>
      <c r="C18174" s="52"/>
      <c r="D18174"/>
      <c r="E18174"/>
      <c r="N18174" s="56"/>
    </row>
    <row r="18175" spans="1:14" x14ac:dyDescent="0.3">
      <c r="A18175" s="42"/>
      <c r="C18175" s="52"/>
      <c r="D18175"/>
      <c r="E18175"/>
      <c r="N18175" s="56"/>
    </row>
    <row r="18176" spans="1:14" x14ac:dyDescent="0.3">
      <c r="A18176" s="42"/>
      <c r="C18176" s="52"/>
      <c r="D18176"/>
      <c r="E18176"/>
      <c r="N18176" s="56"/>
    </row>
    <row r="18177" spans="1:14" x14ac:dyDescent="0.3">
      <c r="A18177" s="42"/>
      <c r="C18177" s="52"/>
      <c r="D18177"/>
      <c r="E18177"/>
      <c r="N18177" s="56"/>
    </row>
    <row r="18178" spans="1:14" x14ac:dyDescent="0.3">
      <c r="A18178" s="42"/>
      <c r="C18178" s="52"/>
      <c r="D18178"/>
      <c r="E18178"/>
      <c r="N18178" s="56"/>
    </row>
    <row r="18179" spans="1:14" x14ac:dyDescent="0.3">
      <c r="A18179" s="42"/>
      <c r="C18179" s="52"/>
      <c r="D18179"/>
      <c r="E18179"/>
      <c r="N18179" s="56"/>
    </row>
    <row r="18180" spans="1:14" x14ac:dyDescent="0.3">
      <c r="A18180" s="42"/>
      <c r="C18180" s="52"/>
      <c r="D18180"/>
      <c r="E18180"/>
      <c r="N18180" s="56"/>
    </row>
    <row r="18181" spans="1:14" x14ac:dyDescent="0.3">
      <c r="A18181" s="42"/>
      <c r="C18181" s="52"/>
      <c r="D18181"/>
      <c r="E18181"/>
      <c r="N18181" s="56"/>
    </row>
    <row r="18182" spans="1:14" x14ac:dyDescent="0.3">
      <c r="A18182" s="42"/>
      <c r="C18182" s="52"/>
      <c r="D18182"/>
      <c r="E18182"/>
      <c r="N18182" s="56"/>
    </row>
    <row r="18183" spans="1:14" x14ac:dyDescent="0.3">
      <c r="A18183" s="42"/>
      <c r="C18183" s="52"/>
      <c r="D18183"/>
      <c r="E18183"/>
      <c r="N18183" s="56"/>
    </row>
    <row r="18184" spans="1:14" x14ac:dyDescent="0.3">
      <c r="A18184" s="42"/>
      <c r="C18184" s="52"/>
      <c r="D18184"/>
      <c r="E18184"/>
      <c r="N18184" s="56"/>
    </row>
    <row r="18185" spans="1:14" x14ac:dyDescent="0.3">
      <c r="A18185" s="42"/>
      <c r="C18185" s="52"/>
      <c r="D18185"/>
      <c r="E18185"/>
      <c r="N18185" s="56"/>
    </row>
    <row r="18186" spans="1:14" x14ac:dyDescent="0.3">
      <c r="A18186" s="42"/>
      <c r="C18186" s="52"/>
      <c r="D18186"/>
      <c r="E18186"/>
      <c r="N18186" s="56"/>
    </row>
    <row r="18187" spans="1:14" x14ac:dyDescent="0.3">
      <c r="A18187" s="42"/>
      <c r="C18187" s="52"/>
      <c r="D18187"/>
      <c r="E18187"/>
      <c r="N18187" s="56"/>
    </row>
    <row r="18188" spans="1:14" x14ac:dyDescent="0.3">
      <c r="A18188" s="42"/>
      <c r="C18188" s="52"/>
      <c r="D18188"/>
      <c r="E18188"/>
      <c r="N18188" s="56"/>
    </row>
    <row r="18189" spans="1:14" x14ac:dyDescent="0.3">
      <c r="A18189" s="42"/>
      <c r="C18189" s="52"/>
      <c r="D18189"/>
      <c r="E18189"/>
      <c r="N18189" s="56"/>
    </row>
    <row r="18190" spans="1:14" x14ac:dyDescent="0.3">
      <c r="A18190" s="42"/>
      <c r="C18190" s="52"/>
      <c r="D18190"/>
      <c r="E18190"/>
      <c r="N18190" s="56"/>
    </row>
    <row r="18191" spans="1:14" x14ac:dyDescent="0.3">
      <c r="A18191" s="42"/>
      <c r="C18191" s="52"/>
      <c r="D18191"/>
      <c r="E18191"/>
      <c r="N18191" s="56"/>
    </row>
    <row r="18192" spans="1:14" x14ac:dyDescent="0.3">
      <c r="A18192" s="42"/>
      <c r="C18192" s="52"/>
      <c r="D18192"/>
      <c r="E18192"/>
      <c r="N18192" s="56"/>
    </row>
    <row r="18193" spans="1:14" x14ac:dyDescent="0.3">
      <c r="A18193" s="42"/>
      <c r="C18193" s="52"/>
      <c r="D18193"/>
      <c r="E18193"/>
      <c r="N18193" s="56"/>
    </row>
    <row r="18194" spans="1:14" x14ac:dyDescent="0.3">
      <c r="A18194" s="42"/>
      <c r="C18194" s="52"/>
      <c r="D18194"/>
      <c r="E18194"/>
      <c r="N18194" s="56"/>
    </row>
    <row r="18195" spans="1:14" x14ac:dyDescent="0.3">
      <c r="A18195" s="42"/>
      <c r="C18195" s="52"/>
      <c r="D18195"/>
      <c r="E18195"/>
      <c r="N18195" s="56"/>
    </row>
    <row r="18196" spans="1:14" x14ac:dyDescent="0.3">
      <c r="A18196" s="42"/>
      <c r="C18196" s="52"/>
      <c r="D18196"/>
      <c r="E18196"/>
      <c r="N18196" s="56"/>
    </row>
    <row r="18197" spans="1:14" x14ac:dyDescent="0.3">
      <c r="A18197" s="42"/>
      <c r="C18197" s="52"/>
      <c r="D18197"/>
      <c r="E18197"/>
      <c r="N18197" s="56"/>
    </row>
    <row r="18198" spans="1:14" x14ac:dyDescent="0.3">
      <c r="A18198" s="42"/>
      <c r="C18198" s="52"/>
      <c r="D18198"/>
      <c r="E18198"/>
      <c r="N18198" s="56"/>
    </row>
    <row r="18199" spans="1:14" x14ac:dyDescent="0.3">
      <c r="A18199" s="42"/>
      <c r="C18199" s="52"/>
      <c r="D18199"/>
      <c r="E18199"/>
      <c r="N18199" s="56"/>
    </row>
    <row r="18200" spans="1:14" x14ac:dyDescent="0.3">
      <c r="A18200" s="42"/>
      <c r="C18200" s="52"/>
      <c r="D18200"/>
      <c r="E18200"/>
      <c r="N18200" s="56"/>
    </row>
    <row r="18201" spans="1:14" x14ac:dyDescent="0.3">
      <c r="A18201" s="42"/>
      <c r="C18201" s="52"/>
      <c r="D18201"/>
      <c r="E18201"/>
      <c r="N18201" s="56"/>
    </row>
    <row r="18202" spans="1:14" x14ac:dyDescent="0.3">
      <c r="A18202" s="42"/>
      <c r="C18202" s="52"/>
      <c r="D18202"/>
      <c r="E18202"/>
      <c r="N18202" s="56"/>
    </row>
    <row r="18203" spans="1:14" x14ac:dyDescent="0.3">
      <c r="A18203" s="42"/>
      <c r="C18203" s="52"/>
      <c r="D18203"/>
      <c r="E18203"/>
      <c r="N18203" s="56"/>
    </row>
    <row r="18204" spans="1:14" x14ac:dyDescent="0.3">
      <c r="A18204" s="42"/>
      <c r="C18204" s="52"/>
      <c r="D18204"/>
      <c r="E18204"/>
      <c r="N18204" s="56"/>
    </row>
    <row r="18205" spans="1:14" x14ac:dyDescent="0.3">
      <c r="A18205" s="42"/>
      <c r="C18205" s="52"/>
      <c r="D18205"/>
      <c r="E18205"/>
      <c r="N18205" s="56"/>
    </row>
    <row r="18206" spans="1:14" x14ac:dyDescent="0.3">
      <c r="A18206" s="42"/>
      <c r="C18206" s="52"/>
      <c r="D18206"/>
      <c r="E18206"/>
      <c r="N18206" s="56"/>
    </row>
    <row r="18207" spans="1:14" x14ac:dyDescent="0.3">
      <c r="A18207" s="42"/>
      <c r="C18207" s="52"/>
      <c r="D18207"/>
      <c r="E18207"/>
      <c r="N18207" s="56"/>
    </row>
    <row r="18208" spans="1:14" x14ac:dyDescent="0.3">
      <c r="A18208" s="42"/>
      <c r="C18208" s="52"/>
      <c r="D18208"/>
      <c r="E18208"/>
      <c r="N18208" s="56"/>
    </row>
    <row r="18209" spans="1:14" x14ac:dyDescent="0.3">
      <c r="A18209" s="42"/>
      <c r="C18209" s="52"/>
      <c r="D18209"/>
      <c r="E18209"/>
      <c r="N18209" s="56"/>
    </row>
    <row r="18210" spans="1:14" x14ac:dyDescent="0.3">
      <c r="A18210" s="42"/>
      <c r="C18210" s="52"/>
      <c r="D18210"/>
      <c r="E18210"/>
      <c r="N18210" s="56"/>
    </row>
    <row r="18211" spans="1:14" x14ac:dyDescent="0.3">
      <c r="A18211" s="42"/>
      <c r="C18211" s="52"/>
      <c r="D18211"/>
      <c r="E18211"/>
      <c r="N18211" s="56"/>
    </row>
    <row r="18212" spans="1:14" x14ac:dyDescent="0.3">
      <c r="A18212" s="42"/>
      <c r="C18212" s="52"/>
      <c r="D18212"/>
      <c r="E18212"/>
      <c r="N18212" s="56"/>
    </row>
    <row r="18213" spans="1:14" x14ac:dyDescent="0.3">
      <c r="A18213" s="42"/>
      <c r="C18213" s="52"/>
      <c r="D18213"/>
      <c r="E18213"/>
      <c r="N18213" s="56"/>
    </row>
    <row r="18214" spans="1:14" x14ac:dyDescent="0.3">
      <c r="A18214" s="42"/>
      <c r="C18214" s="52"/>
      <c r="D18214"/>
      <c r="E18214"/>
      <c r="N18214" s="56"/>
    </row>
    <row r="18215" spans="1:14" x14ac:dyDescent="0.3">
      <c r="A18215" s="42"/>
      <c r="C18215" s="52"/>
      <c r="D18215"/>
      <c r="E18215"/>
      <c r="N18215" s="56"/>
    </row>
    <row r="18216" spans="1:14" x14ac:dyDescent="0.3">
      <c r="A18216" s="42"/>
      <c r="C18216" s="52"/>
      <c r="D18216"/>
      <c r="E18216"/>
      <c r="N18216" s="56"/>
    </row>
    <row r="18217" spans="1:14" x14ac:dyDescent="0.3">
      <c r="A18217" s="42"/>
      <c r="C18217" s="52"/>
      <c r="D18217"/>
      <c r="E18217"/>
      <c r="N18217" s="56"/>
    </row>
    <row r="18218" spans="1:14" x14ac:dyDescent="0.3">
      <c r="A18218" s="42"/>
      <c r="C18218" s="52"/>
      <c r="D18218"/>
      <c r="E18218"/>
      <c r="N18218" s="56"/>
    </row>
    <row r="18219" spans="1:14" x14ac:dyDescent="0.3">
      <c r="A18219" s="42"/>
      <c r="C18219" s="52"/>
      <c r="D18219"/>
      <c r="E18219"/>
      <c r="N18219" s="56"/>
    </row>
    <row r="18220" spans="1:14" x14ac:dyDescent="0.3">
      <c r="A18220" s="42"/>
      <c r="C18220" s="52"/>
      <c r="D18220"/>
      <c r="E18220"/>
      <c r="N18220" s="56"/>
    </row>
    <row r="18221" spans="1:14" x14ac:dyDescent="0.3">
      <c r="A18221" s="42"/>
      <c r="C18221" s="52"/>
      <c r="D18221"/>
      <c r="E18221"/>
      <c r="N18221" s="56"/>
    </row>
    <row r="18222" spans="1:14" x14ac:dyDescent="0.3">
      <c r="A18222" s="42"/>
      <c r="C18222" s="52"/>
      <c r="D18222"/>
      <c r="E18222"/>
      <c r="N18222" s="56"/>
    </row>
    <row r="18223" spans="1:14" x14ac:dyDescent="0.3">
      <c r="A18223" s="42"/>
      <c r="C18223" s="52"/>
      <c r="D18223"/>
      <c r="E18223"/>
      <c r="N18223" s="56"/>
    </row>
    <row r="18224" spans="1:14" x14ac:dyDescent="0.3">
      <c r="A18224" s="42"/>
      <c r="C18224" s="52"/>
      <c r="D18224"/>
      <c r="E18224"/>
      <c r="N18224" s="56"/>
    </row>
    <row r="18225" spans="1:14" x14ac:dyDescent="0.3">
      <c r="A18225" s="42"/>
      <c r="C18225" s="52"/>
      <c r="D18225"/>
      <c r="E18225"/>
      <c r="N18225" s="56"/>
    </row>
    <row r="18226" spans="1:14" x14ac:dyDescent="0.3">
      <c r="A18226" s="42"/>
      <c r="C18226" s="52"/>
      <c r="D18226"/>
      <c r="E18226"/>
      <c r="N18226" s="56"/>
    </row>
    <row r="18227" spans="1:14" x14ac:dyDescent="0.3">
      <c r="A18227" s="42"/>
      <c r="C18227" s="52"/>
      <c r="D18227"/>
      <c r="E18227"/>
      <c r="N18227" s="56"/>
    </row>
    <row r="18228" spans="1:14" x14ac:dyDescent="0.3">
      <c r="A18228" s="42"/>
      <c r="C18228" s="52"/>
      <c r="D18228"/>
      <c r="E18228"/>
      <c r="N18228" s="56"/>
    </row>
    <row r="18229" spans="1:14" x14ac:dyDescent="0.3">
      <c r="A18229" s="42"/>
      <c r="C18229" s="52"/>
      <c r="D18229"/>
      <c r="E18229"/>
      <c r="N18229" s="56"/>
    </row>
    <row r="18230" spans="1:14" x14ac:dyDescent="0.3">
      <c r="A18230" s="42"/>
      <c r="C18230" s="52"/>
      <c r="D18230"/>
      <c r="E18230"/>
      <c r="N18230" s="56"/>
    </row>
    <row r="18231" spans="1:14" x14ac:dyDescent="0.3">
      <c r="A18231" s="42"/>
      <c r="C18231" s="52"/>
      <c r="D18231"/>
      <c r="E18231"/>
      <c r="N18231" s="56"/>
    </row>
    <row r="18232" spans="1:14" x14ac:dyDescent="0.3">
      <c r="A18232" s="42"/>
      <c r="C18232" s="52"/>
      <c r="D18232"/>
      <c r="E18232"/>
      <c r="N18232" s="56"/>
    </row>
    <row r="18233" spans="1:14" x14ac:dyDescent="0.3">
      <c r="A18233" s="42"/>
      <c r="C18233" s="52"/>
      <c r="D18233"/>
      <c r="E18233"/>
      <c r="N18233" s="56"/>
    </row>
    <row r="18234" spans="1:14" x14ac:dyDescent="0.3">
      <c r="A18234" s="42"/>
      <c r="C18234" s="52"/>
      <c r="D18234"/>
      <c r="E18234"/>
      <c r="N18234" s="56"/>
    </row>
    <row r="18235" spans="1:14" x14ac:dyDescent="0.3">
      <c r="A18235" s="42"/>
      <c r="C18235" s="52"/>
      <c r="D18235"/>
      <c r="E18235"/>
      <c r="N18235" s="56"/>
    </row>
    <row r="18236" spans="1:14" x14ac:dyDescent="0.3">
      <c r="A18236" s="42"/>
      <c r="C18236" s="52"/>
      <c r="D18236"/>
      <c r="E18236"/>
      <c r="N18236" s="56"/>
    </row>
    <row r="18237" spans="1:14" x14ac:dyDescent="0.3">
      <c r="A18237" s="42"/>
      <c r="C18237" s="52"/>
      <c r="D18237"/>
      <c r="E18237"/>
      <c r="N18237" s="56"/>
    </row>
    <row r="18238" spans="1:14" x14ac:dyDescent="0.3">
      <c r="A18238" s="42"/>
      <c r="C18238" s="52"/>
      <c r="D18238"/>
      <c r="E18238"/>
      <c r="N18238" s="56"/>
    </row>
    <row r="18239" spans="1:14" x14ac:dyDescent="0.3">
      <c r="A18239" s="42"/>
      <c r="C18239" s="52"/>
      <c r="D18239"/>
      <c r="E18239"/>
      <c r="N18239" s="56"/>
    </row>
    <row r="18240" spans="1:14" x14ac:dyDescent="0.3">
      <c r="A18240" s="42"/>
      <c r="C18240" s="52"/>
      <c r="D18240"/>
      <c r="E18240"/>
      <c r="N18240" s="56"/>
    </row>
    <row r="18241" spans="1:14" x14ac:dyDescent="0.3">
      <c r="A18241" s="42"/>
      <c r="C18241" s="52"/>
      <c r="D18241"/>
      <c r="E18241"/>
      <c r="N18241" s="56"/>
    </row>
    <row r="18242" spans="1:14" x14ac:dyDescent="0.3">
      <c r="A18242" s="42"/>
      <c r="C18242" s="52"/>
      <c r="D18242"/>
      <c r="E18242"/>
      <c r="N18242" s="56"/>
    </row>
    <row r="18243" spans="1:14" x14ac:dyDescent="0.3">
      <c r="A18243" s="42"/>
      <c r="C18243" s="52"/>
      <c r="D18243"/>
      <c r="E18243"/>
      <c r="N18243" s="56"/>
    </row>
    <row r="18244" spans="1:14" x14ac:dyDescent="0.3">
      <c r="A18244" s="42"/>
      <c r="C18244" s="52"/>
      <c r="D18244"/>
      <c r="E18244"/>
      <c r="N18244" s="56"/>
    </row>
    <row r="18245" spans="1:14" x14ac:dyDescent="0.3">
      <c r="A18245" s="42"/>
      <c r="C18245" s="52"/>
      <c r="D18245"/>
      <c r="E18245"/>
      <c r="N18245" s="56"/>
    </row>
    <row r="18246" spans="1:14" x14ac:dyDescent="0.3">
      <c r="A18246" s="42"/>
      <c r="C18246" s="52"/>
      <c r="D18246"/>
      <c r="E18246"/>
      <c r="N18246" s="56"/>
    </row>
    <row r="18247" spans="1:14" x14ac:dyDescent="0.3">
      <c r="A18247" s="42"/>
      <c r="C18247" s="52"/>
      <c r="D18247"/>
      <c r="E18247"/>
      <c r="N18247" s="56"/>
    </row>
    <row r="18248" spans="1:14" x14ac:dyDescent="0.3">
      <c r="A18248" s="42"/>
      <c r="C18248" s="52"/>
      <c r="D18248"/>
      <c r="E18248"/>
      <c r="N18248" s="56"/>
    </row>
    <row r="18249" spans="1:14" x14ac:dyDescent="0.3">
      <c r="A18249" s="42"/>
      <c r="C18249" s="52"/>
      <c r="D18249"/>
      <c r="E18249"/>
      <c r="N18249" s="56"/>
    </row>
    <row r="18250" spans="1:14" x14ac:dyDescent="0.3">
      <c r="A18250" s="42"/>
      <c r="C18250" s="52"/>
      <c r="D18250"/>
      <c r="E18250"/>
      <c r="N18250" s="56"/>
    </row>
    <row r="18251" spans="1:14" x14ac:dyDescent="0.3">
      <c r="A18251" s="42"/>
      <c r="C18251" s="52"/>
      <c r="D18251"/>
      <c r="E18251"/>
      <c r="N18251" s="56"/>
    </row>
    <row r="18252" spans="1:14" x14ac:dyDescent="0.3">
      <c r="A18252" s="42"/>
      <c r="C18252" s="52"/>
      <c r="D18252"/>
      <c r="E18252"/>
      <c r="N18252" s="56"/>
    </row>
    <row r="18253" spans="1:14" x14ac:dyDescent="0.3">
      <c r="A18253" s="42"/>
      <c r="C18253" s="52"/>
      <c r="D18253"/>
      <c r="E18253"/>
      <c r="N18253" s="56"/>
    </row>
    <row r="18254" spans="1:14" x14ac:dyDescent="0.3">
      <c r="A18254" s="42"/>
      <c r="C18254" s="52"/>
      <c r="D18254"/>
      <c r="E18254"/>
      <c r="N18254" s="56"/>
    </row>
    <row r="18255" spans="1:14" x14ac:dyDescent="0.3">
      <c r="A18255" s="42"/>
      <c r="C18255" s="52"/>
      <c r="D18255"/>
      <c r="E18255"/>
      <c r="N18255" s="56"/>
    </row>
    <row r="18256" spans="1:14" x14ac:dyDescent="0.3">
      <c r="A18256" s="42"/>
      <c r="C18256" s="52"/>
      <c r="D18256"/>
      <c r="E18256"/>
      <c r="N18256" s="56"/>
    </row>
    <row r="18257" spans="1:15" x14ac:dyDescent="0.3">
      <c r="A18257" s="42"/>
      <c r="C18257" s="52"/>
      <c r="D18257"/>
      <c r="E18257"/>
      <c r="N18257" s="56"/>
    </row>
    <row r="18258" spans="1:15" x14ac:dyDescent="0.3">
      <c r="A18258" s="42"/>
      <c r="C18258" s="52"/>
      <c r="D18258"/>
      <c r="E18258"/>
      <c r="N18258" s="56"/>
    </row>
    <row r="18259" spans="1:15" x14ac:dyDescent="0.3">
      <c r="A18259" s="42"/>
      <c r="C18259" s="52"/>
      <c r="D18259"/>
      <c r="E18259"/>
      <c r="N18259" s="56"/>
    </row>
    <row r="18260" spans="1:15" x14ac:dyDescent="0.3">
      <c r="A18260" s="42"/>
      <c r="C18260" s="52"/>
      <c r="D18260"/>
      <c r="E18260"/>
      <c r="N18260" s="56"/>
    </row>
    <row r="18261" spans="1:15" x14ac:dyDescent="0.3">
      <c r="A18261" s="42"/>
      <c r="C18261" s="52"/>
      <c r="D18261"/>
      <c r="E18261"/>
      <c r="N18261" s="56"/>
    </row>
    <row r="18262" spans="1:15" x14ac:dyDescent="0.3">
      <c r="A18262" s="42"/>
      <c r="C18262" s="52"/>
      <c r="D18262"/>
      <c r="E18262"/>
      <c r="N18262" s="56"/>
    </row>
    <row r="18263" spans="1:15" x14ac:dyDescent="0.3">
      <c r="A18263" s="42"/>
      <c r="C18263" s="52"/>
      <c r="D18263"/>
      <c r="E18263"/>
      <c r="N18263" s="56"/>
    </row>
    <row r="18264" spans="1:15" x14ac:dyDescent="0.3">
      <c r="A18264" s="42"/>
      <c r="C18264" s="52"/>
      <c r="D18264"/>
      <c r="E18264"/>
      <c r="N18264" s="56"/>
    </row>
    <row r="18265" spans="1:15" x14ac:dyDescent="0.3">
      <c r="A18265" s="42"/>
      <c r="C18265" s="52"/>
      <c r="D18265"/>
      <c r="E18265"/>
      <c r="N18265" s="56"/>
    </row>
    <row r="18266" spans="1:15" x14ac:dyDescent="0.3">
      <c r="A18266" s="42"/>
      <c r="C18266" s="52"/>
      <c r="D18266"/>
      <c r="E18266"/>
      <c r="N18266" s="56"/>
    </row>
    <row r="18267" spans="1:15" x14ac:dyDescent="0.3">
      <c r="A18267" s="42"/>
      <c r="C18267" s="52"/>
      <c r="D18267"/>
      <c r="E18267"/>
      <c r="N18267" s="56"/>
    </row>
    <row r="18268" spans="1:15" x14ac:dyDescent="0.3">
      <c r="A18268" s="42"/>
      <c r="C18268" s="52"/>
      <c r="D18268"/>
      <c r="E18268"/>
      <c r="M18268" s="45"/>
      <c r="N18268" s="56"/>
    </row>
    <row r="18269" spans="1:15" x14ac:dyDescent="0.3">
      <c r="A18269" s="42"/>
      <c r="C18269" s="52"/>
      <c r="D18269"/>
      <c r="E18269"/>
      <c r="N18269" s="56"/>
    </row>
    <row r="18270" spans="1:15" x14ac:dyDescent="0.3">
      <c r="A18270" s="42"/>
      <c r="C18270" s="52"/>
      <c r="D18270"/>
      <c r="E18270"/>
      <c r="N18270" s="56"/>
    </row>
    <row r="18271" spans="1:15" x14ac:dyDescent="0.3">
      <c r="A18271" s="42"/>
      <c r="C18271" s="52"/>
      <c r="D18271"/>
      <c r="E18271"/>
      <c r="M18271" s="45"/>
      <c r="N18271" s="56"/>
    </row>
    <row r="18272" spans="1:15" x14ac:dyDescent="0.3">
      <c r="A18272" s="42"/>
      <c r="C18272" s="89"/>
      <c r="D18272" s="90"/>
      <c r="E18272" s="90"/>
      <c r="F18272" s="88"/>
      <c r="G18272" s="91"/>
      <c r="H18272" s="92"/>
      <c r="I18272" s="88"/>
      <c r="J18272" s="93"/>
      <c r="K18272" s="94"/>
      <c r="L18272" s="90"/>
      <c r="M18272" s="95"/>
      <c r="N18272" s="96"/>
      <c r="O18272" s="90"/>
    </row>
    <row r="18273" spans="1:14" x14ac:dyDescent="0.3">
      <c r="A18273" s="42"/>
      <c r="C18273" s="52"/>
      <c r="D18273"/>
      <c r="E18273"/>
      <c r="N18273" s="56"/>
    </row>
    <row r="18274" spans="1:14" x14ac:dyDescent="0.3">
      <c r="A18274" s="42"/>
      <c r="C18274" s="52"/>
      <c r="D18274"/>
      <c r="E18274"/>
      <c r="N18274" s="56"/>
    </row>
    <row r="18275" spans="1:14" x14ac:dyDescent="0.3">
      <c r="A18275" s="42"/>
      <c r="C18275" s="52"/>
      <c r="D18275"/>
      <c r="E18275"/>
      <c r="N18275" s="56"/>
    </row>
    <row r="18276" spans="1:14" x14ac:dyDescent="0.3">
      <c r="A18276" s="42"/>
      <c r="C18276" s="52"/>
      <c r="D18276"/>
      <c r="E18276"/>
      <c r="N18276" s="56"/>
    </row>
    <row r="18277" spans="1:14" x14ac:dyDescent="0.3">
      <c r="A18277" s="42"/>
      <c r="C18277" s="52"/>
      <c r="D18277"/>
      <c r="E18277"/>
      <c r="N18277" s="56"/>
    </row>
    <row r="18278" spans="1:14" x14ac:dyDescent="0.3">
      <c r="A18278" s="42"/>
      <c r="C18278" s="52"/>
      <c r="D18278"/>
      <c r="E18278"/>
      <c r="N18278" s="56"/>
    </row>
    <row r="18279" spans="1:14" x14ac:dyDescent="0.3">
      <c r="A18279" s="42"/>
      <c r="C18279" s="52"/>
      <c r="D18279"/>
      <c r="E18279"/>
      <c r="N18279" s="56"/>
    </row>
    <row r="18280" spans="1:14" x14ac:dyDescent="0.3">
      <c r="A18280" s="42"/>
      <c r="C18280" s="52"/>
      <c r="D18280"/>
      <c r="E18280"/>
      <c r="N18280" s="56"/>
    </row>
    <row r="18281" spans="1:14" x14ac:dyDescent="0.3">
      <c r="A18281" s="42"/>
      <c r="C18281" s="52"/>
      <c r="D18281"/>
      <c r="E18281"/>
      <c r="N18281" s="56"/>
    </row>
    <row r="18282" spans="1:14" x14ac:dyDescent="0.3">
      <c r="A18282" s="42"/>
      <c r="C18282" s="52"/>
      <c r="D18282"/>
      <c r="E18282"/>
      <c r="N18282" s="56"/>
    </row>
    <row r="18283" spans="1:14" x14ac:dyDescent="0.3">
      <c r="A18283" s="42"/>
      <c r="C18283" s="52"/>
      <c r="D18283"/>
      <c r="E18283"/>
      <c r="N18283" s="56"/>
    </row>
    <row r="18284" spans="1:14" x14ac:dyDescent="0.3">
      <c r="A18284" s="42"/>
      <c r="C18284" s="52"/>
      <c r="D18284"/>
      <c r="E18284"/>
      <c r="N18284" s="56"/>
    </row>
    <row r="18285" spans="1:14" x14ac:dyDescent="0.3">
      <c r="A18285" s="42"/>
      <c r="C18285" s="52"/>
      <c r="D18285"/>
      <c r="E18285"/>
      <c r="N18285" s="56"/>
    </row>
    <row r="18286" spans="1:14" x14ac:dyDescent="0.3">
      <c r="A18286" s="42"/>
      <c r="C18286" s="52"/>
      <c r="D18286"/>
      <c r="E18286"/>
      <c r="N18286" s="56"/>
    </row>
    <row r="18287" spans="1:14" x14ac:dyDescent="0.3">
      <c r="A18287" s="42"/>
      <c r="C18287" s="52"/>
      <c r="D18287"/>
      <c r="E18287"/>
      <c r="N18287" s="56"/>
    </row>
    <row r="18288" spans="1:14" x14ac:dyDescent="0.3">
      <c r="A18288" s="42"/>
      <c r="C18288" s="52"/>
      <c r="D18288"/>
      <c r="E18288"/>
      <c r="N18288" s="56"/>
    </row>
    <row r="18289" spans="1:14" x14ac:dyDescent="0.3">
      <c r="A18289" s="42"/>
      <c r="C18289" s="52"/>
      <c r="D18289"/>
      <c r="E18289"/>
      <c r="N18289" s="56"/>
    </row>
    <row r="18290" spans="1:14" x14ac:dyDescent="0.3">
      <c r="A18290" s="42"/>
      <c r="C18290" s="52"/>
      <c r="D18290"/>
      <c r="E18290"/>
      <c r="N18290" s="56"/>
    </row>
    <row r="18291" spans="1:14" x14ac:dyDescent="0.3">
      <c r="A18291" s="42"/>
      <c r="C18291" s="52"/>
      <c r="D18291"/>
      <c r="E18291"/>
      <c r="N18291" s="56"/>
    </row>
    <row r="18292" spans="1:14" x14ac:dyDescent="0.3">
      <c r="A18292" s="42"/>
      <c r="C18292" s="52"/>
      <c r="D18292"/>
      <c r="E18292"/>
      <c r="N18292" s="56"/>
    </row>
    <row r="18293" spans="1:14" x14ac:dyDescent="0.3">
      <c r="A18293" s="42"/>
      <c r="C18293" s="52"/>
      <c r="D18293"/>
      <c r="E18293"/>
      <c r="N18293" s="56"/>
    </row>
    <row r="18294" spans="1:14" x14ac:dyDescent="0.3">
      <c r="A18294" s="42"/>
      <c r="C18294" s="52"/>
      <c r="D18294"/>
      <c r="E18294"/>
      <c r="N18294" s="56"/>
    </row>
    <row r="18295" spans="1:14" x14ac:dyDescent="0.3">
      <c r="A18295" s="42"/>
      <c r="C18295" s="52"/>
      <c r="D18295"/>
      <c r="E18295"/>
      <c r="N18295" s="56"/>
    </row>
    <row r="18296" spans="1:14" x14ac:dyDescent="0.3">
      <c r="A18296" s="42"/>
      <c r="C18296" s="52"/>
      <c r="D18296"/>
      <c r="E18296"/>
      <c r="N18296" s="56"/>
    </row>
    <row r="18297" spans="1:14" x14ac:dyDescent="0.3">
      <c r="A18297" s="42"/>
      <c r="C18297" s="52"/>
      <c r="D18297"/>
      <c r="E18297"/>
      <c r="N18297" s="56"/>
    </row>
    <row r="18298" spans="1:14" x14ac:dyDescent="0.3">
      <c r="A18298" s="42"/>
      <c r="C18298" s="52"/>
      <c r="D18298"/>
      <c r="E18298"/>
      <c r="N18298" s="56"/>
    </row>
    <row r="18299" spans="1:14" x14ac:dyDescent="0.3">
      <c r="A18299" s="42"/>
      <c r="C18299" s="52"/>
      <c r="D18299"/>
      <c r="E18299"/>
      <c r="N18299" s="56"/>
    </row>
    <row r="18300" spans="1:14" x14ac:dyDescent="0.3">
      <c r="A18300" s="42"/>
      <c r="C18300" s="52"/>
      <c r="D18300"/>
      <c r="E18300"/>
      <c r="N18300" s="56"/>
    </row>
    <row r="18301" spans="1:14" x14ac:dyDescent="0.3">
      <c r="A18301" s="42"/>
      <c r="C18301" s="52"/>
      <c r="D18301"/>
      <c r="E18301"/>
      <c r="N18301" s="56"/>
    </row>
    <row r="18302" spans="1:14" x14ac:dyDescent="0.3">
      <c r="A18302" s="42"/>
      <c r="C18302" s="52"/>
      <c r="D18302"/>
      <c r="E18302"/>
      <c r="N18302" s="56"/>
    </row>
    <row r="18303" spans="1:14" x14ac:dyDescent="0.3">
      <c r="A18303" s="42"/>
      <c r="C18303" s="52"/>
      <c r="D18303"/>
      <c r="E18303"/>
      <c r="N18303" s="56"/>
    </row>
    <row r="18304" spans="1:14" x14ac:dyDescent="0.3">
      <c r="A18304" s="42"/>
      <c r="C18304" s="52"/>
      <c r="D18304"/>
      <c r="E18304"/>
      <c r="N18304" s="56"/>
    </row>
    <row r="18305" spans="1:14" x14ac:dyDescent="0.3">
      <c r="A18305" s="42"/>
      <c r="C18305" s="52"/>
      <c r="D18305"/>
      <c r="E18305"/>
      <c r="N18305" s="56"/>
    </row>
    <row r="18306" spans="1:14" x14ac:dyDescent="0.3">
      <c r="A18306" s="42"/>
      <c r="C18306" s="52"/>
      <c r="D18306"/>
      <c r="E18306"/>
      <c r="N18306" s="56"/>
    </row>
    <row r="18307" spans="1:14" x14ac:dyDescent="0.3">
      <c r="A18307" s="42"/>
      <c r="C18307" s="52"/>
      <c r="D18307"/>
      <c r="E18307"/>
      <c r="N18307" s="56"/>
    </row>
    <row r="18308" spans="1:14" x14ac:dyDescent="0.3">
      <c r="A18308" s="42"/>
      <c r="C18308" s="52"/>
      <c r="D18308"/>
      <c r="E18308"/>
      <c r="N18308" s="56"/>
    </row>
    <row r="18309" spans="1:14" x14ac:dyDescent="0.3">
      <c r="A18309" s="42"/>
      <c r="C18309" s="52"/>
      <c r="D18309"/>
      <c r="E18309"/>
      <c r="N18309" s="56"/>
    </row>
    <row r="18310" spans="1:14" x14ac:dyDescent="0.3">
      <c r="A18310" s="42"/>
      <c r="C18310" s="52"/>
      <c r="D18310"/>
      <c r="E18310"/>
      <c r="N18310" s="56"/>
    </row>
    <row r="18311" spans="1:14" x14ac:dyDescent="0.3">
      <c r="A18311" s="42"/>
      <c r="C18311" s="52"/>
      <c r="D18311"/>
      <c r="E18311"/>
      <c r="N18311" s="56"/>
    </row>
    <row r="18312" spans="1:14" x14ac:dyDescent="0.3">
      <c r="A18312" s="42"/>
      <c r="C18312" s="52"/>
      <c r="D18312"/>
      <c r="E18312"/>
      <c r="N18312" s="56"/>
    </row>
    <row r="18313" spans="1:14" x14ac:dyDescent="0.3">
      <c r="A18313" s="42"/>
      <c r="C18313" s="52"/>
      <c r="D18313"/>
      <c r="E18313"/>
      <c r="N18313" s="56"/>
    </row>
    <row r="18314" spans="1:14" x14ac:dyDescent="0.3">
      <c r="A18314" s="42"/>
      <c r="C18314" s="52"/>
      <c r="D18314"/>
      <c r="E18314"/>
      <c r="N18314" s="56"/>
    </row>
    <row r="18315" spans="1:14" x14ac:dyDescent="0.3">
      <c r="A18315" s="42"/>
      <c r="C18315" s="52"/>
      <c r="D18315"/>
      <c r="E18315"/>
      <c r="N18315" s="56"/>
    </row>
    <row r="18316" spans="1:14" x14ac:dyDescent="0.3">
      <c r="A18316" s="42"/>
      <c r="C18316" s="52"/>
      <c r="D18316"/>
      <c r="E18316"/>
      <c r="N18316" s="56"/>
    </row>
    <row r="18317" spans="1:14" x14ac:dyDescent="0.3">
      <c r="A18317" s="42"/>
      <c r="C18317" s="52"/>
      <c r="D18317"/>
      <c r="E18317"/>
      <c r="N18317" s="56"/>
    </row>
    <row r="18318" spans="1:14" x14ac:dyDescent="0.3">
      <c r="A18318" s="42"/>
      <c r="C18318" s="52"/>
      <c r="D18318"/>
      <c r="E18318"/>
      <c r="N18318" s="56"/>
    </row>
    <row r="18319" spans="1:14" x14ac:dyDescent="0.3">
      <c r="A18319" s="42"/>
      <c r="C18319" s="52"/>
      <c r="D18319"/>
      <c r="E18319"/>
      <c r="N18319" s="56"/>
    </row>
    <row r="18320" spans="1:14" x14ac:dyDescent="0.3">
      <c r="A18320" s="42"/>
      <c r="C18320" s="52"/>
      <c r="D18320"/>
      <c r="E18320"/>
      <c r="N18320" s="56"/>
    </row>
    <row r="18321" spans="1:14" x14ac:dyDescent="0.3">
      <c r="A18321" s="42"/>
      <c r="C18321" s="52"/>
      <c r="D18321"/>
      <c r="E18321"/>
      <c r="N18321" s="56"/>
    </row>
    <row r="18322" spans="1:14" x14ac:dyDescent="0.3">
      <c r="A18322" s="42"/>
      <c r="C18322" s="52"/>
      <c r="D18322"/>
      <c r="E18322"/>
      <c r="N18322" s="56"/>
    </row>
    <row r="18323" spans="1:14" x14ac:dyDescent="0.3">
      <c r="A18323" s="42"/>
      <c r="C18323" s="52"/>
      <c r="D18323"/>
      <c r="E18323"/>
      <c r="N18323" s="56"/>
    </row>
    <row r="18324" spans="1:14" x14ac:dyDescent="0.3">
      <c r="A18324" s="42"/>
      <c r="C18324" s="52"/>
      <c r="D18324"/>
      <c r="E18324"/>
      <c r="N18324" s="56"/>
    </row>
    <row r="18325" spans="1:14" x14ac:dyDescent="0.3">
      <c r="A18325" s="42"/>
      <c r="C18325" s="52"/>
      <c r="D18325"/>
      <c r="E18325"/>
      <c r="N18325" s="56"/>
    </row>
    <row r="18326" spans="1:14" x14ac:dyDescent="0.3">
      <c r="A18326" s="42"/>
      <c r="C18326" s="52"/>
      <c r="D18326"/>
      <c r="E18326"/>
      <c r="N18326" s="56"/>
    </row>
    <row r="18327" spans="1:14" x14ac:dyDescent="0.3">
      <c r="A18327" s="42"/>
      <c r="C18327" s="52"/>
      <c r="D18327"/>
      <c r="E18327"/>
      <c r="N18327" s="56"/>
    </row>
    <row r="18328" spans="1:14" x14ac:dyDescent="0.3">
      <c r="A18328" s="42"/>
      <c r="C18328" s="52"/>
      <c r="D18328"/>
      <c r="E18328"/>
      <c r="N18328" s="56"/>
    </row>
    <row r="18329" spans="1:14" x14ac:dyDescent="0.3">
      <c r="A18329" s="42"/>
      <c r="C18329" s="52"/>
      <c r="D18329"/>
      <c r="E18329"/>
      <c r="N18329" s="56"/>
    </row>
    <row r="18330" spans="1:14" x14ac:dyDescent="0.3">
      <c r="A18330" s="42"/>
      <c r="C18330" s="52"/>
      <c r="D18330"/>
      <c r="E18330"/>
      <c r="N18330" s="56"/>
    </row>
    <row r="18331" spans="1:14" x14ac:dyDescent="0.3">
      <c r="A18331" s="42"/>
      <c r="C18331" s="52"/>
      <c r="D18331"/>
      <c r="E18331"/>
      <c r="N18331" s="56"/>
    </row>
    <row r="18332" spans="1:14" x14ac:dyDescent="0.3">
      <c r="A18332" s="42"/>
      <c r="C18332" s="52"/>
      <c r="D18332"/>
      <c r="E18332"/>
      <c r="N18332" s="56"/>
    </row>
    <row r="18333" spans="1:14" x14ac:dyDescent="0.3">
      <c r="A18333" s="42"/>
      <c r="C18333" s="52"/>
      <c r="D18333"/>
      <c r="E18333"/>
      <c r="N18333" s="56"/>
    </row>
    <row r="18334" spans="1:14" x14ac:dyDescent="0.3">
      <c r="A18334" s="42"/>
      <c r="C18334" s="52"/>
      <c r="D18334"/>
      <c r="E18334"/>
      <c r="N18334" s="56"/>
    </row>
    <row r="18335" spans="1:14" x14ac:dyDescent="0.3">
      <c r="A18335" s="42"/>
      <c r="C18335" s="52"/>
      <c r="D18335"/>
      <c r="E18335"/>
      <c r="N18335" s="56"/>
    </row>
    <row r="18336" spans="1:14" x14ac:dyDescent="0.3">
      <c r="A18336" s="42"/>
      <c r="C18336" s="52"/>
      <c r="D18336"/>
      <c r="E18336"/>
      <c r="N18336" s="56"/>
    </row>
    <row r="18337" spans="1:14" x14ac:dyDescent="0.3">
      <c r="A18337" s="42"/>
      <c r="C18337" s="52"/>
      <c r="D18337"/>
      <c r="E18337"/>
      <c r="N18337" s="56"/>
    </row>
    <row r="18338" spans="1:14" x14ac:dyDescent="0.3">
      <c r="A18338" s="42"/>
      <c r="C18338" s="52"/>
      <c r="D18338"/>
      <c r="E18338"/>
      <c r="N18338" s="56"/>
    </row>
    <row r="18339" spans="1:14" x14ac:dyDescent="0.3">
      <c r="A18339" s="42"/>
      <c r="C18339" s="52"/>
      <c r="D18339"/>
      <c r="E18339"/>
      <c r="N18339" s="56"/>
    </row>
    <row r="18340" spans="1:14" x14ac:dyDescent="0.3">
      <c r="A18340" s="42"/>
      <c r="C18340" s="52"/>
      <c r="D18340"/>
      <c r="E18340"/>
      <c r="N18340" s="56"/>
    </row>
    <row r="18341" spans="1:14" x14ac:dyDescent="0.3">
      <c r="A18341" s="42"/>
      <c r="C18341" s="52"/>
      <c r="D18341"/>
      <c r="E18341"/>
      <c r="N18341" s="56"/>
    </row>
    <row r="18342" spans="1:14" x14ac:dyDescent="0.3">
      <c r="A18342" s="42"/>
      <c r="C18342" s="52"/>
      <c r="D18342"/>
      <c r="E18342"/>
      <c r="N18342" s="56"/>
    </row>
    <row r="18343" spans="1:14" x14ac:dyDescent="0.3">
      <c r="A18343" s="42"/>
      <c r="C18343" s="52"/>
      <c r="D18343"/>
      <c r="E18343"/>
      <c r="N18343" s="56"/>
    </row>
    <row r="18344" spans="1:14" x14ac:dyDescent="0.3">
      <c r="A18344" s="42"/>
      <c r="C18344" s="52"/>
      <c r="D18344"/>
      <c r="E18344"/>
      <c r="N18344" s="56"/>
    </row>
    <row r="18345" spans="1:14" x14ac:dyDescent="0.3">
      <c r="A18345" s="42"/>
      <c r="C18345" s="52"/>
      <c r="D18345"/>
      <c r="E18345"/>
      <c r="N18345" s="56"/>
    </row>
    <row r="18346" spans="1:14" x14ac:dyDescent="0.3">
      <c r="A18346" s="42"/>
      <c r="C18346" s="52"/>
      <c r="D18346"/>
      <c r="E18346"/>
      <c r="N18346" s="56"/>
    </row>
    <row r="18347" spans="1:14" x14ac:dyDescent="0.3">
      <c r="A18347" s="42"/>
      <c r="C18347" s="52"/>
      <c r="D18347"/>
      <c r="E18347"/>
      <c r="N18347" s="56"/>
    </row>
    <row r="18348" spans="1:14" x14ac:dyDescent="0.3">
      <c r="A18348" s="42"/>
      <c r="C18348" s="52"/>
      <c r="D18348"/>
      <c r="E18348"/>
      <c r="N18348" s="56"/>
    </row>
    <row r="18349" spans="1:14" x14ac:dyDescent="0.3">
      <c r="A18349" s="42"/>
      <c r="C18349" s="52"/>
      <c r="D18349"/>
      <c r="E18349"/>
      <c r="N18349" s="56"/>
    </row>
    <row r="18350" spans="1:14" x14ac:dyDescent="0.3">
      <c r="A18350" s="42"/>
      <c r="C18350" s="52"/>
      <c r="D18350"/>
      <c r="E18350"/>
      <c r="N18350" s="56"/>
    </row>
    <row r="18351" spans="1:14" x14ac:dyDescent="0.3">
      <c r="A18351" s="42"/>
      <c r="C18351" s="52"/>
      <c r="D18351"/>
      <c r="E18351"/>
      <c r="N18351" s="56"/>
    </row>
    <row r="18352" spans="1:14" x14ac:dyDescent="0.3">
      <c r="A18352" s="42"/>
      <c r="C18352" s="52"/>
      <c r="D18352"/>
      <c r="E18352"/>
      <c r="N18352" s="56"/>
    </row>
    <row r="18353" spans="1:14" x14ac:dyDescent="0.3">
      <c r="A18353" s="42"/>
      <c r="C18353" s="52"/>
      <c r="D18353"/>
      <c r="E18353"/>
      <c r="N18353" s="56"/>
    </row>
    <row r="18354" spans="1:14" x14ac:dyDescent="0.3">
      <c r="A18354" s="42"/>
      <c r="C18354" s="52"/>
      <c r="D18354"/>
      <c r="E18354"/>
      <c r="N18354" s="56"/>
    </row>
    <row r="18355" spans="1:14" x14ac:dyDescent="0.3">
      <c r="A18355" s="42"/>
      <c r="C18355" s="52"/>
      <c r="D18355"/>
      <c r="E18355"/>
      <c r="N18355" s="56"/>
    </row>
    <row r="18356" spans="1:14" x14ac:dyDescent="0.3">
      <c r="A18356" s="42"/>
      <c r="C18356" s="52"/>
      <c r="D18356"/>
      <c r="E18356"/>
      <c r="N18356" s="56"/>
    </row>
    <row r="18357" spans="1:14" x14ac:dyDescent="0.3">
      <c r="A18357" s="42"/>
      <c r="C18357" s="52"/>
      <c r="D18357"/>
      <c r="E18357"/>
      <c r="N18357" s="56"/>
    </row>
    <row r="18358" spans="1:14" x14ac:dyDescent="0.3">
      <c r="A18358" s="42"/>
      <c r="C18358" s="52"/>
      <c r="D18358"/>
      <c r="E18358"/>
      <c r="N18358" s="56"/>
    </row>
    <row r="18359" spans="1:14" x14ac:dyDescent="0.3">
      <c r="A18359" s="42"/>
      <c r="C18359" s="52"/>
      <c r="D18359"/>
      <c r="E18359"/>
      <c r="N18359" s="56"/>
    </row>
    <row r="18360" spans="1:14" x14ac:dyDescent="0.3">
      <c r="A18360" s="42"/>
      <c r="C18360" s="52"/>
      <c r="D18360"/>
      <c r="E18360"/>
      <c r="N18360" s="56"/>
    </row>
    <row r="18361" spans="1:14" x14ac:dyDescent="0.3">
      <c r="A18361" s="42"/>
      <c r="C18361" s="52"/>
      <c r="D18361"/>
      <c r="E18361"/>
      <c r="N18361" s="56"/>
    </row>
    <row r="18362" spans="1:14" x14ac:dyDescent="0.3">
      <c r="A18362" s="42"/>
      <c r="C18362" s="52"/>
      <c r="D18362"/>
      <c r="E18362"/>
      <c r="N18362" s="56"/>
    </row>
    <row r="18363" spans="1:14" x14ac:dyDescent="0.3">
      <c r="A18363" s="42"/>
      <c r="C18363" s="52"/>
      <c r="D18363"/>
      <c r="E18363"/>
      <c r="N18363" s="56"/>
    </row>
    <row r="18364" spans="1:14" x14ac:dyDescent="0.3">
      <c r="A18364" s="42"/>
      <c r="C18364" s="52"/>
      <c r="D18364"/>
      <c r="E18364"/>
      <c r="N18364" s="56"/>
    </row>
    <row r="18365" spans="1:14" x14ac:dyDescent="0.3">
      <c r="A18365" s="42"/>
      <c r="C18365" s="52"/>
      <c r="D18365"/>
      <c r="E18365"/>
      <c r="N18365" s="56"/>
    </row>
    <row r="18366" spans="1:14" x14ac:dyDescent="0.3">
      <c r="A18366" s="42"/>
      <c r="C18366" s="52"/>
      <c r="D18366"/>
      <c r="E18366"/>
      <c r="N18366" s="56"/>
    </row>
    <row r="18367" spans="1:14" x14ac:dyDescent="0.3">
      <c r="A18367" s="42"/>
      <c r="C18367" s="52"/>
      <c r="D18367"/>
      <c r="E18367"/>
      <c r="N18367" s="56"/>
    </row>
    <row r="18368" spans="1:14" x14ac:dyDescent="0.3">
      <c r="A18368" s="42"/>
      <c r="C18368" s="52"/>
      <c r="D18368"/>
      <c r="E18368"/>
      <c r="N18368" s="56"/>
    </row>
    <row r="18369" spans="1:14" x14ac:dyDescent="0.3">
      <c r="A18369" s="42"/>
      <c r="C18369" s="52"/>
      <c r="D18369"/>
      <c r="E18369"/>
      <c r="N18369" s="56"/>
    </row>
    <row r="18370" spans="1:14" x14ac:dyDescent="0.3">
      <c r="A18370" s="42"/>
      <c r="C18370" s="52"/>
      <c r="D18370"/>
      <c r="E18370"/>
      <c r="N18370" s="56"/>
    </row>
    <row r="18371" spans="1:14" x14ac:dyDescent="0.3">
      <c r="A18371" s="42"/>
      <c r="C18371" s="52"/>
      <c r="D18371"/>
      <c r="E18371"/>
      <c r="N18371" s="56"/>
    </row>
    <row r="18372" spans="1:14" x14ac:dyDescent="0.3">
      <c r="A18372" s="42"/>
      <c r="C18372" s="52"/>
      <c r="D18372"/>
      <c r="E18372"/>
      <c r="N18372" s="56"/>
    </row>
    <row r="18373" spans="1:14" x14ac:dyDescent="0.3">
      <c r="A18373" s="42"/>
      <c r="C18373" s="52"/>
      <c r="D18373"/>
      <c r="E18373"/>
      <c r="N18373" s="56"/>
    </row>
    <row r="18374" spans="1:14" x14ac:dyDescent="0.3">
      <c r="A18374" s="42"/>
      <c r="C18374" s="52"/>
      <c r="D18374"/>
      <c r="E18374"/>
      <c r="N18374" s="56"/>
    </row>
    <row r="18375" spans="1:14" x14ac:dyDescent="0.3">
      <c r="A18375" s="42"/>
      <c r="C18375" s="52"/>
      <c r="D18375"/>
      <c r="E18375"/>
      <c r="N18375" s="56"/>
    </row>
    <row r="18376" spans="1:14" x14ac:dyDescent="0.3">
      <c r="A18376" s="42"/>
      <c r="C18376" s="52"/>
      <c r="D18376"/>
      <c r="E18376"/>
      <c r="N18376" s="56"/>
    </row>
    <row r="18377" spans="1:14" x14ac:dyDescent="0.3">
      <c r="A18377" s="42"/>
      <c r="C18377" s="52"/>
      <c r="D18377"/>
      <c r="E18377"/>
      <c r="N18377" s="56"/>
    </row>
    <row r="18378" spans="1:14" x14ac:dyDescent="0.3">
      <c r="A18378" s="42"/>
      <c r="C18378" s="52"/>
      <c r="D18378"/>
      <c r="E18378"/>
      <c r="N18378" s="56"/>
    </row>
    <row r="18379" spans="1:14" x14ac:dyDescent="0.3">
      <c r="A18379" s="42"/>
      <c r="C18379" s="52"/>
      <c r="D18379"/>
      <c r="E18379"/>
      <c r="N18379" s="56"/>
    </row>
    <row r="18380" spans="1:14" x14ac:dyDescent="0.3">
      <c r="A18380" s="42"/>
      <c r="C18380" s="52"/>
      <c r="D18380"/>
      <c r="E18380"/>
      <c r="N18380" s="56"/>
    </row>
    <row r="18381" spans="1:14" x14ac:dyDescent="0.3">
      <c r="A18381" s="42"/>
      <c r="C18381" s="52"/>
      <c r="D18381"/>
      <c r="E18381"/>
      <c r="N18381" s="56"/>
    </row>
    <row r="18382" spans="1:14" x14ac:dyDescent="0.3">
      <c r="A18382" s="42"/>
      <c r="C18382" s="52"/>
      <c r="D18382"/>
      <c r="E18382"/>
      <c r="N18382" s="56"/>
    </row>
    <row r="18383" spans="1:14" x14ac:dyDescent="0.3">
      <c r="A18383" s="42"/>
      <c r="C18383" s="52"/>
      <c r="D18383"/>
      <c r="E18383"/>
      <c r="N18383" s="56"/>
    </row>
    <row r="18384" spans="1:14" x14ac:dyDescent="0.3">
      <c r="A18384" s="42"/>
      <c r="C18384" s="52"/>
      <c r="D18384"/>
      <c r="E18384"/>
      <c r="N18384" s="56"/>
    </row>
    <row r="18385" spans="1:14" x14ac:dyDescent="0.3">
      <c r="A18385" s="42"/>
      <c r="C18385" s="52"/>
      <c r="D18385"/>
      <c r="E18385"/>
      <c r="N18385" s="56"/>
    </row>
    <row r="18386" spans="1:14" x14ac:dyDescent="0.3">
      <c r="A18386" s="42"/>
      <c r="C18386" s="52"/>
      <c r="D18386"/>
      <c r="E18386"/>
      <c r="N18386" s="56"/>
    </row>
    <row r="18387" spans="1:14" x14ac:dyDescent="0.3">
      <c r="A18387" s="42"/>
      <c r="C18387" s="52"/>
      <c r="D18387"/>
      <c r="E18387"/>
      <c r="N18387" s="56"/>
    </row>
    <row r="18388" spans="1:14" x14ac:dyDescent="0.3">
      <c r="A18388" s="42"/>
      <c r="C18388" s="52"/>
      <c r="D18388"/>
      <c r="E18388"/>
      <c r="N18388" s="56"/>
    </row>
    <row r="18389" spans="1:14" x14ac:dyDescent="0.3">
      <c r="A18389" s="42"/>
      <c r="C18389" s="52"/>
      <c r="D18389"/>
      <c r="E18389"/>
      <c r="N18389" s="56"/>
    </row>
    <row r="18390" spans="1:14" x14ac:dyDescent="0.3">
      <c r="A18390" s="42"/>
      <c r="C18390" s="52"/>
      <c r="D18390"/>
      <c r="E18390"/>
      <c r="N18390" s="56"/>
    </row>
    <row r="18391" spans="1:14" x14ac:dyDescent="0.3">
      <c r="A18391" s="42"/>
      <c r="C18391" s="52"/>
      <c r="D18391"/>
      <c r="E18391"/>
      <c r="N18391" s="56"/>
    </row>
    <row r="18392" spans="1:14" x14ac:dyDescent="0.3">
      <c r="A18392" s="42"/>
      <c r="C18392" s="52"/>
      <c r="D18392"/>
      <c r="E18392"/>
      <c r="N18392" s="56"/>
    </row>
    <row r="18393" spans="1:14" x14ac:dyDescent="0.3">
      <c r="A18393" s="42"/>
      <c r="C18393" s="52"/>
      <c r="D18393"/>
      <c r="E18393"/>
      <c r="M18393" s="45"/>
      <c r="N18393" s="56"/>
    </row>
    <row r="18394" spans="1:14" x14ac:dyDescent="0.3">
      <c r="A18394" s="42"/>
      <c r="C18394" s="52"/>
      <c r="D18394"/>
      <c r="E18394"/>
      <c r="N18394" s="56"/>
    </row>
    <row r="18395" spans="1:14" x14ac:dyDescent="0.3">
      <c r="A18395" s="42"/>
      <c r="C18395" s="52"/>
      <c r="D18395"/>
      <c r="E18395"/>
      <c r="N18395" s="56"/>
    </row>
    <row r="18396" spans="1:14" x14ac:dyDescent="0.3">
      <c r="A18396" s="42"/>
      <c r="C18396" s="52"/>
      <c r="D18396"/>
      <c r="E18396"/>
      <c r="N18396" s="56"/>
    </row>
    <row r="18397" spans="1:14" x14ac:dyDescent="0.3">
      <c r="A18397" s="42"/>
      <c r="C18397" s="52"/>
      <c r="D18397"/>
      <c r="E18397"/>
      <c r="N18397" s="56"/>
    </row>
    <row r="18398" spans="1:14" x14ac:dyDescent="0.3">
      <c r="A18398" s="42"/>
      <c r="C18398" s="52"/>
      <c r="D18398"/>
      <c r="E18398"/>
      <c r="N18398" s="56"/>
    </row>
    <row r="18399" spans="1:14" x14ac:dyDescent="0.3">
      <c r="A18399" s="42"/>
      <c r="C18399" s="52"/>
      <c r="D18399"/>
      <c r="E18399"/>
      <c r="M18399" s="45"/>
      <c r="N18399" s="56"/>
    </row>
    <row r="18400" spans="1:14" x14ac:dyDescent="0.3">
      <c r="A18400" s="42"/>
      <c r="C18400" s="52"/>
      <c r="D18400"/>
      <c r="E18400"/>
      <c r="N18400" s="56"/>
    </row>
    <row r="18401" spans="1:14" x14ac:dyDescent="0.3">
      <c r="A18401" s="42"/>
      <c r="C18401" s="52"/>
      <c r="D18401"/>
      <c r="E18401"/>
      <c r="N18401" s="56"/>
    </row>
    <row r="18402" spans="1:14" x14ac:dyDescent="0.3">
      <c r="A18402" s="42"/>
      <c r="C18402" s="52"/>
      <c r="D18402"/>
      <c r="E18402"/>
      <c r="N18402" s="56"/>
    </row>
    <row r="18403" spans="1:14" x14ac:dyDescent="0.3">
      <c r="A18403" s="42"/>
      <c r="C18403" s="52"/>
      <c r="D18403"/>
      <c r="E18403"/>
      <c r="N18403" s="56"/>
    </row>
    <row r="18404" spans="1:14" x14ac:dyDescent="0.3">
      <c r="A18404" s="42"/>
      <c r="C18404" s="52"/>
      <c r="D18404"/>
      <c r="E18404"/>
      <c r="N18404" s="56"/>
    </row>
    <row r="18405" spans="1:14" x14ac:dyDescent="0.3">
      <c r="A18405" s="42"/>
      <c r="C18405" s="52"/>
      <c r="D18405"/>
      <c r="E18405"/>
      <c r="N18405" s="56"/>
    </row>
    <row r="18406" spans="1:14" x14ac:dyDescent="0.3">
      <c r="A18406" s="42"/>
      <c r="C18406" s="52"/>
      <c r="D18406"/>
      <c r="E18406"/>
      <c r="N18406" s="56"/>
    </row>
    <row r="18407" spans="1:14" x14ac:dyDescent="0.3">
      <c r="A18407" s="42"/>
      <c r="C18407" s="52"/>
      <c r="D18407"/>
      <c r="E18407"/>
      <c r="N18407" s="56"/>
    </row>
    <row r="18408" spans="1:14" x14ac:dyDescent="0.3">
      <c r="A18408" s="42"/>
      <c r="C18408" s="52"/>
      <c r="D18408"/>
      <c r="E18408"/>
      <c r="N18408" s="56"/>
    </row>
    <row r="18409" spans="1:14" x14ac:dyDescent="0.3">
      <c r="A18409" s="42"/>
      <c r="C18409" s="52"/>
      <c r="D18409"/>
      <c r="E18409"/>
      <c r="N18409" s="56"/>
    </row>
    <row r="18410" spans="1:14" x14ac:dyDescent="0.3">
      <c r="A18410" s="42"/>
      <c r="C18410" s="52"/>
      <c r="D18410"/>
      <c r="E18410"/>
      <c r="N18410" s="56"/>
    </row>
    <row r="18411" spans="1:14" x14ac:dyDescent="0.3">
      <c r="A18411" s="42"/>
      <c r="C18411" s="52"/>
      <c r="D18411"/>
      <c r="E18411"/>
      <c r="N18411" s="56"/>
    </row>
    <row r="18412" spans="1:14" x14ac:dyDescent="0.3">
      <c r="A18412" s="42"/>
      <c r="C18412" s="52"/>
      <c r="D18412"/>
      <c r="E18412"/>
      <c r="N18412" s="56"/>
    </row>
    <row r="18413" spans="1:14" x14ac:dyDescent="0.3">
      <c r="A18413" s="42"/>
      <c r="C18413" s="52"/>
      <c r="D18413"/>
      <c r="E18413"/>
      <c r="N18413" s="56"/>
    </row>
    <row r="18414" spans="1:14" x14ac:dyDescent="0.3">
      <c r="A18414" s="42"/>
      <c r="C18414" s="52"/>
      <c r="D18414"/>
      <c r="E18414"/>
      <c r="N18414" s="56"/>
    </row>
    <row r="18415" spans="1:14" x14ac:dyDescent="0.3">
      <c r="A18415" s="42"/>
      <c r="C18415" s="52"/>
      <c r="D18415"/>
      <c r="E18415"/>
      <c r="N18415" s="56"/>
    </row>
    <row r="18416" spans="1:14" x14ac:dyDescent="0.3">
      <c r="A18416" s="42"/>
      <c r="C18416" s="52"/>
      <c r="D18416"/>
      <c r="E18416"/>
      <c r="N18416" s="56"/>
    </row>
    <row r="18417" spans="1:14" x14ac:dyDescent="0.3">
      <c r="A18417" s="42"/>
      <c r="C18417" s="52"/>
      <c r="D18417"/>
      <c r="E18417"/>
      <c r="N18417" s="56"/>
    </row>
    <row r="18418" spans="1:14" x14ac:dyDescent="0.3">
      <c r="A18418" s="42"/>
      <c r="C18418" s="52"/>
      <c r="D18418"/>
      <c r="E18418"/>
      <c r="N18418" s="56"/>
    </row>
    <row r="18419" spans="1:14" x14ac:dyDescent="0.3">
      <c r="A18419" s="42"/>
      <c r="C18419" s="52"/>
      <c r="D18419"/>
      <c r="E18419"/>
      <c r="N18419" s="56"/>
    </row>
    <row r="18420" spans="1:14" x14ac:dyDescent="0.3">
      <c r="A18420" s="42"/>
      <c r="C18420" s="52"/>
      <c r="D18420"/>
      <c r="E18420"/>
      <c r="N18420" s="56"/>
    </row>
    <row r="18421" spans="1:14" x14ac:dyDescent="0.3">
      <c r="A18421" s="42"/>
      <c r="C18421" s="52"/>
      <c r="D18421"/>
      <c r="E18421"/>
      <c r="N18421" s="56"/>
    </row>
    <row r="18422" spans="1:14" x14ac:dyDescent="0.3">
      <c r="A18422" s="42"/>
      <c r="C18422" s="52"/>
      <c r="D18422"/>
      <c r="E18422"/>
      <c r="N18422" s="56"/>
    </row>
    <row r="18423" spans="1:14" x14ac:dyDescent="0.3">
      <c r="A18423" s="42"/>
      <c r="C18423" s="52"/>
      <c r="D18423"/>
      <c r="E18423"/>
      <c r="N18423" s="56"/>
    </row>
    <row r="18424" spans="1:14" x14ac:dyDescent="0.3">
      <c r="A18424" s="42"/>
      <c r="C18424" s="52"/>
      <c r="D18424"/>
      <c r="E18424"/>
      <c r="N18424" s="56"/>
    </row>
    <row r="18425" spans="1:14" x14ac:dyDescent="0.3">
      <c r="A18425" s="42"/>
      <c r="C18425" s="52"/>
      <c r="D18425"/>
      <c r="E18425"/>
      <c r="N18425" s="56"/>
    </row>
    <row r="18426" spans="1:14" x14ac:dyDescent="0.3">
      <c r="A18426" s="42"/>
      <c r="C18426" s="52"/>
      <c r="D18426"/>
      <c r="E18426"/>
      <c r="N18426" s="56"/>
    </row>
    <row r="18427" spans="1:14" x14ac:dyDescent="0.3">
      <c r="A18427" s="42"/>
      <c r="C18427" s="52"/>
      <c r="D18427"/>
      <c r="E18427"/>
      <c r="N18427" s="56"/>
    </row>
    <row r="18428" spans="1:14" x14ac:dyDescent="0.3">
      <c r="A18428" s="42"/>
      <c r="C18428" s="52"/>
      <c r="D18428"/>
      <c r="E18428"/>
      <c r="N18428" s="56"/>
    </row>
    <row r="18429" spans="1:14" x14ac:dyDescent="0.3">
      <c r="A18429" s="42"/>
      <c r="C18429" s="52"/>
      <c r="D18429"/>
      <c r="E18429"/>
      <c r="N18429" s="56"/>
    </row>
    <row r="18430" spans="1:14" x14ac:dyDescent="0.3">
      <c r="A18430" s="42"/>
      <c r="C18430" s="52"/>
      <c r="D18430"/>
      <c r="E18430"/>
      <c r="N18430" s="56"/>
    </row>
    <row r="18431" spans="1:14" x14ac:dyDescent="0.3">
      <c r="A18431" s="42"/>
      <c r="C18431" s="52"/>
      <c r="D18431"/>
      <c r="E18431"/>
      <c r="N18431" s="56"/>
    </row>
    <row r="18432" spans="1:14" x14ac:dyDescent="0.3">
      <c r="A18432" s="42"/>
      <c r="C18432" s="52"/>
      <c r="D18432"/>
      <c r="E18432"/>
      <c r="N18432" s="56"/>
    </row>
    <row r="18433" spans="1:14" x14ac:dyDescent="0.3">
      <c r="A18433" s="42"/>
      <c r="C18433" s="52"/>
      <c r="D18433"/>
      <c r="E18433"/>
      <c r="N18433" s="56"/>
    </row>
    <row r="18434" spans="1:14" x14ac:dyDescent="0.3">
      <c r="A18434" s="42"/>
      <c r="C18434" s="52"/>
      <c r="D18434"/>
      <c r="E18434"/>
      <c r="N18434" s="56"/>
    </row>
    <row r="18435" spans="1:14" x14ac:dyDescent="0.3">
      <c r="A18435" s="42"/>
      <c r="C18435" s="52"/>
      <c r="D18435"/>
      <c r="E18435"/>
      <c r="N18435" s="56"/>
    </row>
    <row r="18436" spans="1:14" x14ac:dyDescent="0.3">
      <c r="A18436" s="42"/>
      <c r="C18436" s="52"/>
      <c r="D18436"/>
      <c r="E18436"/>
      <c r="N18436" s="56"/>
    </row>
    <row r="18437" spans="1:14" x14ac:dyDescent="0.3">
      <c r="A18437" s="42"/>
      <c r="C18437" s="52"/>
      <c r="D18437"/>
      <c r="E18437"/>
      <c r="N18437" s="56"/>
    </row>
    <row r="18438" spans="1:14" x14ac:dyDescent="0.3">
      <c r="A18438" s="42"/>
      <c r="C18438" s="52"/>
      <c r="D18438"/>
      <c r="E18438"/>
      <c r="N18438" s="56"/>
    </row>
    <row r="18439" spans="1:14" x14ac:dyDescent="0.3">
      <c r="A18439" s="42"/>
      <c r="C18439" s="52"/>
      <c r="D18439"/>
      <c r="E18439"/>
      <c r="N18439" s="56"/>
    </row>
    <row r="18440" spans="1:14" x14ac:dyDescent="0.3">
      <c r="A18440" s="42"/>
      <c r="C18440" s="52"/>
      <c r="D18440"/>
      <c r="E18440"/>
      <c r="N18440" s="56"/>
    </row>
    <row r="18441" spans="1:14" x14ac:dyDescent="0.3">
      <c r="A18441" s="42"/>
      <c r="C18441" s="52"/>
      <c r="D18441"/>
      <c r="E18441"/>
      <c r="N18441" s="56"/>
    </row>
    <row r="18442" spans="1:14" x14ac:dyDescent="0.3">
      <c r="A18442" s="42"/>
      <c r="C18442" s="52"/>
      <c r="D18442"/>
      <c r="E18442"/>
      <c r="N18442" s="56"/>
    </row>
    <row r="18443" spans="1:14" x14ac:dyDescent="0.3">
      <c r="A18443" s="42"/>
      <c r="C18443" s="52"/>
      <c r="D18443"/>
      <c r="E18443"/>
      <c r="N18443" s="56"/>
    </row>
    <row r="18444" spans="1:14" x14ac:dyDescent="0.3">
      <c r="A18444" s="42"/>
      <c r="C18444" s="52"/>
      <c r="D18444"/>
      <c r="E18444"/>
      <c r="N18444" s="56"/>
    </row>
    <row r="18445" spans="1:14" x14ac:dyDescent="0.3">
      <c r="A18445" s="42"/>
      <c r="C18445" s="52"/>
      <c r="D18445"/>
      <c r="E18445"/>
      <c r="N18445" s="56"/>
    </row>
    <row r="18446" spans="1:14" x14ac:dyDescent="0.3">
      <c r="A18446" s="42"/>
      <c r="C18446" s="52"/>
      <c r="D18446"/>
      <c r="E18446"/>
      <c r="N18446" s="56"/>
    </row>
    <row r="18447" spans="1:14" x14ac:dyDescent="0.3">
      <c r="A18447" s="42"/>
      <c r="C18447" s="52"/>
      <c r="D18447"/>
      <c r="E18447"/>
      <c r="N18447" s="56"/>
    </row>
    <row r="18448" spans="1:14" x14ac:dyDescent="0.3">
      <c r="A18448" s="42"/>
      <c r="C18448" s="52"/>
      <c r="D18448"/>
      <c r="E18448"/>
      <c r="N18448" s="56"/>
    </row>
    <row r="18449" spans="1:14" x14ac:dyDescent="0.3">
      <c r="A18449" s="42"/>
      <c r="C18449" s="52"/>
      <c r="D18449"/>
      <c r="E18449"/>
      <c r="N18449" s="56"/>
    </row>
    <row r="18450" spans="1:14" x14ac:dyDescent="0.3">
      <c r="A18450" s="42"/>
      <c r="C18450" s="52"/>
      <c r="D18450"/>
      <c r="E18450"/>
      <c r="N18450" s="56"/>
    </row>
    <row r="18451" spans="1:14" x14ac:dyDescent="0.3">
      <c r="A18451" s="42"/>
      <c r="C18451" s="52"/>
      <c r="D18451"/>
      <c r="E18451"/>
      <c r="N18451" s="56"/>
    </row>
    <row r="18452" spans="1:14" x14ac:dyDescent="0.3">
      <c r="A18452" s="42"/>
      <c r="C18452" s="52"/>
      <c r="D18452"/>
      <c r="E18452"/>
      <c r="N18452" s="56"/>
    </row>
    <row r="18453" spans="1:14" x14ac:dyDescent="0.3">
      <c r="A18453" s="42"/>
      <c r="C18453" s="52"/>
      <c r="D18453"/>
      <c r="E18453"/>
      <c r="N18453" s="56"/>
    </row>
    <row r="18454" spans="1:14" x14ac:dyDescent="0.3">
      <c r="A18454" s="42"/>
      <c r="C18454" s="52"/>
      <c r="D18454"/>
      <c r="E18454"/>
      <c r="N18454" s="56"/>
    </row>
    <row r="18455" spans="1:14" x14ac:dyDescent="0.3">
      <c r="A18455" s="42"/>
      <c r="C18455" s="52"/>
      <c r="D18455"/>
      <c r="E18455"/>
      <c r="N18455" s="56"/>
    </row>
    <row r="18456" spans="1:14" x14ac:dyDescent="0.3">
      <c r="A18456" s="42"/>
      <c r="C18456" s="52"/>
      <c r="D18456"/>
      <c r="E18456"/>
      <c r="N18456" s="56"/>
    </row>
    <row r="18457" spans="1:14" x14ac:dyDescent="0.3">
      <c r="A18457" s="42"/>
      <c r="C18457" s="52"/>
      <c r="D18457"/>
      <c r="E18457"/>
      <c r="N18457" s="56"/>
    </row>
    <row r="18458" spans="1:14" x14ac:dyDescent="0.3">
      <c r="A18458" s="42"/>
      <c r="C18458" s="52"/>
      <c r="D18458"/>
      <c r="E18458"/>
      <c r="N18458" s="56"/>
    </row>
    <row r="18459" spans="1:14" x14ac:dyDescent="0.3">
      <c r="A18459" s="42"/>
      <c r="C18459" s="52"/>
      <c r="D18459"/>
      <c r="E18459"/>
      <c r="N18459" s="56"/>
    </row>
    <row r="18460" spans="1:14" x14ac:dyDescent="0.3">
      <c r="A18460" s="42"/>
      <c r="C18460" s="52"/>
      <c r="D18460"/>
      <c r="E18460"/>
      <c r="N18460" s="56"/>
    </row>
    <row r="18461" spans="1:14" x14ac:dyDescent="0.3">
      <c r="A18461" s="42"/>
      <c r="C18461" s="52"/>
      <c r="D18461"/>
      <c r="E18461"/>
      <c r="N18461" s="56"/>
    </row>
    <row r="18462" spans="1:14" x14ac:dyDescent="0.3">
      <c r="A18462" s="42"/>
      <c r="C18462" s="52"/>
      <c r="D18462"/>
      <c r="E18462"/>
      <c r="N18462" s="56"/>
    </row>
    <row r="18463" spans="1:14" x14ac:dyDescent="0.3">
      <c r="A18463" s="42"/>
      <c r="C18463" s="52"/>
      <c r="D18463"/>
      <c r="E18463"/>
      <c r="N18463" s="56"/>
    </row>
    <row r="18464" spans="1:14" x14ac:dyDescent="0.3">
      <c r="A18464" s="42"/>
      <c r="C18464" s="52"/>
      <c r="D18464"/>
      <c r="E18464"/>
      <c r="N18464" s="56"/>
    </row>
    <row r="18465" spans="1:14" x14ac:dyDescent="0.3">
      <c r="A18465" s="42"/>
      <c r="C18465" s="52"/>
      <c r="D18465"/>
      <c r="E18465"/>
      <c r="N18465" s="56"/>
    </row>
    <row r="18466" spans="1:14" x14ac:dyDescent="0.3">
      <c r="A18466" s="42"/>
      <c r="C18466" s="52"/>
      <c r="D18466"/>
      <c r="E18466"/>
      <c r="N18466" s="56"/>
    </row>
    <row r="18467" spans="1:14" x14ac:dyDescent="0.3">
      <c r="A18467" s="42"/>
      <c r="C18467" s="52"/>
      <c r="D18467"/>
      <c r="E18467"/>
      <c r="N18467" s="56"/>
    </row>
    <row r="18468" spans="1:14" x14ac:dyDescent="0.3">
      <c r="A18468" s="42"/>
      <c r="C18468" s="52"/>
      <c r="D18468"/>
      <c r="E18468"/>
      <c r="N18468" s="56"/>
    </row>
    <row r="18469" spans="1:14" x14ac:dyDescent="0.3">
      <c r="A18469" s="42"/>
      <c r="C18469" s="52"/>
      <c r="D18469"/>
      <c r="E18469"/>
      <c r="N18469" s="56"/>
    </row>
    <row r="18470" spans="1:14" x14ac:dyDescent="0.3">
      <c r="A18470" s="42"/>
      <c r="C18470" s="52"/>
      <c r="D18470"/>
      <c r="E18470"/>
      <c r="N18470" s="56"/>
    </row>
    <row r="18471" spans="1:14" x14ac:dyDescent="0.3">
      <c r="A18471" s="42"/>
      <c r="C18471" s="52"/>
      <c r="D18471"/>
      <c r="E18471"/>
      <c r="N18471" s="56"/>
    </row>
    <row r="18472" spans="1:14" x14ac:dyDescent="0.3">
      <c r="A18472" s="42"/>
      <c r="C18472" s="52"/>
      <c r="D18472"/>
      <c r="E18472"/>
      <c r="N18472" s="56"/>
    </row>
    <row r="18473" spans="1:14" x14ac:dyDescent="0.3">
      <c r="A18473" s="42"/>
      <c r="C18473" s="52"/>
      <c r="D18473"/>
      <c r="E18473"/>
      <c r="N18473" s="56"/>
    </row>
    <row r="18474" spans="1:14" x14ac:dyDescent="0.3">
      <c r="A18474" s="42"/>
      <c r="C18474" s="52"/>
      <c r="D18474"/>
      <c r="E18474"/>
      <c r="N18474" s="56"/>
    </row>
    <row r="18475" spans="1:14" x14ac:dyDescent="0.3">
      <c r="A18475" s="42"/>
      <c r="C18475" s="52"/>
      <c r="D18475"/>
      <c r="E18475"/>
      <c r="N18475" s="56"/>
    </row>
    <row r="18476" spans="1:14" x14ac:dyDescent="0.3">
      <c r="A18476" s="42"/>
      <c r="C18476" s="52"/>
      <c r="D18476"/>
      <c r="E18476"/>
      <c r="N18476" s="56"/>
    </row>
    <row r="18477" spans="1:14" x14ac:dyDescent="0.3">
      <c r="A18477" s="42"/>
      <c r="C18477" s="52"/>
      <c r="D18477"/>
      <c r="E18477"/>
      <c r="N18477" s="56"/>
    </row>
    <row r="18478" spans="1:14" x14ac:dyDescent="0.3">
      <c r="A18478" s="42"/>
      <c r="C18478" s="52"/>
      <c r="D18478"/>
      <c r="E18478"/>
      <c r="N18478" s="56"/>
    </row>
    <row r="18479" spans="1:14" x14ac:dyDescent="0.3">
      <c r="A18479" s="42"/>
      <c r="C18479" s="52"/>
      <c r="D18479"/>
      <c r="E18479"/>
      <c r="N18479" s="56"/>
    </row>
    <row r="18480" spans="1:14" x14ac:dyDescent="0.3">
      <c r="A18480" s="42"/>
      <c r="C18480" s="52"/>
      <c r="D18480"/>
      <c r="E18480"/>
      <c r="N18480" s="56"/>
    </row>
    <row r="18481" spans="1:14" x14ac:dyDescent="0.3">
      <c r="A18481" s="42"/>
      <c r="C18481" s="52"/>
      <c r="D18481"/>
      <c r="E18481"/>
      <c r="N18481" s="56"/>
    </row>
    <row r="18482" spans="1:14" x14ac:dyDescent="0.3">
      <c r="A18482" s="42"/>
      <c r="C18482" s="52"/>
      <c r="D18482"/>
      <c r="E18482"/>
      <c r="N18482" s="56"/>
    </row>
    <row r="18483" spans="1:14" x14ac:dyDescent="0.3">
      <c r="A18483" s="42"/>
      <c r="C18483" s="52"/>
      <c r="D18483"/>
      <c r="E18483"/>
      <c r="N18483" s="56"/>
    </row>
    <row r="18484" spans="1:14" x14ac:dyDescent="0.3">
      <c r="A18484" s="42"/>
      <c r="C18484" s="52"/>
      <c r="D18484"/>
      <c r="E18484"/>
      <c r="N18484" s="56"/>
    </row>
    <row r="18485" spans="1:14" x14ac:dyDescent="0.3">
      <c r="A18485" s="42"/>
      <c r="C18485" s="52"/>
      <c r="D18485"/>
      <c r="E18485"/>
      <c r="N18485" s="56"/>
    </row>
    <row r="18486" spans="1:14" x14ac:dyDescent="0.3">
      <c r="A18486" s="42"/>
      <c r="C18486" s="52"/>
      <c r="D18486"/>
      <c r="E18486"/>
      <c r="N18486" s="56"/>
    </row>
    <row r="18487" spans="1:14" x14ac:dyDescent="0.3">
      <c r="A18487" s="42"/>
      <c r="C18487" s="52"/>
      <c r="D18487"/>
      <c r="E18487"/>
      <c r="N18487" s="56"/>
    </row>
    <row r="18488" spans="1:14" x14ac:dyDescent="0.3">
      <c r="A18488" s="42"/>
      <c r="C18488" s="52"/>
      <c r="D18488"/>
      <c r="E18488"/>
      <c r="N18488" s="56"/>
    </row>
    <row r="18489" spans="1:14" x14ac:dyDescent="0.3">
      <c r="A18489" s="42"/>
      <c r="C18489" s="52"/>
      <c r="D18489"/>
      <c r="E18489"/>
      <c r="N18489" s="56"/>
    </row>
    <row r="18490" spans="1:14" x14ac:dyDescent="0.3">
      <c r="A18490" s="42"/>
      <c r="C18490" s="52"/>
      <c r="D18490"/>
      <c r="E18490"/>
      <c r="N18490" s="56"/>
    </row>
    <row r="18491" spans="1:14" x14ac:dyDescent="0.3">
      <c r="A18491" s="42"/>
      <c r="C18491" s="52"/>
      <c r="D18491"/>
      <c r="E18491"/>
      <c r="N18491" s="56"/>
    </row>
    <row r="18492" spans="1:14" x14ac:dyDescent="0.3">
      <c r="A18492" s="42"/>
      <c r="C18492" s="52"/>
      <c r="D18492"/>
      <c r="E18492"/>
      <c r="N18492" s="56"/>
    </row>
    <row r="18493" spans="1:14" x14ac:dyDescent="0.3">
      <c r="A18493" s="42"/>
      <c r="C18493" s="52"/>
      <c r="D18493"/>
      <c r="E18493"/>
      <c r="N18493" s="56"/>
    </row>
    <row r="18494" spans="1:14" x14ac:dyDescent="0.3">
      <c r="A18494" s="42"/>
      <c r="C18494" s="52"/>
      <c r="D18494"/>
      <c r="E18494"/>
      <c r="N18494" s="56"/>
    </row>
    <row r="18495" spans="1:14" x14ac:dyDescent="0.3">
      <c r="A18495" s="42"/>
      <c r="C18495" s="52"/>
      <c r="D18495"/>
      <c r="E18495"/>
      <c r="N18495" s="56"/>
    </row>
    <row r="18496" spans="1:14" x14ac:dyDescent="0.3">
      <c r="A18496" s="42"/>
      <c r="C18496" s="52"/>
      <c r="D18496"/>
      <c r="E18496"/>
      <c r="N18496" s="56"/>
    </row>
    <row r="18497" spans="1:14" x14ac:dyDescent="0.3">
      <c r="A18497" s="42"/>
      <c r="C18497" s="52"/>
      <c r="D18497"/>
      <c r="E18497"/>
      <c r="N18497" s="56"/>
    </row>
    <row r="18498" spans="1:14" x14ac:dyDescent="0.3">
      <c r="A18498" s="42"/>
      <c r="C18498" s="52"/>
      <c r="D18498"/>
      <c r="E18498"/>
      <c r="N18498" s="56"/>
    </row>
    <row r="18499" spans="1:14" x14ac:dyDescent="0.3">
      <c r="A18499" s="42"/>
      <c r="C18499" s="52"/>
      <c r="D18499"/>
      <c r="E18499"/>
      <c r="N18499" s="56"/>
    </row>
    <row r="18500" spans="1:14" x14ac:dyDescent="0.3">
      <c r="A18500" s="42"/>
      <c r="C18500" s="52"/>
      <c r="D18500"/>
      <c r="E18500"/>
      <c r="N18500" s="56"/>
    </row>
    <row r="18501" spans="1:14" x14ac:dyDescent="0.3">
      <c r="A18501" s="42"/>
      <c r="C18501" s="52"/>
      <c r="D18501"/>
      <c r="E18501"/>
      <c r="N18501" s="56"/>
    </row>
    <row r="18502" spans="1:14" x14ac:dyDescent="0.3">
      <c r="A18502" s="42"/>
      <c r="C18502" s="52"/>
      <c r="D18502"/>
      <c r="E18502"/>
      <c r="N18502" s="56"/>
    </row>
    <row r="18503" spans="1:14" x14ac:dyDescent="0.3">
      <c r="A18503" s="42"/>
      <c r="C18503" s="52"/>
      <c r="D18503"/>
      <c r="E18503"/>
      <c r="N18503" s="56"/>
    </row>
    <row r="18504" spans="1:14" x14ac:dyDescent="0.3">
      <c r="A18504" s="42"/>
      <c r="C18504" s="52"/>
      <c r="D18504"/>
      <c r="E18504"/>
      <c r="N18504" s="56"/>
    </row>
    <row r="18505" spans="1:14" x14ac:dyDescent="0.3">
      <c r="A18505" s="42"/>
      <c r="C18505" s="52"/>
      <c r="D18505"/>
      <c r="E18505"/>
      <c r="N18505" s="56"/>
    </row>
    <row r="18506" spans="1:14" x14ac:dyDescent="0.3">
      <c r="A18506" s="42"/>
      <c r="C18506" s="52"/>
      <c r="D18506"/>
      <c r="E18506"/>
      <c r="N18506" s="56"/>
    </row>
    <row r="18507" spans="1:14" x14ac:dyDescent="0.3">
      <c r="A18507" s="42"/>
      <c r="C18507" s="52"/>
      <c r="D18507"/>
      <c r="E18507"/>
      <c r="N18507" s="56"/>
    </row>
    <row r="18508" spans="1:14" x14ac:dyDescent="0.3">
      <c r="A18508" s="42"/>
      <c r="C18508" s="52"/>
      <c r="D18508"/>
      <c r="E18508"/>
      <c r="N18508" s="56"/>
    </row>
    <row r="18509" spans="1:14" x14ac:dyDescent="0.3">
      <c r="A18509" s="42"/>
      <c r="C18509" s="52"/>
      <c r="D18509"/>
      <c r="E18509"/>
      <c r="N18509" s="56"/>
    </row>
    <row r="18510" spans="1:14" x14ac:dyDescent="0.3">
      <c r="A18510" s="42"/>
      <c r="C18510" s="52"/>
      <c r="D18510"/>
      <c r="E18510"/>
      <c r="N18510" s="56"/>
    </row>
    <row r="18511" spans="1:14" x14ac:dyDescent="0.3">
      <c r="A18511" s="42"/>
      <c r="C18511" s="52"/>
      <c r="D18511"/>
      <c r="E18511"/>
      <c r="N18511" s="56"/>
    </row>
    <row r="18512" spans="1:14" x14ac:dyDescent="0.3">
      <c r="A18512" s="42"/>
      <c r="C18512" s="52"/>
      <c r="D18512"/>
      <c r="E18512"/>
      <c r="N18512" s="56"/>
    </row>
    <row r="18513" spans="1:15" x14ac:dyDescent="0.3">
      <c r="A18513" s="42"/>
      <c r="C18513" s="52"/>
      <c r="D18513"/>
      <c r="E18513"/>
      <c r="N18513" s="56"/>
    </row>
    <row r="18514" spans="1:15" x14ac:dyDescent="0.3">
      <c r="A18514" s="42"/>
      <c r="C18514" s="52"/>
      <c r="D18514"/>
      <c r="E18514"/>
      <c r="N18514" s="56"/>
    </row>
    <row r="18515" spans="1:15" x14ac:dyDescent="0.3">
      <c r="A18515" s="42"/>
      <c r="C18515" s="52"/>
      <c r="D18515"/>
      <c r="E18515"/>
      <c r="N18515" s="56"/>
    </row>
    <row r="18516" spans="1:15" x14ac:dyDescent="0.3">
      <c r="A18516" s="42"/>
      <c r="C18516" s="52"/>
      <c r="D18516"/>
      <c r="E18516"/>
      <c r="N18516" s="56"/>
    </row>
    <row r="18517" spans="1:15" x14ac:dyDescent="0.3">
      <c r="A18517" s="42"/>
      <c r="C18517" s="52"/>
      <c r="D18517"/>
      <c r="E18517"/>
      <c r="N18517" s="56"/>
    </row>
    <row r="18518" spans="1:15" x14ac:dyDescent="0.3">
      <c r="A18518" s="42"/>
      <c r="C18518" s="52"/>
      <c r="D18518"/>
      <c r="E18518"/>
      <c r="N18518" s="56"/>
    </row>
    <row r="18519" spans="1:15" x14ac:dyDescent="0.3">
      <c r="A18519" s="42"/>
      <c r="C18519" s="52"/>
      <c r="D18519"/>
      <c r="E18519"/>
      <c r="N18519" s="56"/>
    </row>
    <row r="18520" spans="1:15" x14ac:dyDescent="0.3">
      <c r="A18520" s="42"/>
      <c r="C18520" s="52"/>
      <c r="D18520"/>
      <c r="E18520"/>
      <c r="N18520" s="56"/>
    </row>
    <row r="18521" spans="1:15" x14ac:dyDescent="0.3">
      <c r="A18521" s="42"/>
      <c r="C18521" s="52"/>
      <c r="D18521"/>
      <c r="E18521"/>
      <c r="M18521" s="45"/>
      <c r="N18521" s="56"/>
    </row>
    <row r="18522" spans="1:15" x14ac:dyDescent="0.3">
      <c r="A18522" s="42"/>
      <c r="C18522" s="52"/>
      <c r="D18522"/>
      <c r="E18522"/>
      <c r="N18522" s="56"/>
    </row>
    <row r="18523" spans="1:15" x14ac:dyDescent="0.3">
      <c r="A18523" s="42"/>
      <c r="C18523" s="52"/>
      <c r="D18523"/>
      <c r="E18523"/>
      <c r="M18523" s="45"/>
      <c r="N18523" s="56"/>
    </row>
    <row r="18524" spans="1:15" x14ac:dyDescent="0.3">
      <c r="A18524" s="42"/>
      <c r="C18524" s="52"/>
      <c r="D18524"/>
      <c r="E18524"/>
      <c r="N18524" s="56"/>
    </row>
    <row r="18525" spans="1:15" x14ac:dyDescent="0.3">
      <c r="A18525" s="42"/>
      <c r="C18525" s="52"/>
      <c r="D18525"/>
      <c r="E18525"/>
      <c r="N18525" s="56"/>
    </row>
    <row r="18526" spans="1:15" x14ac:dyDescent="0.3">
      <c r="A18526" s="42"/>
      <c r="C18526" s="89"/>
      <c r="D18526" s="90"/>
      <c r="E18526" s="90"/>
      <c r="F18526" s="88"/>
      <c r="G18526" s="91"/>
      <c r="H18526" s="92"/>
      <c r="I18526" s="88"/>
      <c r="J18526" s="93"/>
      <c r="K18526" s="94"/>
      <c r="L18526" s="90"/>
      <c r="M18526" s="90"/>
      <c r="N18526" s="96"/>
      <c r="O18526" s="90"/>
    </row>
    <row r="18527" spans="1:15" x14ac:dyDescent="0.3">
      <c r="A18527" s="42"/>
      <c r="C18527" s="52"/>
      <c r="D18527"/>
      <c r="E18527"/>
      <c r="M18527" s="45"/>
      <c r="N18527" s="56"/>
    </row>
    <row r="18528" spans="1:15" x14ac:dyDescent="0.3">
      <c r="A18528" s="42"/>
      <c r="C18528" s="52"/>
      <c r="D18528"/>
      <c r="E18528"/>
      <c r="N18528" s="56"/>
    </row>
    <row r="18529" spans="1:14" x14ac:dyDescent="0.3">
      <c r="A18529" s="42"/>
      <c r="C18529" s="52"/>
      <c r="D18529"/>
      <c r="E18529"/>
      <c r="N18529" s="56"/>
    </row>
    <row r="18530" spans="1:14" x14ac:dyDescent="0.3">
      <c r="A18530" s="42"/>
      <c r="C18530" s="52"/>
      <c r="D18530"/>
      <c r="E18530"/>
      <c r="N18530" s="56"/>
    </row>
    <row r="18531" spans="1:14" x14ac:dyDescent="0.3">
      <c r="A18531" s="42"/>
      <c r="C18531" s="52"/>
      <c r="D18531"/>
      <c r="E18531"/>
      <c r="N18531" s="56"/>
    </row>
    <row r="18532" spans="1:14" x14ac:dyDescent="0.3">
      <c r="A18532" s="42"/>
      <c r="C18532" s="52"/>
      <c r="D18532"/>
      <c r="E18532"/>
      <c r="N18532" s="56"/>
    </row>
    <row r="18533" spans="1:14" x14ac:dyDescent="0.3">
      <c r="A18533" s="42"/>
      <c r="C18533" s="52"/>
      <c r="D18533"/>
      <c r="E18533"/>
      <c r="N18533" s="56"/>
    </row>
    <row r="18534" spans="1:14" x14ac:dyDescent="0.3">
      <c r="A18534" s="42"/>
      <c r="C18534" s="52"/>
      <c r="D18534"/>
      <c r="E18534"/>
      <c r="N18534" s="56"/>
    </row>
    <row r="18535" spans="1:14" x14ac:dyDescent="0.3">
      <c r="A18535" s="42"/>
      <c r="C18535" s="52"/>
      <c r="D18535"/>
      <c r="E18535"/>
      <c r="N18535" s="56"/>
    </row>
    <row r="18536" spans="1:14" x14ac:dyDescent="0.3">
      <c r="A18536" s="42"/>
      <c r="C18536" s="52"/>
      <c r="D18536"/>
      <c r="E18536"/>
      <c r="N18536" s="56"/>
    </row>
    <row r="18537" spans="1:14" x14ac:dyDescent="0.3">
      <c r="A18537" s="42"/>
      <c r="C18537" s="52"/>
      <c r="D18537"/>
      <c r="E18537"/>
      <c r="N18537" s="56"/>
    </row>
    <row r="18538" spans="1:14" x14ac:dyDescent="0.3">
      <c r="A18538" s="42"/>
      <c r="C18538" s="52"/>
      <c r="D18538"/>
      <c r="E18538"/>
      <c r="N18538" s="56"/>
    </row>
    <row r="18539" spans="1:14" x14ac:dyDescent="0.3">
      <c r="A18539" s="42"/>
      <c r="C18539" s="52"/>
      <c r="D18539"/>
      <c r="E18539"/>
      <c r="N18539" s="56"/>
    </row>
    <row r="18540" spans="1:14" x14ac:dyDescent="0.3">
      <c r="A18540" s="42"/>
      <c r="C18540" s="52"/>
      <c r="D18540"/>
      <c r="E18540"/>
      <c r="N18540" s="56"/>
    </row>
    <row r="18541" spans="1:14" x14ac:dyDescent="0.3">
      <c r="A18541" s="42"/>
      <c r="C18541" s="52"/>
      <c r="D18541"/>
      <c r="E18541"/>
      <c r="N18541" s="56"/>
    </row>
    <row r="18542" spans="1:14" x14ac:dyDescent="0.3">
      <c r="A18542" s="42"/>
      <c r="C18542" s="52"/>
      <c r="D18542"/>
      <c r="E18542"/>
      <c r="N18542" s="56"/>
    </row>
    <row r="18543" spans="1:14" x14ac:dyDescent="0.3">
      <c r="A18543" s="42"/>
      <c r="C18543" s="52"/>
      <c r="D18543"/>
      <c r="E18543"/>
      <c r="N18543" s="56"/>
    </row>
    <row r="18544" spans="1:14" x14ac:dyDescent="0.3">
      <c r="A18544" s="42"/>
      <c r="C18544" s="52"/>
      <c r="D18544"/>
      <c r="E18544"/>
      <c r="N18544" s="56"/>
    </row>
    <row r="18545" spans="1:14" x14ac:dyDescent="0.3">
      <c r="A18545" s="42"/>
      <c r="C18545" s="52"/>
      <c r="D18545"/>
      <c r="E18545"/>
      <c r="N18545" s="56"/>
    </row>
    <row r="18546" spans="1:14" x14ac:dyDescent="0.3">
      <c r="A18546" s="42"/>
      <c r="C18546" s="52"/>
      <c r="D18546"/>
      <c r="E18546"/>
      <c r="N18546" s="56"/>
    </row>
    <row r="18547" spans="1:14" x14ac:dyDescent="0.3">
      <c r="A18547" s="42"/>
      <c r="C18547" s="52"/>
      <c r="D18547"/>
      <c r="E18547"/>
      <c r="N18547" s="56"/>
    </row>
    <row r="18548" spans="1:14" x14ac:dyDescent="0.3">
      <c r="A18548" s="42"/>
      <c r="C18548" s="52"/>
      <c r="D18548"/>
      <c r="E18548"/>
      <c r="N18548" s="56"/>
    </row>
    <row r="18549" spans="1:14" x14ac:dyDescent="0.3">
      <c r="A18549" s="42"/>
      <c r="C18549" s="52"/>
      <c r="D18549"/>
      <c r="E18549"/>
      <c r="N18549" s="56"/>
    </row>
    <row r="18550" spans="1:14" x14ac:dyDescent="0.3">
      <c r="A18550" s="42"/>
      <c r="C18550" s="52"/>
      <c r="D18550"/>
      <c r="E18550"/>
      <c r="N18550" s="56"/>
    </row>
    <row r="18551" spans="1:14" x14ac:dyDescent="0.3">
      <c r="A18551" s="42"/>
      <c r="C18551" s="52"/>
      <c r="D18551"/>
      <c r="E18551"/>
      <c r="N18551" s="56"/>
    </row>
    <row r="18552" spans="1:14" x14ac:dyDescent="0.3">
      <c r="A18552" s="42"/>
      <c r="C18552" s="52"/>
      <c r="D18552"/>
      <c r="E18552"/>
      <c r="N18552" s="56"/>
    </row>
    <row r="18553" spans="1:14" x14ac:dyDescent="0.3">
      <c r="A18553" s="42"/>
      <c r="C18553" s="52"/>
      <c r="D18553"/>
      <c r="E18553"/>
      <c r="N18553" s="56"/>
    </row>
    <row r="18554" spans="1:14" x14ac:dyDescent="0.3">
      <c r="A18554" s="42"/>
      <c r="C18554" s="52"/>
      <c r="D18554"/>
      <c r="E18554"/>
      <c r="N18554" s="56"/>
    </row>
    <row r="18555" spans="1:14" x14ac:dyDescent="0.3">
      <c r="A18555" s="42"/>
      <c r="C18555" s="52"/>
      <c r="D18555"/>
      <c r="E18555"/>
      <c r="N18555" s="56"/>
    </row>
    <row r="18556" spans="1:14" x14ac:dyDescent="0.3">
      <c r="A18556" s="42"/>
      <c r="C18556" s="52"/>
      <c r="D18556"/>
      <c r="E18556"/>
      <c r="N18556" s="56"/>
    </row>
    <row r="18557" spans="1:14" x14ac:dyDescent="0.3">
      <c r="A18557" s="42"/>
      <c r="C18557" s="52"/>
      <c r="D18557"/>
      <c r="E18557"/>
      <c r="N18557" s="56"/>
    </row>
    <row r="18558" spans="1:14" x14ac:dyDescent="0.3">
      <c r="A18558" s="42"/>
      <c r="C18558" s="52"/>
      <c r="D18558"/>
      <c r="E18558"/>
      <c r="N18558" s="56"/>
    </row>
    <row r="18559" spans="1:14" x14ac:dyDescent="0.3">
      <c r="A18559" s="42"/>
      <c r="C18559" s="52"/>
      <c r="D18559"/>
      <c r="E18559"/>
      <c r="N18559" s="56"/>
    </row>
    <row r="18560" spans="1:14" x14ac:dyDescent="0.3">
      <c r="A18560" s="42"/>
      <c r="C18560" s="52"/>
      <c r="D18560"/>
      <c r="E18560"/>
      <c r="N18560" s="56"/>
    </row>
    <row r="18561" spans="1:14" x14ac:dyDescent="0.3">
      <c r="A18561" s="42"/>
      <c r="C18561" s="52"/>
      <c r="D18561"/>
      <c r="E18561"/>
      <c r="N18561" s="56"/>
    </row>
    <row r="18562" spans="1:14" x14ac:dyDescent="0.3">
      <c r="A18562" s="42"/>
      <c r="C18562" s="52"/>
      <c r="D18562"/>
      <c r="E18562"/>
      <c r="N18562" s="56"/>
    </row>
    <row r="18563" spans="1:14" x14ac:dyDescent="0.3">
      <c r="A18563" s="42"/>
      <c r="C18563" s="52"/>
      <c r="D18563"/>
      <c r="E18563"/>
      <c r="N18563" s="56"/>
    </row>
    <row r="18564" spans="1:14" x14ac:dyDescent="0.3">
      <c r="A18564" s="42"/>
      <c r="C18564" s="52"/>
      <c r="D18564"/>
      <c r="E18564"/>
      <c r="N18564" s="56"/>
    </row>
    <row r="18565" spans="1:14" x14ac:dyDescent="0.3">
      <c r="A18565" s="42"/>
      <c r="C18565" s="52"/>
      <c r="D18565"/>
      <c r="E18565"/>
      <c r="N18565" s="56"/>
    </row>
    <row r="18566" spans="1:14" x14ac:dyDescent="0.3">
      <c r="A18566" s="42"/>
      <c r="C18566" s="52"/>
      <c r="D18566"/>
      <c r="E18566"/>
      <c r="N18566" s="56"/>
    </row>
    <row r="18567" spans="1:14" x14ac:dyDescent="0.3">
      <c r="A18567" s="42"/>
      <c r="C18567" s="52"/>
      <c r="D18567"/>
      <c r="E18567"/>
      <c r="N18567" s="56"/>
    </row>
    <row r="18568" spans="1:14" x14ac:dyDescent="0.3">
      <c r="A18568" s="42"/>
      <c r="C18568" s="52"/>
      <c r="D18568"/>
      <c r="E18568"/>
      <c r="N18568" s="56"/>
    </row>
    <row r="18569" spans="1:14" x14ac:dyDescent="0.3">
      <c r="A18569" s="42"/>
      <c r="C18569" s="52"/>
      <c r="D18569"/>
      <c r="E18569"/>
      <c r="N18569" s="56"/>
    </row>
    <row r="18570" spans="1:14" x14ac:dyDescent="0.3">
      <c r="A18570" s="42"/>
      <c r="C18570" s="52"/>
      <c r="D18570"/>
      <c r="E18570"/>
      <c r="N18570" s="56"/>
    </row>
    <row r="18571" spans="1:14" x14ac:dyDescent="0.3">
      <c r="A18571" s="42"/>
      <c r="C18571" s="52"/>
      <c r="D18571"/>
      <c r="E18571"/>
      <c r="N18571" s="56"/>
    </row>
    <row r="18572" spans="1:14" x14ac:dyDescent="0.3">
      <c r="A18572" s="42"/>
      <c r="C18572" s="52"/>
      <c r="D18572"/>
      <c r="E18572"/>
      <c r="N18572" s="56"/>
    </row>
    <row r="18573" spans="1:14" x14ac:dyDescent="0.3">
      <c r="A18573" s="42"/>
      <c r="C18573" s="52"/>
      <c r="D18573"/>
      <c r="E18573"/>
      <c r="N18573" s="56"/>
    </row>
    <row r="18574" spans="1:14" x14ac:dyDescent="0.3">
      <c r="A18574" s="42"/>
      <c r="C18574" s="52"/>
      <c r="D18574"/>
      <c r="E18574"/>
      <c r="N18574" s="56"/>
    </row>
    <row r="18575" spans="1:14" x14ac:dyDescent="0.3">
      <c r="A18575" s="42"/>
      <c r="C18575" s="52"/>
      <c r="D18575"/>
      <c r="E18575"/>
      <c r="N18575" s="56"/>
    </row>
    <row r="18576" spans="1:14" x14ac:dyDescent="0.3">
      <c r="A18576" s="42"/>
      <c r="C18576" s="52"/>
      <c r="D18576"/>
      <c r="E18576"/>
      <c r="N18576" s="56"/>
    </row>
    <row r="18577" spans="1:14" x14ac:dyDescent="0.3">
      <c r="A18577" s="42"/>
      <c r="C18577" s="52"/>
      <c r="D18577"/>
      <c r="E18577"/>
      <c r="N18577" s="56"/>
    </row>
    <row r="18578" spans="1:14" x14ac:dyDescent="0.3">
      <c r="A18578" s="42"/>
      <c r="C18578" s="52"/>
      <c r="D18578"/>
      <c r="E18578"/>
      <c r="N18578" s="56"/>
    </row>
    <row r="18579" spans="1:14" x14ac:dyDescent="0.3">
      <c r="A18579" s="42"/>
      <c r="C18579" s="52"/>
      <c r="D18579"/>
      <c r="E18579"/>
      <c r="N18579" s="56"/>
    </row>
    <row r="18580" spans="1:14" x14ac:dyDescent="0.3">
      <c r="A18580" s="42"/>
      <c r="C18580" s="52"/>
      <c r="D18580"/>
      <c r="E18580"/>
      <c r="N18580" s="56"/>
    </row>
    <row r="18581" spans="1:14" x14ac:dyDescent="0.3">
      <c r="A18581" s="42"/>
      <c r="C18581" s="52"/>
      <c r="D18581"/>
      <c r="E18581"/>
      <c r="N18581" s="56"/>
    </row>
    <row r="18582" spans="1:14" x14ac:dyDescent="0.3">
      <c r="A18582" s="42"/>
      <c r="C18582" s="52"/>
      <c r="D18582"/>
      <c r="E18582"/>
      <c r="N18582" s="56"/>
    </row>
    <row r="18583" spans="1:14" x14ac:dyDescent="0.3">
      <c r="A18583" s="42"/>
      <c r="C18583" s="52"/>
      <c r="D18583"/>
      <c r="E18583"/>
      <c r="N18583" s="56"/>
    </row>
    <row r="18584" spans="1:14" x14ac:dyDescent="0.3">
      <c r="A18584" s="42"/>
      <c r="C18584" s="52"/>
      <c r="D18584"/>
      <c r="E18584"/>
      <c r="N18584" s="56"/>
    </row>
    <row r="18585" spans="1:14" x14ac:dyDescent="0.3">
      <c r="A18585" s="42"/>
      <c r="C18585" s="52"/>
      <c r="D18585"/>
      <c r="E18585"/>
      <c r="N18585" s="56"/>
    </row>
    <row r="18586" spans="1:14" x14ac:dyDescent="0.3">
      <c r="A18586" s="42"/>
      <c r="C18586" s="52"/>
      <c r="D18586"/>
      <c r="E18586"/>
      <c r="N18586" s="56"/>
    </row>
    <row r="18587" spans="1:14" x14ac:dyDescent="0.3">
      <c r="A18587" s="42"/>
      <c r="C18587" s="52"/>
      <c r="D18587"/>
      <c r="E18587"/>
      <c r="N18587" s="56"/>
    </row>
    <row r="18588" spans="1:14" x14ac:dyDescent="0.3">
      <c r="A18588" s="42"/>
      <c r="C18588" s="52"/>
      <c r="D18588"/>
      <c r="E18588"/>
      <c r="N18588" s="56"/>
    </row>
    <row r="18589" spans="1:14" x14ac:dyDescent="0.3">
      <c r="A18589" s="42"/>
      <c r="C18589" s="52"/>
      <c r="D18589"/>
      <c r="E18589"/>
      <c r="N18589" s="56"/>
    </row>
    <row r="18590" spans="1:14" x14ac:dyDescent="0.3">
      <c r="A18590" s="42"/>
      <c r="C18590" s="52"/>
      <c r="D18590"/>
      <c r="E18590"/>
      <c r="N18590" s="56"/>
    </row>
    <row r="18591" spans="1:14" x14ac:dyDescent="0.3">
      <c r="A18591" s="42"/>
      <c r="C18591" s="52"/>
      <c r="D18591"/>
      <c r="E18591"/>
      <c r="N18591" s="56"/>
    </row>
    <row r="18592" spans="1:14" x14ac:dyDescent="0.3">
      <c r="A18592" s="42"/>
      <c r="C18592" s="52"/>
      <c r="D18592"/>
      <c r="E18592"/>
      <c r="N18592" s="56"/>
    </row>
    <row r="18593" spans="1:14" x14ac:dyDescent="0.3">
      <c r="A18593" s="42"/>
      <c r="C18593" s="52"/>
      <c r="D18593"/>
      <c r="E18593"/>
      <c r="N18593" s="56"/>
    </row>
    <row r="18594" spans="1:14" x14ac:dyDescent="0.3">
      <c r="A18594" s="42"/>
      <c r="C18594" s="52"/>
      <c r="D18594"/>
      <c r="E18594"/>
      <c r="M18594" s="45"/>
      <c r="N18594" s="56"/>
    </row>
    <row r="18595" spans="1:14" x14ac:dyDescent="0.3">
      <c r="A18595" s="42"/>
      <c r="C18595" s="52"/>
      <c r="D18595"/>
      <c r="E18595"/>
      <c r="N18595" s="56"/>
    </row>
    <row r="18596" spans="1:14" x14ac:dyDescent="0.3">
      <c r="A18596" s="42"/>
      <c r="C18596" s="52"/>
      <c r="D18596"/>
      <c r="E18596"/>
      <c r="N18596" s="56"/>
    </row>
    <row r="18597" spans="1:14" x14ac:dyDescent="0.3">
      <c r="A18597" s="42"/>
      <c r="C18597" s="52"/>
      <c r="D18597"/>
      <c r="E18597"/>
      <c r="N18597" s="56"/>
    </row>
    <row r="18598" spans="1:14" x14ac:dyDescent="0.3">
      <c r="A18598" s="42"/>
      <c r="C18598" s="52"/>
      <c r="D18598"/>
      <c r="E18598"/>
      <c r="N18598" s="56"/>
    </row>
    <row r="18599" spans="1:14" x14ac:dyDescent="0.3">
      <c r="A18599" s="42"/>
      <c r="C18599" s="52"/>
      <c r="D18599"/>
      <c r="E18599"/>
      <c r="N18599" s="56"/>
    </row>
    <row r="18600" spans="1:14" x14ac:dyDescent="0.3">
      <c r="A18600" s="42"/>
      <c r="C18600" s="52"/>
      <c r="D18600"/>
      <c r="E18600"/>
      <c r="N18600" s="56"/>
    </row>
    <row r="18601" spans="1:14" x14ac:dyDescent="0.3">
      <c r="A18601" s="42"/>
      <c r="C18601" s="52"/>
      <c r="D18601"/>
      <c r="E18601"/>
      <c r="N18601" s="56"/>
    </row>
    <row r="18602" spans="1:14" x14ac:dyDescent="0.3">
      <c r="A18602" s="42"/>
      <c r="C18602" s="52"/>
      <c r="D18602"/>
      <c r="E18602"/>
      <c r="N18602" s="56"/>
    </row>
    <row r="18603" spans="1:14" x14ac:dyDescent="0.3">
      <c r="A18603" s="42"/>
      <c r="C18603" s="52"/>
      <c r="D18603"/>
      <c r="E18603"/>
      <c r="N18603" s="56"/>
    </row>
    <row r="18604" spans="1:14" x14ac:dyDescent="0.3">
      <c r="A18604" s="42"/>
      <c r="C18604" s="52"/>
      <c r="D18604"/>
      <c r="E18604"/>
      <c r="N18604" s="56"/>
    </row>
    <row r="18605" spans="1:14" x14ac:dyDescent="0.3">
      <c r="A18605" s="42"/>
      <c r="C18605" s="52"/>
      <c r="D18605"/>
      <c r="E18605"/>
      <c r="N18605" s="56"/>
    </row>
    <row r="18606" spans="1:14" x14ac:dyDescent="0.3">
      <c r="A18606" s="42"/>
      <c r="C18606" s="52"/>
      <c r="D18606"/>
      <c r="E18606"/>
      <c r="N18606" s="56"/>
    </row>
    <row r="18607" spans="1:14" x14ac:dyDescent="0.3">
      <c r="A18607" s="42"/>
      <c r="C18607" s="52"/>
      <c r="D18607"/>
      <c r="E18607"/>
      <c r="N18607" s="56"/>
    </row>
    <row r="18608" spans="1:14" x14ac:dyDescent="0.3">
      <c r="A18608" s="42"/>
      <c r="C18608" s="52"/>
      <c r="D18608"/>
      <c r="E18608"/>
      <c r="N18608" s="56"/>
    </row>
    <row r="18609" spans="1:14" x14ac:dyDescent="0.3">
      <c r="A18609" s="42"/>
      <c r="C18609" s="52"/>
      <c r="D18609"/>
      <c r="E18609"/>
      <c r="N18609" s="56"/>
    </row>
    <row r="18610" spans="1:14" x14ac:dyDescent="0.3">
      <c r="A18610" s="42"/>
      <c r="C18610" s="52"/>
      <c r="D18610"/>
      <c r="E18610"/>
      <c r="N18610" s="56"/>
    </row>
    <row r="18611" spans="1:14" x14ac:dyDescent="0.3">
      <c r="A18611" s="42"/>
      <c r="C18611" s="52"/>
      <c r="D18611"/>
      <c r="E18611"/>
      <c r="N18611" s="56"/>
    </row>
    <row r="18612" spans="1:14" x14ac:dyDescent="0.3">
      <c r="A18612" s="42"/>
      <c r="C18612" s="52"/>
      <c r="D18612"/>
      <c r="E18612"/>
      <c r="N18612" s="56"/>
    </row>
    <row r="18613" spans="1:14" x14ac:dyDescent="0.3">
      <c r="A18613" s="42"/>
      <c r="C18613" s="52"/>
      <c r="D18613"/>
      <c r="E18613"/>
      <c r="N18613" s="56"/>
    </row>
    <row r="18614" spans="1:14" x14ac:dyDescent="0.3">
      <c r="A18614" s="42"/>
      <c r="C18614" s="52"/>
      <c r="D18614"/>
      <c r="E18614"/>
      <c r="N18614" s="56"/>
    </row>
    <row r="18615" spans="1:14" x14ac:dyDescent="0.3">
      <c r="A18615" s="42"/>
      <c r="C18615" s="52"/>
      <c r="D18615"/>
      <c r="E18615"/>
      <c r="N18615" s="56"/>
    </row>
    <row r="18616" spans="1:14" x14ac:dyDescent="0.3">
      <c r="A18616" s="42"/>
      <c r="C18616" s="52"/>
      <c r="D18616"/>
      <c r="E18616"/>
      <c r="N18616" s="56"/>
    </row>
    <row r="18617" spans="1:14" x14ac:dyDescent="0.3">
      <c r="A18617" s="42"/>
      <c r="C18617" s="52"/>
      <c r="D18617"/>
      <c r="E18617"/>
      <c r="N18617" s="56"/>
    </row>
    <row r="18618" spans="1:14" x14ac:dyDescent="0.3">
      <c r="A18618" s="42"/>
      <c r="C18618" s="52"/>
      <c r="D18618"/>
      <c r="E18618"/>
      <c r="N18618" s="56"/>
    </row>
    <row r="18619" spans="1:14" x14ac:dyDescent="0.3">
      <c r="A18619" s="42"/>
      <c r="C18619" s="52"/>
      <c r="D18619"/>
      <c r="E18619"/>
      <c r="N18619" s="56"/>
    </row>
    <row r="18620" spans="1:14" x14ac:dyDescent="0.3">
      <c r="A18620" s="42"/>
      <c r="C18620" s="52"/>
      <c r="D18620"/>
      <c r="E18620"/>
      <c r="N18620" s="56"/>
    </row>
    <row r="18621" spans="1:14" x14ac:dyDescent="0.3">
      <c r="A18621" s="42"/>
      <c r="C18621" s="52"/>
      <c r="D18621"/>
      <c r="E18621"/>
      <c r="N18621" s="56"/>
    </row>
    <row r="18622" spans="1:14" x14ac:dyDescent="0.3">
      <c r="A18622" s="42"/>
      <c r="C18622" s="52"/>
      <c r="D18622"/>
      <c r="E18622"/>
      <c r="N18622" s="56"/>
    </row>
    <row r="18623" spans="1:14" x14ac:dyDescent="0.3">
      <c r="A18623" s="42"/>
      <c r="C18623" s="52"/>
      <c r="D18623"/>
      <c r="E18623"/>
      <c r="N18623" s="56"/>
    </row>
    <row r="18624" spans="1:14" x14ac:dyDescent="0.3">
      <c r="A18624" s="42"/>
      <c r="C18624" s="52"/>
      <c r="D18624"/>
      <c r="E18624"/>
      <c r="N18624" s="56"/>
    </row>
    <row r="18625" spans="1:14" x14ac:dyDescent="0.3">
      <c r="A18625" s="42"/>
      <c r="C18625" s="52"/>
      <c r="D18625"/>
      <c r="E18625"/>
      <c r="N18625" s="56"/>
    </row>
    <row r="18626" spans="1:14" x14ac:dyDescent="0.3">
      <c r="A18626" s="42"/>
      <c r="C18626" s="52"/>
      <c r="D18626"/>
      <c r="E18626"/>
      <c r="N18626" s="56"/>
    </row>
    <row r="18627" spans="1:14" x14ac:dyDescent="0.3">
      <c r="A18627" s="42"/>
      <c r="C18627" s="52"/>
      <c r="D18627"/>
      <c r="E18627"/>
      <c r="N18627" s="56"/>
    </row>
    <row r="18628" spans="1:14" x14ac:dyDescent="0.3">
      <c r="A18628" s="42"/>
      <c r="C18628" s="52"/>
      <c r="D18628"/>
      <c r="E18628"/>
      <c r="N18628" s="56"/>
    </row>
    <row r="18629" spans="1:14" x14ac:dyDescent="0.3">
      <c r="A18629" s="42"/>
      <c r="C18629" s="52"/>
      <c r="D18629"/>
      <c r="E18629"/>
      <c r="N18629" s="56"/>
    </row>
    <row r="18630" spans="1:14" x14ac:dyDescent="0.3">
      <c r="A18630" s="42"/>
      <c r="C18630" s="52"/>
      <c r="D18630"/>
      <c r="E18630"/>
      <c r="N18630" s="56"/>
    </row>
    <row r="18631" spans="1:14" x14ac:dyDescent="0.3">
      <c r="A18631" s="42"/>
      <c r="C18631" s="52"/>
      <c r="D18631"/>
      <c r="E18631"/>
      <c r="M18631" s="45"/>
      <c r="N18631" s="56"/>
    </row>
    <row r="18632" spans="1:14" x14ac:dyDescent="0.3">
      <c r="A18632" s="42"/>
      <c r="C18632" s="52"/>
      <c r="D18632"/>
      <c r="E18632"/>
      <c r="N18632" s="56"/>
    </row>
    <row r="18633" spans="1:14" x14ac:dyDescent="0.3">
      <c r="A18633" s="42"/>
      <c r="C18633" s="52"/>
      <c r="D18633"/>
      <c r="E18633"/>
      <c r="N18633" s="56"/>
    </row>
    <row r="18634" spans="1:14" x14ac:dyDescent="0.3">
      <c r="A18634" s="42"/>
      <c r="C18634" s="52"/>
      <c r="D18634"/>
      <c r="E18634"/>
      <c r="N18634" s="56"/>
    </row>
    <row r="18635" spans="1:14" x14ac:dyDescent="0.3">
      <c r="A18635" s="42"/>
      <c r="C18635" s="52"/>
      <c r="D18635"/>
      <c r="E18635"/>
      <c r="N18635" s="56"/>
    </row>
    <row r="18636" spans="1:14" x14ac:dyDescent="0.3">
      <c r="A18636" s="42"/>
      <c r="C18636" s="52"/>
      <c r="D18636"/>
      <c r="E18636"/>
      <c r="N18636" s="56"/>
    </row>
    <row r="18637" spans="1:14" x14ac:dyDescent="0.3">
      <c r="A18637" s="42"/>
      <c r="C18637" s="52"/>
      <c r="D18637"/>
      <c r="E18637"/>
      <c r="N18637" s="56"/>
    </row>
    <row r="18638" spans="1:14" x14ac:dyDescent="0.3">
      <c r="A18638" s="42"/>
      <c r="C18638" s="52"/>
      <c r="D18638"/>
      <c r="E18638"/>
      <c r="F18638"/>
      <c r="N18638" s="56"/>
    </row>
    <row r="18639" spans="1:14" x14ac:dyDescent="0.3">
      <c r="A18639" s="42"/>
      <c r="C18639" s="52"/>
      <c r="D18639"/>
      <c r="E18639"/>
      <c r="F18639"/>
      <c r="N18639" s="56"/>
    </row>
    <row r="18640" spans="1:14" x14ac:dyDescent="0.3">
      <c r="A18640" s="42"/>
      <c r="C18640" s="52"/>
      <c r="D18640"/>
      <c r="E18640"/>
      <c r="F18640"/>
      <c r="N18640" s="56"/>
    </row>
    <row r="18641" spans="1:14" x14ac:dyDescent="0.3">
      <c r="A18641" s="42"/>
      <c r="C18641" s="52"/>
      <c r="D18641"/>
      <c r="E18641"/>
      <c r="F18641"/>
      <c r="N18641" s="56"/>
    </row>
    <row r="18642" spans="1:14" x14ac:dyDescent="0.3">
      <c r="A18642" s="42"/>
      <c r="C18642" s="52"/>
      <c r="D18642"/>
      <c r="E18642"/>
      <c r="F18642"/>
      <c r="N18642" s="56"/>
    </row>
    <row r="18643" spans="1:14" x14ac:dyDescent="0.3">
      <c r="A18643" s="42"/>
      <c r="C18643" s="52"/>
      <c r="D18643"/>
      <c r="E18643"/>
      <c r="F18643"/>
      <c r="N18643" s="56"/>
    </row>
    <row r="18644" spans="1:14" x14ac:dyDescent="0.3">
      <c r="A18644" s="42"/>
      <c r="C18644" s="52"/>
      <c r="D18644"/>
      <c r="E18644"/>
      <c r="F18644"/>
      <c r="N18644" s="56"/>
    </row>
    <row r="18645" spans="1:14" x14ac:dyDescent="0.3">
      <c r="A18645" s="42"/>
      <c r="C18645" s="52"/>
      <c r="D18645"/>
      <c r="E18645"/>
      <c r="F18645"/>
      <c r="N18645" s="56"/>
    </row>
    <row r="18646" spans="1:14" x14ac:dyDescent="0.3">
      <c r="A18646" s="42"/>
      <c r="C18646" s="52"/>
      <c r="D18646"/>
      <c r="E18646"/>
      <c r="F18646"/>
      <c r="L18646" s="45"/>
      <c r="N18646" s="56"/>
    </row>
    <row r="18647" spans="1:14" x14ac:dyDescent="0.3">
      <c r="A18647" s="42"/>
      <c r="C18647" s="52"/>
      <c r="D18647"/>
      <c r="E18647"/>
      <c r="F18647"/>
      <c r="N18647" s="56"/>
    </row>
    <row r="18648" spans="1:14" x14ac:dyDescent="0.3">
      <c r="A18648" s="42"/>
      <c r="C18648" s="52"/>
      <c r="D18648"/>
      <c r="E18648"/>
      <c r="F18648"/>
      <c r="N18648" s="56"/>
    </row>
    <row r="18649" spans="1:14" x14ac:dyDescent="0.3">
      <c r="A18649" s="42"/>
      <c r="C18649" s="52"/>
      <c r="D18649"/>
      <c r="E18649"/>
      <c r="F18649"/>
      <c r="N18649" s="56"/>
    </row>
    <row r="18650" spans="1:14" x14ac:dyDescent="0.3">
      <c r="A18650" s="42"/>
      <c r="C18650" s="52"/>
      <c r="D18650"/>
      <c r="E18650"/>
      <c r="F18650"/>
      <c r="N18650" s="56"/>
    </row>
    <row r="18651" spans="1:14" x14ac:dyDescent="0.3">
      <c r="A18651" s="42"/>
      <c r="C18651" s="52"/>
      <c r="D18651"/>
      <c r="E18651"/>
      <c r="F18651"/>
      <c r="N18651" s="56"/>
    </row>
    <row r="18652" spans="1:14" x14ac:dyDescent="0.3">
      <c r="A18652" s="42"/>
      <c r="C18652" s="52"/>
      <c r="D18652"/>
      <c r="E18652"/>
      <c r="F18652"/>
      <c r="L18652" s="45"/>
      <c r="N18652" s="56"/>
    </row>
    <row r="18653" spans="1:14" x14ac:dyDescent="0.3">
      <c r="A18653" s="42"/>
      <c r="C18653" s="52"/>
      <c r="D18653"/>
      <c r="E18653"/>
      <c r="F18653"/>
      <c r="N18653" s="56"/>
    </row>
    <row r="18654" spans="1:14" x14ac:dyDescent="0.3">
      <c r="A18654" s="42"/>
      <c r="C18654" s="52"/>
      <c r="D18654"/>
      <c r="E18654"/>
      <c r="F18654"/>
      <c r="L18654" s="45"/>
      <c r="N18654" s="56"/>
    </row>
    <row r="18655" spans="1:14" x14ac:dyDescent="0.3">
      <c r="A18655" s="42"/>
      <c r="C18655" s="52"/>
      <c r="D18655"/>
      <c r="E18655"/>
      <c r="F18655"/>
      <c r="L18655" s="45"/>
      <c r="N18655" s="56"/>
    </row>
    <row r="18656" spans="1:14" x14ac:dyDescent="0.3">
      <c r="A18656" s="42"/>
      <c r="C18656" s="52"/>
      <c r="D18656"/>
      <c r="E18656"/>
      <c r="F18656"/>
      <c r="L18656" s="45"/>
      <c r="N18656" s="56"/>
    </row>
    <row r="18657" spans="1:14" x14ac:dyDescent="0.3">
      <c r="A18657" s="42"/>
      <c r="C18657" s="52"/>
      <c r="D18657"/>
      <c r="E18657"/>
      <c r="F18657"/>
      <c r="L18657" s="45"/>
      <c r="N18657" s="56"/>
    </row>
    <row r="18658" spans="1:14" x14ac:dyDescent="0.3">
      <c r="A18658" s="42"/>
      <c r="C18658" s="52"/>
      <c r="D18658"/>
      <c r="E18658"/>
      <c r="F18658"/>
      <c r="L18658" s="45"/>
      <c r="N18658" s="56"/>
    </row>
    <row r="18659" spans="1:14" x14ac:dyDescent="0.3">
      <c r="A18659" s="42"/>
      <c r="C18659" s="52"/>
      <c r="D18659"/>
      <c r="E18659"/>
      <c r="F18659"/>
      <c r="L18659" s="45"/>
      <c r="N18659" s="56"/>
    </row>
    <row r="18660" spans="1:14" x14ac:dyDescent="0.3">
      <c r="A18660" s="42"/>
      <c r="C18660" s="52"/>
      <c r="D18660"/>
      <c r="E18660"/>
      <c r="F18660"/>
      <c r="N18660" s="56"/>
    </row>
    <row r="18661" spans="1:14" x14ac:dyDescent="0.3">
      <c r="A18661" s="42"/>
      <c r="C18661" s="52"/>
      <c r="D18661"/>
      <c r="E18661"/>
      <c r="F18661"/>
      <c r="L18661" s="45"/>
      <c r="N18661" s="56"/>
    </row>
    <row r="18662" spans="1:14" x14ac:dyDescent="0.3">
      <c r="A18662" s="42"/>
      <c r="C18662" s="52"/>
      <c r="D18662"/>
      <c r="E18662"/>
      <c r="F18662"/>
      <c r="L18662" s="45"/>
      <c r="N18662" s="56"/>
    </row>
    <row r="18663" spans="1:14" x14ac:dyDescent="0.3">
      <c r="A18663" s="42"/>
      <c r="C18663" s="52"/>
      <c r="D18663"/>
      <c r="E18663"/>
      <c r="F18663"/>
      <c r="L18663" s="45"/>
      <c r="N18663" s="56"/>
    </row>
    <row r="18664" spans="1:14" x14ac:dyDescent="0.3">
      <c r="A18664" s="42"/>
      <c r="C18664" s="52"/>
      <c r="D18664"/>
      <c r="E18664"/>
      <c r="F18664"/>
      <c r="L18664" s="45"/>
      <c r="N18664" s="56"/>
    </row>
    <row r="18665" spans="1:14" x14ac:dyDescent="0.3">
      <c r="A18665" s="42"/>
      <c r="C18665" s="52"/>
      <c r="D18665"/>
      <c r="E18665"/>
      <c r="F18665"/>
      <c r="L18665" s="45"/>
      <c r="N18665" s="56"/>
    </row>
    <row r="18666" spans="1:14" x14ac:dyDescent="0.3">
      <c r="A18666" s="42"/>
      <c r="C18666" s="52"/>
      <c r="D18666"/>
      <c r="E18666"/>
      <c r="F18666"/>
      <c r="L18666" s="45"/>
      <c r="N18666" s="56"/>
    </row>
    <row r="18667" spans="1:14" x14ac:dyDescent="0.3">
      <c r="A18667" s="42"/>
      <c r="C18667" s="52"/>
      <c r="D18667"/>
      <c r="E18667"/>
      <c r="F18667"/>
      <c r="N18667" s="56"/>
    </row>
    <row r="18668" spans="1:14" x14ac:dyDescent="0.3">
      <c r="A18668" s="42"/>
      <c r="C18668" s="52"/>
      <c r="D18668"/>
      <c r="E18668"/>
      <c r="F18668"/>
      <c r="N18668" s="56"/>
    </row>
    <row r="18669" spans="1:14" x14ac:dyDescent="0.3">
      <c r="A18669" s="42"/>
      <c r="C18669" s="52"/>
      <c r="D18669"/>
      <c r="E18669"/>
      <c r="F18669"/>
      <c r="L18669" s="45"/>
      <c r="N18669" s="56"/>
    </row>
    <row r="18670" spans="1:14" x14ac:dyDescent="0.3">
      <c r="A18670" s="42"/>
      <c r="C18670" s="52"/>
      <c r="D18670"/>
      <c r="E18670"/>
      <c r="F18670"/>
      <c r="L18670" s="45"/>
      <c r="N18670" s="56"/>
    </row>
    <row r="18671" spans="1:14" x14ac:dyDescent="0.3">
      <c r="A18671" s="42"/>
      <c r="C18671" s="52"/>
      <c r="D18671"/>
      <c r="E18671"/>
      <c r="F18671"/>
      <c r="N18671" s="56"/>
    </row>
    <row r="18672" spans="1:14" x14ac:dyDescent="0.3">
      <c r="A18672" s="42"/>
      <c r="C18672" s="52"/>
      <c r="D18672"/>
      <c r="E18672"/>
      <c r="F18672"/>
      <c r="N18672" s="56"/>
    </row>
    <row r="18673" spans="1:14" x14ac:dyDescent="0.3">
      <c r="A18673" s="42"/>
      <c r="C18673" s="52"/>
      <c r="D18673"/>
      <c r="E18673"/>
      <c r="F18673"/>
      <c r="L18673" s="45"/>
      <c r="N18673" s="56"/>
    </row>
    <row r="18674" spans="1:14" x14ac:dyDescent="0.3">
      <c r="A18674" s="42"/>
      <c r="C18674" s="52"/>
      <c r="D18674"/>
      <c r="E18674"/>
      <c r="F18674"/>
      <c r="L18674" s="45"/>
      <c r="N18674" s="56"/>
    </row>
    <row r="18675" spans="1:14" x14ac:dyDescent="0.3">
      <c r="A18675" s="42"/>
      <c r="C18675" s="52"/>
      <c r="D18675"/>
      <c r="E18675"/>
      <c r="F18675"/>
      <c r="L18675" s="45"/>
      <c r="N18675" s="56"/>
    </row>
    <row r="18676" spans="1:14" x14ac:dyDescent="0.3">
      <c r="A18676" s="42"/>
      <c r="C18676" s="52"/>
      <c r="D18676"/>
      <c r="E18676"/>
      <c r="F18676"/>
      <c r="L18676" s="45"/>
      <c r="N18676" s="56"/>
    </row>
    <row r="18677" spans="1:14" x14ac:dyDescent="0.3">
      <c r="A18677" s="42"/>
      <c r="C18677" s="52"/>
      <c r="D18677"/>
      <c r="E18677"/>
      <c r="F18677"/>
      <c r="L18677" s="45"/>
      <c r="N18677" s="56"/>
    </row>
    <row r="18678" spans="1:14" x14ac:dyDescent="0.3">
      <c r="A18678" s="42"/>
      <c r="C18678" s="52"/>
      <c r="D18678"/>
      <c r="E18678"/>
      <c r="F18678"/>
      <c r="L18678" s="45"/>
      <c r="N18678" s="56"/>
    </row>
    <row r="18679" spans="1:14" x14ac:dyDescent="0.3">
      <c r="A18679" s="42"/>
      <c r="C18679" s="52"/>
      <c r="D18679"/>
      <c r="E18679"/>
      <c r="F18679"/>
      <c r="N18679" s="56"/>
    </row>
    <row r="18680" spans="1:14" x14ac:dyDescent="0.3">
      <c r="A18680" s="42"/>
      <c r="C18680" s="52"/>
      <c r="D18680"/>
      <c r="E18680"/>
      <c r="F18680"/>
      <c r="N18680" s="56"/>
    </row>
    <row r="18681" spans="1:14" x14ac:dyDescent="0.3">
      <c r="A18681" s="42"/>
      <c r="C18681" s="52"/>
      <c r="D18681"/>
      <c r="E18681"/>
      <c r="F18681"/>
      <c r="N18681" s="56"/>
    </row>
    <row r="18682" spans="1:14" x14ac:dyDescent="0.3">
      <c r="A18682" s="42"/>
      <c r="C18682" s="52"/>
      <c r="D18682"/>
      <c r="E18682"/>
      <c r="F18682"/>
      <c r="N18682" s="56"/>
    </row>
    <row r="18683" spans="1:14" x14ac:dyDescent="0.3">
      <c r="A18683" s="42"/>
      <c r="C18683" s="52"/>
      <c r="D18683"/>
      <c r="E18683"/>
      <c r="F18683"/>
      <c r="L18683" s="45"/>
      <c r="N18683" s="56"/>
    </row>
    <row r="18684" spans="1:14" x14ac:dyDescent="0.3">
      <c r="A18684" s="42"/>
      <c r="C18684" s="52"/>
      <c r="D18684"/>
      <c r="E18684"/>
      <c r="F18684"/>
      <c r="L18684" s="45"/>
      <c r="N18684" s="56"/>
    </row>
    <row r="18685" spans="1:14" x14ac:dyDescent="0.3">
      <c r="A18685" s="42"/>
      <c r="C18685" s="52"/>
      <c r="D18685"/>
      <c r="E18685"/>
      <c r="F18685"/>
      <c r="N18685" s="56"/>
    </row>
    <row r="18686" spans="1:14" x14ac:dyDescent="0.3">
      <c r="A18686" s="42"/>
      <c r="C18686" s="52"/>
      <c r="D18686"/>
      <c r="E18686"/>
      <c r="F18686"/>
      <c r="N18686" s="56"/>
    </row>
    <row r="18687" spans="1:14" x14ac:dyDescent="0.3">
      <c r="A18687" s="42"/>
      <c r="C18687" s="52"/>
      <c r="D18687"/>
      <c r="E18687"/>
      <c r="F18687"/>
      <c r="N18687" s="56"/>
    </row>
    <row r="18688" spans="1:14" x14ac:dyDescent="0.3">
      <c r="A18688" s="42"/>
      <c r="C18688" s="52"/>
      <c r="D18688"/>
      <c r="E18688"/>
      <c r="F18688"/>
      <c r="L18688" s="45"/>
      <c r="N18688" s="56"/>
    </row>
    <row r="18689" spans="1:14" x14ac:dyDescent="0.3">
      <c r="A18689" s="42"/>
      <c r="C18689" s="52"/>
      <c r="D18689"/>
      <c r="E18689"/>
      <c r="F18689"/>
      <c r="L18689" s="45"/>
      <c r="N18689" s="56"/>
    </row>
    <row r="18690" spans="1:14" x14ac:dyDescent="0.3">
      <c r="A18690" s="42"/>
      <c r="C18690" s="52"/>
      <c r="D18690"/>
      <c r="E18690"/>
      <c r="F18690"/>
      <c r="L18690" s="45"/>
      <c r="N18690" s="56"/>
    </row>
    <row r="18691" spans="1:14" x14ac:dyDescent="0.3">
      <c r="A18691" s="42"/>
      <c r="C18691" s="52"/>
      <c r="D18691"/>
      <c r="E18691"/>
      <c r="F18691"/>
      <c r="N18691" s="56"/>
    </row>
    <row r="18692" spans="1:14" x14ac:dyDescent="0.3">
      <c r="A18692" s="42"/>
      <c r="C18692" s="52"/>
      <c r="D18692"/>
      <c r="E18692"/>
      <c r="F18692"/>
      <c r="N18692" s="56"/>
    </row>
    <row r="18693" spans="1:14" x14ac:dyDescent="0.3">
      <c r="A18693" s="42"/>
      <c r="C18693" s="52"/>
      <c r="D18693"/>
      <c r="E18693"/>
      <c r="F18693"/>
      <c r="N18693" s="56"/>
    </row>
    <row r="18694" spans="1:14" x14ac:dyDescent="0.3">
      <c r="A18694" s="42"/>
      <c r="C18694" s="52"/>
      <c r="D18694"/>
      <c r="E18694"/>
      <c r="F18694"/>
      <c r="N18694" s="56"/>
    </row>
    <row r="18695" spans="1:14" x14ac:dyDescent="0.3">
      <c r="A18695" s="42"/>
      <c r="C18695" s="52"/>
      <c r="D18695"/>
      <c r="E18695"/>
      <c r="F18695"/>
      <c r="N18695" s="56"/>
    </row>
    <row r="18696" spans="1:14" x14ac:dyDescent="0.3">
      <c r="A18696" s="42"/>
      <c r="C18696" s="52"/>
      <c r="D18696"/>
      <c r="E18696"/>
      <c r="F18696"/>
      <c r="N18696" s="56"/>
    </row>
    <row r="18697" spans="1:14" x14ac:dyDescent="0.3">
      <c r="A18697" s="42"/>
      <c r="C18697" s="52"/>
      <c r="D18697"/>
      <c r="E18697"/>
      <c r="F18697"/>
      <c r="L18697" s="45"/>
      <c r="N18697" s="56"/>
    </row>
    <row r="18698" spans="1:14" x14ac:dyDescent="0.3">
      <c r="A18698" s="42"/>
      <c r="C18698" s="52"/>
      <c r="D18698"/>
      <c r="E18698"/>
      <c r="F18698"/>
      <c r="L18698" s="45"/>
      <c r="N18698" s="56"/>
    </row>
    <row r="18699" spans="1:14" x14ac:dyDescent="0.3">
      <c r="A18699" s="42"/>
      <c r="C18699" s="52"/>
      <c r="D18699"/>
      <c r="E18699"/>
      <c r="F18699"/>
      <c r="N18699" s="56"/>
    </row>
    <row r="18700" spans="1:14" x14ac:dyDescent="0.3">
      <c r="A18700" s="42"/>
      <c r="C18700" s="52"/>
      <c r="D18700"/>
      <c r="E18700"/>
      <c r="F18700"/>
      <c r="N18700" s="56"/>
    </row>
    <row r="18701" spans="1:14" x14ac:dyDescent="0.3">
      <c r="A18701" s="42"/>
      <c r="C18701" s="52"/>
      <c r="D18701"/>
      <c r="E18701"/>
      <c r="F18701"/>
      <c r="L18701" s="45"/>
      <c r="N18701" s="56"/>
    </row>
    <row r="18702" spans="1:14" x14ac:dyDescent="0.3">
      <c r="A18702" s="42"/>
      <c r="C18702" s="52"/>
      <c r="D18702"/>
      <c r="E18702"/>
      <c r="F18702"/>
      <c r="N18702" s="56"/>
    </row>
    <row r="18703" spans="1:14" x14ac:dyDescent="0.3">
      <c r="A18703" s="42"/>
      <c r="C18703" s="52"/>
      <c r="D18703"/>
      <c r="E18703"/>
      <c r="F18703"/>
      <c r="L18703" s="45"/>
      <c r="N18703" s="56"/>
    </row>
    <row r="18704" spans="1:14" x14ac:dyDescent="0.3">
      <c r="A18704" s="42"/>
      <c r="C18704" s="52"/>
      <c r="D18704"/>
      <c r="E18704"/>
      <c r="F18704"/>
      <c r="N18704" s="56"/>
    </row>
    <row r="18705" spans="1:14" x14ac:dyDescent="0.3">
      <c r="A18705" s="42"/>
      <c r="C18705" s="52"/>
      <c r="D18705"/>
      <c r="E18705"/>
      <c r="F18705"/>
      <c r="N18705" s="56"/>
    </row>
    <row r="18706" spans="1:14" x14ac:dyDescent="0.3">
      <c r="A18706" s="42"/>
      <c r="C18706" s="52"/>
      <c r="D18706"/>
      <c r="E18706"/>
      <c r="F18706"/>
      <c r="N18706" s="56"/>
    </row>
    <row r="18707" spans="1:14" x14ac:dyDescent="0.3">
      <c r="A18707" s="42"/>
      <c r="C18707" s="52"/>
      <c r="D18707"/>
      <c r="E18707"/>
      <c r="F18707"/>
      <c r="N18707" s="56"/>
    </row>
    <row r="18708" spans="1:14" x14ac:dyDescent="0.3">
      <c r="A18708" s="42"/>
      <c r="C18708" s="52"/>
      <c r="D18708"/>
      <c r="E18708"/>
      <c r="F18708"/>
      <c r="N18708" s="56"/>
    </row>
    <row r="18709" spans="1:14" x14ac:dyDescent="0.3">
      <c r="A18709" s="42"/>
      <c r="C18709" s="52"/>
      <c r="D18709"/>
      <c r="E18709"/>
      <c r="F18709"/>
      <c r="N18709" s="56"/>
    </row>
    <row r="18710" spans="1:14" x14ac:dyDescent="0.3">
      <c r="A18710" s="42"/>
      <c r="C18710" s="52"/>
      <c r="D18710"/>
      <c r="E18710"/>
      <c r="F18710"/>
      <c r="L18710" s="45"/>
      <c r="N18710" s="56"/>
    </row>
    <row r="18711" spans="1:14" x14ac:dyDescent="0.3">
      <c r="A18711" s="42"/>
      <c r="C18711" s="52"/>
      <c r="D18711"/>
      <c r="E18711"/>
      <c r="F18711"/>
      <c r="L18711" s="45"/>
      <c r="N18711" s="56"/>
    </row>
    <row r="18712" spans="1:14" x14ac:dyDescent="0.3">
      <c r="A18712" s="42"/>
      <c r="C18712" s="52"/>
      <c r="D18712"/>
      <c r="E18712"/>
      <c r="F18712"/>
      <c r="N18712" s="56"/>
    </row>
    <row r="18713" spans="1:14" x14ac:dyDescent="0.3">
      <c r="A18713" s="42"/>
      <c r="C18713" s="52"/>
      <c r="D18713"/>
      <c r="E18713"/>
      <c r="F18713"/>
      <c r="N18713" s="56"/>
    </row>
    <row r="18714" spans="1:14" x14ac:dyDescent="0.3">
      <c r="A18714" s="42"/>
      <c r="C18714" s="52"/>
      <c r="D18714"/>
      <c r="E18714"/>
      <c r="F18714"/>
      <c r="N18714" s="56"/>
    </row>
    <row r="18715" spans="1:14" x14ac:dyDescent="0.3">
      <c r="A18715" s="42"/>
      <c r="C18715" s="52"/>
      <c r="D18715"/>
      <c r="E18715"/>
      <c r="F18715"/>
      <c r="N18715" s="56"/>
    </row>
    <row r="18716" spans="1:14" x14ac:dyDescent="0.3">
      <c r="A18716" s="42"/>
      <c r="C18716" s="52"/>
      <c r="D18716"/>
      <c r="E18716"/>
      <c r="F18716"/>
      <c r="N18716" s="56"/>
    </row>
    <row r="18717" spans="1:14" x14ac:dyDescent="0.3">
      <c r="A18717" s="42"/>
      <c r="C18717" s="52"/>
      <c r="D18717"/>
      <c r="E18717"/>
      <c r="F18717"/>
      <c r="N18717" s="56"/>
    </row>
    <row r="18718" spans="1:14" x14ac:dyDescent="0.3">
      <c r="A18718" s="42"/>
      <c r="C18718" s="52"/>
      <c r="D18718"/>
      <c r="E18718"/>
      <c r="F18718"/>
      <c r="N18718" s="56"/>
    </row>
    <row r="18719" spans="1:14" x14ac:dyDescent="0.3">
      <c r="A18719" s="42"/>
      <c r="C18719" s="52"/>
      <c r="D18719"/>
      <c r="E18719"/>
      <c r="F18719"/>
      <c r="N18719" s="56"/>
    </row>
    <row r="18720" spans="1:14" x14ac:dyDescent="0.3">
      <c r="A18720" s="42"/>
      <c r="C18720" s="52"/>
      <c r="D18720"/>
      <c r="E18720"/>
      <c r="F18720"/>
      <c r="N18720" s="56"/>
    </row>
    <row r="18721" spans="1:14" x14ac:dyDescent="0.3">
      <c r="A18721" s="42"/>
      <c r="C18721" s="52"/>
      <c r="D18721"/>
      <c r="E18721"/>
      <c r="F18721"/>
      <c r="N18721" s="56"/>
    </row>
    <row r="18722" spans="1:14" x14ac:dyDescent="0.3">
      <c r="A18722" s="42"/>
      <c r="C18722" s="52"/>
      <c r="D18722"/>
      <c r="E18722"/>
      <c r="F18722"/>
      <c r="N18722" s="56"/>
    </row>
    <row r="18723" spans="1:14" x14ac:dyDescent="0.3">
      <c r="A18723" s="42"/>
      <c r="C18723" s="52"/>
      <c r="D18723"/>
      <c r="E18723"/>
      <c r="F18723"/>
      <c r="L18723" s="45"/>
      <c r="N18723" s="56"/>
    </row>
    <row r="18724" spans="1:14" x14ac:dyDescent="0.3">
      <c r="A18724" s="42"/>
      <c r="C18724" s="52"/>
      <c r="D18724"/>
      <c r="E18724"/>
      <c r="F18724"/>
      <c r="N18724" s="56"/>
    </row>
    <row r="18725" spans="1:14" x14ac:dyDescent="0.3">
      <c r="A18725" s="42"/>
      <c r="C18725" s="52"/>
      <c r="D18725"/>
      <c r="E18725"/>
      <c r="F18725"/>
      <c r="N18725" s="56"/>
    </row>
    <row r="18726" spans="1:14" x14ac:dyDescent="0.3">
      <c r="A18726" s="42"/>
      <c r="C18726" s="52"/>
      <c r="D18726"/>
      <c r="E18726"/>
      <c r="F18726"/>
      <c r="N18726" s="56"/>
    </row>
    <row r="18727" spans="1:14" x14ac:dyDescent="0.3">
      <c r="A18727" s="42"/>
      <c r="C18727" s="98"/>
      <c r="D18727" s="97"/>
      <c r="E18727" s="97"/>
      <c r="F18727" s="97"/>
      <c r="G18727" s="100"/>
      <c r="H18727" s="101"/>
      <c r="I18727" s="99"/>
      <c r="J18727" s="102"/>
      <c r="K18727" s="103"/>
      <c r="L18727" s="97"/>
      <c r="N18727" s="56"/>
    </row>
    <row r="18728" spans="1:14" x14ac:dyDescent="0.3">
      <c r="A18728" s="42"/>
      <c r="C18728" s="52"/>
      <c r="D18728"/>
      <c r="E18728"/>
      <c r="F18728"/>
      <c r="N18728" s="56"/>
    </row>
    <row r="18729" spans="1:14" x14ac:dyDescent="0.3">
      <c r="A18729" s="42"/>
      <c r="C18729" s="52"/>
      <c r="D18729"/>
      <c r="E18729"/>
      <c r="F18729"/>
      <c r="N18729" s="56"/>
    </row>
    <row r="18730" spans="1:14" x14ac:dyDescent="0.3">
      <c r="A18730" s="42"/>
      <c r="C18730" s="52"/>
      <c r="D18730"/>
      <c r="E18730"/>
      <c r="F18730"/>
      <c r="N18730" s="56"/>
    </row>
    <row r="18731" spans="1:14" x14ac:dyDescent="0.3">
      <c r="A18731" s="42"/>
      <c r="C18731" s="52"/>
      <c r="D18731"/>
      <c r="E18731"/>
      <c r="F18731"/>
      <c r="N18731" s="56"/>
    </row>
    <row r="18732" spans="1:14" x14ac:dyDescent="0.3">
      <c r="A18732" s="42"/>
      <c r="C18732" s="52"/>
      <c r="D18732"/>
      <c r="E18732"/>
      <c r="F18732"/>
      <c r="N18732" s="56"/>
    </row>
    <row r="18733" spans="1:14" x14ac:dyDescent="0.3">
      <c r="A18733" s="42"/>
      <c r="C18733" s="52"/>
      <c r="D18733"/>
      <c r="E18733"/>
      <c r="F18733"/>
      <c r="N18733" s="56"/>
    </row>
    <row r="18734" spans="1:14" x14ac:dyDescent="0.3">
      <c r="A18734" s="42"/>
      <c r="C18734" s="52"/>
      <c r="D18734"/>
      <c r="E18734"/>
      <c r="F18734"/>
      <c r="N18734" s="56"/>
    </row>
    <row r="18735" spans="1:14" x14ac:dyDescent="0.3">
      <c r="A18735" s="42"/>
      <c r="C18735" s="52"/>
      <c r="D18735"/>
      <c r="E18735"/>
      <c r="F18735"/>
      <c r="N18735" s="56"/>
    </row>
    <row r="18736" spans="1:14" x14ac:dyDescent="0.3">
      <c r="A18736" s="42"/>
      <c r="C18736" s="52"/>
      <c r="D18736"/>
      <c r="E18736"/>
      <c r="F18736"/>
      <c r="N18736" s="56"/>
    </row>
    <row r="18737" spans="1:14" x14ac:dyDescent="0.3">
      <c r="A18737" s="42"/>
      <c r="C18737" s="52"/>
      <c r="D18737"/>
      <c r="E18737"/>
      <c r="F18737"/>
      <c r="N18737" s="56"/>
    </row>
    <row r="18738" spans="1:14" x14ac:dyDescent="0.3">
      <c r="A18738" s="42"/>
      <c r="C18738" s="52"/>
      <c r="D18738"/>
      <c r="E18738"/>
      <c r="F18738"/>
      <c r="N18738" s="56"/>
    </row>
    <row r="18739" spans="1:14" x14ac:dyDescent="0.3">
      <c r="A18739" s="42"/>
      <c r="C18739" s="52"/>
      <c r="D18739"/>
      <c r="E18739"/>
      <c r="F18739"/>
      <c r="N18739" s="56"/>
    </row>
    <row r="18740" spans="1:14" x14ac:dyDescent="0.3">
      <c r="A18740" s="42"/>
      <c r="C18740" s="52"/>
      <c r="D18740"/>
      <c r="E18740"/>
      <c r="F18740"/>
      <c r="N18740" s="56"/>
    </row>
    <row r="18741" spans="1:14" x14ac:dyDescent="0.3">
      <c r="A18741" s="42"/>
      <c r="C18741" s="52"/>
      <c r="D18741"/>
      <c r="E18741"/>
      <c r="F18741"/>
      <c r="N18741" s="56"/>
    </row>
    <row r="18742" spans="1:14" x14ac:dyDescent="0.3">
      <c r="A18742" s="42"/>
      <c r="C18742" s="52"/>
      <c r="D18742"/>
      <c r="E18742"/>
      <c r="F18742"/>
      <c r="L18742" s="45"/>
      <c r="N18742" s="56"/>
    </row>
    <row r="18743" spans="1:14" x14ac:dyDescent="0.3">
      <c r="A18743" s="42"/>
      <c r="C18743" s="52"/>
      <c r="D18743"/>
      <c r="E18743"/>
      <c r="F18743"/>
      <c r="L18743" s="45"/>
      <c r="N18743" s="56"/>
    </row>
    <row r="18744" spans="1:14" x14ac:dyDescent="0.3">
      <c r="A18744" s="42"/>
      <c r="C18744" s="52"/>
      <c r="D18744"/>
      <c r="E18744"/>
      <c r="F18744"/>
      <c r="N18744" s="56"/>
    </row>
    <row r="18745" spans="1:14" x14ac:dyDescent="0.3">
      <c r="A18745" s="42"/>
      <c r="C18745" s="52"/>
      <c r="D18745"/>
      <c r="E18745"/>
      <c r="F18745"/>
      <c r="N18745" s="56"/>
    </row>
    <row r="18746" spans="1:14" x14ac:dyDescent="0.3">
      <c r="A18746" s="42"/>
      <c r="C18746" s="52"/>
      <c r="D18746"/>
      <c r="E18746"/>
      <c r="F18746"/>
      <c r="N18746" s="56"/>
    </row>
    <row r="18747" spans="1:14" x14ac:dyDescent="0.3">
      <c r="A18747" s="42"/>
      <c r="C18747" s="52"/>
      <c r="D18747"/>
      <c r="E18747"/>
      <c r="F18747"/>
      <c r="N18747" s="56"/>
    </row>
    <row r="18748" spans="1:14" x14ac:dyDescent="0.3">
      <c r="A18748" s="42"/>
      <c r="C18748" s="52"/>
      <c r="D18748"/>
      <c r="E18748"/>
      <c r="F18748"/>
      <c r="N18748" s="56"/>
    </row>
    <row r="18749" spans="1:14" x14ac:dyDescent="0.3">
      <c r="A18749" s="42"/>
      <c r="C18749" s="52"/>
      <c r="D18749"/>
      <c r="E18749"/>
      <c r="F18749"/>
      <c r="N18749" s="56"/>
    </row>
    <row r="18750" spans="1:14" x14ac:dyDescent="0.3">
      <c r="A18750" s="42"/>
      <c r="C18750" s="52"/>
      <c r="D18750"/>
      <c r="E18750"/>
      <c r="F18750"/>
      <c r="N18750" s="56"/>
    </row>
    <row r="18751" spans="1:14" x14ac:dyDescent="0.3">
      <c r="A18751" s="42"/>
      <c r="C18751" s="52"/>
      <c r="D18751"/>
      <c r="E18751"/>
      <c r="F18751"/>
      <c r="N18751" s="56"/>
    </row>
    <row r="18752" spans="1:14" x14ac:dyDescent="0.3">
      <c r="A18752" s="42"/>
      <c r="C18752" s="52"/>
      <c r="D18752"/>
      <c r="E18752"/>
      <c r="F18752"/>
      <c r="N18752" s="56"/>
    </row>
    <row r="18753" spans="1:14" x14ac:dyDescent="0.3">
      <c r="A18753" s="42"/>
      <c r="C18753" s="52"/>
      <c r="D18753"/>
      <c r="E18753"/>
      <c r="F18753"/>
      <c r="L18753" s="45"/>
      <c r="N18753" s="56"/>
    </row>
    <row r="18754" spans="1:14" x14ac:dyDescent="0.3">
      <c r="A18754" s="42"/>
      <c r="C18754" s="52"/>
      <c r="D18754"/>
      <c r="E18754"/>
      <c r="F18754"/>
      <c r="L18754" s="45"/>
      <c r="N18754" s="56"/>
    </row>
    <row r="18755" spans="1:14" x14ac:dyDescent="0.3">
      <c r="A18755" s="42"/>
      <c r="C18755" s="52"/>
      <c r="D18755"/>
      <c r="E18755"/>
      <c r="F18755"/>
      <c r="L18755" s="45"/>
      <c r="N18755" s="56"/>
    </row>
    <row r="18756" spans="1:14" x14ac:dyDescent="0.3">
      <c r="A18756" s="42"/>
      <c r="C18756" s="52"/>
      <c r="D18756"/>
      <c r="E18756"/>
      <c r="F18756"/>
      <c r="N18756" s="56"/>
    </row>
    <row r="18757" spans="1:14" x14ac:dyDescent="0.3">
      <c r="A18757" s="42"/>
      <c r="C18757" s="52"/>
      <c r="D18757"/>
      <c r="E18757"/>
      <c r="F18757"/>
      <c r="N18757" s="56"/>
    </row>
    <row r="18758" spans="1:14" x14ac:dyDescent="0.3">
      <c r="A18758" s="42"/>
      <c r="C18758" s="52"/>
      <c r="D18758"/>
      <c r="E18758"/>
      <c r="F18758"/>
      <c r="N18758" s="56"/>
    </row>
    <row r="18759" spans="1:14" x14ac:dyDescent="0.3">
      <c r="A18759" s="42"/>
      <c r="C18759" s="52"/>
      <c r="D18759"/>
      <c r="E18759"/>
      <c r="F18759"/>
      <c r="N18759" s="56"/>
    </row>
    <row r="18760" spans="1:14" x14ac:dyDescent="0.3">
      <c r="A18760" s="42"/>
      <c r="C18760" s="52"/>
      <c r="D18760"/>
      <c r="E18760"/>
      <c r="F18760"/>
      <c r="N18760" s="56"/>
    </row>
    <row r="18761" spans="1:14" x14ac:dyDescent="0.3">
      <c r="A18761" s="42"/>
      <c r="C18761" s="52"/>
      <c r="D18761"/>
      <c r="E18761"/>
      <c r="F18761"/>
      <c r="L18761" s="45"/>
      <c r="N18761" s="56"/>
    </row>
    <row r="18762" spans="1:14" x14ac:dyDescent="0.3">
      <c r="A18762" s="42"/>
      <c r="C18762" s="52"/>
      <c r="D18762"/>
      <c r="E18762"/>
      <c r="F18762"/>
      <c r="N18762" s="56"/>
    </row>
    <row r="18763" spans="1:14" x14ac:dyDescent="0.3">
      <c r="A18763" s="42"/>
      <c r="C18763" s="52"/>
      <c r="D18763"/>
      <c r="E18763"/>
      <c r="F18763"/>
      <c r="L18763" s="45"/>
      <c r="N18763" s="56"/>
    </row>
    <row r="18764" spans="1:14" x14ac:dyDescent="0.3">
      <c r="A18764" s="42"/>
      <c r="C18764" s="52"/>
      <c r="D18764"/>
      <c r="E18764"/>
      <c r="F18764"/>
      <c r="N18764" s="56"/>
    </row>
    <row r="18765" spans="1:14" x14ac:dyDescent="0.3">
      <c r="A18765" s="42"/>
      <c r="C18765" s="52"/>
      <c r="D18765"/>
      <c r="E18765"/>
      <c r="F18765"/>
      <c r="N18765" s="56"/>
    </row>
    <row r="18766" spans="1:14" x14ac:dyDescent="0.3">
      <c r="A18766" s="42"/>
      <c r="C18766" s="52"/>
      <c r="D18766"/>
      <c r="E18766"/>
      <c r="F18766"/>
      <c r="N18766" s="56"/>
    </row>
    <row r="18767" spans="1:14" x14ac:dyDescent="0.3">
      <c r="A18767" s="42"/>
      <c r="C18767" s="52"/>
      <c r="D18767"/>
      <c r="E18767"/>
      <c r="F18767"/>
      <c r="N18767" s="56"/>
    </row>
    <row r="18768" spans="1:14" x14ac:dyDescent="0.3">
      <c r="A18768" s="42"/>
      <c r="C18768" s="52"/>
      <c r="D18768"/>
      <c r="E18768"/>
      <c r="F18768"/>
      <c r="N18768" s="56"/>
    </row>
    <row r="18769" spans="1:14" x14ac:dyDescent="0.3">
      <c r="A18769" s="42"/>
      <c r="C18769" s="52"/>
      <c r="D18769"/>
      <c r="E18769"/>
      <c r="F18769"/>
      <c r="N18769" s="56"/>
    </row>
    <row r="18770" spans="1:14" x14ac:dyDescent="0.3">
      <c r="A18770" s="42"/>
      <c r="C18770" s="52"/>
      <c r="D18770"/>
      <c r="E18770"/>
      <c r="F18770"/>
      <c r="N18770" s="56"/>
    </row>
    <row r="18771" spans="1:14" x14ac:dyDescent="0.3">
      <c r="A18771" s="42"/>
      <c r="C18771" s="52"/>
      <c r="D18771"/>
      <c r="E18771"/>
      <c r="F18771"/>
      <c r="N18771" s="56"/>
    </row>
    <row r="18772" spans="1:14" x14ac:dyDescent="0.3">
      <c r="A18772" s="42"/>
      <c r="C18772" s="52"/>
      <c r="D18772"/>
      <c r="E18772"/>
      <c r="F18772"/>
      <c r="N18772" s="56"/>
    </row>
    <row r="18773" spans="1:14" x14ac:dyDescent="0.3">
      <c r="A18773" s="42"/>
      <c r="C18773" s="52"/>
      <c r="D18773"/>
      <c r="E18773"/>
      <c r="F18773"/>
      <c r="N18773" s="56"/>
    </row>
    <row r="18774" spans="1:14" x14ac:dyDescent="0.3">
      <c r="A18774" s="42"/>
      <c r="C18774" s="52"/>
      <c r="D18774"/>
      <c r="E18774"/>
      <c r="F18774"/>
      <c r="L18774" s="45"/>
      <c r="N18774" s="56"/>
    </row>
    <row r="18775" spans="1:14" x14ac:dyDescent="0.3">
      <c r="A18775" s="42"/>
      <c r="C18775" s="52"/>
      <c r="D18775"/>
      <c r="E18775"/>
      <c r="F18775"/>
      <c r="N18775" s="56"/>
    </row>
    <row r="18776" spans="1:14" x14ac:dyDescent="0.3">
      <c r="A18776" s="42"/>
      <c r="C18776" s="52"/>
      <c r="D18776"/>
      <c r="E18776"/>
      <c r="F18776"/>
      <c r="N18776" s="56"/>
    </row>
    <row r="18777" spans="1:14" x14ac:dyDescent="0.3">
      <c r="A18777" s="42"/>
      <c r="C18777" s="52"/>
      <c r="D18777"/>
      <c r="E18777"/>
      <c r="F18777"/>
      <c r="N18777" s="56"/>
    </row>
    <row r="18778" spans="1:14" x14ac:dyDescent="0.3">
      <c r="A18778" s="42"/>
      <c r="C18778" s="52"/>
      <c r="D18778"/>
      <c r="E18778"/>
      <c r="F18778"/>
      <c r="N18778" s="56"/>
    </row>
    <row r="18779" spans="1:14" x14ac:dyDescent="0.3">
      <c r="A18779" s="42"/>
      <c r="C18779" s="52"/>
      <c r="D18779"/>
      <c r="E18779"/>
      <c r="F18779"/>
      <c r="N18779" s="56"/>
    </row>
    <row r="18780" spans="1:14" x14ac:dyDescent="0.3">
      <c r="A18780" s="42"/>
      <c r="C18780" s="52"/>
      <c r="D18780"/>
      <c r="E18780"/>
      <c r="F18780"/>
      <c r="N18780" s="56"/>
    </row>
    <row r="18781" spans="1:14" x14ac:dyDescent="0.3">
      <c r="A18781" s="42"/>
      <c r="C18781" s="52"/>
      <c r="D18781"/>
      <c r="E18781"/>
      <c r="F18781"/>
      <c r="N18781" s="56"/>
    </row>
    <row r="18782" spans="1:14" x14ac:dyDescent="0.3">
      <c r="A18782" s="42"/>
      <c r="C18782" s="52"/>
      <c r="D18782"/>
      <c r="E18782"/>
      <c r="F18782"/>
      <c r="N18782" s="56"/>
    </row>
    <row r="18783" spans="1:14" x14ac:dyDescent="0.3">
      <c r="A18783" s="42"/>
      <c r="C18783" s="52"/>
      <c r="D18783"/>
      <c r="E18783"/>
      <c r="F18783"/>
      <c r="N18783" s="56"/>
    </row>
    <row r="18784" spans="1:14" x14ac:dyDescent="0.3">
      <c r="A18784" s="42"/>
      <c r="C18784" s="52"/>
      <c r="D18784"/>
      <c r="E18784"/>
      <c r="F18784"/>
      <c r="N18784" s="56"/>
    </row>
    <row r="18785" spans="1:15" x14ac:dyDescent="0.3">
      <c r="A18785" s="42"/>
      <c r="C18785" s="52"/>
      <c r="D18785"/>
      <c r="E18785"/>
      <c r="F18785"/>
      <c r="N18785" s="56"/>
    </row>
    <row r="18786" spans="1:15" x14ac:dyDescent="0.3">
      <c r="A18786" s="42"/>
      <c r="C18786" s="52"/>
      <c r="D18786"/>
      <c r="E18786"/>
      <c r="F18786"/>
      <c r="N18786" s="56"/>
    </row>
    <row r="18787" spans="1:15" x14ac:dyDescent="0.3">
      <c r="A18787" s="42"/>
      <c r="C18787" s="52"/>
      <c r="D18787"/>
      <c r="E18787"/>
      <c r="F18787"/>
      <c r="N18787" s="56"/>
    </row>
    <row r="18788" spans="1:15" x14ac:dyDescent="0.3">
      <c r="A18788" s="42"/>
      <c r="C18788" s="52"/>
      <c r="D18788"/>
      <c r="E18788"/>
      <c r="F18788"/>
      <c r="N18788" s="56"/>
    </row>
    <row r="18789" spans="1:15" x14ac:dyDescent="0.3">
      <c r="A18789" s="42"/>
      <c r="C18789" s="52"/>
      <c r="D18789"/>
      <c r="E18789"/>
      <c r="F18789"/>
      <c r="N18789" s="56"/>
    </row>
    <row r="18790" spans="1:15" x14ac:dyDescent="0.3">
      <c r="A18790" s="42"/>
      <c r="C18790" s="52"/>
      <c r="D18790"/>
      <c r="E18790"/>
      <c r="F18790"/>
      <c r="N18790" s="56"/>
    </row>
    <row r="18791" spans="1:15" x14ac:dyDescent="0.3">
      <c r="A18791" s="42"/>
      <c r="C18791" s="89"/>
      <c r="D18791" s="90"/>
      <c r="E18791" s="90"/>
      <c r="F18791" s="90"/>
      <c r="G18791" s="91"/>
      <c r="H18791" s="92"/>
      <c r="I18791" s="88"/>
      <c r="J18791" s="93"/>
      <c r="K18791" s="94"/>
      <c r="L18791" s="95"/>
      <c r="M18791" s="90"/>
      <c r="N18791" s="96"/>
      <c r="O18791" s="90"/>
    </row>
    <row r="18792" spans="1:15" x14ac:dyDescent="0.3">
      <c r="A18792" s="42"/>
      <c r="C18792" s="52"/>
      <c r="D18792"/>
      <c r="E18792"/>
      <c r="F18792"/>
      <c r="N18792" s="56"/>
    </row>
    <row r="18793" spans="1:15" x14ac:dyDescent="0.3">
      <c r="A18793" s="42"/>
      <c r="C18793" s="52"/>
      <c r="D18793"/>
      <c r="E18793"/>
      <c r="F18793"/>
      <c r="N18793" s="56"/>
    </row>
    <row r="18794" spans="1:15" x14ac:dyDescent="0.3">
      <c r="A18794" s="42"/>
      <c r="C18794" s="52"/>
      <c r="D18794"/>
      <c r="E18794"/>
      <c r="F18794"/>
      <c r="N18794" s="56"/>
    </row>
    <row r="18795" spans="1:15" x14ac:dyDescent="0.3">
      <c r="A18795" s="42"/>
      <c r="C18795" s="52"/>
      <c r="D18795"/>
      <c r="E18795"/>
      <c r="F18795"/>
      <c r="L18795" s="45"/>
      <c r="N18795" s="56"/>
    </row>
    <row r="18796" spans="1:15" x14ac:dyDescent="0.3">
      <c r="A18796" s="42"/>
      <c r="C18796" s="52"/>
      <c r="D18796"/>
      <c r="E18796"/>
      <c r="F18796"/>
      <c r="N18796" s="56"/>
    </row>
    <row r="18797" spans="1:15" x14ac:dyDescent="0.3">
      <c r="A18797" s="42"/>
      <c r="C18797" s="52"/>
      <c r="D18797"/>
      <c r="E18797"/>
      <c r="F18797"/>
      <c r="N18797" s="56"/>
    </row>
    <row r="18798" spans="1:15" x14ac:dyDescent="0.3">
      <c r="A18798" s="42"/>
      <c r="C18798" s="52"/>
      <c r="D18798"/>
      <c r="E18798"/>
      <c r="F18798"/>
      <c r="N18798" s="56"/>
    </row>
    <row r="18799" spans="1:15" x14ac:dyDescent="0.3">
      <c r="A18799" s="42"/>
      <c r="C18799" s="52"/>
      <c r="D18799"/>
      <c r="E18799"/>
      <c r="F18799"/>
      <c r="N18799" s="56"/>
    </row>
    <row r="18800" spans="1:15" x14ac:dyDescent="0.3">
      <c r="A18800" s="42"/>
      <c r="C18800" s="52"/>
      <c r="D18800"/>
      <c r="E18800"/>
      <c r="F18800"/>
      <c r="N18800" s="56"/>
    </row>
    <row r="18801" spans="1:15" x14ac:dyDescent="0.3">
      <c r="A18801" s="42"/>
      <c r="C18801" s="52"/>
      <c r="D18801"/>
      <c r="E18801"/>
      <c r="F18801"/>
      <c r="N18801" s="56"/>
    </row>
    <row r="18802" spans="1:15" x14ac:dyDescent="0.3">
      <c r="A18802" s="42"/>
      <c r="C18802" s="52"/>
      <c r="D18802"/>
      <c r="E18802"/>
      <c r="F18802"/>
      <c r="N18802" s="56"/>
    </row>
    <row r="18803" spans="1:15" x14ac:dyDescent="0.3">
      <c r="A18803" s="42"/>
      <c r="C18803" s="52"/>
      <c r="D18803"/>
      <c r="E18803"/>
      <c r="F18803"/>
      <c r="N18803" s="56"/>
    </row>
    <row r="18804" spans="1:15" x14ac:dyDescent="0.3">
      <c r="A18804" s="42"/>
      <c r="C18804" s="52"/>
      <c r="D18804"/>
      <c r="E18804"/>
      <c r="F18804"/>
      <c r="N18804" s="56"/>
    </row>
    <row r="18805" spans="1:15" x14ac:dyDescent="0.3">
      <c r="A18805" s="42"/>
      <c r="C18805" s="89"/>
      <c r="D18805" s="90"/>
      <c r="E18805" s="90"/>
      <c r="F18805" s="90"/>
      <c r="G18805" s="91"/>
      <c r="H18805" s="92"/>
      <c r="I18805" s="88"/>
      <c r="J18805" s="93"/>
      <c r="K18805" s="94"/>
      <c r="L18805" s="90"/>
      <c r="M18805" s="90"/>
      <c r="N18805" s="96"/>
      <c r="O18805" s="90"/>
    </row>
    <row r="18806" spans="1:15" x14ac:dyDescent="0.3">
      <c r="A18806" s="42"/>
      <c r="C18806" s="52"/>
      <c r="D18806"/>
      <c r="E18806"/>
      <c r="F18806"/>
      <c r="N18806" s="56"/>
    </row>
    <row r="18807" spans="1:15" x14ac:dyDescent="0.3">
      <c r="A18807" s="42"/>
      <c r="C18807" s="52"/>
      <c r="D18807"/>
      <c r="E18807"/>
      <c r="F18807"/>
      <c r="N18807" s="56"/>
    </row>
    <row r="18808" spans="1:15" x14ac:dyDescent="0.3">
      <c r="A18808" s="42"/>
      <c r="C18808" s="52"/>
      <c r="D18808"/>
      <c r="E18808"/>
      <c r="F18808"/>
      <c r="N18808" s="56"/>
    </row>
    <row r="18809" spans="1:15" x14ac:dyDescent="0.3">
      <c r="A18809" s="42"/>
      <c r="C18809" s="52"/>
      <c r="D18809"/>
      <c r="E18809"/>
      <c r="F18809"/>
      <c r="N18809" s="56"/>
    </row>
    <row r="18810" spans="1:15" x14ac:dyDescent="0.3">
      <c r="A18810" s="42"/>
      <c r="C18810" s="52"/>
      <c r="D18810"/>
      <c r="E18810"/>
      <c r="F18810"/>
      <c r="N18810" s="56"/>
    </row>
    <row r="18811" spans="1:15" x14ac:dyDescent="0.3">
      <c r="A18811" s="42"/>
      <c r="C18811" s="52"/>
      <c r="D18811"/>
      <c r="E18811"/>
      <c r="F18811"/>
      <c r="N18811" s="56"/>
    </row>
    <row r="18812" spans="1:15" x14ac:dyDescent="0.3">
      <c r="A18812" s="42"/>
      <c r="C18812" s="52"/>
      <c r="D18812"/>
      <c r="E18812"/>
      <c r="F18812"/>
      <c r="N18812" s="56"/>
    </row>
    <row r="18813" spans="1:15" x14ac:dyDescent="0.3">
      <c r="A18813" s="42"/>
      <c r="C18813" s="52"/>
      <c r="D18813"/>
      <c r="E18813"/>
      <c r="F18813"/>
      <c r="N18813" s="56"/>
    </row>
    <row r="18814" spans="1:15" x14ac:dyDescent="0.3">
      <c r="A18814" s="42"/>
      <c r="C18814" s="52"/>
      <c r="D18814"/>
      <c r="E18814"/>
      <c r="F18814"/>
      <c r="N18814" s="56"/>
    </row>
    <row r="18815" spans="1:15" x14ac:dyDescent="0.3">
      <c r="A18815" s="42"/>
      <c r="C18815" s="52"/>
      <c r="D18815"/>
      <c r="E18815"/>
      <c r="F18815"/>
      <c r="N18815" s="56"/>
    </row>
    <row r="18816" spans="1:15" x14ac:dyDescent="0.3">
      <c r="A18816" s="42"/>
      <c r="C18816" s="52"/>
      <c r="D18816"/>
      <c r="E18816"/>
      <c r="F18816"/>
      <c r="N18816" s="56"/>
    </row>
    <row r="18817" spans="1:14" x14ac:dyDescent="0.3">
      <c r="A18817" s="42"/>
      <c r="C18817" s="52"/>
      <c r="D18817"/>
      <c r="E18817"/>
      <c r="F18817"/>
      <c r="N18817" s="56"/>
    </row>
    <row r="18818" spans="1:14" x14ac:dyDescent="0.3">
      <c r="A18818" s="42"/>
      <c r="C18818" s="52"/>
      <c r="D18818"/>
      <c r="E18818"/>
      <c r="F18818"/>
      <c r="N18818" s="56"/>
    </row>
    <row r="18819" spans="1:14" x14ac:dyDescent="0.3">
      <c r="A18819" s="42"/>
      <c r="C18819" s="52"/>
      <c r="D18819"/>
      <c r="E18819"/>
      <c r="F18819"/>
      <c r="N18819" s="56"/>
    </row>
    <row r="18820" spans="1:14" x14ac:dyDescent="0.3">
      <c r="A18820" s="42"/>
      <c r="C18820" s="52"/>
      <c r="D18820"/>
      <c r="E18820"/>
      <c r="F18820"/>
      <c r="N18820" s="56"/>
    </row>
    <row r="18821" spans="1:14" x14ac:dyDescent="0.3">
      <c r="A18821" s="42"/>
      <c r="C18821" s="52"/>
      <c r="D18821"/>
      <c r="E18821"/>
      <c r="F18821"/>
      <c r="N18821" s="56"/>
    </row>
    <row r="18822" spans="1:14" x14ac:dyDescent="0.3">
      <c r="A18822" s="42"/>
      <c r="C18822" s="52"/>
      <c r="D18822"/>
      <c r="E18822"/>
      <c r="F18822"/>
      <c r="N18822" s="56"/>
    </row>
    <row r="18823" spans="1:14" x14ac:dyDescent="0.3">
      <c r="A18823" s="42"/>
      <c r="C18823" s="52"/>
      <c r="D18823"/>
      <c r="E18823"/>
      <c r="F18823"/>
      <c r="N18823" s="56"/>
    </row>
    <row r="18824" spans="1:14" x14ac:dyDescent="0.3">
      <c r="A18824" s="42"/>
      <c r="C18824" s="52"/>
      <c r="D18824"/>
      <c r="E18824"/>
      <c r="F18824"/>
      <c r="N18824" s="56"/>
    </row>
    <row r="18825" spans="1:14" x14ac:dyDescent="0.3">
      <c r="A18825" s="42"/>
      <c r="C18825" s="52"/>
      <c r="D18825"/>
      <c r="E18825"/>
      <c r="F18825"/>
      <c r="N18825" s="56"/>
    </row>
    <row r="18826" spans="1:14" x14ac:dyDescent="0.3">
      <c r="A18826" s="42"/>
      <c r="C18826" s="52"/>
      <c r="D18826"/>
      <c r="E18826"/>
      <c r="F18826"/>
      <c r="N18826" s="56"/>
    </row>
    <row r="18827" spans="1:14" x14ac:dyDescent="0.3">
      <c r="A18827" s="42"/>
      <c r="C18827" s="52"/>
      <c r="D18827"/>
      <c r="E18827"/>
      <c r="F18827"/>
      <c r="N18827" s="56"/>
    </row>
    <row r="18828" spans="1:14" x14ac:dyDescent="0.3">
      <c r="A18828" s="42"/>
      <c r="C18828" s="52"/>
      <c r="D18828"/>
      <c r="E18828"/>
      <c r="F18828"/>
      <c r="N18828" s="56"/>
    </row>
    <row r="18829" spans="1:14" x14ac:dyDescent="0.3">
      <c r="A18829" s="42"/>
      <c r="C18829" s="52"/>
      <c r="D18829"/>
      <c r="E18829"/>
      <c r="F18829"/>
      <c r="N18829" s="56"/>
    </row>
    <row r="18830" spans="1:14" x14ac:dyDescent="0.3">
      <c r="A18830" s="42"/>
      <c r="C18830" s="52"/>
      <c r="D18830"/>
      <c r="E18830"/>
      <c r="F18830"/>
      <c r="N18830" s="56"/>
    </row>
    <row r="18831" spans="1:14" x14ac:dyDescent="0.3">
      <c r="A18831" s="42"/>
      <c r="C18831" s="52"/>
      <c r="D18831"/>
      <c r="E18831"/>
      <c r="F18831"/>
      <c r="N18831" s="56"/>
    </row>
    <row r="18832" spans="1:14" x14ac:dyDescent="0.3">
      <c r="A18832" s="42"/>
      <c r="C18832" s="52"/>
      <c r="D18832"/>
      <c r="E18832"/>
      <c r="F18832"/>
      <c r="N18832" s="56"/>
    </row>
    <row r="18833" spans="1:14" x14ac:dyDescent="0.3">
      <c r="A18833" s="42"/>
      <c r="C18833" s="52"/>
      <c r="D18833"/>
      <c r="E18833"/>
      <c r="F18833"/>
      <c r="N18833" s="56"/>
    </row>
    <row r="18834" spans="1:14" x14ac:dyDescent="0.3">
      <c r="A18834" s="42"/>
      <c r="C18834" s="52"/>
      <c r="D18834"/>
      <c r="E18834"/>
      <c r="F18834"/>
      <c r="N18834" s="56"/>
    </row>
    <row r="18835" spans="1:14" x14ac:dyDescent="0.3">
      <c r="A18835" s="42"/>
      <c r="C18835" s="52"/>
      <c r="D18835"/>
      <c r="E18835"/>
      <c r="F18835"/>
      <c r="N18835" s="56"/>
    </row>
    <row r="18836" spans="1:14" x14ac:dyDescent="0.3">
      <c r="A18836" s="42"/>
      <c r="C18836" s="52"/>
      <c r="D18836"/>
      <c r="E18836"/>
      <c r="F18836"/>
      <c r="N18836" s="56"/>
    </row>
    <row r="18837" spans="1:14" x14ac:dyDescent="0.3">
      <c r="A18837" s="42"/>
      <c r="C18837" s="52"/>
      <c r="D18837"/>
      <c r="E18837"/>
      <c r="F18837"/>
      <c r="N18837" s="56"/>
    </row>
    <row r="18838" spans="1:14" x14ac:dyDescent="0.3">
      <c r="A18838" s="42"/>
      <c r="C18838" s="52"/>
      <c r="D18838"/>
      <c r="E18838"/>
      <c r="F18838"/>
      <c r="N18838" s="56"/>
    </row>
    <row r="18839" spans="1:14" x14ac:dyDescent="0.3">
      <c r="A18839" s="42"/>
      <c r="C18839" s="52"/>
      <c r="D18839"/>
      <c r="E18839"/>
      <c r="F18839"/>
      <c r="N18839" s="56"/>
    </row>
    <row r="18840" spans="1:14" x14ac:dyDescent="0.3">
      <c r="A18840" s="42"/>
      <c r="C18840" s="52"/>
      <c r="D18840"/>
      <c r="E18840"/>
      <c r="F18840"/>
      <c r="N18840" s="56"/>
    </row>
    <row r="18841" spans="1:14" x14ac:dyDescent="0.3">
      <c r="A18841" s="42"/>
      <c r="C18841" s="52"/>
      <c r="D18841"/>
      <c r="E18841"/>
      <c r="F18841"/>
      <c r="N18841" s="56"/>
    </row>
    <row r="18842" spans="1:14" x14ac:dyDescent="0.3">
      <c r="A18842" s="42"/>
      <c r="C18842" s="52"/>
      <c r="D18842"/>
      <c r="E18842"/>
      <c r="F18842"/>
      <c r="N18842" s="56"/>
    </row>
    <row r="18843" spans="1:14" x14ac:dyDescent="0.3">
      <c r="A18843" s="42"/>
      <c r="C18843" s="52"/>
      <c r="D18843"/>
      <c r="E18843"/>
      <c r="F18843"/>
      <c r="N18843" s="56"/>
    </row>
    <row r="18844" spans="1:14" x14ac:dyDescent="0.3">
      <c r="A18844" s="42"/>
      <c r="C18844" s="52"/>
      <c r="D18844"/>
      <c r="E18844"/>
      <c r="F18844"/>
      <c r="N18844" s="56"/>
    </row>
    <row r="18845" spans="1:14" x14ac:dyDescent="0.3">
      <c r="A18845" s="42"/>
      <c r="C18845" s="52"/>
      <c r="D18845"/>
      <c r="E18845"/>
      <c r="F18845"/>
      <c r="N18845" s="56"/>
    </row>
    <row r="18846" spans="1:14" x14ac:dyDescent="0.3">
      <c r="A18846" s="42"/>
      <c r="C18846" s="52"/>
      <c r="D18846"/>
      <c r="E18846"/>
      <c r="F18846"/>
      <c r="N18846" s="56"/>
    </row>
    <row r="18847" spans="1:14" x14ac:dyDescent="0.3">
      <c r="A18847" s="42"/>
      <c r="C18847" s="52"/>
      <c r="D18847"/>
      <c r="E18847"/>
      <c r="F18847"/>
      <c r="N18847" s="56"/>
    </row>
    <row r="18848" spans="1:14" x14ac:dyDescent="0.3">
      <c r="A18848" s="42"/>
      <c r="C18848" s="52"/>
      <c r="D18848"/>
      <c r="E18848"/>
      <c r="F18848"/>
      <c r="N18848" s="56"/>
    </row>
    <row r="18849" spans="1:14" x14ac:dyDescent="0.3">
      <c r="A18849" s="42"/>
      <c r="C18849" s="52"/>
      <c r="D18849"/>
      <c r="E18849"/>
      <c r="F18849"/>
      <c r="N18849" s="56"/>
    </row>
    <row r="18850" spans="1:14" x14ac:dyDescent="0.3">
      <c r="A18850" s="42"/>
      <c r="C18850" s="52"/>
      <c r="D18850"/>
      <c r="E18850"/>
      <c r="F18850"/>
      <c r="N18850" s="56"/>
    </row>
    <row r="18851" spans="1:14" x14ac:dyDescent="0.3">
      <c r="A18851" s="42"/>
      <c r="C18851" s="52"/>
      <c r="D18851"/>
      <c r="E18851"/>
      <c r="F18851"/>
      <c r="N18851" s="56"/>
    </row>
    <row r="18852" spans="1:14" x14ac:dyDescent="0.3">
      <c r="A18852" s="42"/>
      <c r="C18852" s="52"/>
      <c r="D18852"/>
      <c r="E18852"/>
      <c r="F18852"/>
      <c r="N18852" s="56"/>
    </row>
    <row r="18853" spans="1:14" x14ac:dyDescent="0.3">
      <c r="A18853" s="42"/>
      <c r="C18853" s="52"/>
      <c r="D18853"/>
      <c r="E18853"/>
      <c r="F18853"/>
      <c r="N18853" s="56"/>
    </row>
    <row r="18854" spans="1:14" x14ac:dyDescent="0.3">
      <c r="A18854" s="42"/>
      <c r="C18854" s="52"/>
      <c r="D18854"/>
      <c r="E18854"/>
      <c r="F18854"/>
      <c r="N18854" s="56"/>
    </row>
    <row r="18855" spans="1:14" x14ac:dyDescent="0.3">
      <c r="A18855" s="42"/>
      <c r="C18855" s="52"/>
      <c r="D18855"/>
      <c r="E18855"/>
      <c r="F18855"/>
      <c r="N18855" s="56"/>
    </row>
    <row r="18856" spans="1:14" x14ac:dyDescent="0.3">
      <c r="A18856" s="42"/>
      <c r="C18856" s="52"/>
      <c r="D18856"/>
      <c r="E18856"/>
      <c r="F18856"/>
      <c r="N18856" s="56"/>
    </row>
    <row r="18857" spans="1:14" x14ac:dyDescent="0.3">
      <c r="A18857" s="42"/>
      <c r="C18857" s="52"/>
      <c r="D18857"/>
      <c r="E18857"/>
      <c r="F18857"/>
      <c r="N18857" s="56"/>
    </row>
    <row r="18858" spans="1:14" x14ac:dyDescent="0.3">
      <c r="A18858" s="42"/>
      <c r="C18858" s="52"/>
      <c r="D18858"/>
      <c r="E18858"/>
      <c r="F18858"/>
      <c r="N18858" s="56"/>
    </row>
    <row r="18859" spans="1:14" x14ac:dyDescent="0.3">
      <c r="A18859" s="42"/>
      <c r="C18859" s="52"/>
      <c r="D18859"/>
      <c r="E18859"/>
      <c r="F18859"/>
      <c r="N18859" s="56"/>
    </row>
    <row r="18860" spans="1:14" x14ac:dyDescent="0.3">
      <c r="A18860" s="42"/>
      <c r="C18860" s="52"/>
      <c r="D18860"/>
      <c r="E18860"/>
      <c r="F18860"/>
      <c r="N18860" s="56"/>
    </row>
    <row r="18861" spans="1:14" x14ac:dyDescent="0.3">
      <c r="A18861" s="42"/>
      <c r="C18861" s="52"/>
      <c r="D18861"/>
      <c r="E18861"/>
      <c r="F18861"/>
      <c r="N18861" s="56"/>
    </row>
    <row r="18862" spans="1:14" x14ac:dyDescent="0.3">
      <c r="A18862" s="42"/>
      <c r="C18862" s="52"/>
      <c r="D18862"/>
      <c r="E18862"/>
      <c r="F18862"/>
      <c r="N18862" s="56"/>
    </row>
    <row r="18863" spans="1:14" x14ac:dyDescent="0.3">
      <c r="A18863" s="42"/>
      <c r="C18863" s="52"/>
      <c r="D18863"/>
      <c r="E18863"/>
      <c r="F18863"/>
      <c r="N18863" s="56"/>
    </row>
    <row r="18864" spans="1:14" x14ac:dyDescent="0.3">
      <c r="A18864" s="42"/>
      <c r="C18864" s="52"/>
      <c r="D18864"/>
      <c r="E18864"/>
      <c r="F18864"/>
      <c r="N18864" s="56"/>
    </row>
    <row r="18865" spans="1:14" x14ac:dyDescent="0.3">
      <c r="A18865" s="42"/>
      <c r="C18865" s="52"/>
      <c r="D18865"/>
      <c r="E18865"/>
      <c r="F18865"/>
      <c r="N18865" s="56"/>
    </row>
    <row r="18866" spans="1:14" x14ac:dyDescent="0.3">
      <c r="A18866" s="42"/>
      <c r="C18866" s="52"/>
      <c r="D18866"/>
      <c r="E18866"/>
      <c r="F18866"/>
      <c r="N18866" s="56"/>
    </row>
    <row r="18867" spans="1:14" x14ac:dyDescent="0.3">
      <c r="A18867" s="42"/>
      <c r="C18867" s="52"/>
      <c r="D18867"/>
      <c r="E18867"/>
      <c r="F18867"/>
      <c r="N18867" s="56"/>
    </row>
    <row r="18868" spans="1:14" x14ac:dyDescent="0.3">
      <c r="A18868" s="42"/>
      <c r="C18868" s="52"/>
      <c r="D18868"/>
      <c r="E18868"/>
      <c r="F18868"/>
      <c r="N18868" s="56"/>
    </row>
    <row r="18869" spans="1:14" x14ac:dyDescent="0.3">
      <c r="A18869" s="42"/>
      <c r="C18869" s="52"/>
      <c r="D18869"/>
      <c r="E18869"/>
      <c r="F18869"/>
      <c r="N18869" s="56"/>
    </row>
    <row r="18870" spans="1:14" x14ac:dyDescent="0.3">
      <c r="A18870" s="42"/>
      <c r="C18870" s="52"/>
      <c r="D18870"/>
      <c r="E18870"/>
      <c r="F18870"/>
      <c r="N18870" s="56"/>
    </row>
    <row r="18871" spans="1:14" x14ac:dyDescent="0.3">
      <c r="A18871" s="42"/>
      <c r="C18871" s="52"/>
      <c r="D18871"/>
      <c r="E18871"/>
      <c r="F18871"/>
      <c r="N18871" s="56"/>
    </row>
    <row r="18872" spans="1:14" x14ac:dyDescent="0.3">
      <c r="A18872" s="42"/>
      <c r="C18872" s="52"/>
      <c r="D18872"/>
      <c r="E18872"/>
      <c r="F18872"/>
      <c r="N18872" s="56"/>
    </row>
    <row r="18873" spans="1:14" x14ac:dyDescent="0.3">
      <c r="A18873" s="42"/>
      <c r="C18873" s="52"/>
      <c r="D18873"/>
      <c r="E18873"/>
      <c r="F18873"/>
      <c r="N18873" s="56"/>
    </row>
    <row r="18874" spans="1:14" x14ac:dyDescent="0.3">
      <c r="A18874" s="42"/>
      <c r="C18874" s="52"/>
      <c r="D18874"/>
      <c r="E18874"/>
      <c r="F18874"/>
      <c r="N18874" s="56"/>
    </row>
    <row r="18875" spans="1:14" x14ac:dyDescent="0.3">
      <c r="A18875" s="42"/>
      <c r="C18875" s="52"/>
      <c r="D18875"/>
      <c r="E18875"/>
      <c r="F18875"/>
      <c r="N18875" s="56"/>
    </row>
    <row r="18876" spans="1:14" x14ac:dyDescent="0.3">
      <c r="A18876" s="42"/>
      <c r="C18876" s="52"/>
      <c r="D18876"/>
      <c r="E18876"/>
      <c r="F18876"/>
      <c r="N18876" s="56"/>
    </row>
    <row r="18877" spans="1:14" x14ac:dyDescent="0.3">
      <c r="A18877" s="42"/>
      <c r="C18877" s="52"/>
      <c r="D18877"/>
      <c r="E18877"/>
      <c r="F18877"/>
      <c r="N18877" s="56"/>
    </row>
    <row r="18878" spans="1:14" x14ac:dyDescent="0.3">
      <c r="A18878" s="42"/>
      <c r="C18878" s="52"/>
      <c r="D18878"/>
      <c r="E18878"/>
      <c r="F18878"/>
      <c r="N18878" s="56"/>
    </row>
    <row r="18879" spans="1:14" x14ac:dyDescent="0.3">
      <c r="A18879" s="42"/>
      <c r="C18879" s="52"/>
      <c r="D18879"/>
      <c r="E18879"/>
      <c r="F18879"/>
      <c r="N18879" s="56"/>
    </row>
    <row r="18880" spans="1:14" x14ac:dyDescent="0.3">
      <c r="A18880" s="42"/>
      <c r="C18880" s="52"/>
      <c r="D18880"/>
      <c r="E18880"/>
      <c r="F18880"/>
      <c r="N18880" s="56"/>
    </row>
    <row r="18881" spans="1:14" x14ac:dyDescent="0.3">
      <c r="A18881" s="42"/>
      <c r="C18881" s="52"/>
      <c r="D18881"/>
      <c r="E18881"/>
      <c r="F18881"/>
      <c r="N18881" s="56"/>
    </row>
    <row r="18882" spans="1:14" x14ac:dyDescent="0.3">
      <c r="A18882" s="42"/>
      <c r="C18882" s="52"/>
      <c r="D18882"/>
      <c r="E18882"/>
      <c r="F18882"/>
      <c r="N18882" s="56"/>
    </row>
    <row r="18883" spans="1:14" x14ac:dyDescent="0.3">
      <c r="A18883" s="42"/>
      <c r="C18883" s="52"/>
      <c r="D18883"/>
      <c r="E18883"/>
      <c r="F18883"/>
      <c r="N18883" s="56"/>
    </row>
    <row r="18884" spans="1:14" x14ac:dyDescent="0.3">
      <c r="A18884" s="42"/>
      <c r="C18884" s="52"/>
      <c r="D18884"/>
      <c r="E18884"/>
      <c r="F18884"/>
      <c r="N18884" s="56"/>
    </row>
    <row r="18885" spans="1:14" x14ac:dyDescent="0.3">
      <c r="A18885" s="42"/>
      <c r="C18885" s="52"/>
      <c r="D18885"/>
      <c r="E18885"/>
      <c r="F18885"/>
      <c r="N18885" s="56"/>
    </row>
    <row r="18886" spans="1:14" x14ac:dyDescent="0.3">
      <c r="A18886" s="42"/>
      <c r="C18886" s="52"/>
      <c r="D18886"/>
      <c r="E18886"/>
      <c r="F18886"/>
      <c r="N18886" s="56"/>
    </row>
    <row r="18887" spans="1:14" x14ac:dyDescent="0.3">
      <c r="A18887" s="42"/>
      <c r="C18887" s="52"/>
      <c r="D18887"/>
      <c r="E18887"/>
      <c r="F18887"/>
      <c r="N18887" s="56"/>
    </row>
    <row r="18888" spans="1:14" x14ac:dyDescent="0.3">
      <c r="A18888" s="42"/>
      <c r="C18888" s="52"/>
      <c r="D18888"/>
      <c r="E18888"/>
      <c r="F18888"/>
      <c r="N18888" s="56"/>
    </row>
    <row r="18889" spans="1:14" x14ac:dyDescent="0.3">
      <c r="A18889" s="42"/>
      <c r="C18889" s="52"/>
      <c r="D18889"/>
      <c r="E18889"/>
      <c r="F18889"/>
      <c r="N18889" s="56"/>
    </row>
    <row r="18890" spans="1:14" x14ac:dyDescent="0.3">
      <c r="A18890" s="42"/>
      <c r="C18890" s="52"/>
      <c r="D18890"/>
      <c r="E18890"/>
      <c r="F18890"/>
      <c r="N18890" s="56"/>
    </row>
    <row r="18891" spans="1:14" x14ac:dyDescent="0.3">
      <c r="A18891" s="42"/>
      <c r="C18891" s="52"/>
      <c r="D18891"/>
      <c r="E18891"/>
      <c r="F18891"/>
      <c r="N18891" s="56"/>
    </row>
    <row r="18892" spans="1:14" x14ac:dyDescent="0.3">
      <c r="A18892" s="42"/>
      <c r="C18892" s="52"/>
      <c r="D18892"/>
      <c r="E18892"/>
      <c r="F18892"/>
      <c r="N18892" s="56"/>
    </row>
    <row r="18893" spans="1:14" x14ac:dyDescent="0.3">
      <c r="A18893" s="42"/>
      <c r="C18893" s="52"/>
      <c r="D18893"/>
      <c r="E18893"/>
      <c r="F18893"/>
      <c r="N18893" s="56"/>
    </row>
    <row r="18894" spans="1:14" x14ac:dyDescent="0.3">
      <c r="A18894" s="42"/>
      <c r="C18894" s="52"/>
      <c r="D18894"/>
      <c r="E18894"/>
      <c r="F18894"/>
      <c r="N18894" s="56"/>
    </row>
    <row r="18895" spans="1:14" x14ac:dyDescent="0.3">
      <c r="A18895" s="42"/>
      <c r="C18895" s="52"/>
      <c r="D18895"/>
      <c r="E18895"/>
      <c r="F18895"/>
      <c r="N18895" s="56"/>
    </row>
    <row r="18896" spans="1:14" x14ac:dyDescent="0.3">
      <c r="A18896" s="42"/>
      <c r="C18896" s="52"/>
      <c r="D18896"/>
      <c r="E18896"/>
      <c r="F18896"/>
      <c r="N18896" s="56"/>
    </row>
    <row r="18897" spans="1:14" x14ac:dyDescent="0.3">
      <c r="A18897" s="42"/>
      <c r="C18897" s="52"/>
      <c r="D18897"/>
      <c r="E18897"/>
      <c r="F18897"/>
      <c r="N18897" s="56"/>
    </row>
    <row r="18898" spans="1:14" x14ac:dyDescent="0.3">
      <c r="A18898" s="42"/>
      <c r="C18898" s="52"/>
      <c r="D18898"/>
      <c r="E18898"/>
      <c r="F18898"/>
      <c r="N18898" s="56"/>
    </row>
    <row r="18899" spans="1:14" x14ac:dyDescent="0.3">
      <c r="A18899" s="42"/>
      <c r="C18899" s="52"/>
      <c r="D18899"/>
      <c r="E18899"/>
      <c r="F18899"/>
      <c r="N18899" s="56"/>
    </row>
    <row r="18900" spans="1:14" x14ac:dyDescent="0.3">
      <c r="A18900" s="42"/>
      <c r="C18900" s="52"/>
      <c r="D18900"/>
      <c r="E18900"/>
      <c r="F18900"/>
      <c r="N18900" s="56"/>
    </row>
    <row r="18901" spans="1:14" x14ac:dyDescent="0.3">
      <c r="A18901" s="42"/>
      <c r="C18901" s="52"/>
      <c r="D18901"/>
      <c r="E18901"/>
      <c r="F18901"/>
      <c r="N18901" s="56"/>
    </row>
    <row r="18902" spans="1:14" x14ac:dyDescent="0.3">
      <c r="A18902" s="42"/>
      <c r="C18902" s="52"/>
      <c r="D18902"/>
      <c r="E18902"/>
      <c r="F18902"/>
      <c r="N18902" s="56"/>
    </row>
    <row r="18903" spans="1:14" x14ac:dyDescent="0.3">
      <c r="A18903" s="42"/>
      <c r="C18903" s="52"/>
      <c r="D18903"/>
      <c r="E18903"/>
      <c r="F18903"/>
      <c r="N18903" s="56"/>
    </row>
    <row r="18904" spans="1:14" x14ac:dyDescent="0.3">
      <c r="A18904" s="42"/>
      <c r="C18904" s="52"/>
      <c r="D18904"/>
      <c r="E18904"/>
      <c r="F18904"/>
      <c r="N18904" s="56"/>
    </row>
    <row r="18905" spans="1:14" x14ac:dyDescent="0.3">
      <c r="A18905" s="42"/>
      <c r="C18905" s="52"/>
      <c r="D18905"/>
      <c r="E18905"/>
      <c r="F18905"/>
      <c r="N18905" s="56"/>
    </row>
    <row r="18906" spans="1:14" x14ac:dyDescent="0.3">
      <c r="A18906" s="42"/>
      <c r="C18906" s="52"/>
      <c r="D18906"/>
      <c r="E18906"/>
      <c r="F18906"/>
      <c r="N18906" s="56"/>
    </row>
    <row r="18907" spans="1:14" x14ac:dyDescent="0.3">
      <c r="A18907" s="42"/>
      <c r="C18907" s="52"/>
      <c r="D18907"/>
      <c r="E18907"/>
      <c r="F18907"/>
      <c r="N18907" s="56"/>
    </row>
    <row r="18908" spans="1:14" x14ac:dyDescent="0.3">
      <c r="A18908" s="42"/>
      <c r="C18908" s="52"/>
      <c r="D18908"/>
      <c r="E18908"/>
      <c r="F18908"/>
      <c r="N18908" s="56"/>
    </row>
    <row r="18909" spans="1:14" x14ac:dyDescent="0.3">
      <c r="A18909" s="42"/>
      <c r="C18909" s="52"/>
      <c r="D18909"/>
      <c r="E18909"/>
      <c r="F18909"/>
      <c r="N18909" s="56"/>
    </row>
    <row r="18910" spans="1:14" x14ac:dyDescent="0.3">
      <c r="A18910" s="42"/>
      <c r="C18910" s="52"/>
      <c r="D18910"/>
      <c r="E18910"/>
      <c r="F18910"/>
      <c r="N18910" s="56"/>
    </row>
    <row r="18911" spans="1:14" x14ac:dyDescent="0.3">
      <c r="A18911" s="42"/>
      <c r="C18911" s="52"/>
      <c r="D18911"/>
      <c r="E18911"/>
      <c r="F18911"/>
      <c r="N18911" s="56"/>
    </row>
    <row r="18912" spans="1:14" x14ac:dyDescent="0.3">
      <c r="A18912" s="42"/>
      <c r="C18912" s="52"/>
      <c r="D18912"/>
      <c r="E18912"/>
      <c r="F18912"/>
      <c r="N18912" s="56"/>
    </row>
    <row r="18913" spans="1:14" x14ac:dyDescent="0.3">
      <c r="A18913" s="42"/>
      <c r="C18913" s="52"/>
      <c r="D18913"/>
      <c r="E18913"/>
      <c r="F18913"/>
      <c r="N18913" s="56"/>
    </row>
    <row r="18914" spans="1:14" x14ac:dyDescent="0.3">
      <c r="A18914" s="42"/>
      <c r="C18914" s="52"/>
      <c r="D18914"/>
      <c r="E18914"/>
      <c r="F18914"/>
      <c r="N18914" s="56"/>
    </row>
    <row r="18915" spans="1:14" x14ac:dyDescent="0.3">
      <c r="A18915" s="42"/>
      <c r="C18915" s="52"/>
      <c r="D18915"/>
      <c r="E18915"/>
      <c r="F18915"/>
      <c r="N18915" s="56"/>
    </row>
    <row r="18916" spans="1:14" x14ac:dyDescent="0.3">
      <c r="A18916" s="42"/>
      <c r="C18916" s="52"/>
      <c r="D18916"/>
      <c r="E18916"/>
      <c r="F18916"/>
      <c r="N18916" s="56"/>
    </row>
    <row r="18917" spans="1:14" x14ac:dyDescent="0.3">
      <c r="A18917" s="42"/>
      <c r="C18917" s="52"/>
      <c r="D18917"/>
      <c r="E18917"/>
      <c r="F18917"/>
      <c r="N18917" s="56"/>
    </row>
    <row r="18918" spans="1:14" x14ac:dyDescent="0.3">
      <c r="A18918" s="42"/>
      <c r="C18918" s="52"/>
      <c r="D18918"/>
      <c r="E18918"/>
      <c r="F18918"/>
      <c r="N18918" s="56"/>
    </row>
    <row r="18919" spans="1:14" x14ac:dyDescent="0.3">
      <c r="A18919" s="42"/>
      <c r="C18919" s="52"/>
      <c r="D18919"/>
      <c r="E18919"/>
      <c r="F18919"/>
      <c r="N18919" s="56"/>
    </row>
    <row r="18920" spans="1:14" x14ac:dyDescent="0.3">
      <c r="A18920" s="42"/>
      <c r="C18920" s="52"/>
      <c r="D18920"/>
      <c r="E18920"/>
      <c r="F18920"/>
      <c r="N18920" s="56"/>
    </row>
    <row r="18921" spans="1:14" x14ac:dyDescent="0.3">
      <c r="A18921" s="42"/>
      <c r="C18921" s="52"/>
      <c r="D18921"/>
      <c r="E18921"/>
      <c r="F18921"/>
      <c r="N18921" s="56"/>
    </row>
    <row r="18922" spans="1:14" x14ac:dyDescent="0.3">
      <c r="A18922" s="42"/>
      <c r="C18922" s="52"/>
      <c r="D18922"/>
      <c r="E18922"/>
      <c r="F18922"/>
      <c r="N18922" s="56"/>
    </row>
    <row r="18923" spans="1:14" x14ac:dyDescent="0.3">
      <c r="A18923" s="42"/>
      <c r="C18923" s="52"/>
      <c r="D18923"/>
      <c r="E18923"/>
      <c r="F18923"/>
      <c r="N18923" s="56"/>
    </row>
    <row r="18924" spans="1:14" x14ac:dyDescent="0.3">
      <c r="A18924" s="42"/>
      <c r="C18924" s="52"/>
      <c r="D18924"/>
      <c r="E18924"/>
      <c r="F18924"/>
      <c r="N18924" s="56"/>
    </row>
    <row r="18925" spans="1:14" x14ac:dyDescent="0.3">
      <c r="A18925" s="42"/>
      <c r="C18925" s="52"/>
      <c r="D18925"/>
      <c r="E18925"/>
      <c r="F18925"/>
      <c r="N18925" s="56"/>
    </row>
    <row r="18926" spans="1:14" x14ac:dyDescent="0.3">
      <c r="A18926" s="42"/>
      <c r="C18926" s="52"/>
      <c r="D18926"/>
      <c r="E18926"/>
      <c r="F18926"/>
      <c r="N18926" s="56"/>
    </row>
    <row r="18927" spans="1:14" x14ac:dyDescent="0.3">
      <c r="A18927" s="42"/>
      <c r="C18927" s="52"/>
      <c r="D18927"/>
      <c r="E18927"/>
      <c r="F18927"/>
      <c r="N18927" s="56"/>
    </row>
    <row r="18928" spans="1:14" x14ac:dyDescent="0.3">
      <c r="A18928" s="42"/>
      <c r="C18928" s="52"/>
      <c r="D18928"/>
      <c r="E18928"/>
      <c r="F18928"/>
      <c r="N18928" s="56"/>
    </row>
    <row r="18929" spans="1:14" x14ac:dyDescent="0.3">
      <c r="A18929" s="42"/>
      <c r="C18929" s="52"/>
      <c r="D18929"/>
      <c r="E18929"/>
      <c r="F18929"/>
      <c r="N18929" s="56"/>
    </row>
    <row r="18930" spans="1:14" x14ac:dyDescent="0.3">
      <c r="A18930" s="42"/>
      <c r="C18930" s="52"/>
      <c r="D18930"/>
      <c r="E18930"/>
      <c r="F18930"/>
      <c r="N18930" s="56"/>
    </row>
    <row r="18931" spans="1:14" x14ac:dyDescent="0.3">
      <c r="A18931" s="42"/>
      <c r="C18931" s="52"/>
      <c r="D18931"/>
      <c r="E18931"/>
      <c r="F18931"/>
      <c r="N18931" s="56"/>
    </row>
    <row r="18932" spans="1:14" x14ac:dyDescent="0.3">
      <c r="A18932" s="42"/>
      <c r="C18932" s="52"/>
      <c r="D18932"/>
      <c r="E18932"/>
      <c r="F18932"/>
      <c r="N18932" s="56"/>
    </row>
    <row r="18933" spans="1:14" x14ac:dyDescent="0.3">
      <c r="A18933" s="42"/>
      <c r="C18933" s="52"/>
      <c r="D18933"/>
      <c r="E18933"/>
      <c r="F18933"/>
      <c r="N18933" s="56"/>
    </row>
    <row r="18934" spans="1:14" x14ac:dyDescent="0.3">
      <c r="A18934" s="42"/>
      <c r="C18934" s="52"/>
      <c r="D18934"/>
      <c r="E18934"/>
      <c r="F18934"/>
      <c r="N18934" s="56"/>
    </row>
    <row r="18935" spans="1:14" x14ac:dyDescent="0.3">
      <c r="A18935" s="42"/>
      <c r="C18935" s="52"/>
      <c r="D18935"/>
      <c r="E18935"/>
      <c r="F18935"/>
      <c r="N18935" s="56"/>
    </row>
    <row r="18936" spans="1:14" x14ac:dyDescent="0.3">
      <c r="A18936" s="42"/>
      <c r="C18936" s="52"/>
      <c r="D18936"/>
      <c r="E18936"/>
      <c r="F18936"/>
      <c r="N18936" s="56"/>
    </row>
    <row r="18937" spans="1:14" x14ac:dyDescent="0.3">
      <c r="A18937" s="42"/>
      <c r="C18937" s="52"/>
      <c r="D18937"/>
      <c r="E18937"/>
      <c r="F18937"/>
      <c r="N18937" s="56"/>
    </row>
    <row r="18938" spans="1:14" x14ac:dyDescent="0.3">
      <c r="A18938" s="42"/>
      <c r="C18938" s="52"/>
      <c r="D18938"/>
      <c r="E18938"/>
      <c r="F18938"/>
      <c r="N18938" s="56"/>
    </row>
    <row r="18939" spans="1:14" x14ac:dyDescent="0.3">
      <c r="A18939" s="42"/>
      <c r="C18939" s="52"/>
      <c r="D18939"/>
      <c r="E18939"/>
      <c r="F18939"/>
      <c r="N18939" s="56"/>
    </row>
    <row r="18940" spans="1:14" x14ac:dyDescent="0.3">
      <c r="A18940" s="42"/>
      <c r="C18940" s="52"/>
      <c r="D18940"/>
      <c r="E18940"/>
      <c r="F18940"/>
      <c r="N18940" s="56"/>
    </row>
    <row r="18941" spans="1:14" x14ac:dyDescent="0.3">
      <c r="A18941" s="42"/>
      <c r="C18941" s="52"/>
      <c r="D18941"/>
      <c r="E18941"/>
      <c r="F18941"/>
      <c r="N18941" s="56"/>
    </row>
    <row r="18942" spans="1:14" x14ac:dyDescent="0.3">
      <c r="A18942" s="42"/>
      <c r="C18942" s="52"/>
      <c r="D18942"/>
      <c r="E18942"/>
      <c r="F18942"/>
      <c r="N18942" s="56"/>
    </row>
    <row r="18943" spans="1:14" x14ac:dyDescent="0.3">
      <c r="A18943" s="42"/>
      <c r="C18943" s="52"/>
      <c r="D18943"/>
      <c r="E18943"/>
      <c r="F18943"/>
      <c r="N18943" s="56"/>
    </row>
    <row r="18944" spans="1:14" x14ac:dyDescent="0.3">
      <c r="A18944" s="42"/>
      <c r="C18944" s="52"/>
      <c r="D18944"/>
      <c r="E18944"/>
      <c r="F18944"/>
      <c r="N18944" s="56"/>
    </row>
    <row r="18945" spans="1:14" x14ac:dyDescent="0.3">
      <c r="A18945" s="42"/>
      <c r="C18945" s="52"/>
      <c r="D18945"/>
      <c r="E18945"/>
      <c r="F18945"/>
      <c r="N18945" s="56"/>
    </row>
    <row r="18946" spans="1:14" x14ac:dyDescent="0.3">
      <c r="A18946" s="42"/>
      <c r="C18946" s="52"/>
      <c r="D18946"/>
      <c r="E18946"/>
      <c r="F18946"/>
      <c r="N18946" s="56"/>
    </row>
    <row r="18947" spans="1:14" x14ac:dyDescent="0.3">
      <c r="A18947" s="42"/>
      <c r="C18947" s="52"/>
      <c r="D18947"/>
      <c r="E18947"/>
      <c r="F18947"/>
      <c r="N18947" s="56"/>
    </row>
    <row r="18948" spans="1:14" x14ac:dyDescent="0.3">
      <c r="A18948" s="42"/>
      <c r="C18948" s="52"/>
      <c r="D18948"/>
      <c r="E18948"/>
      <c r="F18948"/>
      <c r="N18948" s="56"/>
    </row>
    <row r="18949" spans="1:14" x14ac:dyDescent="0.3">
      <c r="A18949" s="42"/>
      <c r="C18949" s="52"/>
      <c r="D18949"/>
      <c r="E18949"/>
      <c r="F18949"/>
      <c r="N18949" s="56"/>
    </row>
    <row r="18950" spans="1:14" x14ac:dyDescent="0.3">
      <c r="A18950" s="42"/>
      <c r="C18950" s="52"/>
      <c r="D18950"/>
      <c r="E18950"/>
      <c r="F18950"/>
      <c r="N18950" s="56"/>
    </row>
    <row r="18951" spans="1:14" x14ac:dyDescent="0.3">
      <c r="A18951" s="42"/>
      <c r="C18951" s="52"/>
      <c r="D18951"/>
      <c r="E18951"/>
      <c r="F18951"/>
      <c r="N18951" s="56"/>
    </row>
    <row r="18952" spans="1:14" x14ac:dyDescent="0.3">
      <c r="A18952" s="42"/>
      <c r="C18952" s="52"/>
      <c r="D18952"/>
      <c r="E18952"/>
      <c r="F18952"/>
      <c r="N18952" s="56"/>
    </row>
    <row r="18953" spans="1:14" x14ac:dyDescent="0.3">
      <c r="A18953" s="42"/>
      <c r="C18953" s="52"/>
      <c r="D18953"/>
      <c r="E18953"/>
      <c r="F18953"/>
      <c r="N18953" s="56"/>
    </row>
    <row r="18954" spans="1:14" x14ac:dyDescent="0.3">
      <c r="A18954" s="42"/>
      <c r="C18954" s="52"/>
      <c r="D18954"/>
      <c r="E18954"/>
      <c r="F18954"/>
      <c r="N18954" s="56"/>
    </row>
    <row r="18955" spans="1:14" x14ac:dyDescent="0.3">
      <c r="A18955" s="42"/>
      <c r="C18955" s="52"/>
      <c r="D18955"/>
      <c r="E18955"/>
      <c r="F18955"/>
      <c r="N18955" s="56"/>
    </row>
    <row r="18956" spans="1:14" x14ac:dyDescent="0.3">
      <c r="A18956" s="42"/>
      <c r="C18956" s="52"/>
      <c r="D18956"/>
      <c r="E18956"/>
      <c r="F18956"/>
      <c r="N18956" s="56"/>
    </row>
    <row r="18957" spans="1:14" x14ac:dyDescent="0.3">
      <c r="A18957" s="42"/>
      <c r="C18957" s="52"/>
      <c r="D18957"/>
      <c r="E18957"/>
      <c r="F18957"/>
      <c r="N18957" s="56"/>
    </row>
    <row r="18958" spans="1:14" x14ac:dyDescent="0.3">
      <c r="A18958" s="42"/>
      <c r="C18958" s="52"/>
      <c r="D18958"/>
      <c r="E18958"/>
      <c r="F18958"/>
      <c r="N18958" s="56"/>
    </row>
    <row r="18959" spans="1:14" x14ac:dyDescent="0.3">
      <c r="A18959" s="42"/>
      <c r="C18959" s="52"/>
      <c r="D18959"/>
      <c r="E18959"/>
      <c r="F18959"/>
      <c r="M18959" s="45"/>
      <c r="N18959" s="56"/>
    </row>
    <row r="18960" spans="1:14" x14ac:dyDescent="0.3">
      <c r="A18960" s="42"/>
      <c r="C18960" s="52"/>
      <c r="D18960"/>
      <c r="E18960"/>
      <c r="F18960"/>
      <c r="N18960" s="56"/>
    </row>
    <row r="18961" spans="1:14" x14ac:dyDescent="0.3">
      <c r="A18961" s="42"/>
      <c r="C18961" s="52"/>
      <c r="D18961"/>
      <c r="E18961"/>
      <c r="F18961"/>
      <c r="N18961" s="56"/>
    </row>
    <row r="18962" spans="1:14" x14ac:dyDescent="0.3">
      <c r="A18962" s="42"/>
      <c r="C18962" s="52"/>
      <c r="D18962"/>
      <c r="E18962"/>
      <c r="F18962"/>
      <c r="N18962" s="56"/>
    </row>
    <row r="18963" spans="1:14" x14ac:dyDescent="0.3">
      <c r="A18963" s="42"/>
      <c r="C18963" s="52"/>
      <c r="D18963"/>
      <c r="E18963"/>
      <c r="F18963"/>
      <c r="N18963" s="56"/>
    </row>
    <row r="18964" spans="1:14" x14ac:dyDescent="0.3">
      <c r="A18964" s="42"/>
      <c r="C18964" s="52"/>
      <c r="D18964"/>
      <c r="E18964"/>
      <c r="F18964"/>
      <c r="N18964" s="56"/>
    </row>
    <row r="18965" spans="1:14" x14ac:dyDescent="0.3">
      <c r="A18965" s="42"/>
      <c r="C18965" s="52"/>
      <c r="D18965"/>
      <c r="E18965"/>
      <c r="F18965"/>
      <c r="N18965" s="56"/>
    </row>
    <row r="18966" spans="1:14" x14ac:dyDescent="0.3">
      <c r="A18966" s="42"/>
      <c r="C18966" s="52"/>
      <c r="D18966"/>
      <c r="E18966"/>
      <c r="F18966"/>
      <c r="N18966" s="56"/>
    </row>
    <row r="18967" spans="1:14" x14ac:dyDescent="0.3">
      <c r="A18967" s="42"/>
      <c r="C18967" s="52"/>
      <c r="D18967"/>
      <c r="E18967"/>
      <c r="F18967"/>
      <c r="N18967" s="56"/>
    </row>
    <row r="18968" spans="1:14" x14ac:dyDescent="0.3">
      <c r="A18968" s="42"/>
      <c r="C18968" s="52"/>
      <c r="D18968"/>
      <c r="E18968"/>
      <c r="F18968"/>
      <c r="N18968" s="56"/>
    </row>
    <row r="18969" spans="1:14" x14ac:dyDescent="0.3">
      <c r="A18969" s="42"/>
      <c r="C18969" s="52"/>
      <c r="D18969"/>
      <c r="E18969"/>
      <c r="F18969"/>
      <c r="N18969" s="56"/>
    </row>
    <row r="18970" spans="1:14" x14ac:dyDescent="0.3">
      <c r="A18970" s="42"/>
      <c r="C18970" s="52"/>
      <c r="D18970"/>
      <c r="E18970"/>
      <c r="F18970"/>
      <c r="N18970" s="56"/>
    </row>
    <row r="18971" spans="1:14" x14ac:dyDescent="0.3">
      <c r="A18971" s="42"/>
      <c r="C18971" s="52"/>
      <c r="D18971"/>
      <c r="E18971"/>
      <c r="F18971"/>
      <c r="N18971" s="56"/>
    </row>
    <row r="18972" spans="1:14" x14ac:dyDescent="0.3">
      <c r="A18972" s="42"/>
      <c r="C18972" s="52"/>
      <c r="D18972"/>
      <c r="E18972"/>
      <c r="F18972"/>
      <c r="N18972" s="56"/>
    </row>
    <row r="18973" spans="1:14" x14ac:dyDescent="0.3">
      <c r="A18973" s="42"/>
      <c r="C18973" s="52"/>
      <c r="D18973"/>
      <c r="E18973"/>
      <c r="F18973"/>
      <c r="N18973" s="56"/>
    </row>
    <row r="18974" spans="1:14" x14ac:dyDescent="0.3">
      <c r="A18974" s="42"/>
      <c r="C18974" s="52"/>
      <c r="D18974"/>
      <c r="E18974"/>
      <c r="F18974"/>
      <c r="N18974" s="56"/>
    </row>
    <row r="18975" spans="1:14" x14ac:dyDescent="0.3">
      <c r="A18975" s="42"/>
      <c r="C18975" s="52"/>
      <c r="D18975"/>
      <c r="E18975"/>
      <c r="F18975"/>
      <c r="N18975" s="56"/>
    </row>
    <row r="18976" spans="1:14" x14ac:dyDescent="0.3">
      <c r="A18976" s="42"/>
      <c r="C18976" s="52"/>
      <c r="D18976"/>
      <c r="E18976"/>
      <c r="F18976"/>
      <c r="N18976" s="56"/>
    </row>
    <row r="18977" spans="1:14" x14ac:dyDescent="0.3">
      <c r="A18977" s="42"/>
      <c r="C18977" s="52"/>
      <c r="D18977"/>
      <c r="E18977"/>
      <c r="F18977"/>
      <c r="N18977" s="56"/>
    </row>
    <row r="18978" spans="1:14" x14ac:dyDescent="0.3">
      <c r="A18978" s="42"/>
      <c r="C18978" s="52"/>
      <c r="D18978"/>
      <c r="E18978"/>
      <c r="F18978"/>
      <c r="N18978" s="56"/>
    </row>
    <row r="18979" spans="1:14" x14ac:dyDescent="0.3">
      <c r="A18979" s="42"/>
      <c r="C18979" s="52"/>
      <c r="D18979"/>
      <c r="E18979"/>
      <c r="F18979"/>
      <c r="N18979" s="56"/>
    </row>
    <row r="18980" spans="1:14" x14ac:dyDescent="0.3">
      <c r="A18980" s="42"/>
      <c r="C18980" s="52"/>
      <c r="D18980"/>
      <c r="E18980"/>
      <c r="F18980"/>
      <c r="N18980" s="56"/>
    </row>
    <row r="18981" spans="1:14" x14ac:dyDescent="0.3">
      <c r="A18981" s="42"/>
      <c r="C18981" s="52"/>
      <c r="D18981"/>
      <c r="E18981"/>
      <c r="F18981"/>
      <c r="N18981" s="56"/>
    </row>
    <row r="18982" spans="1:14" x14ac:dyDescent="0.3">
      <c r="A18982" s="42"/>
      <c r="C18982" s="52"/>
      <c r="D18982"/>
      <c r="E18982"/>
      <c r="F18982"/>
      <c r="N18982" s="56"/>
    </row>
    <row r="18983" spans="1:14" x14ac:dyDescent="0.3">
      <c r="A18983" s="42"/>
      <c r="C18983" s="52"/>
      <c r="D18983"/>
      <c r="E18983"/>
      <c r="F18983"/>
      <c r="N18983" s="56"/>
    </row>
    <row r="18984" spans="1:14" x14ac:dyDescent="0.3">
      <c r="A18984" s="42"/>
      <c r="C18984" s="52"/>
      <c r="D18984"/>
      <c r="E18984"/>
      <c r="F18984"/>
      <c r="N18984" s="56"/>
    </row>
    <row r="18985" spans="1:14" x14ac:dyDescent="0.3">
      <c r="A18985" s="42"/>
      <c r="C18985" s="52"/>
      <c r="D18985"/>
      <c r="E18985"/>
      <c r="F18985"/>
      <c r="N18985" s="56"/>
    </row>
    <row r="18986" spans="1:14" x14ac:dyDescent="0.3">
      <c r="A18986" s="42"/>
      <c r="C18986" s="52"/>
      <c r="D18986"/>
      <c r="E18986"/>
      <c r="F18986"/>
      <c r="N18986" s="56"/>
    </row>
    <row r="18987" spans="1:14" x14ac:dyDescent="0.3">
      <c r="A18987" s="42"/>
      <c r="C18987" s="52"/>
      <c r="D18987"/>
      <c r="E18987"/>
      <c r="F18987"/>
      <c r="N18987" s="56"/>
    </row>
    <row r="18988" spans="1:14" x14ac:dyDescent="0.3">
      <c r="A18988" s="42"/>
      <c r="C18988" s="52"/>
      <c r="D18988"/>
      <c r="E18988"/>
      <c r="F18988"/>
      <c r="N18988" s="56"/>
    </row>
    <row r="18989" spans="1:14" x14ac:dyDescent="0.3">
      <c r="A18989" s="42"/>
      <c r="C18989" s="52"/>
      <c r="D18989"/>
      <c r="E18989"/>
      <c r="F18989"/>
      <c r="N18989" s="56"/>
    </row>
    <row r="18990" spans="1:14" x14ac:dyDescent="0.3">
      <c r="A18990" s="42"/>
      <c r="C18990" s="52"/>
      <c r="D18990"/>
      <c r="E18990"/>
      <c r="F18990"/>
      <c r="N18990" s="56"/>
    </row>
    <row r="18991" spans="1:14" x14ac:dyDescent="0.3">
      <c r="A18991" s="42"/>
      <c r="C18991" s="52"/>
      <c r="D18991"/>
      <c r="E18991"/>
      <c r="F18991"/>
      <c r="N18991" s="56"/>
    </row>
    <row r="18992" spans="1:14" x14ac:dyDescent="0.3">
      <c r="A18992" s="42"/>
      <c r="C18992" s="52"/>
      <c r="D18992"/>
      <c r="E18992"/>
      <c r="F18992"/>
      <c r="N18992" s="56"/>
    </row>
    <row r="18993" spans="1:14" x14ac:dyDescent="0.3">
      <c r="A18993" s="42"/>
      <c r="C18993" s="52"/>
      <c r="D18993"/>
      <c r="E18993"/>
      <c r="F18993"/>
      <c r="N18993" s="56"/>
    </row>
    <row r="18994" spans="1:14" x14ac:dyDescent="0.3">
      <c r="A18994" s="42"/>
      <c r="C18994" s="52"/>
      <c r="D18994"/>
      <c r="E18994"/>
      <c r="F18994"/>
      <c r="N18994" s="56"/>
    </row>
    <row r="18995" spans="1:14" x14ac:dyDescent="0.3">
      <c r="A18995" s="42"/>
      <c r="C18995" s="52"/>
      <c r="D18995"/>
      <c r="E18995"/>
      <c r="F18995"/>
      <c r="N18995" s="56"/>
    </row>
    <row r="18996" spans="1:14" x14ac:dyDescent="0.3">
      <c r="A18996" s="42"/>
      <c r="C18996" s="52"/>
      <c r="D18996"/>
      <c r="E18996"/>
      <c r="F18996"/>
      <c r="N18996" s="56"/>
    </row>
    <row r="18997" spans="1:14" x14ac:dyDescent="0.3">
      <c r="A18997" s="42"/>
      <c r="C18997" s="52"/>
      <c r="D18997"/>
      <c r="E18997"/>
      <c r="F18997"/>
      <c r="N18997" s="56"/>
    </row>
    <row r="18998" spans="1:14" x14ac:dyDescent="0.3">
      <c r="A18998" s="42"/>
      <c r="C18998" s="52"/>
      <c r="D18998"/>
      <c r="E18998"/>
      <c r="F18998"/>
      <c r="N18998" s="56"/>
    </row>
    <row r="18999" spans="1:14" x14ac:dyDescent="0.3">
      <c r="A18999" s="42"/>
      <c r="C18999" s="52"/>
      <c r="D18999"/>
      <c r="E18999"/>
      <c r="F18999"/>
      <c r="N18999" s="56"/>
    </row>
    <row r="19000" spans="1:14" x14ac:dyDescent="0.3">
      <c r="A19000" s="42"/>
      <c r="C19000" s="52"/>
      <c r="D19000"/>
      <c r="E19000"/>
      <c r="F19000"/>
      <c r="N19000" s="56"/>
    </row>
    <row r="19001" spans="1:14" x14ac:dyDescent="0.3">
      <c r="A19001" s="42"/>
      <c r="C19001" s="52"/>
      <c r="D19001"/>
      <c r="E19001"/>
      <c r="F19001"/>
      <c r="N19001" s="56"/>
    </row>
    <row r="19002" spans="1:14" x14ac:dyDescent="0.3">
      <c r="A19002" s="42"/>
      <c r="C19002" s="52"/>
      <c r="D19002"/>
      <c r="E19002"/>
      <c r="F19002"/>
      <c r="N19002" s="56"/>
    </row>
    <row r="19003" spans="1:14" x14ac:dyDescent="0.3">
      <c r="A19003" s="42"/>
      <c r="C19003" s="52"/>
      <c r="D19003"/>
      <c r="E19003"/>
      <c r="F19003"/>
      <c r="N19003" s="56"/>
    </row>
    <row r="19004" spans="1:14" x14ac:dyDescent="0.3">
      <c r="A19004" s="42"/>
      <c r="C19004" s="52"/>
      <c r="D19004"/>
      <c r="E19004"/>
      <c r="F19004"/>
      <c r="N19004" s="56"/>
    </row>
    <row r="19005" spans="1:14" x14ac:dyDescent="0.3">
      <c r="A19005" s="42"/>
      <c r="C19005" s="52"/>
      <c r="D19005"/>
      <c r="E19005"/>
      <c r="F19005"/>
      <c r="N19005" s="56"/>
    </row>
    <row r="19006" spans="1:14" x14ac:dyDescent="0.3">
      <c r="A19006" s="42"/>
      <c r="C19006" s="52"/>
      <c r="D19006"/>
      <c r="E19006"/>
      <c r="F19006"/>
      <c r="N19006" s="56"/>
    </row>
    <row r="19007" spans="1:14" x14ac:dyDescent="0.3">
      <c r="A19007" s="42"/>
      <c r="C19007" s="52"/>
      <c r="D19007"/>
      <c r="E19007"/>
      <c r="F19007"/>
      <c r="N19007" s="56"/>
    </row>
    <row r="19008" spans="1:14" x14ac:dyDescent="0.3">
      <c r="A19008" s="42"/>
      <c r="C19008" s="52"/>
      <c r="D19008"/>
      <c r="E19008"/>
      <c r="F19008"/>
      <c r="N19008" s="56"/>
    </row>
    <row r="19009" spans="1:14" x14ac:dyDescent="0.3">
      <c r="A19009" s="42"/>
      <c r="C19009" s="52"/>
      <c r="D19009"/>
      <c r="E19009"/>
      <c r="F19009"/>
      <c r="N19009" s="56"/>
    </row>
    <row r="19010" spans="1:14" x14ac:dyDescent="0.3">
      <c r="A19010" s="42"/>
      <c r="C19010" s="52"/>
      <c r="D19010"/>
      <c r="E19010"/>
      <c r="F19010"/>
      <c r="N19010" s="56"/>
    </row>
    <row r="19011" spans="1:14" x14ac:dyDescent="0.3">
      <c r="A19011" s="42"/>
      <c r="C19011" s="52"/>
      <c r="D19011"/>
      <c r="E19011"/>
      <c r="F19011"/>
      <c r="N19011" s="56"/>
    </row>
    <row r="19012" spans="1:14" x14ac:dyDescent="0.3">
      <c r="A19012" s="42"/>
      <c r="C19012" s="52"/>
      <c r="D19012"/>
      <c r="E19012"/>
      <c r="F19012"/>
      <c r="N19012" s="56"/>
    </row>
    <row r="19013" spans="1:14" x14ac:dyDescent="0.3">
      <c r="A19013" s="42"/>
      <c r="C19013" s="52"/>
      <c r="D19013"/>
      <c r="E19013"/>
      <c r="F19013"/>
      <c r="N19013" s="56"/>
    </row>
    <row r="19014" spans="1:14" x14ac:dyDescent="0.3">
      <c r="A19014" s="42"/>
      <c r="C19014" s="52"/>
      <c r="D19014"/>
      <c r="E19014"/>
      <c r="F19014"/>
      <c r="N19014" s="56"/>
    </row>
    <row r="19015" spans="1:14" x14ac:dyDescent="0.3">
      <c r="A19015" s="42"/>
      <c r="C19015" s="52"/>
      <c r="D19015"/>
      <c r="E19015"/>
      <c r="F19015"/>
      <c r="N19015" s="56"/>
    </row>
    <row r="19016" spans="1:14" x14ac:dyDescent="0.3">
      <c r="A19016" s="42"/>
      <c r="C19016" s="52"/>
      <c r="D19016"/>
      <c r="E19016"/>
      <c r="F19016"/>
      <c r="N19016" s="56"/>
    </row>
    <row r="19017" spans="1:14" x14ac:dyDescent="0.3">
      <c r="A19017" s="42"/>
      <c r="C19017" s="52"/>
      <c r="D19017"/>
      <c r="E19017"/>
      <c r="F19017"/>
      <c r="N19017" s="56"/>
    </row>
    <row r="19018" spans="1:14" x14ac:dyDescent="0.3">
      <c r="A19018" s="42"/>
      <c r="C19018" s="52"/>
      <c r="D19018"/>
      <c r="E19018"/>
      <c r="F19018"/>
      <c r="N19018" s="56"/>
    </row>
    <row r="19019" spans="1:14" x14ac:dyDescent="0.3">
      <c r="A19019" s="42"/>
      <c r="C19019" s="52"/>
      <c r="D19019"/>
      <c r="E19019"/>
      <c r="F19019"/>
      <c r="N19019" s="56"/>
    </row>
    <row r="19020" spans="1:14" x14ac:dyDescent="0.3">
      <c r="A19020" s="42"/>
      <c r="C19020" s="52"/>
      <c r="D19020"/>
      <c r="E19020"/>
      <c r="F19020"/>
      <c r="N19020" s="56"/>
    </row>
    <row r="19021" spans="1:14" x14ac:dyDescent="0.3">
      <c r="A19021" s="42"/>
      <c r="C19021" s="52"/>
      <c r="D19021"/>
      <c r="E19021"/>
      <c r="F19021"/>
      <c r="N19021" s="56"/>
    </row>
    <row r="19022" spans="1:14" x14ac:dyDescent="0.3">
      <c r="A19022" s="42"/>
      <c r="C19022" s="52"/>
      <c r="D19022"/>
      <c r="E19022"/>
      <c r="F19022"/>
      <c r="N19022" s="56"/>
    </row>
    <row r="19023" spans="1:14" x14ac:dyDescent="0.3">
      <c r="A19023" s="42"/>
      <c r="C19023" s="52"/>
      <c r="D19023"/>
      <c r="E19023"/>
      <c r="F19023"/>
      <c r="N19023" s="56"/>
    </row>
    <row r="19024" spans="1:14" x14ac:dyDescent="0.3">
      <c r="A19024" s="42"/>
      <c r="C19024" s="52"/>
      <c r="D19024"/>
      <c r="E19024"/>
      <c r="F19024"/>
      <c r="N19024" s="56"/>
    </row>
    <row r="19025" spans="1:14" x14ac:dyDescent="0.3">
      <c r="A19025" s="42"/>
      <c r="C19025" s="52"/>
      <c r="D19025"/>
      <c r="E19025"/>
      <c r="F19025"/>
      <c r="N19025" s="56"/>
    </row>
    <row r="19026" spans="1:14" x14ac:dyDescent="0.3">
      <c r="A19026" s="42"/>
      <c r="C19026" s="52"/>
      <c r="D19026"/>
      <c r="E19026"/>
      <c r="F19026"/>
      <c r="N19026" s="56"/>
    </row>
    <row r="19027" spans="1:14" x14ac:dyDescent="0.3">
      <c r="A19027" s="42"/>
      <c r="C19027" s="52"/>
      <c r="D19027"/>
      <c r="E19027"/>
      <c r="F19027"/>
      <c r="N19027" s="56"/>
    </row>
    <row r="19028" spans="1:14" x14ac:dyDescent="0.3">
      <c r="A19028" s="42"/>
      <c r="C19028" s="52"/>
      <c r="D19028"/>
      <c r="E19028"/>
      <c r="F19028"/>
      <c r="N19028" s="56"/>
    </row>
    <row r="19029" spans="1:14" x14ac:dyDescent="0.3">
      <c r="A19029" s="42"/>
      <c r="C19029" s="52"/>
      <c r="D19029"/>
      <c r="E19029"/>
      <c r="F19029"/>
      <c r="N19029" s="56"/>
    </row>
    <row r="19030" spans="1:14" x14ac:dyDescent="0.3">
      <c r="A19030" s="42"/>
      <c r="C19030" s="52"/>
      <c r="D19030"/>
      <c r="E19030"/>
      <c r="F19030"/>
      <c r="N19030" s="56"/>
    </row>
    <row r="19031" spans="1:14" x14ac:dyDescent="0.3">
      <c r="A19031" s="42"/>
      <c r="C19031" s="52"/>
      <c r="D19031"/>
      <c r="E19031"/>
      <c r="F19031"/>
      <c r="N19031" s="56"/>
    </row>
    <row r="19032" spans="1:14" x14ac:dyDescent="0.3">
      <c r="A19032" s="42"/>
      <c r="C19032" s="52"/>
      <c r="D19032"/>
      <c r="E19032"/>
      <c r="F19032"/>
      <c r="N19032" s="56"/>
    </row>
    <row r="19033" spans="1:14" x14ac:dyDescent="0.3">
      <c r="A19033" s="42"/>
      <c r="C19033" s="52"/>
      <c r="D19033"/>
      <c r="E19033"/>
      <c r="F19033"/>
      <c r="N19033" s="56"/>
    </row>
    <row r="19034" spans="1:14" x14ac:dyDescent="0.3">
      <c r="A19034" s="42"/>
      <c r="C19034" s="52"/>
      <c r="D19034"/>
      <c r="E19034"/>
      <c r="F19034"/>
      <c r="N19034" s="56"/>
    </row>
    <row r="19035" spans="1:14" x14ac:dyDescent="0.3">
      <c r="A19035" s="42"/>
      <c r="C19035" s="52"/>
      <c r="D19035"/>
      <c r="E19035"/>
      <c r="F19035"/>
      <c r="N19035" s="56"/>
    </row>
    <row r="19036" spans="1:14" x14ac:dyDescent="0.3">
      <c r="A19036" s="42"/>
      <c r="C19036" s="52"/>
      <c r="D19036"/>
      <c r="E19036"/>
      <c r="F19036"/>
      <c r="N19036" s="56"/>
    </row>
    <row r="19037" spans="1:14" x14ac:dyDescent="0.3">
      <c r="A19037" s="42"/>
      <c r="C19037" s="52"/>
      <c r="D19037"/>
      <c r="E19037"/>
      <c r="F19037"/>
      <c r="N19037" s="56"/>
    </row>
    <row r="19038" spans="1:14" x14ac:dyDescent="0.3">
      <c r="A19038" s="42"/>
      <c r="C19038" s="52"/>
      <c r="D19038"/>
      <c r="E19038"/>
      <c r="F19038"/>
      <c r="N19038" s="56"/>
    </row>
    <row r="19039" spans="1:14" x14ac:dyDescent="0.3">
      <c r="A19039" s="42"/>
      <c r="C19039" s="52"/>
      <c r="D19039"/>
      <c r="E19039"/>
      <c r="F19039"/>
      <c r="N19039" s="56"/>
    </row>
    <row r="19040" spans="1:14" x14ac:dyDescent="0.3">
      <c r="A19040" s="42"/>
      <c r="C19040" s="52"/>
      <c r="D19040"/>
      <c r="E19040"/>
      <c r="F19040"/>
      <c r="N19040" s="56"/>
    </row>
    <row r="19041" spans="1:14" x14ac:dyDescent="0.3">
      <c r="A19041" s="42"/>
      <c r="C19041" s="52"/>
      <c r="D19041"/>
      <c r="E19041"/>
      <c r="F19041"/>
      <c r="N19041" s="56"/>
    </row>
    <row r="19042" spans="1:14" x14ac:dyDescent="0.3">
      <c r="A19042" s="42"/>
      <c r="C19042" s="52"/>
      <c r="D19042"/>
      <c r="E19042"/>
      <c r="F19042"/>
      <c r="N19042" s="56"/>
    </row>
    <row r="19043" spans="1:14" x14ac:dyDescent="0.3">
      <c r="A19043" s="42"/>
      <c r="C19043" s="52"/>
      <c r="D19043"/>
      <c r="E19043"/>
      <c r="F19043"/>
      <c r="N19043" s="56"/>
    </row>
    <row r="19044" spans="1:14" x14ac:dyDescent="0.3">
      <c r="A19044" s="42"/>
      <c r="C19044" s="52"/>
      <c r="D19044"/>
      <c r="E19044"/>
      <c r="F19044"/>
      <c r="N19044" s="56"/>
    </row>
    <row r="19045" spans="1:14" x14ac:dyDescent="0.3">
      <c r="A19045" s="42"/>
      <c r="C19045" s="52"/>
      <c r="D19045"/>
      <c r="E19045"/>
      <c r="F19045"/>
      <c r="N19045" s="56"/>
    </row>
    <row r="19046" spans="1:14" x14ac:dyDescent="0.3">
      <c r="A19046" s="42"/>
      <c r="C19046" s="52"/>
      <c r="D19046"/>
      <c r="E19046"/>
      <c r="F19046"/>
      <c r="N19046" s="56"/>
    </row>
    <row r="19047" spans="1:14" x14ac:dyDescent="0.3">
      <c r="A19047" s="42"/>
      <c r="C19047" s="52"/>
      <c r="D19047"/>
      <c r="E19047"/>
      <c r="F19047"/>
      <c r="N19047" s="56"/>
    </row>
    <row r="19048" spans="1:14" x14ac:dyDescent="0.3">
      <c r="A19048" s="42"/>
      <c r="C19048" s="52"/>
      <c r="D19048"/>
      <c r="E19048"/>
      <c r="F19048"/>
      <c r="N19048" s="56"/>
    </row>
    <row r="19049" spans="1:14" x14ac:dyDescent="0.3">
      <c r="A19049" s="42"/>
      <c r="C19049" s="52"/>
      <c r="D19049"/>
      <c r="E19049"/>
      <c r="F19049"/>
      <c r="N19049" s="56"/>
    </row>
    <row r="19050" spans="1:14" x14ac:dyDescent="0.3">
      <c r="A19050" s="42"/>
      <c r="C19050" s="52"/>
      <c r="D19050"/>
      <c r="E19050"/>
      <c r="F19050"/>
      <c r="N19050" s="56"/>
    </row>
    <row r="19051" spans="1:14" x14ac:dyDescent="0.3">
      <c r="A19051" s="42"/>
      <c r="C19051" s="52"/>
      <c r="D19051"/>
      <c r="E19051"/>
      <c r="F19051"/>
      <c r="N19051" s="56"/>
    </row>
    <row r="19052" spans="1:14" x14ac:dyDescent="0.3">
      <c r="A19052" s="42"/>
      <c r="C19052" s="52"/>
      <c r="D19052"/>
      <c r="E19052"/>
      <c r="F19052"/>
      <c r="N19052" s="56"/>
    </row>
    <row r="19053" spans="1:14" x14ac:dyDescent="0.3">
      <c r="A19053" s="42"/>
      <c r="C19053" s="52"/>
      <c r="D19053"/>
      <c r="E19053"/>
      <c r="F19053"/>
      <c r="N19053" s="56"/>
    </row>
    <row r="19054" spans="1:14" x14ac:dyDescent="0.3">
      <c r="A19054" s="42"/>
      <c r="C19054" s="52"/>
      <c r="D19054"/>
      <c r="E19054"/>
      <c r="F19054"/>
      <c r="N19054" s="56"/>
    </row>
    <row r="19055" spans="1:14" x14ac:dyDescent="0.3">
      <c r="A19055" s="42"/>
      <c r="C19055" s="52"/>
      <c r="D19055"/>
      <c r="E19055"/>
      <c r="F19055"/>
      <c r="N19055" s="56"/>
    </row>
    <row r="19056" spans="1:14" x14ac:dyDescent="0.3">
      <c r="A19056" s="42"/>
      <c r="C19056" s="52"/>
      <c r="D19056"/>
      <c r="E19056"/>
      <c r="F19056"/>
      <c r="N19056" s="56"/>
    </row>
    <row r="19057" spans="1:14" x14ac:dyDescent="0.3">
      <c r="A19057" s="42"/>
      <c r="C19057" s="52"/>
      <c r="D19057"/>
      <c r="E19057"/>
      <c r="F19057"/>
      <c r="N19057" s="56"/>
    </row>
    <row r="19058" spans="1:14" x14ac:dyDescent="0.3">
      <c r="A19058" s="42"/>
      <c r="C19058" s="52"/>
      <c r="D19058"/>
      <c r="E19058"/>
      <c r="F19058"/>
      <c r="N19058" s="56"/>
    </row>
    <row r="19059" spans="1:14" x14ac:dyDescent="0.3">
      <c r="A19059" s="42"/>
      <c r="C19059" s="52"/>
      <c r="D19059"/>
      <c r="E19059"/>
      <c r="F19059"/>
      <c r="N19059" s="56"/>
    </row>
    <row r="19060" spans="1:14" x14ac:dyDescent="0.3">
      <c r="A19060" s="42"/>
      <c r="C19060" s="52"/>
      <c r="D19060"/>
      <c r="E19060"/>
      <c r="F19060"/>
      <c r="N19060" s="56"/>
    </row>
    <row r="19061" spans="1:14" x14ac:dyDescent="0.3">
      <c r="A19061" s="42"/>
      <c r="C19061" s="52"/>
      <c r="D19061"/>
      <c r="E19061"/>
      <c r="F19061"/>
      <c r="N19061" s="56"/>
    </row>
    <row r="19062" spans="1:14" x14ac:dyDescent="0.3">
      <c r="A19062" s="42"/>
      <c r="C19062" s="52"/>
      <c r="D19062"/>
      <c r="E19062"/>
      <c r="F19062"/>
      <c r="N19062" s="56"/>
    </row>
    <row r="19063" spans="1:14" x14ac:dyDescent="0.3">
      <c r="A19063" s="42"/>
      <c r="C19063" s="52"/>
      <c r="D19063"/>
      <c r="E19063"/>
      <c r="F19063"/>
      <c r="N19063" s="56"/>
    </row>
    <row r="19064" spans="1:14" x14ac:dyDescent="0.3">
      <c r="A19064" s="42"/>
      <c r="C19064" s="52"/>
      <c r="D19064"/>
      <c r="E19064"/>
      <c r="F19064"/>
      <c r="N19064" s="56"/>
    </row>
    <row r="19065" spans="1:14" x14ac:dyDescent="0.3">
      <c r="A19065" s="42"/>
      <c r="C19065" s="52"/>
      <c r="D19065"/>
      <c r="E19065"/>
      <c r="F19065"/>
      <c r="N19065" s="56"/>
    </row>
    <row r="19066" spans="1:14" x14ac:dyDescent="0.3">
      <c r="A19066" s="42"/>
      <c r="C19066" s="52"/>
      <c r="D19066"/>
      <c r="E19066"/>
      <c r="F19066"/>
      <c r="N19066" s="56"/>
    </row>
    <row r="19067" spans="1:14" x14ac:dyDescent="0.3">
      <c r="A19067" s="42"/>
      <c r="C19067" s="52"/>
      <c r="D19067"/>
      <c r="E19067"/>
      <c r="F19067"/>
      <c r="N19067" s="56"/>
    </row>
    <row r="19068" spans="1:14" x14ac:dyDescent="0.3">
      <c r="A19068" s="42"/>
      <c r="C19068" s="52"/>
      <c r="D19068"/>
      <c r="E19068"/>
      <c r="F19068"/>
      <c r="N19068" s="56"/>
    </row>
    <row r="19069" spans="1:14" x14ac:dyDescent="0.3">
      <c r="A19069" s="42"/>
      <c r="C19069" s="52"/>
      <c r="D19069"/>
      <c r="E19069"/>
      <c r="F19069"/>
      <c r="N19069" s="56"/>
    </row>
    <row r="19070" spans="1:14" x14ac:dyDescent="0.3">
      <c r="A19070" s="42"/>
      <c r="C19070" s="52"/>
      <c r="D19070"/>
      <c r="E19070"/>
      <c r="F19070"/>
      <c r="N19070" s="56"/>
    </row>
    <row r="19071" spans="1:14" x14ac:dyDescent="0.3">
      <c r="A19071" s="42"/>
      <c r="C19071" s="52"/>
      <c r="D19071"/>
      <c r="E19071"/>
      <c r="F19071"/>
      <c r="N19071" s="56"/>
    </row>
    <row r="19072" spans="1:14" x14ac:dyDescent="0.3">
      <c r="A19072" s="42"/>
      <c r="C19072" s="52"/>
      <c r="D19072"/>
      <c r="E19072"/>
      <c r="F19072"/>
      <c r="N19072" s="56"/>
    </row>
    <row r="19073" spans="1:14" x14ac:dyDescent="0.3">
      <c r="A19073" s="42"/>
      <c r="C19073" s="52"/>
      <c r="D19073"/>
      <c r="E19073"/>
      <c r="F19073"/>
      <c r="N19073" s="56"/>
    </row>
    <row r="19074" spans="1:14" x14ac:dyDescent="0.3">
      <c r="A19074" s="42"/>
      <c r="C19074" s="52"/>
      <c r="D19074"/>
      <c r="E19074"/>
      <c r="F19074"/>
      <c r="N19074" s="56"/>
    </row>
    <row r="19075" spans="1:14" x14ac:dyDescent="0.3">
      <c r="A19075" s="42"/>
      <c r="C19075" s="52"/>
      <c r="D19075"/>
      <c r="E19075"/>
      <c r="F19075"/>
      <c r="N19075" s="56"/>
    </row>
    <row r="19076" spans="1:14" x14ac:dyDescent="0.3">
      <c r="A19076" s="42"/>
      <c r="C19076" s="52"/>
      <c r="D19076"/>
      <c r="E19076"/>
      <c r="F19076"/>
      <c r="N19076" s="56"/>
    </row>
    <row r="19077" spans="1:14" x14ac:dyDescent="0.3">
      <c r="A19077" s="42"/>
      <c r="C19077" s="52"/>
      <c r="D19077"/>
      <c r="E19077"/>
      <c r="F19077"/>
      <c r="N19077" s="56"/>
    </row>
    <row r="19078" spans="1:14" x14ac:dyDescent="0.3">
      <c r="A19078" s="42"/>
      <c r="C19078" s="52"/>
      <c r="D19078"/>
      <c r="E19078"/>
      <c r="F19078"/>
      <c r="N19078" s="56"/>
    </row>
    <row r="19079" spans="1:14" x14ac:dyDescent="0.3">
      <c r="A19079" s="42"/>
      <c r="C19079" s="52"/>
      <c r="D19079"/>
      <c r="E19079"/>
      <c r="F19079"/>
      <c r="N19079" s="56"/>
    </row>
    <row r="19080" spans="1:14" x14ac:dyDescent="0.3">
      <c r="A19080" s="42"/>
      <c r="C19080" s="52"/>
      <c r="D19080"/>
      <c r="E19080"/>
      <c r="F19080"/>
      <c r="N19080" s="56"/>
    </row>
    <row r="19081" spans="1:14" x14ac:dyDescent="0.3">
      <c r="A19081" s="42"/>
      <c r="C19081" s="52"/>
      <c r="D19081"/>
      <c r="E19081"/>
      <c r="F19081"/>
      <c r="N19081" s="56"/>
    </row>
    <row r="19082" spans="1:14" x14ac:dyDescent="0.3">
      <c r="A19082" s="42"/>
      <c r="C19082" s="52"/>
      <c r="D19082"/>
      <c r="E19082"/>
      <c r="F19082"/>
      <c r="N19082" s="56"/>
    </row>
    <row r="19083" spans="1:14" x14ac:dyDescent="0.3">
      <c r="A19083" s="42"/>
      <c r="C19083" s="52"/>
      <c r="D19083"/>
      <c r="E19083"/>
      <c r="F19083"/>
      <c r="N19083" s="56"/>
    </row>
    <row r="19084" spans="1:14" x14ac:dyDescent="0.3">
      <c r="A19084" s="42"/>
      <c r="C19084" s="52"/>
      <c r="D19084"/>
      <c r="E19084"/>
      <c r="F19084"/>
      <c r="N19084" s="56"/>
    </row>
    <row r="19085" spans="1:14" x14ac:dyDescent="0.3">
      <c r="A19085" s="42"/>
      <c r="C19085" s="52"/>
      <c r="D19085"/>
      <c r="E19085"/>
      <c r="F19085"/>
      <c r="N19085" s="56"/>
    </row>
    <row r="19086" spans="1:14" x14ac:dyDescent="0.3">
      <c r="A19086" s="42"/>
      <c r="C19086" s="52"/>
      <c r="D19086"/>
      <c r="E19086"/>
      <c r="F19086"/>
      <c r="N19086" s="56"/>
    </row>
    <row r="19087" spans="1:14" x14ac:dyDescent="0.3">
      <c r="A19087" s="42"/>
      <c r="C19087" s="52"/>
      <c r="D19087"/>
      <c r="E19087"/>
      <c r="F19087"/>
      <c r="N19087" s="56"/>
    </row>
    <row r="19088" spans="1:14" x14ac:dyDescent="0.3">
      <c r="A19088" s="42"/>
      <c r="C19088" s="52"/>
      <c r="D19088"/>
      <c r="E19088"/>
      <c r="F19088"/>
      <c r="N19088" s="56"/>
    </row>
    <row r="19089" spans="1:14" x14ac:dyDescent="0.3">
      <c r="A19089" s="42"/>
      <c r="C19089" s="52"/>
      <c r="D19089"/>
      <c r="E19089"/>
      <c r="F19089"/>
      <c r="N19089" s="56"/>
    </row>
    <row r="19090" spans="1:14" x14ac:dyDescent="0.3">
      <c r="A19090" s="42"/>
      <c r="C19090" s="52"/>
      <c r="D19090"/>
      <c r="E19090"/>
      <c r="F19090"/>
      <c r="N19090" s="56"/>
    </row>
    <row r="19091" spans="1:14" x14ac:dyDescent="0.3">
      <c r="A19091" s="42"/>
      <c r="C19091" s="52"/>
      <c r="D19091"/>
      <c r="E19091"/>
      <c r="F19091"/>
      <c r="N19091" s="56"/>
    </row>
    <row r="19092" spans="1:14" x14ac:dyDescent="0.3">
      <c r="A19092" s="42"/>
      <c r="C19092" s="52"/>
      <c r="D19092"/>
      <c r="E19092"/>
      <c r="F19092"/>
      <c r="N19092" s="56"/>
    </row>
    <row r="19093" spans="1:14" x14ac:dyDescent="0.3">
      <c r="A19093" s="42"/>
      <c r="C19093" s="52"/>
      <c r="D19093"/>
      <c r="E19093"/>
      <c r="F19093"/>
      <c r="N19093" s="56"/>
    </row>
    <row r="19094" spans="1:14" x14ac:dyDescent="0.3">
      <c r="A19094" s="42"/>
      <c r="C19094" s="52"/>
      <c r="D19094"/>
      <c r="E19094"/>
      <c r="F19094"/>
      <c r="N19094" s="56"/>
    </row>
    <row r="19095" spans="1:14" x14ac:dyDescent="0.3">
      <c r="A19095" s="42"/>
      <c r="C19095" s="52"/>
      <c r="D19095"/>
      <c r="E19095"/>
      <c r="F19095"/>
      <c r="N19095" s="56"/>
    </row>
    <row r="19096" spans="1:14" x14ac:dyDescent="0.3">
      <c r="A19096" s="42"/>
      <c r="C19096" s="52"/>
      <c r="D19096"/>
      <c r="E19096"/>
      <c r="F19096"/>
      <c r="N19096" s="56"/>
    </row>
    <row r="19097" spans="1:14" x14ac:dyDescent="0.3">
      <c r="A19097" s="42"/>
      <c r="C19097" s="52"/>
      <c r="D19097"/>
      <c r="E19097"/>
      <c r="F19097"/>
      <c r="N19097" s="56"/>
    </row>
    <row r="19098" spans="1:14" x14ac:dyDescent="0.3">
      <c r="A19098" s="42"/>
      <c r="C19098" s="52"/>
      <c r="D19098"/>
      <c r="E19098"/>
      <c r="F19098"/>
      <c r="N19098" s="56"/>
    </row>
    <row r="19099" spans="1:14" x14ac:dyDescent="0.3">
      <c r="A19099" s="42"/>
      <c r="C19099" s="52"/>
      <c r="D19099"/>
      <c r="E19099"/>
      <c r="F19099"/>
      <c r="N19099" s="56"/>
    </row>
    <row r="19100" spans="1:14" x14ac:dyDescent="0.3">
      <c r="A19100" s="42"/>
      <c r="C19100" s="52"/>
      <c r="D19100"/>
      <c r="E19100"/>
      <c r="F19100"/>
      <c r="N19100" s="56"/>
    </row>
    <row r="19101" spans="1:14" x14ac:dyDescent="0.3">
      <c r="A19101" s="42"/>
      <c r="C19101" s="52"/>
      <c r="D19101"/>
      <c r="E19101"/>
      <c r="F19101"/>
      <c r="N19101" s="56"/>
    </row>
    <row r="19102" spans="1:14" x14ac:dyDescent="0.3">
      <c r="A19102" s="42"/>
      <c r="C19102" s="52"/>
      <c r="D19102"/>
      <c r="E19102"/>
      <c r="F19102"/>
      <c r="N19102" s="56"/>
    </row>
    <row r="19103" spans="1:14" x14ac:dyDescent="0.3">
      <c r="A19103" s="42"/>
      <c r="C19103" s="52"/>
      <c r="D19103"/>
      <c r="E19103"/>
      <c r="F19103"/>
      <c r="N19103" s="56"/>
    </row>
    <row r="19104" spans="1:14" x14ac:dyDescent="0.3">
      <c r="A19104" s="42"/>
      <c r="C19104" s="52"/>
      <c r="D19104"/>
      <c r="E19104"/>
      <c r="F19104"/>
      <c r="N19104" s="56"/>
    </row>
    <row r="19105" spans="1:14" x14ac:dyDescent="0.3">
      <c r="A19105" s="42"/>
      <c r="C19105" s="52"/>
      <c r="D19105"/>
      <c r="E19105"/>
      <c r="F19105"/>
      <c r="N19105" s="56"/>
    </row>
    <row r="19106" spans="1:14" x14ac:dyDescent="0.3">
      <c r="A19106" s="42"/>
      <c r="C19106" s="52"/>
      <c r="D19106"/>
      <c r="E19106"/>
      <c r="F19106"/>
      <c r="N19106" s="56"/>
    </row>
    <row r="19107" spans="1:14" x14ac:dyDescent="0.3">
      <c r="A19107" s="42"/>
      <c r="C19107" s="52"/>
      <c r="D19107"/>
      <c r="E19107"/>
      <c r="F19107"/>
      <c r="N19107" s="56"/>
    </row>
    <row r="19108" spans="1:14" x14ac:dyDescent="0.3">
      <c r="A19108" s="42"/>
      <c r="C19108" s="52"/>
      <c r="D19108"/>
      <c r="E19108"/>
      <c r="F19108"/>
      <c r="N19108" s="56"/>
    </row>
    <row r="19109" spans="1:14" x14ac:dyDescent="0.3">
      <c r="A19109" s="42"/>
      <c r="C19109" s="52"/>
      <c r="D19109"/>
      <c r="E19109"/>
      <c r="F19109"/>
      <c r="N19109" s="56"/>
    </row>
    <row r="19110" spans="1:14" x14ac:dyDescent="0.3">
      <c r="A19110" s="42"/>
      <c r="C19110" s="52"/>
      <c r="D19110"/>
      <c r="E19110"/>
      <c r="F19110"/>
      <c r="N19110" s="56"/>
    </row>
    <row r="19111" spans="1:14" x14ac:dyDescent="0.3">
      <c r="A19111" s="42"/>
      <c r="C19111" s="52"/>
      <c r="D19111"/>
      <c r="E19111"/>
      <c r="F19111"/>
      <c r="N19111" s="56"/>
    </row>
    <row r="19112" spans="1:14" x14ac:dyDescent="0.3">
      <c r="A19112" s="42"/>
      <c r="C19112" s="52"/>
      <c r="D19112"/>
      <c r="E19112"/>
      <c r="F19112"/>
      <c r="N19112" s="56"/>
    </row>
    <row r="19113" spans="1:14" x14ac:dyDescent="0.3">
      <c r="A19113" s="42"/>
      <c r="C19113" s="52"/>
      <c r="D19113"/>
      <c r="E19113"/>
      <c r="F19113"/>
      <c r="N19113" s="56"/>
    </row>
    <row r="19114" spans="1:14" x14ac:dyDescent="0.3">
      <c r="A19114" s="42"/>
      <c r="C19114" s="52"/>
      <c r="D19114"/>
      <c r="E19114"/>
      <c r="F19114"/>
      <c r="N19114" s="56"/>
    </row>
    <row r="19115" spans="1:14" x14ac:dyDescent="0.3">
      <c r="A19115" s="42"/>
      <c r="C19115" s="52"/>
      <c r="D19115"/>
      <c r="E19115"/>
      <c r="F19115"/>
      <c r="N19115" s="56"/>
    </row>
    <row r="19116" spans="1:14" x14ac:dyDescent="0.3">
      <c r="A19116" s="42"/>
      <c r="C19116" s="52"/>
      <c r="D19116"/>
      <c r="E19116"/>
      <c r="F19116"/>
      <c r="N19116" s="56"/>
    </row>
    <row r="19117" spans="1:14" x14ac:dyDescent="0.3">
      <c r="A19117" s="42"/>
      <c r="C19117" s="52"/>
      <c r="D19117"/>
      <c r="E19117"/>
      <c r="F19117"/>
      <c r="N19117" s="56"/>
    </row>
    <row r="19118" spans="1:14" x14ac:dyDescent="0.3">
      <c r="A19118" s="42"/>
      <c r="C19118" s="52"/>
      <c r="D19118"/>
      <c r="E19118"/>
      <c r="F19118"/>
      <c r="N19118" s="56"/>
    </row>
    <row r="19119" spans="1:14" x14ac:dyDescent="0.3">
      <c r="A19119" s="42"/>
      <c r="C19119" s="52"/>
      <c r="D19119"/>
      <c r="E19119"/>
      <c r="F19119"/>
      <c r="N19119" s="56"/>
    </row>
    <row r="19120" spans="1:14" x14ac:dyDescent="0.3">
      <c r="A19120" s="42"/>
      <c r="C19120" s="52"/>
      <c r="D19120"/>
      <c r="E19120"/>
      <c r="F19120"/>
      <c r="N19120" s="56"/>
    </row>
    <row r="19121" spans="1:14" x14ac:dyDescent="0.3">
      <c r="A19121" s="42"/>
      <c r="C19121" s="52"/>
      <c r="D19121"/>
      <c r="E19121"/>
      <c r="F19121"/>
      <c r="N19121" s="56"/>
    </row>
    <row r="19122" spans="1:14" x14ac:dyDescent="0.3">
      <c r="A19122" s="42"/>
      <c r="C19122" s="52"/>
      <c r="D19122"/>
      <c r="E19122"/>
      <c r="F19122"/>
      <c r="N19122" s="56"/>
    </row>
    <row r="19123" spans="1:14" x14ac:dyDescent="0.3">
      <c r="A19123" s="42"/>
      <c r="C19123" s="52"/>
      <c r="D19123"/>
      <c r="E19123"/>
      <c r="F19123"/>
      <c r="N19123" s="56"/>
    </row>
    <row r="19124" spans="1:14" x14ac:dyDescent="0.3">
      <c r="A19124" s="42"/>
      <c r="C19124" s="52"/>
      <c r="D19124"/>
      <c r="E19124"/>
      <c r="F19124"/>
      <c r="N19124" s="56"/>
    </row>
    <row r="19125" spans="1:14" x14ac:dyDescent="0.3">
      <c r="A19125" s="42"/>
      <c r="C19125" s="52"/>
      <c r="D19125"/>
      <c r="E19125"/>
      <c r="F19125"/>
      <c r="N19125" s="56"/>
    </row>
    <row r="19126" spans="1:14" x14ac:dyDescent="0.3">
      <c r="A19126" s="42"/>
      <c r="C19126" s="52"/>
      <c r="D19126"/>
      <c r="E19126"/>
      <c r="F19126"/>
      <c r="N19126" s="56"/>
    </row>
    <row r="19127" spans="1:14" x14ac:dyDescent="0.3">
      <c r="A19127" s="42"/>
      <c r="C19127" s="52"/>
      <c r="D19127"/>
      <c r="E19127"/>
      <c r="F19127"/>
      <c r="N19127" s="56"/>
    </row>
    <row r="19128" spans="1:14" x14ac:dyDescent="0.3">
      <c r="A19128" s="42"/>
      <c r="C19128" s="52"/>
      <c r="D19128"/>
      <c r="E19128"/>
      <c r="F19128"/>
      <c r="N19128" s="56"/>
    </row>
    <row r="19129" spans="1:14" x14ac:dyDescent="0.3">
      <c r="A19129" s="42"/>
      <c r="C19129" s="52"/>
      <c r="D19129"/>
      <c r="E19129"/>
      <c r="F19129"/>
      <c r="N19129" s="56"/>
    </row>
    <row r="19130" spans="1:14" x14ac:dyDescent="0.3">
      <c r="A19130" s="42"/>
      <c r="C19130" s="52"/>
      <c r="D19130"/>
      <c r="E19130"/>
      <c r="F19130"/>
      <c r="N19130" s="56"/>
    </row>
    <row r="19131" spans="1:14" x14ac:dyDescent="0.3">
      <c r="A19131" s="42"/>
      <c r="C19131" s="52"/>
      <c r="D19131"/>
      <c r="E19131"/>
      <c r="F19131"/>
      <c r="N19131" s="56"/>
    </row>
    <row r="19132" spans="1:14" x14ac:dyDescent="0.3">
      <c r="A19132" s="42"/>
      <c r="C19132" s="52"/>
      <c r="D19132"/>
      <c r="E19132"/>
      <c r="F19132"/>
      <c r="N19132" s="56"/>
    </row>
    <row r="19133" spans="1:14" x14ac:dyDescent="0.3">
      <c r="A19133" s="42"/>
      <c r="C19133" s="52"/>
      <c r="D19133"/>
      <c r="E19133"/>
      <c r="F19133"/>
      <c r="N19133" s="56"/>
    </row>
    <row r="19134" spans="1:14" x14ac:dyDescent="0.3">
      <c r="A19134" s="42"/>
      <c r="C19134" s="52"/>
      <c r="D19134"/>
      <c r="E19134"/>
      <c r="F19134"/>
      <c r="N19134" s="56"/>
    </row>
    <row r="19135" spans="1:14" x14ac:dyDescent="0.3">
      <c r="A19135" s="42"/>
      <c r="C19135" s="52"/>
      <c r="D19135"/>
      <c r="E19135"/>
      <c r="F19135"/>
      <c r="N19135" s="56"/>
    </row>
    <row r="19136" spans="1:14" x14ac:dyDescent="0.3">
      <c r="A19136" s="42"/>
      <c r="C19136" s="52"/>
      <c r="D19136"/>
      <c r="E19136"/>
      <c r="F19136"/>
      <c r="N19136" s="56"/>
    </row>
    <row r="19137" spans="1:14" x14ac:dyDescent="0.3">
      <c r="A19137" s="42"/>
      <c r="C19137" s="52"/>
      <c r="D19137"/>
      <c r="E19137"/>
      <c r="F19137"/>
      <c r="N19137" s="56"/>
    </row>
    <row r="19138" spans="1:14" x14ac:dyDescent="0.3">
      <c r="A19138" s="42"/>
      <c r="C19138" s="52"/>
      <c r="D19138"/>
      <c r="E19138"/>
      <c r="F19138"/>
      <c r="N19138" s="56"/>
    </row>
    <row r="19139" spans="1:14" x14ac:dyDescent="0.3">
      <c r="A19139" s="42"/>
      <c r="C19139" s="52"/>
      <c r="D19139"/>
      <c r="E19139"/>
      <c r="F19139"/>
      <c r="N19139" s="56"/>
    </row>
    <row r="19140" spans="1:14" x14ac:dyDescent="0.3">
      <c r="A19140" s="42"/>
      <c r="C19140" s="52"/>
      <c r="D19140"/>
      <c r="E19140"/>
      <c r="F19140"/>
      <c r="N19140" s="56"/>
    </row>
    <row r="19141" spans="1:14" x14ac:dyDescent="0.3">
      <c r="A19141" s="42"/>
      <c r="C19141" s="52"/>
      <c r="D19141"/>
      <c r="E19141"/>
      <c r="F19141"/>
      <c r="N19141" s="56"/>
    </row>
    <row r="19142" spans="1:14" x14ac:dyDescent="0.3">
      <c r="A19142" s="42"/>
      <c r="C19142" s="52"/>
      <c r="D19142"/>
      <c r="E19142"/>
      <c r="F19142"/>
      <c r="N19142" s="56"/>
    </row>
    <row r="19143" spans="1:14" x14ac:dyDescent="0.3">
      <c r="A19143" s="42"/>
      <c r="C19143" s="52"/>
      <c r="D19143"/>
      <c r="E19143"/>
      <c r="F19143"/>
      <c r="N19143" s="56"/>
    </row>
    <row r="19144" spans="1:14" x14ac:dyDescent="0.3">
      <c r="A19144" s="42"/>
      <c r="C19144" s="52"/>
      <c r="D19144"/>
      <c r="E19144"/>
      <c r="F19144"/>
      <c r="M19144" s="45"/>
      <c r="N19144" s="56"/>
    </row>
    <row r="19145" spans="1:14" x14ac:dyDescent="0.3">
      <c r="A19145" s="42"/>
      <c r="C19145" s="52"/>
      <c r="D19145"/>
      <c r="E19145"/>
      <c r="F19145"/>
      <c r="N19145" s="56"/>
    </row>
    <row r="19146" spans="1:14" x14ac:dyDescent="0.3">
      <c r="A19146" s="42"/>
      <c r="C19146" s="52"/>
      <c r="D19146"/>
      <c r="E19146"/>
      <c r="F19146"/>
      <c r="N19146" s="56"/>
    </row>
    <row r="19147" spans="1:14" x14ac:dyDescent="0.3">
      <c r="A19147" s="42"/>
      <c r="C19147" s="52"/>
      <c r="D19147"/>
      <c r="E19147"/>
      <c r="F19147"/>
      <c r="N19147" s="56"/>
    </row>
    <row r="19148" spans="1:14" x14ac:dyDescent="0.3">
      <c r="A19148" s="42"/>
      <c r="C19148" s="52"/>
      <c r="D19148"/>
      <c r="E19148"/>
      <c r="F19148"/>
      <c r="N19148" s="56"/>
    </row>
    <row r="19149" spans="1:14" x14ac:dyDescent="0.3">
      <c r="A19149" s="42"/>
      <c r="C19149" s="52"/>
      <c r="D19149"/>
      <c r="E19149"/>
      <c r="F19149"/>
      <c r="N19149" s="56"/>
    </row>
    <row r="19150" spans="1:14" x14ac:dyDescent="0.3">
      <c r="A19150" s="42"/>
      <c r="C19150" s="52"/>
      <c r="D19150"/>
      <c r="E19150"/>
      <c r="F19150"/>
      <c r="N19150" s="56"/>
    </row>
    <row r="19151" spans="1:14" x14ac:dyDescent="0.3">
      <c r="A19151" s="42"/>
      <c r="C19151" s="52"/>
      <c r="D19151"/>
      <c r="E19151"/>
      <c r="F19151"/>
      <c r="N19151" s="56"/>
    </row>
    <row r="19152" spans="1:14" x14ac:dyDescent="0.3">
      <c r="A19152" s="42"/>
      <c r="C19152" s="52"/>
      <c r="D19152"/>
      <c r="E19152"/>
      <c r="F19152"/>
      <c r="N19152" s="56"/>
    </row>
    <row r="19153" spans="1:14" x14ac:dyDescent="0.3">
      <c r="A19153" s="42"/>
      <c r="C19153" s="52"/>
      <c r="D19153"/>
      <c r="E19153"/>
      <c r="F19153"/>
      <c r="N19153" s="56"/>
    </row>
    <row r="19154" spans="1:14" x14ac:dyDescent="0.3">
      <c r="A19154" s="42"/>
      <c r="C19154" s="52"/>
      <c r="D19154"/>
      <c r="E19154"/>
      <c r="F19154"/>
      <c r="N19154" s="56"/>
    </row>
    <row r="19155" spans="1:14" x14ac:dyDescent="0.3">
      <c r="A19155" s="42"/>
      <c r="C19155" s="52"/>
      <c r="D19155"/>
      <c r="E19155"/>
      <c r="F19155"/>
      <c r="N19155" s="56"/>
    </row>
    <row r="19156" spans="1:14" x14ac:dyDescent="0.3">
      <c r="A19156" s="42"/>
      <c r="C19156" s="52"/>
      <c r="D19156"/>
      <c r="E19156"/>
      <c r="F19156"/>
      <c r="N19156" s="56"/>
    </row>
    <row r="19157" spans="1:14" x14ac:dyDescent="0.3">
      <c r="A19157" s="42"/>
      <c r="C19157" s="52"/>
      <c r="D19157"/>
      <c r="E19157"/>
      <c r="F19157"/>
      <c r="N19157" s="56"/>
    </row>
    <row r="19158" spans="1:14" x14ac:dyDescent="0.3">
      <c r="A19158" s="42"/>
      <c r="C19158" s="52"/>
      <c r="D19158"/>
      <c r="E19158"/>
      <c r="F19158"/>
      <c r="N19158" s="56"/>
    </row>
    <row r="19159" spans="1:14" x14ac:dyDescent="0.3">
      <c r="A19159" s="42"/>
      <c r="C19159" s="52"/>
      <c r="D19159"/>
      <c r="E19159"/>
      <c r="F19159"/>
      <c r="N19159" s="56"/>
    </row>
    <row r="19160" spans="1:14" x14ac:dyDescent="0.3">
      <c r="A19160" s="42"/>
      <c r="C19160" s="52"/>
      <c r="D19160"/>
      <c r="E19160"/>
      <c r="F19160"/>
      <c r="N19160" s="56"/>
    </row>
    <row r="19161" spans="1:14" x14ac:dyDescent="0.3">
      <c r="A19161" s="42"/>
      <c r="C19161" s="52"/>
      <c r="D19161"/>
      <c r="E19161"/>
      <c r="F19161"/>
      <c r="N19161" s="56"/>
    </row>
    <row r="19162" spans="1:14" x14ac:dyDescent="0.3">
      <c r="A19162" s="42"/>
      <c r="C19162" s="52"/>
      <c r="D19162"/>
      <c r="E19162"/>
      <c r="F19162"/>
      <c r="N19162" s="56"/>
    </row>
    <row r="19163" spans="1:14" x14ac:dyDescent="0.3">
      <c r="A19163" s="42"/>
      <c r="C19163" s="52"/>
      <c r="D19163"/>
      <c r="E19163"/>
      <c r="F19163"/>
      <c r="N19163" s="56"/>
    </row>
    <row r="19164" spans="1:14" x14ac:dyDescent="0.3">
      <c r="A19164" s="42"/>
      <c r="C19164" s="52"/>
      <c r="D19164"/>
      <c r="E19164"/>
      <c r="F19164"/>
      <c r="N19164" s="56"/>
    </row>
    <row r="19165" spans="1:14" x14ac:dyDescent="0.3">
      <c r="A19165" s="42"/>
      <c r="C19165" s="52"/>
      <c r="D19165"/>
      <c r="E19165"/>
      <c r="F19165"/>
      <c r="N19165" s="56"/>
    </row>
    <row r="19166" spans="1:14" x14ac:dyDescent="0.3">
      <c r="A19166" s="42"/>
      <c r="C19166" s="52"/>
      <c r="D19166"/>
      <c r="E19166"/>
      <c r="F19166"/>
      <c r="N19166" s="56"/>
    </row>
    <row r="19167" spans="1:14" x14ac:dyDescent="0.3">
      <c r="A19167" s="42"/>
      <c r="C19167" s="52"/>
      <c r="D19167"/>
      <c r="E19167"/>
      <c r="F19167"/>
      <c r="N19167" s="56"/>
    </row>
    <row r="19168" spans="1:14" x14ac:dyDescent="0.3">
      <c r="A19168" s="42"/>
      <c r="C19168" s="52"/>
      <c r="D19168"/>
      <c r="E19168"/>
      <c r="F19168"/>
      <c r="N19168" s="56"/>
    </row>
    <row r="19169" spans="1:14" x14ac:dyDescent="0.3">
      <c r="A19169" s="42"/>
      <c r="C19169" s="52"/>
      <c r="D19169"/>
      <c r="E19169"/>
      <c r="F19169"/>
      <c r="N19169" s="56"/>
    </row>
    <row r="19170" spans="1:14" x14ac:dyDescent="0.3">
      <c r="A19170" s="42"/>
      <c r="C19170" s="52"/>
      <c r="D19170"/>
      <c r="E19170"/>
      <c r="F19170"/>
      <c r="N19170" s="56"/>
    </row>
    <row r="19171" spans="1:14" x14ac:dyDescent="0.3">
      <c r="A19171" s="42"/>
      <c r="C19171" s="52"/>
      <c r="D19171"/>
      <c r="E19171"/>
      <c r="F19171"/>
      <c r="N19171" s="56"/>
    </row>
    <row r="19172" spans="1:14" x14ac:dyDescent="0.3">
      <c r="A19172" s="42"/>
      <c r="C19172" s="52"/>
      <c r="D19172"/>
      <c r="E19172"/>
      <c r="F19172"/>
      <c r="N19172" s="56"/>
    </row>
    <row r="19173" spans="1:14" x14ac:dyDescent="0.3">
      <c r="A19173" s="42"/>
      <c r="C19173" s="52"/>
      <c r="D19173"/>
      <c r="E19173"/>
      <c r="F19173"/>
      <c r="N19173" s="56"/>
    </row>
    <row r="19174" spans="1:14" x14ac:dyDescent="0.3">
      <c r="A19174" s="42"/>
      <c r="C19174" s="52"/>
      <c r="D19174"/>
      <c r="E19174"/>
      <c r="F19174"/>
      <c r="N19174" s="56"/>
    </row>
    <row r="19175" spans="1:14" x14ac:dyDescent="0.3">
      <c r="A19175" s="42"/>
      <c r="C19175" s="52"/>
      <c r="D19175"/>
      <c r="E19175"/>
      <c r="F19175"/>
      <c r="N19175" s="56"/>
    </row>
    <row r="19176" spans="1:14" x14ac:dyDescent="0.3">
      <c r="A19176" s="42"/>
      <c r="C19176" s="52"/>
      <c r="D19176"/>
      <c r="E19176"/>
      <c r="F19176"/>
      <c r="N19176" s="56"/>
    </row>
    <row r="19177" spans="1:14" x14ac:dyDescent="0.3">
      <c r="A19177" s="42"/>
      <c r="C19177" s="52"/>
      <c r="D19177"/>
      <c r="E19177"/>
      <c r="F19177"/>
      <c r="N19177" s="56"/>
    </row>
    <row r="19178" spans="1:14" x14ac:dyDescent="0.3">
      <c r="A19178" s="42"/>
      <c r="C19178" s="52"/>
      <c r="D19178"/>
      <c r="E19178"/>
      <c r="F19178"/>
      <c r="N19178" s="56"/>
    </row>
    <row r="19179" spans="1:14" x14ac:dyDescent="0.3">
      <c r="A19179" s="42"/>
      <c r="C19179" s="52"/>
      <c r="D19179"/>
      <c r="E19179"/>
      <c r="F19179"/>
      <c r="N19179" s="56"/>
    </row>
    <row r="19180" spans="1:14" x14ac:dyDescent="0.3">
      <c r="A19180" s="42"/>
      <c r="C19180" s="52"/>
      <c r="D19180"/>
      <c r="E19180"/>
      <c r="F19180"/>
      <c r="N19180" s="56"/>
    </row>
    <row r="19181" spans="1:14" x14ac:dyDescent="0.3">
      <c r="A19181" s="42"/>
      <c r="C19181" s="52"/>
      <c r="D19181"/>
      <c r="E19181"/>
      <c r="F19181"/>
      <c r="N19181" s="56"/>
    </row>
    <row r="19182" spans="1:14" x14ac:dyDescent="0.3">
      <c r="A19182" s="42"/>
      <c r="C19182" s="52"/>
      <c r="D19182"/>
      <c r="E19182"/>
      <c r="F19182"/>
      <c r="N19182" s="56"/>
    </row>
    <row r="19183" spans="1:14" x14ac:dyDescent="0.3">
      <c r="A19183" s="42"/>
      <c r="C19183" s="52"/>
      <c r="D19183"/>
      <c r="E19183"/>
      <c r="F19183"/>
      <c r="N19183" s="56"/>
    </row>
    <row r="19184" spans="1:14" x14ac:dyDescent="0.3">
      <c r="A19184" s="42"/>
      <c r="C19184" s="52"/>
      <c r="D19184"/>
      <c r="E19184"/>
      <c r="F19184"/>
      <c r="N19184" s="56"/>
    </row>
    <row r="19185" spans="1:14" x14ac:dyDescent="0.3">
      <c r="A19185" s="42"/>
      <c r="C19185" s="52"/>
      <c r="D19185"/>
      <c r="E19185"/>
      <c r="F19185"/>
      <c r="N19185" s="56"/>
    </row>
    <row r="19186" spans="1:14" x14ac:dyDescent="0.3">
      <c r="A19186" s="42"/>
      <c r="C19186" s="52"/>
      <c r="D19186"/>
      <c r="E19186"/>
      <c r="F19186"/>
      <c r="N19186" s="56"/>
    </row>
    <row r="19187" spans="1:14" x14ac:dyDescent="0.3">
      <c r="A19187" s="42"/>
      <c r="C19187" s="52"/>
      <c r="D19187"/>
      <c r="E19187"/>
      <c r="F19187"/>
      <c r="N19187" s="56"/>
    </row>
    <row r="19188" spans="1:14" x14ac:dyDescent="0.3">
      <c r="A19188" s="42"/>
      <c r="C19188" s="52"/>
      <c r="D19188"/>
      <c r="E19188"/>
      <c r="F19188"/>
      <c r="N19188" s="56"/>
    </row>
    <row r="19189" spans="1:14" x14ac:dyDescent="0.3">
      <c r="A19189" s="42"/>
      <c r="C19189" s="52"/>
      <c r="D19189"/>
      <c r="E19189"/>
      <c r="F19189"/>
      <c r="N19189" s="56"/>
    </row>
    <row r="19190" spans="1:14" x14ac:dyDescent="0.3">
      <c r="A19190" s="42"/>
      <c r="C19190" s="52"/>
      <c r="D19190"/>
      <c r="E19190"/>
      <c r="F19190"/>
      <c r="N19190" s="56"/>
    </row>
    <row r="19191" spans="1:14" x14ac:dyDescent="0.3">
      <c r="A19191" s="42"/>
      <c r="C19191" s="52"/>
      <c r="D19191"/>
      <c r="E19191"/>
      <c r="F19191"/>
      <c r="N19191" s="56"/>
    </row>
    <row r="19192" spans="1:14" x14ac:dyDescent="0.3">
      <c r="A19192" s="42"/>
      <c r="C19192" s="52"/>
      <c r="D19192"/>
      <c r="E19192"/>
      <c r="F19192"/>
      <c r="N19192" s="56"/>
    </row>
    <row r="19193" spans="1:14" x14ac:dyDescent="0.3">
      <c r="A19193" s="42"/>
      <c r="C19193" s="52"/>
      <c r="D19193"/>
      <c r="E19193"/>
      <c r="F19193"/>
      <c r="N19193" s="56"/>
    </row>
    <row r="19194" spans="1:14" x14ac:dyDescent="0.3">
      <c r="A19194" s="42"/>
      <c r="C19194" s="52"/>
      <c r="D19194"/>
      <c r="E19194"/>
      <c r="F19194"/>
      <c r="N19194" s="56"/>
    </row>
    <row r="19195" spans="1:14" x14ac:dyDescent="0.3">
      <c r="A19195" s="42"/>
      <c r="C19195" s="52"/>
      <c r="D19195"/>
      <c r="E19195"/>
      <c r="F19195"/>
      <c r="N19195" s="56"/>
    </row>
    <row r="19196" spans="1:14" x14ac:dyDescent="0.3">
      <c r="A19196" s="42"/>
      <c r="C19196" s="52"/>
      <c r="D19196"/>
      <c r="E19196"/>
      <c r="F19196"/>
      <c r="N19196" s="56"/>
    </row>
    <row r="19197" spans="1:14" x14ac:dyDescent="0.3">
      <c r="A19197" s="42"/>
      <c r="C19197" s="52"/>
      <c r="D19197"/>
      <c r="E19197"/>
      <c r="F19197"/>
      <c r="N19197" s="56"/>
    </row>
    <row r="19198" spans="1:14" x14ac:dyDescent="0.3">
      <c r="A19198" s="42"/>
      <c r="C19198" s="52"/>
      <c r="D19198"/>
      <c r="E19198"/>
      <c r="F19198"/>
      <c r="N19198" s="56"/>
    </row>
    <row r="19199" spans="1:14" x14ac:dyDescent="0.3">
      <c r="A19199" s="42"/>
      <c r="C19199" s="52"/>
      <c r="D19199"/>
      <c r="E19199"/>
      <c r="F19199"/>
      <c r="N19199" s="56"/>
    </row>
    <row r="19200" spans="1:14" x14ac:dyDescent="0.3">
      <c r="A19200" s="42"/>
      <c r="C19200" s="52"/>
      <c r="D19200"/>
      <c r="E19200"/>
      <c r="F19200"/>
      <c r="N19200" s="56"/>
    </row>
    <row r="19201" spans="1:14" x14ac:dyDescent="0.3">
      <c r="A19201" s="42"/>
      <c r="C19201" s="52"/>
      <c r="D19201"/>
      <c r="E19201"/>
      <c r="F19201"/>
      <c r="N19201" s="56"/>
    </row>
    <row r="19202" spans="1:14" x14ac:dyDescent="0.3">
      <c r="A19202" s="42"/>
      <c r="C19202" s="52"/>
      <c r="D19202"/>
      <c r="E19202"/>
      <c r="F19202"/>
      <c r="N19202" s="56"/>
    </row>
    <row r="19203" spans="1:14" x14ac:dyDescent="0.3">
      <c r="A19203" s="42"/>
      <c r="C19203" s="52"/>
      <c r="D19203"/>
      <c r="E19203"/>
      <c r="F19203"/>
      <c r="N19203" s="56"/>
    </row>
    <row r="19204" spans="1:14" x14ac:dyDescent="0.3">
      <c r="A19204" s="42"/>
      <c r="C19204" s="52"/>
      <c r="D19204"/>
      <c r="E19204"/>
      <c r="F19204"/>
      <c r="N19204" s="56"/>
    </row>
    <row r="19205" spans="1:14" x14ac:dyDescent="0.3">
      <c r="A19205" s="42"/>
      <c r="C19205" s="52"/>
      <c r="D19205"/>
      <c r="E19205"/>
      <c r="F19205"/>
      <c r="N19205" s="56"/>
    </row>
    <row r="19206" spans="1:14" x14ac:dyDescent="0.3">
      <c r="A19206" s="42"/>
      <c r="C19206" s="52"/>
      <c r="D19206"/>
      <c r="E19206"/>
      <c r="F19206"/>
      <c r="N19206" s="56"/>
    </row>
    <row r="19207" spans="1:14" x14ac:dyDescent="0.3">
      <c r="A19207" s="42"/>
      <c r="C19207" s="52"/>
      <c r="D19207"/>
      <c r="E19207"/>
      <c r="F19207"/>
      <c r="N19207" s="56"/>
    </row>
    <row r="19208" spans="1:14" x14ac:dyDescent="0.3">
      <c r="A19208" s="42"/>
      <c r="C19208" s="52"/>
      <c r="D19208"/>
      <c r="E19208"/>
      <c r="F19208"/>
      <c r="N19208" s="56"/>
    </row>
    <row r="19209" spans="1:14" x14ac:dyDescent="0.3">
      <c r="A19209" s="42"/>
      <c r="C19209" s="52"/>
      <c r="D19209"/>
      <c r="E19209"/>
      <c r="F19209"/>
      <c r="N19209" s="56"/>
    </row>
    <row r="19210" spans="1:14" x14ac:dyDescent="0.3">
      <c r="A19210" s="42"/>
      <c r="C19210" s="52"/>
      <c r="D19210"/>
      <c r="E19210"/>
      <c r="F19210"/>
      <c r="N19210" s="56"/>
    </row>
    <row r="19211" spans="1:14" x14ac:dyDescent="0.3">
      <c r="A19211" s="42"/>
      <c r="C19211" s="52"/>
      <c r="D19211"/>
      <c r="E19211"/>
      <c r="F19211"/>
      <c r="N19211" s="56"/>
    </row>
    <row r="19212" spans="1:14" x14ac:dyDescent="0.3">
      <c r="A19212" s="42"/>
      <c r="C19212" s="52"/>
      <c r="D19212"/>
      <c r="E19212"/>
      <c r="F19212"/>
      <c r="N19212" s="56"/>
    </row>
    <row r="19213" spans="1:14" x14ac:dyDescent="0.3">
      <c r="A19213" s="42"/>
      <c r="C19213" s="52"/>
      <c r="D19213"/>
      <c r="E19213"/>
      <c r="F19213"/>
      <c r="N19213" s="56"/>
    </row>
    <row r="19214" spans="1:14" x14ac:dyDescent="0.3">
      <c r="A19214" s="42"/>
      <c r="C19214" s="52"/>
      <c r="D19214"/>
      <c r="E19214"/>
      <c r="F19214"/>
      <c r="N19214" s="56"/>
    </row>
    <row r="19215" spans="1:14" x14ac:dyDescent="0.3">
      <c r="A19215" s="42"/>
      <c r="C19215" s="52"/>
      <c r="D19215"/>
      <c r="E19215"/>
      <c r="F19215"/>
      <c r="N19215" s="56"/>
    </row>
    <row r="19216" spans="1:14" x14ac:dyDescent="0.3">
      <c r="A19216" s="42"/>
      <c r="C19216" s="52"/>
      <c r="D19216"/>
      <c r="E19216"/>
      <c r="F19216"/>
      <c r="N19216" s="56"/>
    </row>
    <row r="19217" spans="1:14" x14ac:dyDescent="0.3">
      <c r="A19217" s="42"/>
      <c r="C19217" s="52"/>
      <c r="D19217"/>
      <c r="E19217"/>
      <c r="F19217"/>
      <c r="N19217" s="56"/>
    </row>
    <row r="19218" spans="1:14" x14ac:dyDescent="0.3">
      <c r="A19218" s="42"/>
      <c r="C19218" s="52"/>
      <c r="D19218"/>
      <c r="E19218"/>
      <c r="F19218"/>
      <c r="N19218" s="56"/>
    </row>
    <row r="19219" spans="1:14" x14ac:dyDescent="0.3">
      <c r="A19219" s="42"/>
      <c r="C19219" s="52"/>
      <c r="D19219"/>
      <c r="E19219"/>
      <c r="F19219"/>
      <c r="N19219" s="56"/>
    </row>
    <row r="19220" spans="1:14" x14ac:dyDescent="0.3">
      <c r="A19220" s="42"/>
      <c r="C19220" s="52"/>
      <c r="D19220"/>
      <c r="E19220"/>
      <c r="F19220"/>
      <c r="N19220" s="56"/>
    </row>
    <row r="19221" spans="1:14" x14ac:dyDescent="0.3">
      <c r="A19221" s="42"/>
      <c r="C19221" s="52"/>
      <c r="D19221"/>
      <c r="E19221"/>
      <c r="F19221"/>
      <c r="N19221" s="56"/>
    </row>
    <row r="19222" spans="1:14" x14ac:dyDescent="0.3">
      <c r="A19222" s="42"/>
      <c r="C19222" s="52"/>
      <c r="D19222"/>
      <c r="E19222"/>
      <c r="F19222"/>
      <c r="N19222" s="56"/>
    </row>
    <row r="19223" spans="1:14" x14ac:dyDescent="0.3">
      <c r="A19223" s="42"/>
      <c r="C19223" s="52"/>
      <c r="D19223"/>
      <c r="E19223"/>
      <c r="F19223"/>
      <c r="N19223" s="56"/>
    </row>
    <row r="19224" spans="1:14" x14ac:dyDescent="0.3">
      <c r="A19224" s="42"/>
      <c r="C19224" s="52"/>
      <c r="D19224"/>
      <c r="E19224"/>
      <c r="F19224"/>
      <c r="N19224" s="56"/>
    </row>
    <row r="19225" spans="1:14" x14ac:dyDescent="0.3">
      <c r="A19225" s="42"/>
      <c r="C19225" s="52"/>
      <c r="D19225"/>
      <c r="E19225"/>
      <c r="F19225"/>
      <c r="N19225" s="56"/>
    </row>
    <row r="19226" spans="1:14" x14ac:dyDescent="0.3">
      <c r="A19226" s="42"/>
      <c r="C19226" s="52"/>
      <c r="D19226"/>
      <c r="E19226"/>
      <c r="F19226"/>
      <c r="N19226" s="56"/>
    </row>
    <row r="19227" spans="1:14" x14ac:dyDescent="0.3">
      <c r="A19227" s="42"/>
      <c r="C19227" s="52"/>
      <c r="D19227"/>
      <c r="E19227"/>
      <c r="F19227"/>
      <c r="N19227" s="56"/>
    </row>
    <row r="19228" spans="1:14" x14ac:dyDescent="0.3">
      <c r="A19228" s="42"/>
      <c r="C19228" s="52"/>
      <c r="D19228"/>
      <c r="E19228"/>
      <c r="F19228"/>
      <c r="N19228" s="56"/>
    </row>
    <row r="19229" spans="1:14" x14ac:dyDescent="0.3">
      <c r="A19229" s="42"/>
      <c r="C19229" s="52"/>
      <c r="D19229"/>
      <c r="E19229"/>
      <c r="F19229"/>
      <c r="N19229" s="56"/>
    </row>
    <row r="19230" spans="1:14" x14ac:dyDescent="0.3">
      <c r="A19230" s="42"/>
      <c r="C19230" s="52"/>
      <c r="D19230"/>
      <c r="E19230"/>
      <c r="F19230"/>
      <c r="N19230" s="56"/>
    </row>
    <row r="19231" spans="1:14" x14ac:dyDescent="0.3">
      <c r="A19231" s="42"/>
      <c r="C19231" s="52"/>
      <c r="D19231"/>
      <c r="E19231"/>
      <c r="F19231"/>
      <c r="N19231" s="56"/>
    </row>
    <row r="19232" spans="1:14" x14ac:dyDescent="0.3">
      <c r="A19232" s="42"/>
      <c r="C19232" s="52"/>
      <c r="D19232"/>
      <c r="E19232"/>
      <c r="F19232"/>
      <c r="N19232" s="56"/>
    </row>
    <row r="19233" spans="1:14" x14ac:dyDescent="0.3">
      <c r="A19233" s="42"/>
      <c r="C19233" s="52"/>
      <c r="D19233"/>
      <c r="E19233"/>
      <c r="F19233"/>
      <c r="N19233" s="56"/>
    </row>
    <row r="19234" spans="1:14" x14ac:dyDescent="0.3">
      <c r="A19234" s="42"/>
      <c r="C19234" s="52"/>
      <c r="D19234"/>
      <c r="E19234"/>
      <c r="F19234"/>
      <c r="N19234" s="56"/>
    </row>
    <row r="19235" spans="1:14" x14ac:dyDescent="0.3">
      <c r="A19235" s="42"/>
      <c r="C19235" s="52"/>
      <c r="D19235"/>
      <c r="E19235"/>
      <c r="F19235"/>
      <c r="N19235" s="56"/>
    </row>
    <row r="19236" spans="1:14" x14ac:dyDescent="0.3">
      <c r="A19236" s="42"/>
      <c r="C19236" s="52"/>
      <c r="D19236"/>
      <c r="E19236"/>
      <c r="F19236"/>
      <c r="N19236" s="56"/>
    </row>
    <row r="19237" spans="1:14" x14ac:dyDescent="0.3">
      <c r="A19237" s="42"/>
      <c r="C19237" s="52"/>
      <c r="D19237"/>
      <c r="E19237"/>
      <c r="F19237"/>
      <c r="N19237" s="56"/>
    </row>
    <row r="19238" spans="1:14" x14ac:dyDescent="0.3">
      <c r="A19238" s="42"/>
      <c r="C19238" s="52"/>
      <c r="D19238"/>
      <c r="E19238"/>
      <c r="F19238"/>
      <c r="N19238" s="56"/>
    </row>
    <row r="19239" spans="1:14" x14ac:dyDescent="0.3">
      <c r="A19239" s="42"/>
      <c r="C19239" s="52"/>
      <c r="D19239"/>
      <c r="E19239"/>
      <c r="F19239"/>
      <c r="N19239" s="56"/>
    </row>
    <row r="19240" spans="1:14" x14ac:dyDescent="0.3">
      <c r="A19240" s="42"/>
      <c r="C19240" s="52"/>
      <c r="D19240"/>
      <c r="E19240"/>
      <c r="F19240"/>
      <c r="N19240" s="56"/>
    </row>
    <row r="19241" spans="1:14" x14ac:dyDescent="0.3">
      <c r="A19241" s="42"/>
      <c r="C19241" s="52"/>
      <c r="D19241"/>
      <c r="E19241"/>
      <c r="F19241"/>
      <c r="N19241" s="56"/>
    </row>
    <row r="19242" spans="1:14" x14ac:dyDescent="0.3">
      <c r="A19242" s="42"/>
      <c r="C19242" s="52"/>
      <c r="D19242"/>
      <c r="E19242"/>
      <c r="F19242"/>
      <c r="N19242" s="56"/>
    </row>
    <row r="19243" spans="1:14" x14ac:dyDescent="0.3">
      <c r="A19243" s="42"/>
      <c r="C19243" s="52"/>
      <c r="D19243"/>
      <c r="E19243"/>
      <c r="F19243"/>
      <c r="N19243" s="56"/>
    </row>
    <row r="19244" spans="1:14" x14ac:dyDescent="0.3">
      <c r="A19244" s="42"/>
      <c r="C19244" s="52"/>
      <c r="D19244"/>
      <c r="E19244"/>
      <c r="F19244"/>
      <c r="N19244" s="56"/>
    </row>
    <row r="19245" spans="1:14" x14ac:dyDescent="0.3">
      <c r="A19245" s="42"/>
      <c r="C19245" s="52"/>
      <c r="D19245"/>
      <c r="E19245"/>
      <c r="F19245"/>
      <c r="N19245" s="56"/>
    </row>
    <row r="19246" spans="1:14" x14ac:dyDescent="0.3">
      <c r="A19246" s="42"/>
      <c r="C19246" s="52"/>
      <c r="D19246"/>
      <c r="E19246"/>
      <c r="F19246"/>
      <c r="N19246" s="56"/>
    </row>
    <row r="19247" spans="1:14" x14ac:dyDescent="0.3">
      <c r="A19247" s="42"/>
      <c r="C19247" s="52"/>
      <c r="D19247"/>
      <c r="E19247"/>
      <c r="F19247"/>
      <c r="N19247" s="56"/>
    </row>
    <row r="19248" spans="1:14" x14ac:dyDescent="0.3">
      <c r="A19248" s="42"/>
      <c r="C19248" s="52"/>
      <c r="D19248"/>
      <c r="E19248"/>
      <c r="F19248"/>
      <c r="N19248" s="56"/>
    </row>
    <row r="19249" spans="1:14" x14ac:dyDescent="0.3">
      <c r="A19249" s="42"/>
      <c r="C19249" s="52"/>
      <c r="D19249"/>
      <c r="E19249"/>
      <c r="F19249"/>
      <c r="N19249" s="56"/>
    </row>
    <row r="19250" spans="1:14" x14ac:dyDescent="0.3">
      <c r="A19250" s="42"/>
      <c r="C19250" s="52"/>
      <c r="D19250"/>
      <c r="E19250"/>
      <c r="F19250"/>
      <c r="N19250" s="56"/>
    </row>
    <row r="19251" spans="1:14" x14ac:dyDescent="0.3">
      <c r="A19251" s="42"/>
      <c r="C19251" s="52"/>
      <c r="D19251"/>
      <c r="E19251"/>
      <c r="F19251"/>
      <c r="N19251" s="56"/>
    </row>
    <row r="19252" spans="1:14" x14ac:dyDescent="0.3">
      <c r="A19252" s="42"/>
      <c r="C19252" s="52"/>
      <c r="D19252"/>
      <c r="E19252"/>
      <c r="F19252"/>
      <c r="N19252" s="56"/>
    </row>
    <row r="19253" spans="1:14" x14ac:dyDescent="0.3">
      <c r="A19253" s="42"/>
      <c r="C19253" s="52"/>
      <c r="D19253"/>
      <c r="E19253"/>
      <c r="F19253"/>
      <c r="N19253" s="56"/>
    </row>
    <row r="19254" spans="1:14" x14ac:dyDescent="0.3">
      <c r="A19254" s="42"/>
      <c r="C19254" s="52"/>
      <c r="D19254"/>
      <c r="E19254"/>
      <c r="F19254"/>
      <c r="N19254" s="56"/>
    </row>
    <row r="19255" spans="1:14" x14ac:dyDescent="0.3">
      <c r="A19255" s="42"/>
      <c r="C19255" s="52"/>
      <c r="D19255"/>
      <c r="E19255"/>
      <c r="F19255"/>
      <c r="M19255" s="45"/>
      <c r="N19255" s="56"/>
    </row>
    <row r="19256" spans="1:14" x14ac:dyDescent="0.3">
      <c r="A19256" s="42"/>
      <c r="C19256" s="52"/>
      <c r="D19256"/>
      <c r="E19256"/>
      <c r="F19256"/>
      <c r="N19256" s="56"/>
    </row>
    <row r="19257" spans="1:14" x14ac:dyDescent="0.3">
      <c r="A19257" s="42"/>
      <c r="C19257" s="52"/>
      <c r="D19257"/>
      <c r="E19257"/>
      <c r="F19257"/>
      <c r="N19257" s="56"/>
    </row>
    <row r="19258" spans="1:14" x14ac:dyDescent="0.3">
      <c r="A19258" s="42"/>
      <c r="C19258" s="52"/>
      <c r="D19258"/>
      <c r="E19258"/>
      <c r="F19258"/>
      <c r="N19258" s="56"/>
    </row>
    <row r="19259" spans="1:14" x14ac:dyDescent="0.3">
      <c r="A19259" s="42"/>
      <c r="C19259" s="52"/>
      <c r="D19259"/>
      <c r="E19259"/>
      <c r="F19259"/>
      <c r="N19259" s="56"/>
    </row>
    <row r="19260" spans="1:14" x14ac:dyDescent="0.3">
      <c r="A19260" s="42"/>
      <c r="C19260" s="52"/>
      <c r="D19260"/>
      <c r="E19260"/>
      <c r="F19260"/>
      <c r="N19260" s="56"/>
    </row>
    <row r="19261" spans="1:14" x14ac:dyDescent="0.3">
      <c r="A19261" s="42"/>
      <c r="C19261" s="52"/>
      <c r="D19261"/>
      <c r="E19261"/>
      <c r="F19261"/>
      <c r="N19261" s="56"/>
    </row>
    <row r="19262" spans="1:14" x14ac:dyDescent="0.3">
      <c r="A19262" s="42"/>
      <c r="C19262" s="52"/>
      <c r="D19262"/>
      <c r="E19262"/>
      <c r="F19262"/>
      <c r="N19262" s="56"/>
    </row>
    <row r="19263" spans="1:14" x14ac:dyDescent="0.3">
      <c r="A19263" s="42"/>
      <c r="C19263" s="52"/>
      <c r="D19263"/>
      <c r="E19263"/>
      <c r="F19263"/>
      <c r="N19263" s="56"/>
    </row>
    <row r="19264" spans="1:14" x14ac:dyDescent="0.3">
      <c r="A19264" s="42"/>
      <c r="C19264" s="52"/>
      <c r="D19264"/>
      <c r="E19264"/>
      <c r="F19264"/>
      <c r="N19264" s="56"/>
    </row>
    <row r="19265" spans="1:14" x14ac:dyDescent="0.3">
      <c r="A19265" s="42"/>
      <c r="C19265" s="52"/>
      <c r="D19265"/>
      <c r="E19265"/>
      <c r="F19265"/>
      <c r="N19265" s="56"/>
    </row>
    <row r="19266" spans="1:14" x14ac:dyDescent="0.3">
      <c r="A19266" s="42"/>
      <c r="C19266" s="52"/>
      <c r="D19266"/>
      <c r="E19266"/>
      <c r="F19266"/>
      <c r="N19266" s="56"/>
    </row>
    <row r="19267" spans="1:14" x14ac:dyDescent="0.3">
      <c r="A19267" s="42"/>
      <c r="C19267" s="52"/>
      <c r="D19267"/>
      <c r="E19267"/>
      <c r="F19267"/>
      <c r="N19267" s="56"/>
    </row>
    <row r="19268" spans="1:14" x14ac:dyDescent="0.3">
      <c r="A19268" s="42"/>
      <c r="C19268" s="52"/>
      <c r="D19268"/>
      <c r="E19268"/>
      <c r="F19268"/>
      <c r="N19268" s="56"/>
    </row>
    <row r="19269" spans="1:14" x14ac:dyDescent="0.3">
      <c r="A19269" s="42"/>
      <c r="C19269" s="52"/>
      <c r="D19269"/>
      <c r="E19269"/>
      <c r="F19269"/>
      <c r="N19269" s="56"/>
    </row>
    <row r="19270" spans="1:14" x14ac:dyDescent="0.3">
      <c r="A19270" s="42"/>
      <c r="C19270" s="52"/>
      <c r="D19270"/>
      <c r="E19270"/>
      <c r="F19270"/>
      <c r="N19270" s="56"/>
    </row>
    <row r="19271" spans="1:14" x14ac:dyDescent="0.3">
      <c r="A19271" s="42"/>
      <c r="C19271" s="52"/>
      <c r="D19271"/>
      <c r="E19271"/>
      <c r="F19271"/>
      <c r="M19271" s="45"/>
      <c r="N19271" s="56"/>
    </row>
    <row r="19272" spans="1:14" x14ac:dyDescent="0.3">
      <c r="A19272" s="42"/>
      <c r="C19272" s="52"/>
      <c r="D19272"/>
      <c r="E19272"/>
      <c r="F19272"/>
      <c r="M19272" s="45"/>
      <c r="N19272" s="56"/>
    </row>
    <row r="19273" spans="1:14" x14ac:dyDescent="0.3">
      <c r="A19273" s="42"/>
      <c r="C19273" s="52"/>
      <c r="D19273"/>
      <c r="E19273"/>
      <c r="F19273"/>
      <c r="N19273" s="56"/>
    </row>
    <row r="19274" spans="1:14" x14ac:dyDescent="0.3">
      <c r="A19274" s="42"/>
      <c r="C19274" s="52"/>
      <c r="D19274"/>
      <c r="E19274"/>
      <c r="F19274"/>
      <c r="N19274" s="56"/>
    </row>
    <row r="19275" spans="1:14" x14ac:dyDescent="0.3">
      <c r="A19275" s="42"/>
      <c r="C19275" s="52"/>
      <c r="D19275"/>
      <c r="E19275"/>
      <c r="F19275"/>
      <c r="N19275" s="56"/>
    </row>
    <row r="19276" spans="1:14" x14ac:dyDescent="0.3">
      <c r="A19276" s="42"/>
      <c r="C19276" s="52"/>
      <c r="D19276"/>
      <c r="E19276"/>
      <c r="F19276"/>
      <c r="N19276" s="56"/>
    </row>
    <row r="19277" spans="1:14" x14ac:dyDescent="0.3">
      <c r="A19277" s="42"/>
      <c r="C19277" s="52"/>
      <c r="D19277"/>
      <c r="E19277"/>
      <c r="F19277"/>
      <c r="N19277" s="56"/>
    </row>
    <row r="19278" spans="1:14" x14ac:dyDescent="0.3">
      <c r="A19278" s="42"/>
      <c r="C19278" s="52"/>
      <c r="D19278"/>
      <c r="E19278"/>
      <c r="F19278"/>
      <c r="N19278" s="56"/>
    </row>
    <row r="19279" spans="1:14" x14ac:dyDescent="0.3">
      <c r="A19279" s="42"/>
      <c r="C19279" s="52"/>
      <c r="D19279"/>
      <c r="E19279"/>
      <c r="F19279"/>
      <c r="N19279" s="56"/>
    </row>
    <row r="19280" spans="1:14" x14ac:dyDescent="0.3">
      <c r="A19280" s="42"/>
      <c r="C19280" s="52"/>
      <c r="D19280"/>
      <c r="E19280"/>
      <c r="F19280"/>
      <c r="N19280" s="56"/>
    </row>
    <row r="19281" spans="1:14" x14ac:dyDescent="0.3">
      <c r="A19281" s="42"/>
      <c r="C19281" s="52"/>
      <c r="D19281"/>
      <c r="E19281"/>
      <c r="F19281"/>
      <c r="N19281" s="56"/>
    </row>
    <row r="19282" spans="1:14" x14ac:dyDescent="0.3">
      <c r="A19282" s="42"/>
      <c r="C19282" s="52"/>
      <c r="D19282"/>
      <c r="E19282"/>
      <c r="F19282"/>
      <c r="N19282" s="56"/>
    </row>
    <row r="19283" spans="1:14" x14ac:dyDescent="0.3">
      <c r="A19283" s="42"/>
      <c r="C19283" s="52"/>
      <c r="D19283"/>
      <c r="E19283"/>
      <c r="F19283"/>
      <c r="N19283" s="56"/>
    </row>
    <row r="19284" spans="1:14" x14ac:dyDescent="0.3">
      <c r="A19284" s="42"/>
      <c r="C19284" s="52"/>
      <c r="D19284"/>
      <c r="E19284"/>
      <c r="F19284"/>
      <c r="N19284" s="56"/>
    </row>
    <row r="19285" spans="1:14" x14ac:dyDescent="0.3">
      <c r="A19285" s="42"/>
      <c r="C19285" s="52"/>
      <c r="D19285"/>
      <c r="E19285"/>
      <c r="F19285"/>
      <c r="N19285" s="56"/>
    </row>
    <row r="19286" spans="1:14" x14ac:dyDescent="0.3">
      <c r="A19286" s="42"/>
      <c r="C19286" s="52"/>
      <c r="D19286"/>
      <c r="E19286"/>
      <c r="F19286"/>
      <c r="N19286" s="56"/>
    </row>
    <row r="19287" spans="1:14" x14ac:dyDescent="0.3">
      <c r="A19287" s="42"/>
      <c r="C19287" s="52"/>
      <c r="D19287"/>
      <c r="E19287"/>
      <c r="F19287"/>
      <c r="N19287" s="56"/>
    </row>
    <row r="19288" spans="1:14" x14ac:dyDescent="0.3">
      <c r="A19288" s="42"/>
      <c r="C19288" s="52"/>
      <c r="D19288"/>
      <c r="E19288"/>
      <c r="F19288"/>
      <c r="N19288" s="56"/>
    </row>
    <row r="19289" spans="1:14" x14ac:dyDescent="0.3">
      <c r="A19289" s="42"/>
      <c r="C19289" s="52"/>
      <c r="D19289"/>
      <c r="E19289"/>
      <c r="F19289"/>
      <c r="N19289" s="56"/>
    </row>
    <row r="19290" spans="1:14" x14ac:dyDescent="0.3">
      <c r="A19290" s="42"/>
      <c r="C19290" s="52"/>
      <c r="D19290"/>
      <c r="E19290"/>
      <c r="F19290"/>
      <c r="N19290" s="56"/>
    </row>
    <row r="19291" spans="1:14" x14ac:dyDescent="0.3">
      <c r="A19291" s="42"/>
      <c r="C19291" s="52"/>
      <c r="D19291"/>
      <c r="E19291"/>
      <c r="F19291"/>
      <c r="N19291" s="56"/>
    </row>
    <row r="19292" spans="1:14" x14ac:dyDescent="0.3">
      <c r="A19292" s="42"/>
      <c r="C19292" s="52"/>
      <c r="D19292"/>
      <c r="E19292"/>
      <c r="F19292"/>
      <c r="N19292" s="56"/>
    </row>
    <row r="19293" spans="1:14" x14ac:dyDescent="0.3">
      <c r="A19293" s="42"/>
      <c r="C19293" s="52"/>
      <c r="D19293"/>
      <c r="E19293"/>
      <c r="F19293"/>
      <c r="N19293" s="56"/>
    </row>
    <row r="19294" spans="1:14" x14ac:dyDescent="0.3">
      <c r="A19294" s="42"/>
      <c r="C19294" s="52"/>
      <c r="D19294"/>
      <c r="E19294"/>
      <c r="F19294"/>
      <c r="N19294" s="56"/>
    </row>
    <row r="19295" spans="1:14" x14ac:dyDescent="0.3">
      <c r="A19295" s="42"/>
      <c r="C19295" s="52"/>
      <c r="D19295"/>
      <c r="E19295"/>
      <c r="F19295"/>
      <c r="N19295" s="56"/>
    </row>
    <row r="19296" spans="1:14" x14ac:dyDescent="0.3">
      <c r="A19296" s="42"/>
      <c r="C19296" s="52"/>
      <c r="D19296"/>
      <c r="E19296"/>
      <c r="F19296"/>
      <c r="N19296" s="56"/>
    </row>
    <row r="19297" spans="1:14" x14ac:dyDescent="0.3">
      <c r="A19297" s="42"/>
      <c r="C19297" s="52"/>
      <c r="D19297"/>
      <c r="E19297"/>
      <c r="F19297"/>
      <c r="N19297" s="56"/>
    </row>
    <row r="19298" spans="1:14" x14ac:dyDescent="0.3">
      <c r="A19298" s="42"/>
      <c r="C19298" s="52"/>
      <c r="D19298"/>
      <c r="E19298"/>
      <c r="F19298"/>
      <c r="M19298" s="45"/>
      <c r="N19298" s="56"/>
    </row>
    <row r="19299" spans="1:14" x14ac:dyDescent="0.3">
      <c r="A19299" s="42"/>
      <c r="C19299" s="52"/>
      <c r="D19299"/>
      <c r="E19299"/>
      <c r="F19299"/>
      <c r="N19299" s="56"/>
    </row>
    <row r="19300" spans="1:14" x14ac:dyDescent="0.3">
      <c r="A19300" s="42"/>
      <c r="C19300" s="52"/>
      <c r="D19300"/>
      <c r="E19300"/>
      <c r="F19300"/>
      <c r="N19300" s="56"/>
    </row>
    <row r="19301" spans="1:14" x14ac:dyDescent="0.3">
      <c r="A19301" s="42"/>
      <c r="C19301" s="52"/>
      <c r="D19301"/>
      <c r="E19301"/>
      <c r="F19301"/>
      <c r="N19301" s="56"/>
    </row>
    <row r="19302" spans="1:14" x14ac:dyDescent="0.3">
      <c r="A19302" s="42"/>
      <c r="C19302" s="52"/>
      <c r="D19302"/>
      <c r="E19302"/>
      <c r="F19302"/>
      <c r="N19302" s="56"/>
    </row>
    <row r="19303" spans="1:14" x14ac:dyDescent="0.3">
      <c r="A19303" s="42"/>
      <c r="C19303" s="52"/>
      <c r="D19303"/>
      <c r="E19303"/>
      <c r="F19303"/>
      <c r="N19303" s="56"/>
    </row>
    <row r="19304" spans="1:14" x14ac:dyDescent="0.3">
      <c r="A19304" s="42"/>
      <c r="C19304" s="52"/>
      <c r="D19304"/>
      <c r="E19304"/>
      <c r="F19304"/>
      <c r="N19304" s="56"/>
    </row>
    <row r="19305" spans="1:14" x14ac:dyDescent="0.3">
      <c r="A19305" s="42"/>
      <c r="C19305" s="52"/>
      <c r="D19305"/>
      <c r="E19305"/>
      <c r="F19305"/>
      <c r="N19305" s="56"/>
    </row>
    <row r="19306" spans="1:14" x14ac:dyDescent="0.3">
      <c r="A19306" s="42"/>
      <c r="C19306" s="52"/>
      <c r="D19306"/>
      <c r="E19306"/>
      <c r="F19306"/>
      <c r="N19306" s="56"/>
    </row>
    <row r="19307" spans="1:14" x14ac:dyDescent="0.3">
      <c r="A19307" s="42"/>
      <c r="C19307" s="52"/>
      <c r="D19307"/>
      <c r="E19307"/>
      <c r="F19307"/>
      <c r="N19307" s="56"/>
    </row>
    <row r="19308" spans="1:14" x14ac:dyDescent="0.3">
      <c r="A19308" s="42"/>
      <c r="C19308" s="52"/>
      <c r="D19308"/>
      <c r="E19308"/>
      <c r="F19308"/>
      <c r="N19308" s="56"/>
    </row>
    <row r="19309" spans="1:14" x14ac:dyDescent="0.3">
      <c r="A19309" s="42"/>
      <c r="C19309" s="52"/>
      <c r="D19309"/>
      <c r="E19309"/>
      <c r="F19309"/>
      <c r="N19309" s="56"/>
    </row>
    <row r="19310" spans="1:14" x14ac:dyDescent="0.3">
      <c r="A19310" s="42"/>
      <c r="C19310" s="52"/>
      <c r="D19310"/>
      <c r="E19310"/>
      <c r="F19310"/>
      <c r="N19310" s="56"/>
    </row>
    <row r="19311" spans="1:14" x14ac:dyDescent="0.3">
      <c r="A19311" s="42"/>
      <c r="C19311" s="52"/>
      <c r="D19311"/>
      <c r="E19311"/>
      <c r="F19311"/>
      <c r="N19311" s="56"/>
    </row>
    <row r="19312" spans="1:14" x14ac:dyDescent="0.3">
      <c r="A19312" s="42"/>
      <c r="C19312" s="52"/>
      <c r="D19312"/>
      <c r="E19312"/>
      <c r="F19312"/>
      <c r="N19312" s="56"/>
    </row>
    <row r="19313" spans="1:14" x14ac:dyDescent="0.3">
      <c r="A19313" s="42"/>
      <c r="C19313" s="52"/>
      <c r="D19313"/>
      <c r="E19313"/>
      <c r="F19313"/>
      <c r="N19313" s="56"/>
    </row>
    <row r="19314" spans="1:14" x14ac:dyDescent="0.3">
      <c r="A19314" s="42"/>
      <c r="C19314" s="52"/>
      <c r="D19314"/>
      <c r="E19314"/>
      <c r="F19314"/>
      <c r="N19314" s="56"/>
    </row>
    <row r="19315" spans="1:14" x14ac:dyDescent="0.3">
      <c r="A19315" s="42"/>
      <c r="C19315" s="52"/>
      <c r="D19315"/>
      <c r="E19315"/>
      <c r="F19315"/>
      <c r="N19315" s="56"/>
    </row>
    <row r="19316" spans="1:14" x14ac:dyDescent="0.3">
      <c r="A19316" s="42"/>
      <c r="C19316" s="52"/>
      <c r="D19316"/>
      <c r="E19316"/>
      <c r="F19316"/>
      <c r="N19316" s="56"/>
    </row>
    <row r="19317" spans="1:14" x14ac:dyDescent="0.3">
      <c r="A19317" s="42"/>
      <c r="C19317" s="52"/>
      <c r="D19317"/>
      <c r="E19317"/>
      <c r="F19317"/>
      <c r="N19317" s="56"/>
    </row>
    <row r="19318" spans="1:14" x14ac:dyDescent="0.3">
      <c r="A19318" s="42"/>
      <c r="C19318" s="52"/>
      <c r="D19318"/>
      <c r="E19318"/>
      <c r="F19318"/>
      <c r="N19318" s="56"/>
    </row>
    <row r="19319" spans="1:14" x14ac:dyDescent="0.3">
      <c r="A19319" s="42"/>
      <c r="C19319" s="52"/>
      <c r="D19319"/>
      <c r="E19319"/>
      <c r="F19319"/>
      <c r="M19319" s="45"/>
      <c r="N19319" s="56"/>
    </row>
    <row r="19320" spans="1:14" x14ac:dyDescent="0.3">
      <c r="A19320" s="42"/>
      <c r="C19320" s="52"/>
      <c r="D19320"/>
      <c r="E19320"/>
      <c r="F19320"/>
      <c r="M19320" s="45"/>
      <c r="N19320" s="56"/>
    </row>
    <row r="19321" spans="1:14" x14ac:dyDescent="0.3">
      <c r="A19321" s="42"/>
      <c r="C19321" s="52"/>
      <c r="D19321"/>
      <c r="E19321"/>
      <c r="F19321"/>
      <c r="N19321" s="56"/>
    </row>
    <row r="19322" spans="1:14" x14ac:dyDescent="0.3">
      <c r="A19322" s="42"/>
      <c r="C19322" s="52"/>
      <c r="D19322"/>
      <c r="E19322"/>
      <c r="F19322"/>
      <c r="N19322" s="56"/>
    </row>
    <row r="19323" spans="1:14" x14ac:dyDescent="0.3">
      <c r="A19323" s="42"/>
      <c r="C19323" s="52"/>
      <c r="D19323"/>
      <c r="E19323"/>
      <c r="F19323"/>
      <c r="N19323" s="56"/>
    </row>
    <row r="19324" spans="1:14" x14ac:dyDescent="0.3">
      <c r="A19324" s="42"/>
      <c r="C19324" s="52"/>
      <c r="D19324"/>
      <c r="E19324"/>
      <c r="F19324"/>
      <c r="N19324" s="56"/>
    </row>
    <row r="19325" spans="1:14" x14ac:dyDescent="0.3">
      <c r="A19325" s="42"/>
      <c r="C19325" s="52"/>
      <c r="D19325"/>
      <c r="E19325"/>
      <c r="F19325"/>
      <c r="N19325" s="56"/>
    </row>
    <row r="19326" spans="1:14" x14ac:dyDescent="0.3">
      <c r="A19326" s="42"/>
      <c r="C19326" s="52"/>
      <c r="D19326"/>
      <c r="E19326"/>
      <c r="F19326"/>
      <c r="N19326" s="56"/>
    </row>
    <row r="19327" spans="1:14" x14ac:dyDescent="0.3">
      <c r="A19327" s="42"/>
      <c r="C19327" s="52"/>
      <c r="D19327"/>
      <c r="E19327"/>
      <c r="F19327"/>
      <c r="N19327" s="56"/>
    </row>
    <row r="19328" spans="1:14" x14ac:dyDescent="0.3">
      <c r="A19328" s="42"/>
      <c r="C19328" s="52"/>
      <c r="D19328"/>
      <c r="E19328"/>
      <c r="F19328"/>
      <c r="N19328" s="56"/>
    </row>
    <row r="19329" spans="1:14" x14ac:dyDescent="0.3">
      <c r="A19329" s="42"/>
      <c r="C19329" s="52"/>
      <c r="D19329"/>
      <c r="E19329"/>
      <c r="F19329"/>
      <c r="N19329" s="56"/>
    </row>
    <row r="19330" spans="1:14" x14ac:dyDescent="0.3">
      <c r="A19330" s="42"/>
      <c r="C19330" s="52"/>
      <c r="D19330"/>
      <c r="E19330"/>
      <c r="F19330"/>
      <c r="N19330" s="56"/>
    </row>
    <row r="19331" spans="1:14" x14ac:dyDescent="0.3">
      <c r="A19331" s="42"/>
      <c r="C19331" s="52"/>
      <c r="D19331"/>
      <c r="E19331"/>
      <c r="F19331"/>
      <c r="N19331" s="56"/>
    </row>
    <row r="19332" spans="1:14" x14ac:dyDescent="0.3">
      <c r="A19332" s="42"/>
      <c r="C19332" s="52"/>
      <c r="D19332"/>
      <c r="E19332"/>
      <c r="F19332"/>
      <c r="N19332" s="56"/>
    </row>
    <row r="19333" spans="1:14" x14ac:dyDescent="0.3">
      <c r="A19333" s="42"/>
      <c r="C19333" s="52"/>
      <c r="D19333"/>
      <c r="E19333"/>
      <c r="F19333"/>
      <c r="N19333" s="56"/>
    </row>
    <row r="19334" spans="1:14" x14ac:dyDescent="0.3">
      <c r="A19334" s="42"/>
      <c r="C19334" s="52"/>
      <c r="D19334"/>
      <c r="E19334"/>
      <c r="F19334"/>
      <c r="N19334" s="56"/>
    </row>
    <row r="19335" spans="1:14" x14ac:dyDescent="0.3">
      <c r="A19335" s="42"/>
      <c r="C19335" s="52"/>
      <c r="D19335"/>
      <c r="E19335"/>
      <c r="F19335"/>
      <c r="N19335" s="56"/>
    </row>
    <row r="19336" spans="1:14" x14ac:dyDescent="0.3">
      <c r="A19336" s="42"/>
      <c r="C19336" s="52"/>
      <c r="D19336"/>
      <c r="E19336"/>
      <c r="F19336"/>
      <c r="N19336" s="56"/>
    </row>
    <row r="19337" spans="1:14" x14ac:dyDescent="0.3">
      <c r="A19337" s="42"/>
      <c r="C19337" s="52"/>
      <c r="D19337"/>
      <c r="E19337"/>
      <c r="F19337"/>
      <c r="N19337" s="56"/>
    </row>
    <row r="19338" spans="1:14" x14ac:dyDescent="0.3">
      <c r="A19338" s="42"/>
      <c r="C19338" s="52"/>
      <c r="D19338"/>
      <c r="E19338"/>
      <c r="F19338"/>
      <c r="N19338" s="56"/>
    </row>
    <row r="19339" spans="1:14" x14ac:dyDescent="0.3">
      <c r="A19339" s="42"/>
      <c r="C19339" s="52"/>
      <c r="D19339"/>
      <c r="E19339"/>
      <c r="F19339"/>
      <c r="N19339" s="56"/>
    </row>
    <row r="19340" spans="1:14" x14ac:dyDescent="0.3">
      <c r="A19340" s="42"/>
      <c r="C19340" s="52"/>
      <c r="D19340"/>
      <c r="E19340"/>
      <c r="F19340"/>
      <c r="N19340" s="56"/>
    </row>
    <row r="19341" spans="1:14" x14ac:dyDescent="0.3">
      <c r="A19341" s="42"/>
      <c r="C19341" s="52"/>
      <c r="D19341"/>
      <c r="E19341"/>
      <c r="F19341"/>
      <c r="N19341" s="56"/>
    </row>
    <row r="19342" spans="1:14" x14ac:dyDescent="0.3">
      <c r="A19342" s="42"/>
      <c r="C19342" s="52"/>
      <c r="D19342"/>
      <c r="E19342"/>
      <c r="F19342"/>
      <c r="N19342" s="56"/>
    </row>
    <row r="19343" spans="1:14" x14ac:dyDescent="0.3">
      <c r="A19343" s="42"/>
      <c r="C19343" s="52"/>
      <c r="D19343"/>
      <c r="E19343"/>
      <c r="F19343"/>
      <c r="N19343" s="56"/>
    </row>
    <row r="19344" spans="1:14" x14ac:dyDescent="0.3">
      <c r="A19344" s="42"/>
      <c r="C19344" s="52"/>
      <c r="D19344"/>
      <c r="E19344"/>
      <c r="F19344"/>
      <c r="N19344" s="56"/>
    </row>
    <row r="19345" spans="1:14" x14ac:dyDescent="0.3">
      <c r="A19345" s="42"/>
      <c r="C19345" s="52"/>
      <c r="D19345"/>
      <c r="E19345"/>
      <c r="F19345"/>
      <c r="N19345" s="56"/>
    </row>
    <row r="19346" spans="1:14" x14ac:dyDescent="0.3">
      <c r="A19346" s="42"/>
      <c r="C19346" s="52"/>
      <c r="D19346"/>
      <c r="E19346"/>
      <c r="F19346"/>
      <c r="N19346" s="56"/>
    </row>
    <row r="19347" spans="1:14" x14ac:dyDescent="0.3">
      <c r="A19347" s="42"/>
      <c r="C19347" s="52"/>
      <c r="D19347"/>
      <c r="E19347"/>
      <c r="F19347"/>
      <c r="N19347" s="56"/>
    </row>
    <row r="19348" spans="1:14" x14ac:dyDescent="0.3">
      <c r="A19348" s="42"/>
      <c r="C19348" s="52"/>
      <c r="D19348"/>
      <c r="E19348"/>
      <c r="F19348"/>
      <c r="N19348" s="56"/>
    </row>
    <row r="19349" spans="1:14" x14ac:dyDescent="0.3">
      <c r="A19349" s="42"/>
      <c r="C19349" s="52"/>
      <c r="D19349"/>
      <c r="E19349"/>
      <c r="F19349"/>
      <c r="N19349" s="56"/>
    </row>
    <row r="19350" spans="1:14" x14ac:dyDescent="0.3">
      <c r="A19350" s="42"/>
      <c r="C19350" s="52"/>
      <c r="D19350"/>
      <c r="E19350"/>
      <c r="F19350"/>
      <c r="N19350" s="56"/>
    </row>
    <row r="19351" spans="1:14" x14ac:dyDescent="0.3">
      <c r="A19351" s="42"/>
      <c r="C19351" s="52"/>
      <c r="D19351"/>
      <c r="E19351"/>
      <c r="F19351"/>
      <c r="N19351" s="56"/>
    </row>
    <row r="19352" spans="1:14" x14ac:dyDescent="0.3">
      <c r="A19352" s="42"/>
      <c r="C19352" s="52"/>
      <c r="D19352"/>
      <c r="E19352"/>
      <c r="F19352"/>
      <c r="N19352" s="56"/>
    </row>
    <row r="19353" spans="1:14" x14ac:dyDescent="0.3">
      <c r="A19353" s="42"/>
      <c r="C19353" s="52"/>
      <c r="D19353"/>
      <c r="E19353"/>
      <c r="F19353"/>
      <c r="N19353" s="56"/>
    </row>
    <row r="19354" spans="1:14" x14ac:dyDescent="0.3">
      <c r="A19354" s="42"/>
      <c r="C19354" s="52"/>
      <c r="D19354"/>
      <c r="E19354"/>
      <c r="F19354"/>
      <c r="N19354" s="56"/>
    </row>
    <row r="19355" spans="1:14" x14ac:dyDescent="0.3">
      <c r="A19355" s="42"/>
      <c r="C19355" s="52"/>
      <c r="D19355"/>
      <c r="E19355"/>
      <c r="F19355"/>
      <c r="N19355" s="56"/>
    </row>
    <row r="19356" spans="1:14" x14ac:dyDescent="0.3">
      <c r="A19356" s="42"/>
      <c r="C19356" s="52"/>
      <c r="D19356"/>
      <c r="E19356"/>
      <c r="F19356"/>
      <c r="N19356" s="56"/>
    </row>
    <row r="19357" spans="1:14" x14ac:dyDescent="0.3">
      <c r="A19357" s="42"/>
      <c r="C19357" s="52"/>
      <c r="D19357"/>
      <c r="E19357"/>
      <c r="F19357"/>
      <c r="N19357" s="56"/>
    </row>
    <row r="19358" spans="1:14" x14ac:dyDescent="0.3">
      <c r="A19358" s="42"/>
      <c r="C19358" s="52"/>
      <c r="D19358"/>
      <c r="E19358"/>
      <c r="F19358"/>
      <c r="N19358" s="56"/>
    </row>
    <row r="19359" spans="1:14" x14ac:dyDescent="0.3">
      <c r="A19359" s="42"/>
      <c r="C19359" s="52"/>
      <c r="D19359"/>
      <c r="E19359"/>
      <c r="F19359"/>
      <c r="N19359" s="56"/>
    </row>
    <row r="19360" spans="1:14" x14ac:dyDescent="0.3">
      <c r="A19360" s="42"/>
      <c r="C19360" s="52"/>
      <c r="D19360"/>
      <c r="E19360"/>
      <c r="F19360"/>
      <c r="N19360" s="56"/>
    </row>
    <row r="19361" spans="1:14" x14ac:dyDescent="0.3">
      <c r="A19361" s="42"/>
      <c r="C19361" s="52"/>
      <c r="D19361"/>
      <c r="E19361"/>
      <c r="F19361"/>
      <c r="N19361" s="56"/>
    </row>
    <row r="19362" spans="1:14" x14ac:dyDescent="0.3">
      <c r="A19362" s="42"/>
      <c r="C19362" s="52"/>
      <c r="D19362"/>
      <c r="E19362"/>
      <c r="F19362"/>
      <c r="N19362" s="56"/>
    </row>
    <row r="19363" spans="1:14" x14ac:dyDescent="0.3">
      <c r="A19363" s="42"/>
      <c r="C19363" s="52"/>
      <c r="D19363"/>
      <c r="E19363"/>
      <c r="F19363"/>
      <c r="N19363" s="56"/>
    </row>
    <row r="19364" spans="1:14" x14ac:dyDescent="0.3">
      <c r="A19364" s="42"/>
      <c r="C19364" s="52"/>
      <c r="D19364"/>
      <c r="E19364"/>
      <c r="F19364"/>
      <c r="N19364" s="56"/>
    </row>
    <row r="19365" spans="1:14" x14ac:dyDescent="0.3">
      <c r="A19365" s="42"/>
      <c r="C19365" s="52"/>
      <c r="D19365"/>
      <c r="E19365"/>
      <c r="F19365"/>
      <c r="N19365" s="56"/>
    </row>
    <row r="19366" spans="1:14" x14ac:dyDescent="0.3">
      <c r="A19366" s="42"/>
      <c r="C19366" s="52"/>
      <c r="D19366"/>
      <c r="E19366"/>
      <c r="F19366"/>
      <c r="N19366" s="56"/>
    </row>
    <row r="19367" spans="1:14" x14ac:dyDescent="0.3">
      <c r="A19367" s="42"/>
      <c r="C19367" s="52"/>
      <c r="D19367"/>
      <c r="E19367"/>
      <c r="F19367"/>
      <c r="N19367" s="56"/>
    </row>
    <row r="19368" spans="1:14" x14ac:dyDescent="0.3">
      <c r="A19368" s="42"/>
      <c r="C19368" s="52"/>
      <c r="D19368"/>
      <c r="E19368"/>
      <c r="F19368"/>
      <c r="N19368" s="56"/>
    </row>
    <row r="19369" spans="1:14" x14ac:dyDescent="0.3">
      <c r="A19369" s="42"/>
      <c r="C19369" s="52"/>
      <c r="D19369"/>
      <c r="E19369"/>
      <c r="F19369"/>
      <c r="N19369" s="56"/>
    </row>
    <row r="19370" spans="1:14" x14ac:dyDescent="0.3">
      <c r="A19370" s="42"/>
      <c r="C19370" s="52"/>
      <c r="D19370"/>
      <c r="E19370"/>
      <c r="F19370"/>
      <c r="N19370" s="56"/>
    </row>
    <row r="19371" spans="1:14" x14ac:dyDescent="0.3">
      <c r="A19371" s="42"/>
      <c r="C19371" s="52"/>
      <c r="D19371"/>
      <c r="E19371"/>
      <c r="F19371"/>
      <c r="N19371" s="56"/>
    </row>
    <row r="19372" spans="1:14" x14ac:dyDescent="0.3">
      <c r="A19372" s="42"/>
      <c r="C19372" s="52"/>
      <c r="D19372"/>
      <c r="E19372"/>
      <c r="F19372"/>
      <c r="N19372" s="56"/>
    </row>
    <row r="19373" spans="1:14" x14ac:dyDescent="0.3">
      <c r="A19373" s="42"/>
      <c r="C19373" s="52"/>
      <c r="D19373"/>
      <c r="E19373"/>
      <c r="F19373"/>
      <c r="N19373" s="56"/>
    </row>
    <row r="19374" spans="1:14" x14ac:dyDescent="0.3">
      <c r="A19374" s="42"/>
      <c r="C19374" s="52"/>
      <c r="D19374"/>
      <c r="E19374"/>
      <c r="F19374"/>
      <c r="N19374" s="56"/>
    </row>
    <row r="19375" spans="1:14" x14ac:dyDescent="0.3">
      <c r="A19375" s="42"/>
      <c r="C19375" s="52"/>
      <c r="D19375"/>
      <c r="E19375"/>
      <c r="F19375"/>
      <c r="N19375" s="56"/>
    </row>
    <row r="19376" spans="1:14" x14ac:dyDescent="0.3">
      <c r="A19376" s="42"/>
      <c r="C19376" s="52"/>
      <c r="D19376"/>
      <c r="E19376"/>
      <c r="F19376"/>
      <c r="N19376" s="56"/>
    </row>
    <row r="19377" spans="1:14" x14ac:dyDescent="0.3">
      <c r="A19377" s="42"/>
      <c r="C19377" s="52"/>
      <c r="D19377"/>
      <c r="E19377"/>
      <c r="F19377"/>
      <c r="N19377" s="56"/>
    </row>
    <row r="19378" spans="1:14" x14ac:dyDescent="0.3">
      <c r="A19378" s="42"/>
      <c r="C19378" s="52"/>
      <c r="D19378"/>
      <c r="E19378"/>
      <c r="F19378"/>
      <c r="N19378" s="56"/>
    </row>
    <row r="19379" spans="1:14" x14ac:dyDescent="0.3">
      <c r="A19379" s="42"/>
      <c r="C19379" s="52"/>
      <c r="D19379"/>
      <c r="E19379"/>
      <c r="F19379"/>
      <c r="N19379" s="56"/>
    </row>
    <row r="19380" spans="1:14" x14ac:dyDescent="0.3">
      <c r="A19380" s="42"/>
      <c r="C19380" s="52"/>
      <c r="D19380"/>
      <c r="E19380"/>
      <c r="F19380"/>
      <c r="N19380" s="56"/>
    </row>
    <row r="19381" spans="1:14" x14ac:dyDescent="0.3">
      <c r="A19381" s="42"/>
      <c r="C19381" s="52"/>
      <c r="D19381"/>
      <c r="E19381"/>
      <c r="F19381"/>
      <c r="N19381" s="56"/>
    </row>
    <row r="19382" spans="1:14" x14ac:dyDescent="0.3">
      <c r="A19382" s="42"/>
      <c r="C19382" s="52"/>
      <c r="D19382"/>
      <c r="E19382"/>
      <c r="F19382"/>
      <c r="N19382" s="56"/>
    </row>
    <row r="19383" spans="1:14" x14ac:dyDescent="0.3">
      <c r="A19383" s="42"/>
      <c r="C19383" s="52"/>
      <c r="D19383"/>
      <c r="E19383"/>
      <c r="F19383"/>
      <c r="N19383" s="56"/>
    </row>
    <row r="19384" spans="1:14" x14ac:dyDescent="0.3">
      <c r="A19384" s="42"/>
      <c r="C19384" s="52"/>
      <c r="D19384"/>
      <c r="E19384"/>
      <c r="F19384"/>
      <c r="N19384" s="56"/>
    </row>
    <row r="19385" spans="1:14" x14ac:dyDescent="0.3">
      <c r="A19385" s="42"/>
      <c r="C19385" s="52"/>
      <c r="D19385"/>
      <c r="E19385"/>
      <c r="F19385"/>
      <c r="N19385" s="56"/>
    </row>
    <row r="19386" spans="1:14" x14ac:dyDescent="0.3">
      <c r="A19386" s="42"/>
      <c r="C19386" s="52"/>
      <c r="D19386"/>
      <c r="E19386"/>
      <c r="F19386"/>
      <c r="N19386" s="56"/>
    </row>
    <row r="19387" spans="1:14" x14ac:dyDescent="0.3">
      <c r="A19387" s="42"/>
      <c r="C19387" s="52"/>
      <c r="D19387"/>
      <c r="E19387"/>
      <c r="F19387"/>
      <c r="M19387" s="45"/>
      <c r="N19387" s="56"/>
    </row>
    <row r="19388" spans="1:14" x14ac:dyDescent="0.3">
      <c r="A19388" s="42"/>
      <c r="C19388" s="52"/>
      <c r="D19388"/>
      <c r="E19388"/>
      <c r="F19388"/>
      <c r="N19388" s="56"/>
    </row>
    <row r="19389" spans="1:14" x14ac:dyDescent="0.3">
      <c r="A19389" s="42"/>
      <c r="C19389" s="52"/>
      <c r="D19389"/>
      <c r="E19389"/>
      <c r="F19389"/>
      <c r="N19389" s="56"/>
    </row>
    <row r="19390" spans="1:14" x14ac:dyDescent="0.3">
      <c r="A19390" s="42"/>
      <c r="C19390" s="52"/>
      <c r="D19390"/>
      <c r="E19390"/>
      <c r="F19390"/>
      <c r="N19390" s="56"/>
    </row>
    <row r="19391" spans="1:14" x14ac:dyDescent="0.3">
      <c r="A19391" s="42"/>
      <c r="C19391" s="52"/>
      <c r="D19391"/>
      <c r="E19391"/>
      <c r="F19391"/>
      <c r="N19391" s="56"/>
    </row>
    <row r="19392" spans="1:14" x14ac:dyDescent="0.3">
      <c r="A19392" s="42"/>
      <c r="C19392" s="52"/>
      <c r="D19392"/>
      <c r="E19392"/>
      <c r="F19392"/>
      <c r="N19392" s="56"/>
    </row>
    <row r="19393" spans="1:14" x14ac:dyDescent="0.3">
      <c r="A19393" s="42"/>
      <c r="C19393" s="52"/>
      <c r="D19393"/>
      <c r="E19393"/>
      <c r="F19393"/>
      <c r="N19393" s="56"/>
    </row>
    <row r="19394" spans="1:14" x14ac:dyDescent="0.3">
      <c r="A19394" s="42"/>
      <c r="C19394" s="52"/>
      <c r="D19394"/>
      <c r="E19394"/>
      <c r="F19394"/>
      <c r="N19394" s="56"/>
    </row>
    <row r="19395" spans="1:14" x14ac:dyDescent="0.3">
      <c r="A19395" s="42"/>
      <c r="C19395" s="52"/>
      <c r="D19395"/>
      <c r="E19395"/>
      <c r="F19395"/>
      <c r="N19395" s="56"/>
    </row>
    <row r="19396" spans="1:14" x14ac:dyDescent="0.3">
      <c r="A19396" s="42"/>
      <c r="C19396" s="52"/>
      <c r="D19396"/>
      <c r="E19396"/>
      <c r="F19396"/>
      <c r="N19396" s="56"/>
    </row>
    <row r="19397" spans="1:14" x14ac:dyDescent="0.3">
      <c r="A19397" s="42"/>
      <c r="C19397" s="52"/>
      <c r="D19397"/>
      <c r="E19397"/>
      <c r="F19397"/>
      <c r="N19397" s="56"/>
    </row>
    <row r="19398" spans="1:14" x14ac:dyDescent="0.3">
      <c r="A19398" s="42"/>
      <c r="C19398" s="52"/>
      <c r="D19398"/>
      <c r="E19398"/>
      <c r="F19398"/>
      <c r="N19398" s="56"/>
    </row>
    <row r="19399" spans="1:14" x14ac:dyDescent="0.3">
      <c r="A19399" s="42"/>
      <c r="C19399" s="52"/>
      <c r="D19399"/>
      <c r="E19399"/>
      <c r="F19399"/>
      <c r="N19399" s="56"/>
    </row>
    <row r="19400" spans="1:14" x14ac:dyDescent="0.3">
      <c r="A19400" s="42"/>
      <c r="C19400" s="52"/>
      <c r="D19400"/>
      <c r="E19400"/>
      <c r="F19400"/>
      <c r="N19400" s="56"/>
    </row>
    <row r="19401" spans="1:14" x14ac:dyDescent="0.3">
      <c r="A19401" s="42"/>
      <c r="C19401" s="52"/>
      <c r="D19401"/>
      <c r="E19401"/>
      <c r="F19401"/>
      <c r="N19401" s="56"/>
    </row>
    <row r="19402" spans="1:14" x14ac:dyDescent="0.3">
      <c r="A19402" s="42"/>
      <c r="C19402" s="52"/>
      <c r="D19402"/>
      <c r="E19402"/>
      <c r="F19402"/>
      <c r="N19402" s="56"/>
    </row>
    <row r="19403" spans="1:14" x14ac:dyDescent="0.3">
      <c r="A19403" s="42"/>
      <c r="C19403" s="52"/>
      <c r="D19403"/>
      <c r="E19403"/>
      <c r="F19403"/>
      <c r="N19403" s="56"/>
    </row>
    <row r="19404" spans="1:14" x14ac:dyDescent="0.3">
      <c r="A19404" s="42"/>
      <c r="C19404" s="52"/>
      <c r="D19404"/>
      <c r="E19404"/>
      <c r="F19404"/>
      <c r="N19404" s="56"/>
    </row>
    <row r="19405" spans="1:14" x14ac:dyDescent="0.3">
      <c r="A19405" s="42"/>
      <c r="C19405" s="52"/>
      <c r="D19405"/>
      <c r="E19405"/>
      <c r="F19405"/>
      <c r="N19405" s="56"/>
    </row>
    <row r="19406" spans="1:14" x14ac:dyDescent="0.3">
      <c r="A19406" s="42"/>
      <c r="C19406" s="52"/>
      <c r="D19406"/>
      <c r="E19406"/>
      <c r="F19406"/>
      <c r="N19406" s="56"/>
    </row>
    <row r="19407" spans="1:14" x14ac:dyDescent="0.3">
      <c r="A19407" s="42"/>
      <c r="C19407" s="52"/>
      <c r="D19407"/>
      <c r="E19407"/>
      <c r="F19407"/>
      <c r="N19407" s="56"/>
    </row>
    <row r="19408" spans="1:14" x14ac:dyDescent="0.3">
      <c r="A19408" s="42"/>
      <c r="C19408" s="52"/>
      <c r="D19408"/>
      <c r="E19408"/>
      <c r="F19408"/>
      <c r="N19408" s="56"/>
    </row>
    <row r="19409" spans="1:14" x14ac:dyDescent="0.3">
      <c r="A19409" s="42"/>
      <c r="C19409" s="52"/>
      <c r="D19409"/>
      <c r="E19409"/>
      <c r="F19409"/>
      <c r="N19409" s="56"/>
    </row>
    <row r="19410" spans="1:14" x14ac:dyDescent="0.3">
      <c r="A19410" s="42"/>
      <c r="C19410" s="52"/>
      <c r="D19410"/>
      <c r="E19410"/>
      <c r="F19410"/>
      <c r="N19410" s="56"/>
    </row>
    <row r="19411" spans="1:14" x14ac:dyDescent="0.3">
      <c r="A19411" s="42"/>
      <c r="C19411" s="52"/>
      <c r="D19411"/>
      <c r="E19411"/>
      <c r="F19411"/>
      <c r="N19411" s="56"/>
    </row>
    <row r="19412" spans="1:14" x14ac:dyDescent="0.3">
      <c r="A19412" s="42"/>
      <c r="C19412" s="52"/>
      <c r="D19412"/>
      <c r="E19412"/>
      <c r="F19412"/>
      <c r="N19412" s="56"/>
    </row>
    <row r="19413" spans="1:14" x14ac:dyDescent="0.3">
      <c r="A19413" s="42"/>
      <c r="C19413" s="52"/>
      <c r="D19413"/>
      <c r="E19413"/>
      <c r="F19413"/>
      <c r="N19413" s="56"/>
    </row>
    <row r="19414" spans="1:14" x14ac:dyDescent="0.3">
      <c r="A19414" s="42"/>
      <c r="C19414" s="52"/>
      <c r="D19414"/>
      <c r="E19414"/>
      <c r="F19414"/>
      <c r="N19414" s="56"/>
    </row>
    <row r="19415" spans="1:14" x14ac:dyDescent="0.3">
      <c r="A19415" s="42"/>
      <c r="C19415" s="52"/>
      <c r="D19415"/>
      <c r="E19415"/>
      <c r="F19415"/>
      <c r="N19415" s="56"/>
    </row>
    <row r="19416" spans="1:14" x14ac:dyDescent="0.3">
      <c r="A19416" s="42"/>
      <c r="C19416" s="52"/>
      <c r="D19416"/>
      <c r="E19416"/>
      <c r="F19416"/>
      <c r="N19416" s="56"/>
    </row>
    <row r="19417" spans="1:14" x14ac:dyDescent="0.3">
      <c r="A19417" s="42"/>
      <c r="C19417" s="52"/>
      <c r="D19417"/>
      <c r="E19417"/>
      <c r="F19417"/>
      <c r="N19417" s="56"/>
    </row>
    <row r="19418" spans="1:14" x14ac:dyDescent="0.3">
      <c r="A19418" s="42"/>
      <c r="C19418" s="52"/>
      <c r="D19418"/>
      <c r="E19418"/>
      <c r="F19418"/>
      <c r="N19418" s="56"/>
    </row>
    <row r="19419" spans="1:14" x14ac:dyDescent="0.3">
      <c r="A19419" s="42"/>
      <c r="C19419" s="52"/>
      <c r="D19419"/>
      <c r="E19419"/>
      <c r="F19419"/>
      <c r="N19419" s="56"/>
    </row>
    <row r="19420" spans="1:14" x14ac:dyDescent="0.3">
      <c r="A19420" s="42"/>
      <c r="C19420" s="52"/>
      <c r="D19420"/>
      <c r="E19420"/>
      <c r="F19420"/>
      <c r="N19420" s="56"/>
    </row>
    <row r="19421" spans="1:14" x14ac:dyDescent="0.3">
      <c r="A19421" s="42"/>
      <c r="C19421" s="52"/>
      <c r="D19421"/>
      <c r="E19421"/>
      <c r="F19421"/>
      <c r="N19421" s="56"/>
    </row>
    <row r="19422" spans="1:14" x14ac:dyDescent="0.3">
      <c r="A19422" s="42"/>
      <c r="C19422" s="52"/>
      <c r="D19422"/>
      <c r="E19422"/>
      <c r="F19422"/>
      <c r="N19422" s="56"/>
    </row>
    <row r="19423" spans="1:14" x14ac:dyDescent="0.3">
      <c r="A19423" s="42"/>
      <c r="C19423" s="52"/>
      <c r="D19423"/>
      <c r="E19423"/>
      <c r="F19423"/>
      <c r="N19423" s="56"/>
    </row>
    <row r="19424" spans="1:14" x14ac:dyDescent="0.3">
      <c r="A19424" s="42"/>
      <c r="C19424" s="52"/>
      <c r="D19424"/>
      <c r="E19424"/>
      <c r="F19424"/>
      <c r="N19424" s="56"/>
    </row>
    <row r="19425" spans="1:14" x14ac:dyDescent="0.3">
      <c r="A19425" s="42"/>
      <c r="C19425" s="52"/>
      <c r="D19425"/>
      <c r="E19425"/>
      <c r="F19425"/>
      <c r="N19425" s="56"/>
    </row>
    <row r="19426" spans="1:14" x14ac:dyDescent="0.3">
      <c r="A19426" s="42"/>
      <c r="C19426" s="52"/>
      <c r="D19426"/>
      <c r="E19426"/>
      <c r="F19426"/>
      <c r="N19426" s="56"/>
    </row>
    <row r="19427" spans="1:14" x14ac:dyDescent="0.3">
      <c r="A19427" s="42"/>
      <c r="C19427" s="52"/>
      <c r="D19427"/>
      <c r="E19427"/>
      <c r="F19427"/>
      <c r="N19427" s="56"/>
    </row>
    <row r="19428" spans="1:14" x14ac:dyDescent="0.3">
      <c r="A19428" s="42"/>
      <c r="C19428" s="52"/>
      <c r="D19428"/>
      <c r="E19428"/>
      <c r="F19428"/>
      <c r="N19428" s="56"/>
    </row>
    <row r="19429" spans="1:14" x14ac:dyDescent="0.3">
      <c r="A19429" s="42"/>
      <c r="C19429" s="52"/>
      <c r="D19429"/>
      <c r="E19429"/>
      <c r="F19429"/>
      <c r="N19429" s="56"/>
    </row>
    <row r="19430" spans="1:14" x14ac:dyDescent="0.3">
      <c r="A19430" s="42"/>
      <c r="C19430" s="52"/>
      <c r="D19430"/>
      <c r="E19430"/>
      <c r="F19430"/>
      <c r="N19430" s="56"/>
    </row>
    <row r="19431" spans="1:14" x14ac:dyDescent="0.3">
      <c r="A19431" s="42"/>
      <c r="C19431" s="52"/>
      <c r="D19431"/>
      <c r="E19431"/>
      <c r="F19431"/>
      <c r="N19431" s="56"/>
    </row>
    <row r="19432" spans="1:14" x14ac:dyDescent="0.3">
      <c r="A19432" s="42"/>
      <c r="C19432" s="52"/>
      <c r="D19432"/>
      <c r="E19432"/>
      <c r="F19432"/>
      <c r="N19432" s="56"/>
    </row>
    <row r="19433" spans="1:14" x14ac:dyDescent="0.3">
      <c r="A19433" s="42"/>
      <c r="C19433" s="52"/>
      <c r="D19433"/>
      <c r="E19433"/>
      <c r="F19433"/>
      <c r="N19433" s="56"/>
    </row>
    <row r="19434" spans="1:14" x14ac:dyDescent="0.3">
      <c r="A19434" s="42"/>
      <c r="C19434" s="52"/>
      <c r="D19434"/>
      <c r="E19434"/>
      <c r="F19434"/>
      <c r="N19434" s="56"/>
    </row>
    <row r="19435" spans="1:14" x14ac:dyDescent="0.3">
      <c r="A19435" s="42"/>
      <c r="C19435" s="52"/>
      <c r="D19435"/>
      <c r="E19435"/>
      <c r="F19435"/>
      <c r="N19435" s="56"/>
    </row>
    <row r="19436" spans="1:14" x14ac:dyDescent="0.3">
      <c r="A19436" s="42"/>
      <c r="C19436" s="52"/>
      <c r="D19436"/>
      <c r="E19436"/>
      <c r="F19436"/>
      <c r="N19436" s="56"/>
    </row>
    <row r="19437" spans="1:14" x14ac:dyDescent="0.3">
      <c r="A19437" s="42"/>
      <c r="C19437" s="52"/>
      <c r="D19437"/>
      <c r="E19437"/>
      <c r="F19437"/>
      <c r="N19437" s="56"/>
    </row>
    <row r="19438" spans="1:14" x14ac:dyDescent="0.3">
      <c r="A19438" s="42"/>
      <c r="C19438" s="52"/>
      <c r="D19438"/>
      <c r="E19438"/>
      <c r="F19438"/>
      <c r="N19438" s="56"/>
    </row>
    <row r="19439" spans="1:14" x14ac:dyDescent="0.3">
      <c r="A19439" s="42"/>
      <c r="C19439" s="52"/>
      <c r="D19439"/>
      <c r="E19439"/>
      <c r="F19439"/>
      <c r="N19439" s="56"/>
    </row>
    <row r="19440" spans="1:14" x14ac:dyDescent="0.3">
      <c r="A19440" s="42"/>
      <c r="C19440" s="52"/>
      <c r="D19440"/>
      <c r="E19440"/>
      <c r="F19440"/>
      <c r="N19440" s="56"/>
    </row>
    <row r="19441" spans="1:14" x14ac:dyDescent="0.3">
      <c r="A19441" s="42"/>
      <c r="C19441" s="52"/>
      <c r="D19441"/>
      <c r="E19441"/>
      <c r="F19441"/>
      <c r="N19441" s="56"/>
    </row>
    <row r="19442" spans="1:14" x14ac:dyDescent="0.3">
      <c r="A19442" s="42"/>
      <c r="C19442" s="52"/>
      <c r="D19442"/>
      <c r="E19442"/>
      <c r="F19442"/>
      <c r="N19442" s="56"/>
    </row>
    <row r="19443" spans="1:14" x14ac:dyDescent="0.3">
      <c r="A19443" s="42"/>
      <c r="C19443" s="52"/>
      <c r="D19443"/>
      <c r="E19443"/>
      <c r="F19443"/>
      <c r="N19443" s="56"/>
    </row>
    <row r="19444" spans="1:14" x14ac:dyDescent="0.3">
      <c r="A19444" s="42"/>
      <c r="C19444" s="52"/>
      <c r="D19444"/>
      <c r="E19444"/>
      <c r="F19444"/>
      <c r="N19444" s="56"/>
    </row>
    <row r="19445" spans="1:14" x14ac:dyDescent="0.3">
      <c r="A19445" s="42"/>
      <c r="C19445" s="52"/>
      <c r="D19445"/>
      <c r="E19445"/>
      <c r="F19445"/>
      <c r="N19445" s="56"/>
    </row>
    <row r="19446" spans="1:14" x14ac:dyDescent="0.3">
      <c r="A19446" s="42"/>
      <c r="C19446" s="52"/>
      <c r="D19446"/>
      <c r="E19446"/>
      <c r="F19446"/>
      <c r="N19446" s="56"/>
    </row>
    <row r="19447" spans="1:14" x14ac:dyDescent="0.3">
      <c r="A19447" s="42"/>
      <c r="C19447" s="52"/>
      <c r="D19447"/>
      <c r="E19447"/>
      <c r="F19447"/>
      <c r="N19447" s="56"/>
    </row>
    <row r="19448" spans="1:14" x14ac:dyDescent="0.3">
      <c r="A19448" s="42"/>
      <c r="C19448" s="52"/>
      <c r="D19448"/>
      <c r="E19448"/>
      <c r="F19448"/>
      <c r="N19448" s="56"/>
    </row>
    <row r="19449" spans="1:14" x14ac:dyDescent="0.3">
      <c r="A19449" s="42"/>
      <c r="C19449" s="52"/>
      <c r="D19449"/>
      <c r="E19449"/>
      <c r="F19449"/>
      <c r="N19449" s="56"/>
    </row>
    <row r="19450" spans="1:14" x14ac:dyDescent="0.3">
      <c r="A19450" s="42"/>
      <c r="C19450" s="52"/>
      <c r="D19450"/>
      <c r="E19450"/>
      <c r="F19450"/>
      <c r="N19450" s="56"/>
    </row>
    <row r="19451" spans="1:14" x14ac:dyDescent="0.3">
      <c r="A19451" s="42"/>
      <c r="C19451" s="52"/>
      <c r="D19451"/>
      <c r="E19451"/>
      <c r="F19451"/>
      <c r="N19451" s="56"/>
    </row>
    <row r="19452" spans="1:14" x14ac:dyDescent="0.3">
      <c r="A19452" s="42"/>
      <c r="C19452" s="52"/>
      <c r="D19452"/>
      <c r="E19452"/>
      <c r="F19452"/>
      <c r="N19452" s="56"/>
    </row>
    <row r="19453" spans="1:14" x14ac:dyDescent="0.3">
      <c r="A19453" s="42"/>
      <c r="C19453" s="52"/>
      <c r="D19453"/>
      <c r="E19453"/>
      <c r="F19453"/>
      <c r="N19453" s="56"/>
    </row>
    <row r="19454" spans="1:14" x14ac:dyDescent="0.3">
      <c r="A19454" s="42"/>
      <c r="C19454" s="52"/>
      <c r="D19454"/>
      <c r="E19454"/>
      <c r="F19454"/>
      <c r="N19454" s="56"/>
    </row>
    <row r="19455" spans="1:14" x14ac:dyDescent="0.3">
      <c r="A19455" s="42"/>
      <c r="C19455" s="52"/>
      <c r="D19455"/>
      <c r="E19455"/>
      <c r="F19455"/>
      <c r="N19455" s="56"/>
    </row>
    <row r="19456" spans="1:14" x14ac:dyDescent="0.3">
      <c r="A19456" s="42"/>
      <c r="C19456" s="52"/>
      <c r="D19456"/>
      <c r="E19456"/>
      <c r="F19456"/>
      <c r="N19456" s="56"/>
    </row>
    <row r="19457" spans="1:14" x14ac:dyDescent="0.3">
      <c r="A19457" s="42"/>
      <c r="C19457" s="52"/>
      <c r="D19457"/>
      <c r="E19457"/>
      <c r="F19457"/>
      <c r="N19457" s="56"/>
    </row>
    <row r="19458" spans="1:14" x14ac:dyDescent="0.3">
      <c r="A19458" s="42"/>
      <c r="C19458" s="52"/>
      <c r="D19458"/>
      <c r="E19458"/>
      <c r="F19458"/>
      <c r="N19458" s="56"/>
    </row>
    <row r="19459" spans="1:14" x14ac:dyDescent="0.3">
      <c r="A19459" s="42"/>
      <c r="C19459" s="52"/>
      <c r="D19459"/>
      <c r="E19459"/>
      <c r="F19459"/>
      <c r="N19459" s="56"/>
    </row>
    <row r="19460" spans="1:14" x14ac:dyDescent="0.3">
      <c r="A19460" s="42"/>
      <c r="C19460" s="52"/>
      <c r="D19460"/>
      <c r="E19460"/>
      <c r="F19460"/>
      <c r="N19460" s="56"/>
    </row>
    <row r="19461" spans="1:14" x14ac:dyDescent="0.3">
      <c r="A19461" s="42"/>
      <c r="C19461" s="52"/>
      <c r="D19461"/>
      <c r="E19461"/>
      <c r="F19461"/>
      <c r="N19461" s="56"/>
    </row>
    <row r="19462" spans="1:14" x14ac:dyDescent="0.3">
      <c r="A19462" s="42"/>
      <c r="C19462" s="52"/>
      <c r="D19462"/>
      <c r="E19462"/>
      <c r="F19462"/>
      <c r="N19462" s="56"/>
    </row>
    <row r="19463" spans="1:14" x14ac:dyDescent="0.3">
      <c r="A19463" s="42"/>
      <c r="C19463" s="52"/>
      <c r="D19463"/>
      <c r="E19463"/>
      <c r="F19463"/>
      <c r="N19463" s="56"/>
    </row>
    <row r="19464" spans="1:14" x14ac:dyDescent="0.3">
      <c r="A19464" s="42"/>
      <c r="C19464" s="52"/>
      <c r="D19464"/>
      <c r="E19464"/>
      <c r="F19464"/>
      <c r="N19464" s="56"/>
    </row>
    <row r="19465" spans="1:14" x14ac:dyDescent="0.3">
      <c r="A19465" s="42"/>
      <c r="C19465" s="52"/>
      <c r="D19465"/>
      <c r="E19465"/>
      <c r="F19465"/>
      <c r="N19465" s="56"/>
    </row>
    <row r="19466" spans="1:14" x14ac:dyDescent="0.3">
      <c r="A19466" s="42"/>
      <c r="C19466" s="52"/>
      <c r="D19466"/>
      <c r="E19466"/>
      <c r="F19466"/>
      <c r="N19466" s="56"/>
    </row>
    <row r="19467" spans="1:14" x14ac:dyDescent="0.3">
      <c r="A19467" s="42"/>
      <c r="C19467" s="52"/>
      <c r="D19467"/>
      <c r="E19467"/>
      <c r="F19467"/>
      <c r="N19467" s="56"/>
    </row>
    <row r="19468" spans="1:14" x14ac:dyDescent="0.3">
      <c r="A19468" s="42"/>
      <c r="C19468" s="52"/>
      <c r="D19468"/>
      <c r="E19468"/>
      <c r="F19468"/>
      <c r="N19468" s="56"/>
    </row>
    <row r="19469" spans="1:14" x14ac:dyDescent="0.3">
      <c r="A19469" s="42"/>
      <c r="C19469" s="52"/>
      <c r="D19469"/>
      <c r="E19469"/>
      <c r="F19469"/>
      <c r="N19469" s="56"/>
    </row>
    <row r="19470" spans="1:14" x14ac:dyDescent="0.3">
      <c r="A19470" s="42"/>
      <c r="C19470" s="52"/>
      <c r="D19470"/>
      <c r="E19470"/>
      <c r="F19470"/>
      <c r="N19470" s="56"/>
    </row>
    <row r="19471" spans="1:14" x14ac:dyDescent="0.3">
      <c r="A19471" s="42"/>
      <c r="C19471" s="52"/>
      <c r="D19471"/>
      <c r="E19471"/>
      <c r="F19471"/>
      <c r="N19471" s="56"/>
    </row>
    <row r="19472" spans="1:14" x14ac:dyDescent="0.3">
      <c r="A19472" s="42"/>
      <c r="C19472" s="52"/>
      <c r="D19472"/>
      <c r="E19472"/>
      <c r="F19472"/>
      <c r="N19472" s="56"/>
    </row>
    <row r="19473" spans="1:14" x14ac:dyDescent="0.3">
      <c r="A19473" s="42"/>
      <c r="C19473" s="52"/>
      <c r="D19473"/>
      <c r="E19473"/>
      <c r="F19473"/>
      <c r="N19473" s="56"/>
    </row>
    <row r="19474" spans="1:14" x14ac:dyDescent="0.3">
      <c r="A19474" s="42"/>
      <c r="C19474" s="52"/>
      <c r="D19474"/>
      <c r="E19474"/>
      <c r="F19474"/>
      <c r="N19474" s="56"/>
    </row>
    <row r="19475" spans="1:14" x14ac:dyDescent="0.3">
      <c r="A19475" s="42"/>
      <c r="C19475" s="52"/>
      <c r="D19475"/>
      <c r="E19475"/>
      <c r="F19475"/>
      <c r="N19475" s="56"/>
    </row>
    <row r="19476" spans="1:14" x14ac:dyDescent="0.3">
      <c r="A19476" s="42"/>
      <c r="C19476" s="52"/>
      <c r="D19476"/>
      <c r="E19476"/>
      <c r="F19476"/>
      <c r="N19476" s="56"/>
    </row>
    <row r="19477" spans="1:14" x14ac:dyDescent="0.3">
      <c r="A19477" s="42"/>
      <c r="C19477" s="52"/>
      <c r="D19477"/>
      <c r="E19477"/>
      <c r="F19477"/>
      <c r="N19477" s="56"/>
    </row>
    <row r="19478" spans="1:14" x14ac:dyDescent="0.3">
      <c r="A19478" s="42"/>
      <c r="C19478" s="52"/>
      <c r="D19478"/>
      <c r="E19478"/>
      <c r="F19478"/>
      <c r="N19478" s="56"/>
    </row>
    <row r="19479" spans="1:14" x14ac:dyDescent="0.3">
      <c r="A19479" s="42"/>
      <c r="C19479" s="52"/>
      <c r="D19479"/>
      <c r="E19479"/>
      <c r="F19479"/>
      <c r="N19479" s="56"/>
    </row>
    <row r="19480" spans="1:14" x14ac:dyDescent="0.3">
      <c r="A19480" s="42"/>
      <c r="C19480" s="52"/>
      <c r="D19480"/>
      <c r="E19480"/>
      <c r="F19480"/>
      <c r="N19480" s="56"/>
    </row>
    <row r="19481" spans="1:14" x14ac:dyDescent="0.3">
      <c r="A19481" s="42"/>
      <c r="C19481" s="52"/>
      <c r="D19481"/>
      <c r="E19481"/>
      <c r="F19481"/>
      <c r="N19481" s="56"/>
    </row>
    <row r="19482" spans="1:14" x14ac:dyDescent="0.3">
      <c r="A19482" s="42"/>
      <c r="C19482" s="52"/>
      <c r="D19482"/>
      <c r="E19482"/>
      <c r="F19482"/>
      <c r="N19482" s="56"/>
    </row>
    <row r="19483" spans="1:14" x14ac:dyDescent="0.3">
      <c r="A19483" s="42"/>
      <c r="C19483" s="52"/>
      <c r="D19483"/>
      <c r="E19483"/>
      <c r="F19483"/>
      <c r="N19483" s="56"/>
    </row>
    <row r="19484" spans="1:14" x14ac:dyDescent="0.3">
      <c r="A19484" s="42"/>
      <c r="C19484" s="52"/>
      <c r="D19484"/>
      <c r="E19484"/>
      <c r="F19484"/>
      <c r="N19484" s="56"/>
    </row>
    <row r="19485" spans="1:14" x14ac:dyDescent="0.3">
      <c r="A19485" s="42"/>
      <c r="C19485" s="52"/>
      <c r="D19485"/>
      <c r="E19485"/>
      <c r="F19485"/>
      <c r="N19485" s="56"/>
    </row>
    <row r="19486" spans="1:14" x14ac:dyDescent="0.3">
      <c r="A19486" s="42"/>
      <c r="C19486" s="52"/>
      <c r="D19486"/>
      <c r="E19486"/>
      <c r="F19486"/>
      <c r="N19486" s="56"/>
    </row>
    <row r="19487" spans="1:14" x14ac:dyDescent="0.3">
      <c r="A19487" s="42"/>
      <c r="C19487" s="52"/>
      <c r="D19487"/>
      <c r="E19487"/>
      <c r="F19487"/>
      <c r="N19487" s="56"/>
    </row>
    <row r="19488" spans="1:14" x14ac:dyDescent="0.3">
      <c r="A19488" s="42"/>
      <c r="C19488" s="52"/>
      <c r="D19488"/>
      <c r="E19488"/>
      <c r="F19488"/>
      <c r="N19488" s="56"/>
    </row>
    <row r="19489" spans="1:14" x14ac:dyDescent="0.3">
      <c r="A19489" s="42"/>
      <c r="C19489" s="52"/>
      <c r="D19489"/>
      <c r="E19489"/>
      <c r="F19489"/>
      <c r="N19489" s="56"/>
    </row>
    <row r="19490" spans="1:14" x14ac:dyDescent="0.3">
      <c r="A19490" s="42"/>
      <c r="C19490" s="52"/>
      <c r="D19490"/>
      <c r="E19490"/>
      <c r="F19490"/>
      <c r="N19490" s="56"/>
    </row>
    <row r="19491" spans="1:14" x14ac:dyDescent="0.3">
      <c r="A19491" s="42"/>
      <c r="C19491" s="52"/>
      <c r="D19491"/>
      <c r="E19491"/>
      <c r="F19491"/>
      <c r="N19491" s="56"/>
    </row>
    <row r="19492" spans="1:14" x14ac:dyDescent="0.3">
      <c r="A19492" s="42"/>
      <c r="C19492" s="52"/>
      <c r="D19492"/>
      <c r="E19492"/>
      <c r="F19492"/>
      <c r="N19492" s="56"/>
    </row>
    <row r="19493" spans="1:14" x14ac:dyDescent="0.3">
      <c r="A19493" s="42"/>
      <c r="C19493" s="52"/>
      <c r="D19493"/>
      <c r="E19493"/>
      <c r="F19493"/>
      <c r="N19493" s="56"/>
    </row>
    <row r="19494" spans="1:14" x14ac:dyDescent="0.3">
      <c r="A19494" s="42"/>
      <c r="C19494" s="52"/>
      <c r="D19494"/>
      <c r="E19494"/>
      <c r="F19494"/>
      <c r="N19494" s="56"/>
    </row>
    <row r="19495" spans="1:14" x14ac:dyDescent="0.3">
      <c r="A19495" s="42"/>
      <c r="C19495" s="52"/>
      <c r="D19495"/>
      <c r="E19495"/>
      <c r="F19495"/>
      <c r="N19495" s="56"/>
    </row>
    <row r="19496" spans="1:14" x14ac:dyDescent="0.3">
      <c r="A19496" s="42"/>
      <c r="C19496" s="52"/>
      <c r="D19496"/>
      <c r="E19496"/>
      <c r="F19496"/>
      <c r="N19496" s="56"/>
    </row>
    <row r="19497" spans="1:14" x14ac:dyDescent="0.3">
      <c r="A19497" s="42"/>
      <c r="C19497" s="52"/>
      <c r="D19497"/>
      <c r="E19497"/>
      <c r="F19497"/>
      <c r="N19497" s="56"/>
    </row>
    <row r="19498" spans="1:14" x14ac:dyDescent="0.3">
      <c r="A19498" s="42"/>
      <c r="C19498" s="52"/>
      <c r="D19498"/>
      <c r="E19498"/>
      <c r="F19498"/>
      <c r="N19498" s="56"/>
    </row>
    <row r="19499" spans="1:14" x14ac:dyDescent="0.3">
      <c r="A19499" s="42"/>
      <c r="C19499" s="52"/>
      <c r="D19499"/>
      <c r="E19499"/>
      <c r="F19499"/>
      <c r="N19499" s="56"/>
    </row>
    <row r="19500" spans="1:14" x14ac:dyDescent="0.3">
      <c r="A19500" s="42"/>
      <c r="C19500" s="52"/>
      <c r="D19500"/>
      <c r="E19500"/>
      <c r="F19500"/>
      <c r="N19500" s="56"/>
    </row>
    <row r="19501" spans="1:14" x14ac:dyDescent="0.3">
      <c r="A19501" s="42"/>
      <c r="C19501" s="52"/>
      <c r="D19501"/>
      <c r="E19501"/>
      <c r="F19501"/>
      <c r="N19501" s="56"/>
    </row>
    <row r="19502" spans="1:14" x14ac:dyDescent="0.3">
      <c r="A19502" s="42"/>
      <c r="C19502" s="52"/>
      <c r="D19502"/>
      <c r="E19502"/>
      <c r="F19502"/>
      <c r="N19502" s="56"/>
    </row>
    <row r="19503" spans="1:14" x14ac:dyDescent="0.3">
      <c r="A19503" s="42"/>
      <c r="C19503" s="52"/>
      <c r="D19503"/>
      <c r="E19503"/>
      <c r="F19503"/>
      <c r="N19503" s="56"/>
    </row>
    <row r="19504" spans="1:14" x14ac:dyDescent="0.3">
      <c r="A19504" s="42"/>
      <c r="C19504" s="52"/>
      <c r="D19504"/>
      <c r="E19504"/>
      <c r="F19504"/>
      <c r="N19504" s="56"/>
    </row>
    <row r="19505" spans="1:14" x14ac:dyDescent="0.3">
      <c r="A19505" s="42"/>
      <c r="C19505" s="52"/>
      <c r="D19505"/>
      <c r="E19505"/>
      <c r="F19505"/>
      <c r="N19505" s="56"/>
    </row>
    <row r="19506" spans="1:14" x14ac:dyDescent="0.3">
      <c r="A19506" s="42"/>
      <c r="C19506" s="52"/>
      <c r="D19506"/>
      <c r="E19506"/>
      <c r="F19506"/>
      <c r="N19506" s="56"/>
    </row>
    <row r="19507" spans="1:14" x14ac:dyDescent="0.3">
      <c r="A19507" s="42"/>
      <c r="C19507" s="52"/>
      <c r="D19507"/>
      <c r="E19507"/>
      <c r="F19507"/>
      <c r="N19507" s="56"/>
    </row>
    <row r="19508" spans="1:14" x14ac:dyDescent="0.3">
      <c r="A19508" s="42"/>
      <c r="C19508" s="52"/>
      <c r="D19508"/>
      <c r="E19508"/>
      <c r="F19508"/>
      <c r="N19508" s="56"/>
    </row>
    <row r="19509" spans="1:14" x14ac:dyDescent="0.3">
      <c r="A19509" s="42"/>
      <c r="C19509" s="52"/>
      <c r="D19509"/>
      <c r="E19509"/>
      <c r="F19509"/>
      <c r="N19509" s="56"/>
    </row>
    <row r="19510" spans="1:14" x14ac:dyDescent="0.3">
      <c r="A19510" s="42"/>
      <c r="C19510" s="52"/>
      <c r="D19510"/>
      <c r="E19510"/>
      <c r="F19510"/>
      <c r="N19510" s="56"/>
    </row>
    <row r="19511" spans="1:14" x14ac:dyDescent="0.3">
      <c r="A19511" s="42"/>
      <c r="C19511" s="52"/>
      <c r="D19511"/>
      <c r="E19511"/>
      <c r="F19511"/>
      <c r="N19511" s="56"/>
    </row>
    <row r="19512" spans="1:14" x14ac:dyDescent="0.3">
      <c r="A19512" s="42"/>
      <c r="C19512" s="52"/>
      <c r="D19512"/>
      <c r="E19512"/>
      <c r="F19512"/>
      <c r="N19512" s="56"/>
    </row>
    <row r="19513" spans="1:14" x14ac:dyDescent="0.3">
      <c r="A19513" s="42"/>
      <c r="C19513" s="52"/>
      <c r="D19513"/>
      <c r="E19513"/>
      <c r="F19513"/>
      <c r="N19513" s="56"/>
    </row>
    <row r="19514" spans="1:14" x14ac:dyDescent="0.3">
      <c r="A19514" s="42"/>
      <c r="C19514" s="52"/>
      <c r="D19514"/>
      <c r="E19514"/>
      <c r="F19514"/>
      <c r="N19514" s="56"/>
    </row>
    <row r="19515" spans="1:14" x14ac:dyDescent="0.3">
      <c r="A19515" s="42"/>
      <c r="C19515" s="52"/>
      <c r="D19515"/>
      <c r="E19515"/>
      <c r="F19515"/>
      <c r="N19515" s="56"/>
    </row>
    <row r="19516" spans="1:14" x14ac:dyDescent="0.3">
      <c r="A19516" s="42"/>
      <c r="C19516" s="52"/>
      <c r="D19516"/>
      <c r="E19516"/>
      <c r="F19516"/>
      <c r="N19516" s="56"/>
    </row>
    <row r="19517" spans="1:14" x14ac:dyDescent="0.3">
      <c r="A19517" s="42"/>
      <c r="C19517" s="52"/>
      <c r="D19517"/>
      <c r="E19517"/>
      <c r="F19517"/>
      <c r="N19517" s="56"/>
    </row>
    <row r="19518" spans="1:14" x14ac:dyDescent="0.3">
      <c r="A19518" s="42"/>
      <c r="C19518" s="52"/>
      <c r="D19518"/>
      <c r="E19518"/>
      <c r="F19518"/>
      <c r="N19518" s="56"/>
    </row>
    <row r="19519" spans="1:14" x14ac:dyDescent="0.3">
      <c r="A19519" s="42"/>
      <c r="C19519" s="52"/>
      <c r="D19519"/>
      <c r="E19519"/>
      <c r="F19519"/>
      <c r="N19519" s="56"/>
    </row>
    <row r="19520" spans="1:14" x14ac:dyDescent="0.3">
      <c r="A19520" s="42"/>
      <c r="C19520" s="52"/>
      <c r="D19520"/>
      <c r="E19520"/>
      <c r="F19520"/>
      <c r="N19520" s="56"/>
    </row>
    <row r="19521" spans="1:14" x14ac:dyDescent="0.3">
      <c r="A19521" s="42"/>
      <c r="C19521" s="52"/>
      <c r="D19521"/>
      <c r="E19521"/>
      <c r="F19521"/>
      <c r="N19521" s="56"/>
    </row>
    <row r="19522" spans="1:14" x14ac:dyDescent="0.3">
      <c r="A19522" s="42"/>
      <c r="C19522" s="52"/>
      <c r="D19522"/>
      <c r="E19522"/>
      <c r="F19522"/>
      <c r="N19522" s="56"/>
    </row>
    <row r="19523" spans="1:14" x14ac:dyDescent="0.3">
      <c r="A19523" s="42"/>
      <c r="C19523" s="52"/>
      <c r="D19523"/>
      <c r="E19523"/>
      <c r="F19523"/>
      <c r="N19523" s="56"/>
    </row>
    <row r="19524" spans="1:14" x14ac:dyDescent="0.3">
      <c r="A19524" s="42"/>
      <c r="C19524" s="52"/>
      <c r="D19524"/>
      <c r="E19524"/>
      <c r="F19524"/>
      <c r="N19524" s="56"/>
    </row>
    <row r="19525" spans="1:14" x14ac:dyDescent="0.3">
      <c r="A19525" s="42"/>
      <c r="C19525" s="52"/>
      <c r="D19525"/>
      <c r="E19525"/>
      <c r="F19525"/>
      <c r="N19525" s="56"/>
    </row>
    <row r="19526" spans="1:14" x14ac:dyDescent="0.3">
      <c r="A19526" s="42"/>
      <c r="C19526" s="52"/>
      <c r="D19526"/>
      <c r="E19526"/>
      <c r="F19526"/>
      <c r="N19526" s="56"/>
    </row>
    <row r="19527" spans="1:14" x14ac:dyDescent="0.3">
      <c r="A19527" s="42"/>
      <c r="C19527" s="52"/>
      <c r="D19527"/>
      <c r="E19527"/>
      <c r="F19527"/>
      <c r="N19527" s="56"/>
    </row>
    <row r="19528" spans="1:14" x14ac:dyDescent="0.3">
      <c r="A19528" s="42"/>
      <c r="C19528" s="52"/>
      <c r="D19528"/>
      <c r="E19528"/>
      <c r="F19528"/>
      <c r="N19528" s="56"/>
    </row>
    <row r="19529" spans="1:14" x14ac:dyDescent="0.3">
      <c r="A19529" s="42"/>
      <c r="C19529" s="52"/>
      <c r="D19529"/>
      <c r="E19529"/>
      <c r="F19529"/>
      <c r="N19529" s="56"/>
    </row>
    <row r="19530" spans="1:14" x14ac:dyDescent="0.3">
      <c r="A19530" s="42"/>
      <c r="C19530" s="52"/>
      <c r="D19530"/>
      <c r="E19530"/>
      <c r="F19530"/>
      <c r="N19530" s="56"/>
    </row>
    <row r="19531" spans="1:14" x14ac:dyDescent="0.3">
      <c r="A19531" s="42"/>
      <c r="C19531" s="52"/>
      <c r="D19531"/>
      <c r="E19531"/>
      <c r="F19531"/>
      <c r="N19531" s="56"/>
    </row>
    <row r="19532" spans="1:14" x14ac:dyDescent="0.3">
      <c r="A19532" s="42"/>
      <c r="C19532" s="52"/>
      <c r="D19532"/>
      <c r="E19532"/>
      <c r="F19532"/>
      <c r="N19532" s="56"/>
    </row>
    <row r="19533" spans="1:14" x14ac:dyDescent="0.3">
      <c r="A19533" s="42"/>
      <c r="C19533" s="52"/>
      <c r="D19533"/>
      <c r="E19533"/>
      <c r="F19533"/>
      <c r="N19533" s="56"/>
    </row>
    <row r="19534" spans="1:14" x14ac:dyDescent="0.3">
      <c r="A19534" s="42"/>
      <c r="C19534" s="52"/>
      <c r="D19534"/>
      <c r="E19534"/>
      <c r="F19534"/>
      <c r="N19534" s="56"/>
    </row>
    <row r="19535" spans="1:14" x14ac:dyDescent="0.3">
      <c r="A19535" s="42"/>
      <c r="C19535" s="52"/>
      <c r="D19535"/>
      <c r="E19535"/>
      <c r="F19535"/>
      <c r="N19535" s="56"/>
    </row>
    <row r="19536" spans="1:14" x14ac:dyDescent="0.3">
      <c r="A19536" s="42"/>
      <c r="C19536" s="52"/>
      <c r="D19536"/>
      <c r="E19536"/>
      <c r="F19536"/>
      <c r="N19536" s="56"/>
    </row>
    <row r="19537" spans="1:14" x14ac:dyDescent="0.3">
      <c r="A19537" s="42"/>
      <c r="C19537" s="52"/>
      <c r="D19537"/>
      <c r="E19537"/>
      <c r="F19537"/>
      <c r="N19537" s="56"/>
    </row>
    <row r="19538" spans="1:14" x14ac:dyDescent="0.3">
      <c r="A19538" s="42"/>
      <c r="C19538" s="52"/>
      <c r="D19538"/>
      <c r="E19538"/>
      <c r="F19538"/>
      <c r="N19538" s="56"/>
    </row>
    <row r="19539" spans="1:14" x14ac:dyDescent="0.3">
      <c r="A19539" s="42"/>
      <c r="C19539" s="52"/>
      <c r="D19539"/>
      <c r="E19539"/>
      <c r="F19539"/>
      <c r="N19539" s="56"/>
    </row>
    <row r="19540" spans="1:14" x14ac:dyDescent="0.3">
      <c r="A19540" s="42"/>
      <c r="C19540" s="52"/>
      <c r="D19540"/>
      <c r="E19540"/>
      <c r="F19540"/>
      <c r="N19540" s="56"/>
    </row>
    <row r="19541" spans="1:14" x14ac:dyDescent="0.3">
      <c r="A19541" s="42"/>
      <c r="C19541" s="52"/>
      <c r="D19541"/>
      <c r="E19541"/>
      <c r="F19541"/>
      <c r="N19541" s="56"/>
    </row>
    <row r="19542" spans="1:14" x14ac:dyDescent="0.3">
      <c r="A19542" s="42"/>
      <c r="C19542" s="52"/>
      <c r="D19542"/>
      <c r="E19542"/>
      <c r="F19542"/>
      <c r="N19542" s="56"/>
    </row>
    <row r="19543" spans="1:14" x14ac:dyDescent="0.3">
      <c r="A19543" s="42"/>
      <c r="C19543" s="52"/>
      <c r="D19543"/>
      <c r="E19543"/>
      <c r="F19543"/>
      <c r="N19543" s="56"/>
    </row>
    <row r="19544" spans="1:14" x14ac:dyDescent="0.3">
      <c r="A19544" s="42"/>
      <c r="C19544" s="52"/>
      <c r="D19544"/>
      <c r="E19544"/>
      <c r="F19544"/>
      <c r="M19544" s="45"/>
      <c r="N19544" s="56"/>
    </row>
    <row r="19545" spans="1:14" x14ac:dyDescent="0.3">
      <c r="A19545" s="42"/>
      <c r="C19545" s="52"/>
      <c r="D19545"/>
      <c r="E19545"/>
      <c r="F19545"/>
      <c r="N19545" s="56"/>
    </row>
    <row r="19546" spans="1:14" x14ac:dyDescent="0.3">
      <c r="A19546" s="42"/>
      <c r="C19546" s="52"/>
      <c r="D19546"/>
      <c r="E19546"/>
      <c r="F19546"/>
      <c r="N19546" s="56"/>
    </row>
    <row r="19547" spans="1:14" x14ac:dyDescent="0.3">
      <c r="A19547" s="42"/>
      <c r="C19547" s="52"/>
      <c r="D19547"/>
      <c r="E19547"/>
      <c r="F19547"/>
      <c r="N19547" s="56"/>
    </row>
    <row r="19548" spans="1:14" x14ac:dyDescent="0.3">
      <c r="A19548" s="42"/>
      <c r="C19548" s="52"/>
      <c r="D19548"/>
      <c r="E19548"/>
      <c r="F19548"/>
      <c r="N19548" s="56"/>
    </row>
    <row r="19549" spans="1:14" x14ac:dyDescent="0.3">
      <c r="A19549" s="42"/>
      <c r="C19549" s="52"/>
      <c r="D19549"/>
      <c r="E19549"/>
      <c r="F19549"/>
      <c r="N19549" s="56"/>
    </row>
    <row r="19550" spans="1:14" x14ac:dyDescent="0.3">
      <c r="A19550" s="42"/>
      <c r="C19550" s="52"/>
      <c r="D19550"/>
      <c r="E19550"/>
      <c r="F19550"/>
      <c r="N19550" s="56"/>
    </row>
    <row r="19551" spans="1:14" x14ac:dyDescent="0.3">
      <c r="A19551" s="42"/>
      <c r="C19551" s="52"/>
      <c r="D19551"/>
      <c r="E19551"/>
      <c r="F19551"/>
      <c r="N19551" s="56"/>
    </row>
    <row r="19552" spans="1:14" x14ac:dyDescent="0.3">
      <c r="A19552" s="42"/>
      <c r="C19552" s="52"/>
      <c r="D19552"/>
      <c r="E19552"/>
      <c r="F19552"/>
      <c r="N19552" s="56"/>
    </row>
    <row r="19553" spans="1:14" x14ac:dyDescent="0.3">
      <c r="A19553" s="42"/>
      <c r="C19553" s="52"/>
      <c r="D19553"/>
      <c r="E19553"/>
      <c r="F19553"/>
      <c r="N19553" s="56"/>
    </row>
    <row r="19554" spans="1:14" x14ac:dyDescent="0.3">
      <c r="A19554" s="42"/>
      <c r="C19554" s="52"/>
      <c r="D19554"/>
      <c r="E19554"/>
      <c r="F19554"/>
      <c r="N19554" s="56"/>
    </row>
    <row r="19555" spans="1:14" x14ac:dyDescent="0.3">
      <c r="A19555" s="42"/>
      <c r="C19555" s="52"/>
      <c r="D19555"/>
      <c r="E19555"/>
      <c r="F19555"/>
      <c r="N19555" s="56"/>
    </row>
    <row r="19556" spans="1:14" x14ac:dyDescent="0.3">
      <c r="A19556" s="42"/>
      <c r="C19556" s="52"/>
      <c r="D19556"/>
      <c r="E19556"/>
      <c r="F19556"/>
      <c r="N19556" s="56"/>
    </row>
    <row r="19557" spans="1:14" x14ac:dyDescent="0.3">
      <c r="A19557" s="42"/>
      <c r="C19557" s="52"/>
      <c r="D19557"/>
      <c r="E19557"/>
      <c r="F19557"/>
      <c r="N19557" s="56"/>
    </row>
    <row r="19558" spans="1:14" x14ac:dyDescent="0.3">
      <c r="A19558" s="42"/>
      <c r="C19558" s="52"/>
      <c r="D19558"/>
      <c r="E19558"/>
      <c r="F19558"/>
      <c r="N19558" s="56"/>
    </row>
    <row r="19559" spans="1:14" x14ac:dyDescent="0.3">
      <c r="A19559" s="42"/>
      <c r="C19559" s="52"/>
      <c r="D19559"/>
      <c r="E19559"/>
      <c r="F19559"/>
      <c r="N19559" s="56"/>
    </row>
    <row r="19560" spans="1:14" x14ac:dyDescent="0.3">
      <c r="A19560" s="42"/>
      <c r="C19560" s="52"/>
      <c r="D19560"/>
      <c r="E19560"/>
      <c r="F19560"/>
      <c r="N19560" s="56"/>
    </row>
    <row r="19561" spans="1:14" x14ac:dyDescent="0.3">
      <c r="A19561" s="42"/>
      <c r="C19561" s="52"/>
      <c r="D19561"/>
      <c r="E19561"/>
      <c r="F19561"/>
      <c r="N19561" s="56"/>
    </row>
    <row r="19562" spans="1:14" x14ac:dyDescent="0.3">
      <c r="A19562" s="42"/>
      <c r="C19562" s="52"/>
      <c r="D19562"/>
      <c r="E19562"/>
      <c r="F19562"/>
      <c r="N19562" s="56"/>
    </row>
    <row r="19563" spans="1:14" x14ac:dyDescent="0.3">
      <c r="A19563" s="42"/>
      <c r="C19563" s="52"/>
      <c r="D19563"/>
      <c r="E19563"/>
      <c r="F19563"/>
      <c r="N19563" s="56"/>
    </row>
    <row r="19564" spans="1:14" x14ac:dyDescent="0.3">
      <c r="A19564" s="42"/>
      <c r="C19564" s="52"/>
      <c r="D19564"/>
      <c r="E19564"/>
      <c r="F19564"/>
      <c r="N19564" s="56"/>
    </row>
    <row r="19565" spans="1:14" x14ac:dyDescent="0.3">
      <c r="A19565" s="42"/>
      <c r="C19565" s="52"/>
      <c r="D19565"/>
      <c r="E19565"/>
      <c r="F19565"/>
      <c r="N19565" s="56"/>
    </row>
    <row r="19566" spans="1:14" x14ac:dyDescent="0.3">
      <c r="A19566" s="42"/>
      <c r="C19566" s="52"/>
      <c r="D19566"/>
      <c r="E19566"/>
      <c r="F19566"/>
      <c r="N19566" s="56"/>
    </row>
    <row r="19567" spans="1:14" x14ac:dyDescent="0.3">
      <c r="A19567" s="42"/>
      <c r="C19567" s="52"/>
      <c r="D19567"/>
      <c r="E19567"/>
      <c r="F19567"/>
      <c r="N19567" s="56"/>
    </row>
    <row r="19568" spans="1:14" x14ac:dyDescent="0.3">
      <c r="A19568" s="42"/>
      <c r="C19568" s="52"/>
      <c r="D19568"/>
      <c r="E19568"/>
      <c r="F19568"/>
      <c r="N19568" s="56"/>
    </row>
    <row r="19569" spans="1:14" x14ac:dyDescent="0.3">
      <c r="A19569" s="42"/>
      <c r="C19569" s="52"/>
      <c r="D19569"/>
      <c r="E19569"/>
      <c r="F19569"/>
      <c r="N19569" s="56"/>
    </row>
    <row r="19570" spans="1:14" x14ac:dyDescent="0.3">
      <c r="A19570" s="42"/>
      <c r="C19570" s="52"/>
      <c r="D19570"/>
      <c r="E19570"/>
      <c r="F19570"/>
      <c r="N19570" s="56"/>
    </row>
    <row r="19571" spans="1:14" x14ac:dyDescent="0.3">
      <c r="A19571" s="42"/>
      <c r="C19571" s="52"/>
      <c r="D19571"/>
      <c r="E19571"/>
      <c r="F19571"/>
      <c r="N19571" s="56"/>
    </row>
    <row r="19572" spans="1:14" x14ac:dyDescent="0.3">
      <c r="A19572" s="42"/>
      <c r="C19572" s="52"/>
      <c r="D19572"/>
      <c r="E19572"/>
      <c r="F19572"/>
      <c r="N19572" s="56"/>
    </row>
    <row r="19573" spans="1:14" x14ac:dyDescent="0.3">
      <c r="A19573" s="42"/>
      <c r="C19573" s="52"/>
      <c r="D19573"/>
      <c r="E19573"/>
      <c r="F19573"/>
      <c r="N19573" s="56"/>
    </row>
    <row r="19574" spans="1:14" x14ac:dyDescent="0.3">
      <c r="A19574" s="42"/>
      <c r="C19574" s="52"/>
      <c r="D19574"/>
      <c r="E19574"/>
      <c r="F19574"/>
      <c r="N19574" s="56"/>
    </row>
    <row r="19575" spans="1:14" x14ac:dyDescent="0.3">
      <c r="A19575" s="42"/>
      <c r="C19575" s="52"/>
      <c r="D19575"/>
      <c r="E19575"/>
      <c r="F19575"/>
      <c r="N19575" s="56"/>
    </row>
    <row r="19576" spans="1:14" x14ac:dyDescent="0.3">
      <c r="A19576" s="42"/>
      <c r="C19576" s="52"/>
      <c r="D19576"/>
      <c r="E19576"/>
      <c r="F19576"/>
      <c r="N19576" s="56"/>
    </row>
    <row r="19577" spans="1:14" x14ac:dyDescent="0.3">
      <c r="A19577" s="42"/>
      <c r="C19577" s="52"/>
      <c r="D19577"/>
      <c r="E19577"/>
      <c r="F19577"/>
      <c r="N19577" s="56"/>
    </row>
    <row r="19578" spans="1:14" x14ac:dyDescent="0.3">
      <c r="A19578" s="42"/>
      <c r="C19578" s="52"/>
      <c r="D19578"/>
      <c r="E19578"/>
      <c r="F19578"/>
      <c r="N19578" s="56"/>
    </row>
    <row r="19579" spans="1:14" x14ac:dyDescent="0.3">
      <c r="A19579" s="42"/>
      <c r="C19579" s="52"/>
      <c r="D19579"/>
      <c r="E19579"/>
      <c r="F19579"/>
      <c r="N19579" s="56"/>
    </row>
    <row r="19580" spans="1:14" x14ac:dyDescent="0.3">
      <c r="A19580" s="42"/>
      <c r="C19580" s="52"/>
      <c r="D19580"/>
      <c r="E19580"/>
      <c r="F19580"/>
      <c r="N19580" s="56"/>
    </row>
    <row r="19581" spans="1:14" x14ac:dyDescent="0.3">
      <c r="A19581" s="42"/>
      <c r="C19581" s="52"/>
      <c r="D19581"/>
      <c r="E19581"/>
      <c r="F19581"/>
      <c r="N19581" s="56"/>
    </row>
    <row r="19582" spans="1:14" x14ac:dyDescent="0.3">
      <c r="A19582" s="42"/>
      <c r="C19582" s="52"/>
      <c r="D19582"/>
      <c r="E19582"/>
      <c r="F19582"/>
      <c r="N19582" s="56"/>
    </row>
    <row r="19583" spans="1:14" x14ac:dyDescent="0.3">
      <c r="A19583" s="42"/>
      <c r="C19583" s="52"/>
      <c r="D19583"/>
      <c r="E19583"/>
      <c r="F19583"/>
      <c r="N19583" s="56"/>
    </row>
    <row r="19584" spans="1:14" x14ac:dyDescent="0.3">
      <c r="A19584" s="42"/>
      <c r="C19584" s="52"/>
      <c r="D19584"/>
      <c r="E19584"/>
      <c r="F19584"/>
      <c r="N19584" s="56"/>
    </row>
    <row r="19585" spans="1:14" x14ac:dyDescent="0.3">
      <c r="A19585" s="42"/>
      <c r="C19585" s="52"/>
      <c r="D19585"/>
      <c r="E19585"/>
      <c r="F19585"/>
      <c r="N19585" s="56"/>
    </row>
    <row r="19586" spans="1:14" x14ac:dyDescent="0.3">
      <c r="A19586" s="42"/>
      <c r="C19586" s="52"/>
      <c r="D19586"/>
      <c r="E19586"/>
      <c r="F19586"/>
      <c r="N19586" s="56"/>
    </row>
    <row r="19587" spans="1:14" x14ac:dyDescent="0.3">
      <c r="A19587" s="42"/>
      <c r="C19587" s="52"/>
      <c r="D19587"/>
      <c r="E19587"/>
      <c r="F19587"/>
      <c r="N19587" s="56"/>
    </row>
    <row r="19588" spans="1:14" x14ac:dyDescent="0.3">
      <c r="A19588" s="42"/>
      <c r="C19588" s="52"/>
      <c r="D19588"/>
      <c r="E19588"/>
      <c r="F19588"/>
      <c r="N19588" s="56"/>
    </row>
    <row r="19589" spans="1:14" x14ac:dyDescent="0.3">
      <c r="A19589" s="42"/>
      <c r="C19589" s="52"/>
      <c r="D19589"/>
      <c r="E19589"/>
      <c r="F19589"/>
      <c r="N19589" s="56"/>
    </row>
    <row r="19590" spans="1:14" x14ac:dyDescent="0.3">
      <c r="A19590" s="42"/>
      <c r="C19590" s="52"/>
      <c r="D19590"/>
      <c r="E19590"/>
      <c r="F19590"/>
      <c r="N19590" s="56"/>
    </row>
    <row r="19591" spans="1:14" x14ac:dyDescent="0.3">
      <c r="A19591" s="42"/>
      <c r="C19591" s="52"/>
      <c r="D19591"/>
      <c r="E19591"/>
      <c r="F19591"/>
      <c r="N19591" s="56"/>
    </row>
    <row r="19592" spans="1:14" x14ac:dyDescent="0.3">
      <c r="A19592" s="42"/>
      <c r="C19592" s="52"/>
      <c r="D19592"/>
      <c r="E19592"/>
      <c r="F19592"/>
      <c r="N19592" s="56"/>
    </row>
    <row r="19593" spans="1:14" x14ac:dyDescent="0.3">
      <c r="A19593" s="42"/>
      <c r="C19593" s="52"/>
      <c r="D19593"/>
      <c r="E19593"/>
      <c r="F19593"/>
      <c r="N19593" s="56"/>
    </row>
    <row r="19594" spans="1:14" x14ac:dyDescent="0.3">
      <c r="A19594" s="42"/>
      <c r="C19594" s="52"/>
      <c r="D19594"/>
      <c r="E19594"/>
      <c r="F19594"/>
      <c r="N19594" s="56"/>
    </row>
    <row r="19595" spans="1:14" x14ac:dyDescent="0.3">
      <c r="A19595" s="42"/>
      <c r="C19595" s="52"/>
      <c r="D19595"/>
      <c r="E19595"/>
      <c r="F19595"/>
      <c r="N19595" s="56"/>
    </row>
    <row r="19596" spans="1:14" x14ac:dyDescent="0.3">
      <c r="A19596" s="42"/>
      <c r="C19596" s="52"/>
      <c r="D19596"/>
      <c r="E19596"/>
      <c r="F19596"/>
      <c r="N19596" s="56"/>
    </row>
    <row r="19597" spans="1:14" x14ac:dyDescent="0.3">
      <c r="A19597" s="42"/>
      <c r="C19597" s="52"/>
      <c r="D19597"/>
      <c r="E19597"/>
      <c r="F19597"/>
      <c r="N19597" s="56"/>
    </row>
    <row r="19598" spans="1:14" x14ac:dyDescent="0.3">
      <c r="A19598" s="42"/>
      <c r="C19598" s="52"/>
      <c r="D19598"/>
      <c r="E19598"/>
      <c r="F19598"/>
      <c r="N19598" s="56"/>
    </row>
    <row r="19599" spans="1:14" x14ac:dyDescent="0.3">
      <c r="A19599" s="42"/>
      <c r="C19599" s="52"/>
      <c r="D19599"/>
      <c r="E19599"/>
      <c r="F19599"/>
      <c r="N19599" s="56"/>
    </row>
    <row r="19600" spans="1:14" x14ac:dyDescent="0.3">
      <c r="A19600" s="42"/>
      <c r="C19600" s="52"/>
      <c r="D19600"/>
      <c r="E19600"/>
      <c r="F19600"/>
      <c r="N19600" s="56"/>
    </row>
    <row r="19601" spans="1:14" x14ac:dyDescent="0.3">
      <c r="A19601" s="42"/>
      <c r="C19601" s="52"/>
      <c r="D19601"/>
      <c r="E19601"/>
      <c r="F19601"/>
      <c r="N19601" s="56"/>
    </row>
    <row r="19602" spans="1:14" x14ac:dyDescent="0.3">
      <c r="A19602" s="42"/>
      <c r="C19602" s="52"/>
      <c r="D19602"/>
      <c r="E19602"/>
      <c r="F19602"/>
      <c r="N19602" s="56"/>
    </row>
    <row r="19603" spans="1:14" x14ac:dyDescent="0.3">
      <c r="A19603" s="42"/>
      <c r="C19603" s="52"/>
      <c r="D19603"/>
      <c r="E19603"/>
      <c r="F19603"/>
      <c r="N19603" s="56"/>
    </row>
    <row r="19604" spans="1:14" x14ac:dyDescent="0.3">
      <c r="A19604" s="42"/>
      <c r="C19604" s="52"/>
      <c r="D19604"/>
      <c r="E19604"/>
      <c r="F19604"/>
      <c r="N19604" s="56"/>
    </row>
    <row r="19605" spans="1:14" x14ac:dyDescent="0.3">
      <c r="A19605" s="42"/>
      <c r="C19605" s="52"/>
      <c r="D19605"/>
      <c r="E19605"/>
      <c r="F19605"/>
      <c r="N19605" s="56"/>
    </row>
    <row r="19606" spans="1:14" x14ac:dyDescent="0.3">
      <c r="A19606" s="42"/>
      <c r="C19606" s="52"/>
      <c r="D19606"/>
      <c r="E19606"/>
      <c r="F19606"/>
      <c r="N19606" s="56"/>
    </row>
    <row r="19607" spans="1:14" x14ac:dyDescent="0.3">
      <c r="A19607" s="42"/>
      <c r="C19607" s="52"/>
      <c r="D19607"/>
      <c r="E19607"/>
      <c r="F19607"/>
      <c r="N19607" s="56"/>
    </row>
    <row r="19608" spans="1:14" x14ac:dyDescent="0.3">
      <c r="A19608" s="42"/>
      <c r="C19608" s="52"/>
      <c r="D19608"/>
      <c r="E19608"/>
      <c r="F19608"/>
      <c r="N19608" s="56"/>
    </row>
    <row r="19609" spans="1:14" x14ac:dyDescent="0.3">
      <c r="A19609" s="42"/>
      <c r="C19609" s="52"/>
      <c r="D19609"/>
      <c r="E19609"/>
      <c r="F19609"/>
      <c r="N19609" s="56"/>
    </row>
    <row r="19610" spans="1:14" x14ac:dyDescent="0.3">
      <c r="A19610" s="42"/>
      <c r="C19610" s="52"/>
      <c r="D19610"/>
      <c r="E19610"/>
      <c r="F19610"/>
      <c r="N19610" s="56"/>
    </row>
    <row r="19611" spans="1:14" x14ac:dyDescent="0.3">
      <c r="A19611" s="42"/>
      <c r="C19611" s="52"/>
      <c r="D19611"/>
      <c r="E19611"/>
      <c r="F19611"/>
      <c r="N19611" s="56"/>
    </row>
    <row r="19612" spans="1:14" x14ac:dyDescent="0.3">
      <c r="A19612" s="42"/>
      <c r="C19612" s="52"/>
      <c r="D19612"/>
      <c r="E19612"/>
      <c r="F19612"/>
      <c r="N19612" s="56"/>
    </row>
    <row r="19613" spans="1:14" x14ac:dyDescent="0.3">
      <c r="A19613" s="42"/>
      <c r="C19613" s="52"/>
      <c r="D19613"/>
      <c r="E19613"/>
      <c r="F19613"/>
      <c r="N19613" s="56"/>
    </row>
    <row r="19614" spans="1:14" x14ac:dyDescent="0.3">
      <c r="A19614" s="42"/>
      <c r="C19614" s="52"/>
      <c r="D19614"/>
      <c r="E19614"/>
      <c r="F19614"/>
      <c r="N19614" s="56"/>
    </row>
    <row r="19615" spans="1:14" x14ac:dyDescent="0.3">
      <c r="A19615" s="42"/>
      <c r="C19615" s="52"/>
      <c r="D19615"/>
      <c r="E19615"/>
      <c r="F19615"/>
      <c r="N19615" s="56"/>
    </row>
    <row r="19616" spans="1:14" x14ac:dyDescent="0.3">
      <c r="A19616" s="42"/>
      <c r="C19616" s="52"/>
      <c r="D19616"/>
      <c r="E19616"/>
      <c r="F19616"/>
      <c r="N19616" s="56"/>
    </row>
    <row r="19617" spans="1:14" x14ac:dyDescent="0.3">
      <c r="A19617" s="42"/>
      <c r="C19617" s="52"/>
      <c r="D19617"/>
      <c r="E19617"/>
      <c r="F19617"/>
      <c r="N19617" s="56"/>
    </row>
    <row r="19618" spans="1:14" x14ac:dyDescent="0.3">
      <c r="A19618" s="42"/>
      <c r="C19618" s="52"/>
      <c r="D19618"/>
      <c r="E19618"/>
      <c r="F19618"/>
      <c r="N19618" s="56"/>
    </row>
    <row r="19619" spans="1:14" x14ac:dyDescent="0.3">
      <c r="A19619" s="42"/>
      <c r="C19619" s="52"/>
      <c r="D19619"/>
      <c r="E19619"/>
      <c r="F19619"/>
      <c r="N19619" s="56"/>
    </row>
    <row r="19620" spans="1:14" x14ac:dyDescent="0.3">
      <c r="A19620" s="42"/>
      <c r="C19620" s="52"/>
      <c r="D19620"/>
      <c r="E19620"/>
      <c r="F19620"/>
      <c r="N19620" s="56"/>
    </row>
    <row r="19621" spans="1:14" x14ac:dyDescent="0.3">
      <c r="A19621" s="42"/>
      <c r="C19621" s="52"/>
      <c r="D19621"/>
      <c r="E19621"/>
      <c r="F19621"/>
      <c r="N19621" s="56"/>
    </row>
    <row r="19622" spans="1:14" x14ac:dyDescent="0.3">
      <c r="A19622" s="42"/>
      <c r="C19622" s="52"/>
      <c r="D19622"/>
      <c r="E19622"/>
      <c r="F19622"/>
      <c r="N19622" s="56"/>
    </row>
    <row r="19623" spans="1:14" x14ac:dyDescent="0.3">
      <c r="A19623" s="42"/>
      <c r="C19623" s="52"/>
      <c r="D19623"/>
      <c r="E19623"/>
      <c r="F19623"/>
      <c r="N19623" s="56"/>
    </row>
    <row r="19624" spans="1:14" x14ac:dyDescent="0.3">
      <c r="A19624" s="42"/>
      <c r="C19624" s="52"/>
      <c r="D19624"/>
      <c r="E19624"/>
      <c r="F19624"/>
      <c r="N19624" s="56"/>
    </row>
    <row r="19625" spans="1:14" x14ac:dyDescent="0.3">
      <c r="A19625" s="42"/>
      <c r="C19625" s="52"/>
      <c r="D19625"/>
      <c r="E19625"/>
      <c r="F19625"/>
      <c r="N19625" s="56"/>
    </row>
    <row r="19626" spans="1:14" x14ac:dyDescent="0.3">
      <c r="A19626" s="42"/>
      <c r="C19626" s="52"/>
      <c r="D19626"/>
      <c r="E19626"/>
      <c r="F19626"/>
      <c r="N19626" s="56"/>
    </row>
    <row r="19627" spans="1:14" x14ac:dyDescent="0.3">
      <c r="A19627" s="42"/>
      <c r="C19627" s="52"/>
      <c r="D19627"/>
      <c r="E19627"/>
      <c r="F19627"/>
      <c r="N19627" s="56"/>
    </row>
    <row r="19628" spans="1:14" x14ac:dyDescent="0.3">
      <c r="A19628" s="42"/>
      <c r="C19628" s="52"/>
      <c r="D19628"/>
      <c r="E19628"/>
      <c r="F19628"/>
      <c r="N19628" s="56"/>
    </row>
    <row r="19629" spans="1:14" x14ac:dyDescent="0.3">
      <c r="A19629" s="42"/>
      <c r="C19629" s="52"/>
      <c r="D19629"/>
      <c r="E19629"/>
      <c r="F19629"/>
      <c r="N19629" s="56"/>
    </row>
    <row r="19630" spans="1:14" x14ac:dyDescent="0.3">
      <c r="A19630" s="42"/>
      <c r="C19630" s="52"/>
      <c r="D19630"/>
      <c r="E19630"/>
      <c r="F19630"/>
      <c r="N19630" s="56"/>
    </row>
    <row r="19631" spans="1:14" x14ac:dyDescent="0.3">
      <c r="A19631" s="42"/>
      <c r="C19631" s="52"/>
      <c r="D19631"/>
      <c r="E19631"/>
      <c r="F19631"/>
      <c r="N19631" s="56"/>
    </row>
    <row r="19632" spans="1:14" x14ac:dyDescent="0.3">
      <c r="A19632" s="42"/>
      <c r="C19632" s="52"/>
      <c r="D19632"/>
      <c r="E19632"/>
      <c r="F19632"/>
      <c r="N19632" s="56"/>
    </row>
    <row r="19633" spans="1:14" x14ac:dyDescent="0.3">
      <c r="A19633" s="42"/>
      <c r="C19633" s="52"/>
      <c r="D19633"/>
      <c r="E19633"/>
      <c r="F19633"/>
      <c r="N19633" s="56"/>
    </row>
    <row r="19634" spans="1:14" x14ac:dyDescent="0.3">
      <c r="A19634" s="42"/>
      <c r="C19634" s="52"/>
      <c r="D19634"/>
      <c r="E19634"/>
      <c r="F19634"/>
      <c r="N19634" s="56"/>
    </row>
    <row r="19635" spans="1:14" x14ac:dyDescent="0.3">
      <c r="A19635" s="42"/>
      <c r="C19635" s="52"/>
      <c r="D19635"/>
      <c r="E19635"/>
      <c r="F19635"/>
      <c r="N19635" s="56"/>
    </row>
    <row r="19636" spans="1:14" x14ac:dyDescent="0.3">
      <c r="A19636" s="42"/>
      <c r="C19636" s="52"/>
      <c r="D19636"/>
      <c r="E19636"/>
      <c r="F19636"/>
      <c r="N19636" s="56"/>
    </row>
    <row r="19637" spans="1:14" x14ac:dyDescent="0.3">
      <c r="A19637" s="42"/>
      <c r="C19637" s="52"/>
      <c r="D19637"/>
      <c r="E19637"/>
      <c r="F19637"/>
      <c r="N19637" s="56"/>
    </row>
    <row r="19638" spans="1:14" x14ac:dyDescent="0.3">
      <c r="A19638" s="42"/>
      <c r="C19638" s="52"/>
      <c r="D19638"/>
      <c r="E19638"/>
      <c r="F19638"/>
      <c r="N19638" s="56"/>
    </row>
    <row r="19639" spans="1:14" x14ac:dyDescent="0.3">
      <c r="A19639" s="42"/>
      <c r="C19639" s="52"/>
      <c r="D19639"/>
      <c r="E19639"/>
      <c r="F19639"/>
      <c r="N19639" s="56"/>
    </row>
    <row r="19640" spans="1:14" x14ac:dyDescent="0.3">
      <c r="A19640" s="42"/>
      <c r="C19640" s="52"/>
      <c r="D19640"/>
      <c r="E19640"/>
      <c r="F19640"/>
      <c r="N19640" s="56"/>
    </row>
    <row r="19641" spans="1:14" x14ac:dyDescent="0.3">
      <c r="A19641" s="42"/>
      <c r="C19641" s="52"/>
      <c r="D19641"/>
      <c r="E19641"/>
      <c r="F19641"/>
      <c r="N19641" s="56"/>
    </row>
    <row r="19642" spans="1:14" x14ac:dyDescent="0.3">
      <c r="A19642" s="42"/>
      <c r="C19642" s="52"/>
      <c r="D19642"/>
      <c r="E19642"/>
      <c r="F19642"/>
      <c r="N19642" s="56"/>
    </row>
    <row r="19643" spans="1:14" x14ac:dyDescent="0.3">
      <c r="A19643" s="42"/>
      <c r="C19643" s="52"/>
      <c r="D19643"/>
      <c r="E19643"/>
      <c r="F19643"/>
      <c r="N19643" s="56"/>
    </row>
    <row r="19644" spans="1:14" x14ac:dyDescent="0.3">
      <c r="A19644" s="42"/>
      <c r="C19644" s="52"/>
      <c r="D19644"/>
      <c r="E19644"/>
      <c r="F19644"/>
      <c r="N19644" s="56"/>
    </row>
    <row r="19645" spans="1:14" x14ac:dyDescent="0.3">
      <c r="A19645" s="42"/>
      <c r="C19645" s="52"/>
      <c r="D19645"/>
      <c r="E19645"/>
      <c r="F19645"/>
      <c r="N19645" s="56"/>
    </row>
    <row r="19646" spans="1:14" x14ac:dyDescent="0.3">
      <c r="A19646" s="42"/>
      <c r="C19646" s="52"/>
      <c r="D19646"/>
      <c r="E19646"/>
      <c r="F19646"/>
      <c r="N19646" s="56"/>
    </row>
    <row r="19647" spans="1:14" x14ac:dyDescent="0.3">
      <c r="A19647" s="42"/>
      <c r="C19647" s="52"/>
      <c r="D19647"/>
      <c r="E19647"/>
      <c r="F19647"/>
      <c r="N19647" s="56"/>
    </row>
    <row r="19648" spans="1:14" x14ac:dyDescent="0.3">
      <c r="A19648" s="42"/>
      <c r="C19648" s="52"/>
      <c r="D19648"/>
      <c r="E19648"/>
      <c r="F19648"/>
      <c r="N19648" s="56"/>
    </row>
    <row r="19649" spans="1:14" x14ac:dyDescent="0.3">
      <c r="A19649" s="42"/>
      <c r="C19649" s="52"/>
      <c r="D19649"/>
      <c r="E19649"/>
      <c r="F19649"/>
      <c r="N19649" s="56"/>
    </row>
    <row r="19650" spans="1:14" x14ac:dyDescent="0.3">
      <c r="A19650" s="42"/>
      <c r="C19650" s="52"/>
      <c r="D19650"/>
      <c r="E19650"/>
      <c r="F19650"/>
      <c r="N19650" s="56"/>
    </row>
    <row r="19651" spans="1:14" x14ac:dyDescent="0.3">
      <c r="A19651" s="42"/>
      <c r="C19651" s="52"/>
      <c r="D19651"/>
      <c r="E19651"/>
      <c r="F19651"/>
      <c r="N19651" s="56"/>
    </row>
    <row r="19652" spans="1:14" x14ac:dyDescent="0.3">
      <c r="A19652" s="42"/>
      <c r="C19652" s="52"/>
      <c r="D19652"/>
      <c r="E19652"/>
      <c r="F19652"/>
      <c r="N19652" s="56"/>
    </row>
    <row r="19653" spans="1:14" x14ac:dyDescent="0.3">
      <c r="A19653" s="42"/>
      <c r="C19653" s="52"/>
      <c r="D19653"/>
      <c r="E19653"/>
      <c r="F19653"/>
      <c r="M19653" s="45"/>
      <c r="N19653" s="56"/>
    </row>
    <row r="19654" spans="1:14" x14ac:dyDescent="0.3">
      <c r="A19654" s="42"/>
      <c r="C19654" s="52"/>
      <c r="D19654"/>
      <c r="E19654"/>
      <c r="F19654"/>
      <c r="N19654" s="56"/>
    </row>
    <row r="19655" spans="1:14" x14ac:dyDescent="0.3">
      <c r="A19655" s="42"/>
      <c r="C19655" s="52"/>
      <c r="D19655"/>
      <c r="E19655"/>
      <c r="F19655"/>
      <c r="M19655" s="45"/>
      <c r="N19655" s="56"/>
    </row>
    <row r="19656" spans="1:14" x14ac:dyDescent="0.3">
      <c r="A19656" s="42"/>
      <c r="C19656" s="52"/>
      <c r="D19656"/>
      <c r="E19656"/>
      <c r="F19656"/>
      <c r="N19656" s="56"/>
    </row>
    <row r="19657" spans="1:14" x14ac:dyDescent="0.3">
      <c r="A19657" s="42"/>
      <c r="C19657" s="52"/>
      <c r="D19657"/>
      <c r="E19657"/>
      <c r="F19657"/>
      <c r="N19657" s="56"/>
    </row>
    <row r="19658" spans="1:14" x14ac:dyDescent="0.3">
      <c r="A19658" s="42"/>
      <c r="C19658" s="52"/>
      <c r="D19658"/>
      <c r="E19658"/>
      <c r="F19658"/>
      <c r="N19658" s="56"/>
    </row>
    <row r="19659" spans="1:14" x14ac:dyDescent="0.3">
      <c r="A19659" s="42"/>
      <c r="C19659" s="52"/>
      <c r="D19659"/>
      <c r="E19659"/>
      <c r="F19659"/>
      <c r="N19659" s="56"/>
    </row>
    <row r="19660" spans="1:14" x14ac:dyDescent="0.3">
      <c r="A19660" s="42"/>
      <c r="C19660" s="52"/>
      <c r="D19660"/>
      <c r="E19660"/>
      <c r="F19660"/>
      <c r="N19660" s="56"/>
    </row>
    <row r="19661" spans="1:14" x14ac:dyDescent="0.3">
      <c r="A19661" s="42"/>
      <c r="C19661" s="52"/>
      <c r="D19661"/>
      <c r="E19661"/>
      <c r="F19661"/>
      <c r="N19661" s="56"/>
    </row>
    <row r="19662" spans="1:14" x14ac:dyDescent="0.3">
      <c r="A19662" s="42"/>
      <c r="C19662" s="52"/>
      <c r="D19662"/>
      <c r="E19662"/>
      <c r="F19662"/>
      <c r="N19662" s="56"/>
    </row>
    <row r="19663" spans="1:14" x14ac:dyDescent="0.3">
      <c r="A19663" s="42"/>
      <c r="C19663" s="52"/>
      <c r="D19663"/>
      <c r="E19663"/>
      <c r="F19663"/>
      <c r="N19663" s="56"/>
    </row>
    <row r="19664" spans="1:14" x14ac:dyDescent="0.3">
      <c r="A19664" s="42"/>
      <c r="C19664" s="52"/>
      <c r="D19664"/>
      <c r="E19664"/>
      <c r="F19664"/>
      <c r="N19664" s="56"/>
    </row>
    <row r="19665" spans="1:14" x14ac:dyDescent="0.3">
      <c r="A19665" s="42"/>
      <c r="C19665" s="52"/>
      <c r="D19665"/>
      <c r="E19665"/>
      <c r="F19665"/>
      <c r="N19665" s="56"/>
    </row>
    <row r="19666" spans="1:14" x14ac:dyDescent="0.3">
      <c r="A19666" s="42"/>
      <c r="C19666" s="52"/>
      <c r="D19666"/>
      <c r="E19666"/>
      <c r="F19666"/>
      <c r="N19666" s="56"/>
    </row>
    <row r="19667" spans="1:14" x14ac:dyDescent="0.3">
      <c r="A19667" s="42"/>
      <c r="C19667" s="52"/>
      <c r="D19667"/>
      <c r="E19667"/>
      <c r="F19667"/>
      <c r="N19667" s="56"/>
    </row>
    <row r="19668" spans="1:14" x14ac:dyDescent="0.3">
      <c r="A19668" s="42"/>
      <c r="C19668" s="52"/>
      <c r="D19668"/>
      <c r="E19668"/>
      <c r="F19668"/>
      <c r="N19668" s="56"/>
    </row>
    <row r="19669" spans="1:14" x14ac:dyDescent="0.3">
      <c r="A19669" s="42"/>
      <c r="C19669" s="52"/>
      <c r="D19669"/>
      <c r="E19669"/>
      <c r="F19669"/>
      <c r="N19669" s="56"/>
    </row>
    <row r="19670" spans="1:14" x14ac:dyDescent="0.3">
      <c r="A19670" s="42"/>
      <c r="C19670" s="52"/>
      <c r="D19670"/>
      <c r="E19670"/>
      <c r="F19670"/>
      <c r="N19670" s="56"/>
    </row>
    <row r="19671" spans="1:14" x14ac:dyDescent="0.3">
      <c r="A19671" s="42"/>
      <c r="C19671" s="52"/>
      <c r="D19671"/>
      <c r="E19671"/>
      <c r="F19671"/>
      <c r="N19671" s="56"/>
    </row>
    <row r="19672" spans="1:14" x14ac:dyDescent="0.3">
      <c r="A19672" s="42"/>
      <c r="C19672" s="52"/>
      <c r="D19672"/>
      <c r="E19672"/>
      <c r="F19672"/>
      <c r="N19672" s="56"/>
    </row>
    <row r="19673" spans="1:14" x14ac:dyDescent="0.3">
      <c r="A19673" s="42"/>
      <c r="C19673" s="52"/>
      <c r="D19673"/>
      <c r="E19673"/>
      <c r="F19673"/>
      <c r="N19673" s="56"/>
    </row>
    <row r="19674" spans="1:14" x14ac:dyDescent="0.3">
      <c r="A19674" s="42"/>
      <c r="C19674" s="52"/>
      <c r="D19674"/>
      <c r="E19674"/>
      <c r="F19674"/>
      <c r="N19674" s="56"/>
    </row>
    <row r="19675" spans="1:14" x14ac:dyDescent="0.3">
      <c r="A19675" s="42"/>
      <c r="C19675" s="52"/>
      <c r="D19675"/>
      <c r="E19675"/>
      <c r="F19675"/>
      <c r="N19675" s="56"/>
    </row>
    <row r="19676" spans="1:14" x14ac:dyDescent="0.3">
      <c r="A19676" s="42"/>
      <c r="C19676" s="52"/>
      <c r="D19676"/>
      <c r="E19676"/>
      <c r="F19676"/>
      <c r="N19676" s="56"/>
    </row>
    <row r="19677" spans="1:14" x14ac:dyDescent="0.3">
      <c r="A19677" s="42"/>
      <c r="C19677" s="52"/>
      <c r="D19677"/>
      <c r="E19677"/>
      <c r="F19677"/>
      <c r="N19677" s="56"/>
    </row>
    <row r="19678" spans="1:14" x14ac:dyDescent="0.3">
      <c r="A19678" s="42"/>
      <c r="C19678" s="52"/>
      <c r="D19678"/>
      <c r="E19678"/>
      <c r="F19678"/>
      <c r="N19678" s="56"/>
    </row>
    <row r="19679" spans="1:14" x14ac:dyDescent="0.3">
      <c r="A19679" s="42"/>
      <c r="C19679" s="52"/>
      <c r="D19679"/>
      <c r="E19679"/>
      <c r="F19679"/>
      <c r="N19679" s="56"/>
    </row>
    <row r="19680" spans="1:14" x14ac:dyDescent="0.3">
      <c r="A19680" s="42"/>
      <c r="C19680" s="52"/>
      <c r="D19680"/>
      <c r="E19680"/>
      <c r="F19680"/>
      <c r="N19680" s="56"/>
    </row>
    <row r="19681" spans="1:14" x14ac:dyDescent="0.3">
      <c r="A19681" s="42"/>
      <c r="C19681" s="52"/>
      <c r="D19681"/>
      <c r="E19681"/>
      <c r="F19681"/>
      <c r="N19681" s="56"/>
    </row>
    <row r="19682" spans="1:14" x14ac:dyDescent="0.3">
      <c r="A19682" s="42"/>
      <c r="C19682" s="52"/>
      <c r="D19682"/>
      <c r="E19682"/>
      <c r="F19682"/>
      <c r="N19682" s="56"/>
    </row>
    <row r="19683" spans="1:14" x14ac:dyDescent="0.3">
      <c r="A19683" s="42"/>
      <c r="C19683" s="52"/>
      <c r="D19683"/>
      <c r="E19683"/>
      <c r="F19683"/>
      <c r="N19683" s="56"/>
    </row>
    <row r="19684" spans="1:14" x14ac:dyDescent="0.3">
      <c r="A19684" s="42"/>
      <c r="C19684" s="52"/>
      <c r="D19684"/>
      <c r="E19684"/>
      <c r="F19684"/>
      <c r="N19684" s="56"/>
    </row>
    <row r="19685" spans="1:14" x14ac:dyDescent="0.3">
      <c r="A19685" s="42"/>
      <c r="C19685" s="52"/>
      <c r="D19685"/>
      <c r="E19685"/>
      <c r="F19685"/>
      <c r="N19685" s="56"/>
    </row>
    <row r="19686" spans="1:14" x14ac:dyDescent="0.3">
      <c r="A19686" s="42"/>
      <c r="C19686" s="52"/>
      <c r="D19686"/>
      <c r="E19686"/>
      <c r="F19686"/>
      <c r="N19686" s="56"/>
    </row>
    <row r="19687" spans="1:14" x14ac:dyDescent="0.3">
      <c r="A19687" s="42"/>
      <c r="C19687" s="52"/>
      <c r="D19687"/>
      <c r="E19687"/>
      <c r="F19687"/>
      <c r="N19687" s="56"/>
    </row>
    <row r="19688" spans="1:14" x14ac:dyDescent="0.3">
      <c r="A19688" s="42"/>
      <c r="C19688" s="52"/>
      <c r="D19688"/>
      <c r="E19688"/>
      <c r="F19688"/>
      <c r="N19688" s="56"/>
    </row>
    <row r="19689" spans="1:14" x14ac:dyDescent="0.3">
      <c r="A19689" s="42"/>
      <c r="C19689" s="52"/>
      <c r="D19689"/>
      <c r="E19689"/>
      <c r="F19689"/>
      <c r="N19689" s="56"/>
    </row>
    <row r="19690" spans="1:14" x14ac:dyDescent="0.3">
      <c r="A19690" s="42"/>
      <c r="C19690" s="52"/>
      <c r="D19690"/>
      <c r="E19690"/>
      <c r="F19690"/>
      <c r="N19690" s="56"/>
    </row>
    <row r="19691" spans="1:14" x14ac:dyDescent="0.3">
      <c r="A19691" s="42"/>
      <c r="C19691" s="52"/>
      <c r="D19691"/>
      <c r="E19691"/>
      <c r="F19691"/>
      <c r="N19691" s="56"/>
    </row>
    <row r="19692" spans="1:14" x14ac:dyDescent="0.3">
      <c r="A19692" s="42"/>
      <c r="C19692" s="52"/>
      <c r="D19692"/>
      <c r="E19692"/>
      <c r="F19692"/>
      <c r="N19692" s="56"/>
    </row>
    <row r="19693" spans="1:14" x14ac:dyDescent="0.3">
      <c r="A19693" s="42"/>
      <c r="C19693" s="52"/>
      <c r="D19693"/>
      <c r="E19693"/>
      <c r="F19693"/>
      <c r="N19693" s="56"/>
    </row>
    <row r="19694" spans="1:14" x14ac:dyDescent="0.3">
      <c r="A19694" s="42"/>
      <c r="C19694" s="52"/>
      <c r="D19694"/>
      <c r="E19694"/>
      <c r="F19694"/>
      <c r="N19694" s="56"/>
    </row>
    <row r="19695" spans="1:14" x14ac:dyDescent="0.3">
      <c r="A19695" s="42"/>
      <c r="C19695" s="52"/>
      <c r="D19695"/>
      <c r="E19695"/>
      <c r="F19695"/>
      <c r="N19695" s="56"/>
    </row>
    <row r="19696" spans="1:14" x14ac:dyDescent="0.3">
      <c r="A19696" s="42"/>
      <c r="C19696" s="52"/>
      <c r="D19696"/>
      <c r="E19696"/>
      <c r="F19696"/>
      <c r="N19696" s="56"/>
    </row>
    <row r="19697" spans="1:14" x14ac:dyDescent="0.3">
      <c r="A19697" s="42"/>
      <c r="C19697" s="52"/>
      <c r="D19697"/>
      <c r="E19697"/>
      <c r="F19697"/>
      <c r="N19697" s="56"/>
    </row>
    <row r="19698" spans="1:14" x14ac:dyDescent="0.3">
      <c r="A19698" s="42"/>
      <c r="C19698" s="52"/>
      <c r="D19698"/>
      <c r="E19698"/>
      <c r="F19698"/>
      <c r="N19698" s="56"/>
    </row>
    <row r="19699" spans="1:14" x14ac:dyDescent="0.3">
      <c r="A19699" s="42"/>
      <c r="C19699" s="52"/>
      <c r="D19699"/>
      <c r="E19699"/>
      <c r="F19699"/>
      <c r="N19699" s="56"/>
    </row>
    <row r="19700" spans="1:14" x14ac:dyDescent="0.3">
      <c r="A19700" s="42"/>
      <c r="C19700" s="52"/>
      <c r="D19700"/>
      <c r="E19700"/>
      <c r="F19700"/>
      <c r="N19700" s="56"/>
    </row>
    <row r="19701" spans="1:14" x14ac:dyDescent="0.3">
      <c r="A19701" s="42"/>
      <c r="C19701" s="52"/>
      <c r="D19701"/>
      <c r="E19701"/>
      <c r="F19701"/>
      <c r="M19701" s="45"/>
      <c r="N19701" s="56"/>
    </row>
    <row r="19702" spans="1:14" x14ac:dyDescent="0.3">
      <c r="A19702" s="42"/>
      <c r="C19702" s="52"/>
      <c r="D19702"/>
      <c r="E19702"/>
      <c r="F19702"/>
      <c r="N19702" s="56"/>
    </row>
    <row r="19703" spans="1:14" x14ac:dyDescent="0.3">
      <c r="A19703" s="42"/>
      <c r="C19703" s="52"/>
      <c r="D19703"/>
      <c r="E19703"/>
      <c r="F19703"/>
      <c r="N19703" s="56"/>
    </row>
    <row r="19704" spans="1:14" x14ac:dyDescent="0.3">
      <c r="A19704" s="42"/>
      <c r="C19704" s="52"/>
      <c r="D19704"/>
      <c r="E19704"/>
      <c r="F19704"/>
      <c r="N19704" s="56"/>
    </row>
    <row r="19705" spans="1:14" x14ac:dyDescent="0.3">
      <c r="A19705" s="42"/>
      <c r="C19705" s="52"/>
      <c r="D19705"/>
      <c r="E19705"/>
      <c r="F19705"/>
      <c r="N19705" s="56"/>
    </row>
    <row r="19706" spans="1:14" x14ac:dyDescent="0.3">
      <c r="A19706" s="42"/>
      <c r="C19706" s="52"/>
      <c r="D19706"/>
      <c r="E19706"/>
      <c r="F19706"/>
      <c r="N19706" s="56"/>
    </row>
    <row r="19707" spans="1:14" x14ac:dyDescent="0.3">
      <c r="A19707" s="42"/>
      <c r="C19707" s="52"/>
      <c r="D19707"/>
      <c r="E19707"/>
      <c r="F19707"/>
      <c r="N19707" s="56"/>
    </row>
    <row r="19708" spans="1:14" x14ac:dyDescent="0.3">
      <c r="A19708" s="42"/>
      <c r="C19708" s="52"/>
      <c r="D19708"/>
      <c r="E19708"/>
      <c r="F19708"/>
      <c r="N19708" s="56"/>
    </row>
    <row r="19709" spans="1:14" x14ac:dyDescent="0.3">
      <c r="A19709" s="42"/>
      <c r="C19709" s="52"/>
      <c r="D19709"/>
      <c r="E19709"/>
      <c r="F19709"/>
      <c r="N19709" s="56"/>
    </row>
    <row r="19710" spans="1:14" x14ac:dyDescent="0.3">
      <c r="A19710" s="42"/>
      <c r="C19710" s="52"/>
      <c r="D19710"/>
      <c r="E19710"/>
      <c r="F19710"/>
      <c r="N19710" s="56"/>
    </row>
    <row r="19711" spans="1:14" x14ac:dyDescent="0.3">
      <c r="A19711" s="42"/>
      <c r="C19711" s="52"/>
      <c r="D19711"/>
      <c r="E19711"/>
      <c r="F19711"/>
      <c r="N19711" s="56"/>
    </row>
    <row r="19712" spans="1:14" x14ac:dyDescent="0.3">
      <c r="A19712" s="42"/>
      <c r="C19712" s="52"/>
      <c r="D19712"/>
      <c r="E19712"/>
      <c r="F19712"/>
      <c r="N19712" s="56"/>
    </row>
    <row r="19713" spans="1:14" x14ac:dyDescent="0.3">
      <c r="A19713" s="42"/>
      <c r="C19713" s="52"/>
      <c r="D19713"/>
      <c r="E19713"/>
      <c r="F19713"/>
      <c r="N19713" s="56"/>
    </row>
    <row r="19714" spans="1:14" x14ac:dyDescent="0.3">
      <c r="A19714" s="42"/>
      <c r="C19714" s="52"/>
      <c r="D19714"/>
      <c r="E19714"/>
      <c r="F19714"/>
      <c r="N19714" s="56"/>
    </row>
    <row r="19715" spans="1:14" x14ac:dyDescent="0.3">
      <c r="A19715" s="42"/>
      <c r="C19715" s="52"/>
      <c r="D19715"/>
      <c r="E19715"/>
      <c r="F19715"/>
      <c r="N19715" s="56"/>
    </row>
    <row r="19716" spans="1:14" x14ac:dyDescent="0.3">
      <c r="A19716" s="42"/>
      <c r="C19716" s="52"/>
      <c r="D19716"/>
      <c r="E19716"/>
      <c r="F19716"/>
      <c r="N19716" s="56"/>
    </row>
    <row r="19717" spans="1:14" x14ac:dyDescent="0.3">
      <c r="A19717" s="42"/>
      <c r="C19717" s="52"/>
      <c r="D19717"/>
      <c r="E19717"/>
      <c r="F19717"/>
      <c r="N19717" s="56"/>
    </row>
    <row r="19718" spans="1:14" x14ac:dyDescent="0.3">
      <c r="A19718" s="42"/>
      <c r="C19718" s="52"/>
      <c r="D19718"/>
      <c r="E19718"/>
      <c r="F19718"/>
      <c r="N19718" s="56"/>
    </row>
    <row r="19719" spans="1:14" x14ac:dyDescent="0.3">
      <c r="A19719" s="42"/>
      <c r="C19719" s="52"/>
      <c r="D19719"/>
      <c r="E19719"/>
      <c r="F19719"/>
      <c r="N19719" s="56"/>
    </row>
    <row r="19720" spans="1:14" x14ac:dyDescent="0.3">
      <c r="A19720" s="42"/>
      <c r="C19720" s="52"/>
      <c r="D19720"/>
      <c r="E19720"/>
      <c r="F19720"/>
      <c r="N19720" s="56"/>
    </row>
    <row r="19721" spans="1:14" x14ac:dyDescent="0.3">
      <c r="A19721" s="42"/>
      <c r="C19721" s="52"/>
      <c r="D19721"/>
      <c r="E19721"/>
      <c r="F19721"/>
      <c r="N19721" s="56"/>
    </row>
    <row r="19722" spans="1:14" x14ac:dyDescent="0.3">
      <c r="A19722" s="42"/>
      <c r="C19722" s="52"/>
      <c r="D19722"/>
      <c r="E19722"/>
      <c r="F19722"/>
      <c r="N19722" s="56"/>
    </row>
    <row r="19723" spans="1:14" x14ac:dyDescent="0.3">
      <c r="A19723" s="42"/>
      <c r="C19723" s="52"/>
      <c r="D19723"/>
      <c r="E19723"/>
      <c r="F19723"/>
      <c r="N19723" s="56"/>
    </row>
    <row r="19724" spans="1:14" x14ac:dyDescent="0.3">
      <c r="A19724" s="42"/>
      <c r="C19724" s="52"/>
      <c r="D19724"/>
      <c r="E19724"/>
      <c r="F19724"/>
      <c r="N19724" s="56"/>
    </row>
    <row r="19725" spans="1:14" x14ac:dyDescent="0.3">
      <c r="A19725" s="42"/>
      <c r="C19725" s="52"/>
      <c r="D19725"/>
      <c r="E19725"/>
      <c r="F19725"/>
      <c r="N19725" s="56"/>
    </row>
    <row r="19726" spans="1:14" x14ac:dyDescent="0.3">
      <c r="A19726" s="42"/>
      <c r="C19726" s="52"/>
      <c r="D19726"/>
      <c r="E19726"/>
      <c r="F19726"/>
      <c r="N19726" s="56"/>
    </row>
    <row r="19727" spans="1:14" x14ac:dyDescent="0.3">
      <c r="A19727" s="42"/>
      <c r="C19727" s="52"/>
      <c r="D19727"/>
      <c r="E19727"/>
      <c r="F19727"/>
      <c r="N19727" s="56"/>
    </row>
    <row r="19728" spans="1:14" x14ac:dyDescent="0.3">
      <c r="A19728" s="42"/>
      <c r="C19728" s="52"/>
      <c r="D19728"/>
      <c r="E19728"/>
      <c r="F19728"/>
      <c r="N19728" s="56"/>
    </row>
    <row r="19729" spans="1:14" x14ac:dyDescent="0.3">
      <c r="A19729" s="42"/>
      <c r="C19729" s="52"/>
      <c r="D19729"/>
      <c r="E19729"/>
      <c r="F19729"/>
      <c r="N19729" s="56"/>
    </row>
    <row r="19730" spans="1:14" x14ac:dyDescent="0.3">
      <c r="A19730" s="42"/>
      <c r="C19730" s="52"/>
      <c r="D19730"/>
      <c r="E19730"/>
      <c r="F19730"/>
      <c r="N19730" s="56"/>
    </row>
    <row r="19731" spans="1:14" x14ac:dyDescent="0.3">
      <c r="A19731" s="42"/>
      <c r="C19731" s="52"/>
      <c r="D19731"/>
      <c r="E19731"/>
      <c r="F19731"/>
      <c r="N19731" s="56"/>
    </row>
    <row r="19732" spans="1:14" x14ac:dyDescent="0.3">
      <c r="A19732" s="42"/>
      <c r="C19732" s="52"/>
      <c r="D19732"/>
      <c r="E19732"/>
      <c r="F19732"/>
      <c r="N19732" s="56"/>
    </row>
    <row r="19733" spans="1:14" x14ac:dyDescent="0.3">
      <c r="A19733" s="42"/>
      <c r="C19733" s="52"/>
      <c r="D19733"/>
      <c r="E19733"/>
      <c r="F19733"/>
      <c r="N19733" s="56"/>
    </row>
    <row r="19734" spans="1:14" x14ac:dyDescent="0.3">
      <c r="A19734" s="42"/>
      <c r="C19734" s="52"/>
      <c r="D19734"/>
      <c r="E19734"/>
      <c r="F19734"/>
      <c r="N19734" s="56"/>
    </row>
    <row r="19735" spans="1:14" x14ac:dyDescent="0.3">
      <c r="A19735" s="42"/>
      <c r="C19735" s="52"/>
      <c r="D19735"/>
      <c r="E19735"/>
      <c r="F19735"/>
      <c r="N19735" s="56"/>
    </row>
    <row r="19736" spans="1:14" x14ac:dyDescent="0.3">
      <c r="A19736" s="42"/>
      <c r="C19736" s="52"/>
      <c r="D19736"/>
      <c r="E19736"/>
      <c r="F19736"/>
      <c r="N19736" s="56"/>
    </row>
    <row r="19737" spans="1:14" x14ac:dyDescent="0.3">
      <c r="A19737" s="42"/>
      <c r="C19737" s="52"/>
      <c r="D19737"/>
      <c r="E19737"/>
      <c r="F19737"/>
      <c r="N19737" s="56"/>
    </row>
    <row r="19738" spans="1:14" x14ac:dyDescent="0.3">
      <c r="A19738" s="42"/>
      <c r="C19738" s="52"/>
      <c r="D19738"/>
      <c r="E19738"/>
      <c r="F19738"/>
      <c r="N19738" s="56"/>
    </row>
    <row r="19739" spans="1:14" x14ac:dyDescent="0.3">
      <c r="A19739" s="42"/>
      <c r="C19739" s="52"/>
      <c r="D19739"/>
      <c r="E19739"/>
      <c r="F19739"/>
      <c r="N19739" s="56"/>
    </row>
    <row r="19740" spans="1:14" x14ac:dyDescent="0.3">
      <c r="A19740" s="42"/>
      <c r="C19740" s="52"/>
      <c r="D19740"/>
      <c r="E19740"/>
      <c r="F19740"/>
      <c r="N19740" s="56"/>
    </row>
    <row r="19741" spans="1:14" x14ac:dyDescent="0.3">
      <c r="A19741" s="42"/>
      <c r="C19741" s="52"/>
      <c r="D19741"/>
      <c r="E19741"/>
      <c r="F19741"/>
      <c r="N19741" s="56"/>
    </row>
    <row r="19742" spans="1:14" x14ac:dyDescent="0.3">
      <c r="A19742" s="42"/>
      <c r="C19742" s="52"/>
      <c r="D19742"/>
      <c r="E19742"/>
      <c r="F19742"/>
      <c r="N19742" s="56"/>
    </row>
    <row r="19743" spans="1:14" x14ac:dyDescent="0.3">
      <c r="A19743" s="42"/>
      <c r="C19743" s="52"/>
      <c r="D19743"/>
      <c r="E19743"/>
      <c r="F19743"/>
      <c r="N19743" s="56"/>
    </row>
    <row r="19744" spans="1:14" x14ac:dyDescent="0.3">
      <c r="A19744" s="42"/>
      <c r="C19744" s="52"/>
      <c r="D19744"/>
      <c r="E19744"/>
      <c r="F19744"/>
      <c r="N19744" s="56"/>
    </row>
    <row r="19745" spans="1:14" x14ac:dyDescent="0.3">
      <c r="A19745" s="42"/>
      <c r="C19745" s="52"/>
      <c r="D19745"/>
      <c r="E19745"/>
      <c r="F19745"/>
      <c r="N19745" s="56"/>
    </row>
    <row r="19746" spans="1:14" x14ac:dyDescent="0.3">
      <c r="A19746" s="42"/>
      <c r="C19746" s="52"/>
      <c r="D19746"/>
      <c r="E19746"/>
      <c r="F19746"/>
      <c r="N19746" s="56"/>
    </row>
    <row r="19747" spans="1:14" x14ac:dyDescent="0.3">
      <c r="A19747" s="42"/>
      <c r="C19747" s="52"/>
      <c r="D19747"/>
      <c r="E19747"/>
      <c r="F19747"/>
      <c r="N19747" s="56"/>
    </row>
    <row r="19748" spans="1:14" x14ac:dyDescent="0.3">
      <c r="A19748" s="42"/>
      <c r="C19748" s="52"/>
      <c r="D19748"/>
      <c r="E19748"/>
      <c r="F19748"/>
      <c r="N19748" s="56"/>
    </row>
    <row r="19749" spans="1:14" x14ac:dyDescent="0.3">
      <c r="A19749" s="42"/>
      <c r="C19749" s="52"/>
      <c r="D19749"/>
      <c r="E19749"/>
      <c r="F19749"/>
      <c r="N19749" s="56"/>
    </row>
    <row r="19750" spans="1:14" x14ac:dyDescent="0.3">
      <c r="A19750" s="42"/>
      <c r="C19750" s="52"/>
      <c r="D19750"/>
      <c r="E19750"/>
      <c r="F19750"/>
      <c r="N19750" s="56"/>
    </row>
    <row r="19751" spans="1:14" x14ac:dyDescent="0.3">
      <c r="A19751" s="42"/>
      <c r="C19751" s="52"/>
      <c r="D19751"/>
      <c r="E19751"/>
      <c r="F19751"/>
      <c r="N19751" s="56"/>
    </row>
    <row r="19752" spans="1:14" x14ac:dyDescent="0.3">
      <c r="A19752" s="42"/>
      <c r="C19752" s="52"/>
      <c r="D19752"/>
      <c r="E19752"/>
      <c r="F19752"/>
      <c r="N19752" s="56"/>
    </row>
    <row r="19753" spans="1:14" x14ac:dyDescent="0.3">
      <c r="A19753" s="42"/>
      <c r="C19753" s="52"/>
      <c r="D19753"/>
      <c r="E19753"/>
      <c r="F19753"/>
      <c r="N19753" s="56"/>
    </row>
    <row r="19754" spans="1:14" x14ac:dyDescent="0.3">
      <c r="A19754" s="42"/>
      <c r="C19754" s="52"/>
      <c r="D19754"/>
      <c r="E19754"/>
      <c r="F19754"/>
      <c r="N19754" s="56"/>
    </row>
    <row r="19755" spans="1:14" x14ac:dyDescent="0.3">
      <c r="A19755" s="42"/>
      <c r="C19755" s="52"/>
      <c r="D19755"/>
      <c r="E19755"/>
      <c r="F19755"/>
      <c r="N19755" s="56"/>
    </row>
    <row r="19756" spans="1:14" x14ac:dyDescent="0.3">
      <c r="A19756" s="42"/>
      <c r="C19756" s="52"/>
      <c r="D19756"/>
      <c r="E19756"/>
      <c r="F19756"/>
      <c r="N19756" s="56"/>
    </row>
    <row r="19757" spans="1:14" x14ac:dyDescent="0.3">
      <c r="A19757" s="42"/>
      <c r="C19757" s="52"/>
      <c r="D19757"/>
      <c r="E19757"/>
      <c r="F19757"/>
      <c r="N19757" s="56"/>
    </row>
    <row r="19758" spans="1:14" x14ac:dyDescent="0.3">
      <c r="A19758" s="42"/>
      <c r="C19758" s="52"/>
      <c r="D19758"/>
      <c r="E19758"/>
      <c r="F19758"/>
      <c r="N19758" s="56"/>
    </row>
    <row r="19759" spans="1:14" x14ac:dyDescent="0.3">
      <c r="A19759" s="42"/>
      <c r="C19759" s="52"/>
      <c r="D19759"/>
      <c r="E19759"/>
      <c r="F19759"/>
      <c r="N19759" s="56"/>
    </row>
    <row r="19760" spans="1:14" x14ac:dyDescent="0.3">
      <c r="A19760" s="42"/>
      <c r="C19760" s="52"/>
      <c r="D19760"/>
      <c r="E19760"/>
      <c r="F19760"/>
      <c r="N19760" s="56"/>
    </row>
    <row r="19761" spans="1:14" x14ac:dyDescent="0.3">
      <c r="A19761" s="42"/>
      <c r="C19761" s="52"/>
      <c r="D19761"/>
      <c r="E19761"/>
      <c r="F19761"/>
      <c r="N19761" s="56"/>
    </row>
    <row r="19762" spans="1:14" x14ac:dyDescent="0.3">
      <c r="A19762" s="42"/>
      <c r="C19762" s="52"/>
      <c r="D19762"/>
      <c r="E19762"/>
      <c r="F19762"/>
      <c r="N19762" s="56"/>
    </row>
    <row r="19763" spans="1:14" x14ac:dyDescent="0.3">
      <c r="A19763" s="42"/>
      <c r="C19763" s="52"/>
      <c r="D19763"/>
      <c r="E19763"/>
      <c r="F19763"/>
      <c r="N19763" s="56"/>
    </row>
    <row r="19764" spans="1:14" x14ac:dyDescent="0.3">
      <c r="A19764" s="42"/>
      <c r="C19764" s="52"/>
      <c r="D19764"/>
      <c r="E19764"/>
      <c r="F19764"/>
      <c r="N19764" s="56"/>
    </row>
    <row r="19765" spans="1:14" x14ac:dyDescent="0.3">
      <c r="A19765" s="42"/>
      <c r="C19765" s="52"/>
      <c r="D19765"/>
      <c r="E19765"/>
      <c r="F19765"/>
      <c r="N19765" s="56"/>
    </row>
    <row r="19766" spans="1:14" x14ac:dyDescent="0.3">
      <c r="A19766" s="42"/>
      <c r="C19766" s="52"/>
      <c r="D19766"/>
      <c r="E19766"/>
      <c r="F19766"/>
      <c r="N19766" s="56"/>
    </row>
    <row r="19767" spans="1:14" x14ac:dyDescent="0.3">
      <c r="A19767" s="42"/>
      <c r="C19767" s="52"/>
      <c r="D19767"/>
      <c r="E19767"/>
      <c r="F19767"/>
      <c r="N19767" s="56"/>
    </row>
    <row r="19768" spans="1:14" x14ac:dyDescent="0.3">
      <c r="A19768" s="42"/>
      <c r="C19768" s="52"/>
      <c r="D19768"/>
      <c r="E19768"/>
      <c r="F19768"/>
      <c r="N19768" s="56"/>
    </row>
    <row r="19769" spans="1:14" x14ac:dyDescent="0.3">
      <c r="A19769" s="42"/>
      <c r="C19769" s="52"/>
      <c r="D19769"/>
      <c r="E19769"/>
      <c r="F19769"/>
      <c r="N19769" s="56"/>
    </row>
    <row r="19770" spans="1:14" x14ac:dyDescent="0.3">
      <c r="A19770" s="42"/>
      <c r="C19770" s="52"/>
      <c r="D19770"/>
      <c r="E19770"/>
      <c r="F19770"/>
      <c r="N19770" s="56"/>
    </row>
    <row r="19771" spans="1:14" x14ac:dyDescent="0.3">
      <c r="A19771" s="42"/>
      <c r="C19771" s="52"/>
      <c r="D19771"/>
      <c r="E19771"/>
      <c r="F19771"/>
      <c r="N19771" s="56"/>
    </row>
    <row r="19772" spans="1:14" x14ac:dyDescent="0.3">
      <c r="A19772" s="42"/>
      <c r="C19772" s="52"/>
      <c r="D19772"/>
      <c r="E19772"/>
      <c r="F19772"/>
      <c r="N19772" s="56"/>
    </row>
    <row r="19773" spans="1:14" x14ac:dyDescent="0.3">
      <c r="A19773" s="42"/>
      <c r="C19773" s="52"/>
      <c r="D19773"/>
      <c r="E19773"/>
      <c r="F19773"/>
      <c r="N19773" s="56"/>
    </row>
    <row r="19774" spans="1:14" x14ac:dyDescent="0.3">
      <c r="A19774" s="42"/>
      <c r="C19774" s="52"/>
      <c r="D19774"/>
      <c r="E19774"/>
      <c r="F19774"/>
      <c r="N19774" s="56"/>
    </row>
    <row r="19775" spans="1:14" x14ac:dyDescent="0.3">
      <c r="A19775" s="42"/>
      <c r="C19775" s="52"/>
      <c r="D19775"/>
      <c r="E19775"/>
      <c r="F19775"/>
      <c r="N19775" s="56"/>
    </row>
    <row r="19776" spans="1:14" x14ac:dyDescent="0.3">
      <c r="A19776" s="42"/>
      <c r="C19776" s="52"/>
      <c r="D19776"/>
      <c r="E19776"/>
      <c r="F19776"/>
      <c r="N19776" s="56"/>
    </row>
    <row r="19777" spans="1:14" x14ac:dyDescent="0.3">
      <c r="A19777" s="42"/>
      <c r="C19777" s="52"/>
      <c r="D19777"/>
      <c r="E19777"/>
      <c r="F19777"/>
      <c r="N19777" s="56"/>
    </row>
    <row r="19778" spans="1:14" x14ac:dyDescent="0.3">
      <c r="A19778" s="42"/>
      <c r="C19778" s="52"/>
      <c r="D19778"/>
      <c r="E19778"/>
      <c r="F19778"/>
      <c r="N19778" s="56"/>
    </row>
    <row r="19779" spans="1:14" x14ac:dyDescent="0.3">
      <c r="A19779" s="42"/>
      <c r="C19779" s="52"/>
      <c r="D19779"/>
      <c r="E19779"/>
      <c r="F19779"/>
      <c r="N19779" s="56"/>
    </row>
    <row r="19780" spans="1:14" x14ac:dyDescent="0.3">
      <c r="A19780" s="42"/>
      <c r="C19780" s="52"/>
      <c r="D19780"/>
      <c r="E19780"/>
      <c r="F19780"/>
      <c r="N19780" s="56"/>
    </row>
    <row r="19781" spans="1:14" x14ac:dyDescent="0.3">
      <c r="A19781" s="42"/>
      <c r="C19781" s="52"/>
      <c r="D19781"/>
      <c r="E19781"/>
      <c r="F19781"/>
      <c r="N19781" s="56"/>
    </row>
    <row r="19782" spans="1:14" x14ac:dyDescent="0.3">
      <c r="A19782" s="42"/>
      <c r="C19782" s="52"/>
      <c r="D19782"/>
      <c r="E19782"/>
      <c r="F19782"/>
      <c r="N19782" s="56"/>
    </row>
    <row r="19783" spans="1:14" x14ac:dyDescent="0.3">
      <c r="A19783" s="42"/>
      <c r="C19783" s="52"/>
      <c r="D19783"/>
      <c r="E19783"/>
      <c r="F19783"/>
      <c r="N19783" s="56"/>
    </row>
    <row r="19784" spans="1:14" x14ac:dyDescent="0.3">
      <c r="A19784" s="42"/>
      <c r="C19784" s="52"/>
      <c r="D19784"/>
      <c r="E19784"/>
      <c r="F19784"/>
      <c r="N19784" s="56"/>
    </row>
    <row r="19785" spans="1:14" x14ac:dyDescent="0.3">
      <c r="A19785" s="42"/>
      <c r="C19785" s="52"/>
      <c r="D19785"/>
      <c r="E19785"/>
      <c r="F19785"/>
      <c r="N19785" s="56"/>
    </row>
    <row r="19786" spans="1:14" x14ac:dyDescent="0.3">
      <c r="A19786" s="42"/>
      <c r="C19786" s="52"/>
      <c r="D19786"/>
      <c r="E19786"/>
      <c r="F19786"/>
      <c r="N19786" s="56"/>
    </row>
    <row r="19787" spans="1:14" x14ac:dyDescent="0.3">
      <c r="A19787" s="42"/>
      <c r="C19787" s="52"/>
      <c r="D19787"/>
      <c r="E19787"/>
      <c r="F19787"/>
      <c r="N19787" s="56"/>
    </row>
    <row r="19788" spans="1:14" x14ac:dyDescent="0.3">
      <c r="A19788" s="42"/>
      <c r="C19788" s="52"/>
      <c r="D19788"/>
      <c r="E19788"/>
      <c r="F19788"/>
      <c r="N19788" s="56"/>
    </row>
    <row r="19789" spans="1:14" x14ac:dyDescent="0.3">
      <c r="A19789" s="42"/>
      <c r="C19789" s="52"/>
      <c r="D19789"/>
      <c r="E19789"/>
      <c r="F19789"/>
      <c r="N19789" s="56"/>
    </row>
    <row r="19790" spans="1:14" x14ac:dyDescent="0.3">
      <c r="A19790" s="42"/>
      <c r="C19790" s="52"/>
      <c r="D19790"/>
      <c r="E19790"/>
      <c r="F19790"/>
      <c r="N19790" s="56"/>
    </row>
    <row r="19791" spans="1:14" x14ac:dyDescent="0.3">
      <c r="A19791" s="42"/>
      <c r="C19791" s="52"/>
      <c r="D19791"/>
      <c r="E19791"/>
      <c r="F19791"/>
      <c r="N19791" s="56"/>
    </row>
    <row r="19792" spans="1:14" x14ac:dyDescent="0.3">
      <c r="A19792" s="42"/>
      <c r="C19792" s="52"/>
      <c r="D19792"/>
      <c r="E19792"/>
      <c r="F19792"/>
      <c r="N19792" s="56"/>
    </row>
    <row r="19793" spans="1:14" x14ac:dyDescent="0.3">
      <c r="A19793" s="42"/>
      <c r="C19793" s="52"/>
      <c r="D19793"/>
      <c r="E19793"/>
      <c r="F19793"/>
      <c r="N19793" s="56"/>
    </row>
    <row r="19794" spans="1:14" x14ac:dyDescent="0.3">
      <c r="A19794" s="42"/>
      <c r="C19794" s="52"/>
      <c r="D19794"/>
      <c r="E19794"/>
      <c r="F19794"/>
      <c r="N19794" s="56"/>
    </row>
    <row r="19795" spans="1:14" x14ac:dyDescent="0.3">
      <c r="A19795" s="42"/>
      <c r="C19795" s="52"/>
      <c r="D19795"/>
      <c r="E19795"/>
      <c r="F19795"/>
      <c r="N19795" s="56"/>
    </row>
    <row r="19796" spans="1:14" x14ac:dyDescent="0.3">
      <c r="A19796" s="42"/>
      <c r="C19796" s="52"/>
      <c r="D19796"/>
      <c r="E19796"/>
      <c r="F19796"/>
      <c r="M19796" s="45"/>
      <c r="N19796" s="56"/>
    </row>
    <row r="19797" spans="1:14" x14ac:dyDescent="0.3">
      <c r="A19797" s="42"/>
      <c r="C19797" s="52"/>
      <c r="D19797"/>
      <c r="E19797"/>
      <c r="F19797"/>
      <c r="N19797" s="56"/>
    </row>
    <row r="19798" spans="1:14" x14ac:dyDescent="0.3">
      <c r="A19798" s="42"/>
      <c r="C19798" s="52"/>
      <c r="D19798"/>
      <c r="E19798"/>
      <c r="F19798"/>
      <c r="N19798" s="56"/>
    </row>
    <row r="19799" spans="1:14" x14ac:dyDescent="0.3">
      <c r="A19799" s="42"/>
      <c r="C19799" s="52"/>
      <c r="D19799"/>
      <c r="E19799"/>
      <c r="F19799"/>
      <c r="N19799" s="56"/>
    </row>
    <row r="19800" spans="1:14" x14ac:dyDescent="0.3">
      <c r="A19800" s="42"/>
      <c r="C19800" s="52"/>
      <c r="D19800"/>
      <c r="E19800"/>
      <c r="F19800"/>
      <c r="N19800" s="56"/>
    </row>
    <row r="19801" spans="1:14" x14ac:dyDescent="0.3">
      <c r="A19801" s="42"/>
      <c r="C19801" s="52"/>
      <c r="D19801"/>
      <c r="E19801"/>
      <c r="F19801"/>
      <c r="N19801" s="56"/>
    </row>
    <row r="19802" spans="1:14" x14ac:dyDescent="0.3">
      <c r="A19802" s="42"/>
      <c r="C19802" s="52"/>
      <c r="D19802"/>
      <c r="E19802"/>
      <c r="F19802"/>
      <c r="N19802" s="56"/>
    </row>
    <row r="19803" spans="1:14" x14ac:dyDescent="0.3">
      <c r="A19803" s="42"/>
      <c r="C19803" s="52"/>
      <c r="D19803"/>
      <c r="E19803"/>
      <c r="F19803"/>
      <c r="N19803" s="56"/>
    </row>
    <row r="19804" spans="1:14" x14ac:dyDescent="0.3">
      <c r="A19804" s="42"/>
      <c r="C19804" s="52"/>
      <c r="D19804"/>
      <c r="E19804"/>
      <c r="F19804"/>
      <c r="N19804" s="56"/>
    </row>
    <row r="19805" spans="1:14" x14ac:dyDescent="0.3">
      <c r="A19805" s="42"/>
      <c r="C19805" s="52"/>
      <c r="D19805"/>
      <c r="E19805"/>
      <c r="F19805"/>
      <c r="N19805" s="56"/>
    </row>
    <row r="19806" spans="1:14" x14ac:dyDescent="0.3">
      <c r="A19806" s="42"/>
      <c r="C19806" s="52"/>
      <c r="D19806"/>
      <c r="E19806"/>
      <c r="F19806"/>
      <c r="N19806" s="56"/>
    </row>
    <row r="19807" spans="1:14" x14ac:dyDescent="0.3">
      <c r="A19807" s="42"/>
      <c r="C19807" s="52"/>
      <c r="D19807"/>
      <c r="E19807"/>
      <c r="F19807"/>
      <c r="N19807" s="56"/>
    </row>
    <row r="19808" spans="1:14" x14ac:dyDescent="0.3">
      <c r="A19808" s="42"/>
      <c r="C19808" s="52"/>
      <c r="D19808"/>
      <c r="E19808"/>
      <c r="F19808"/>
      <c r="M19808" s="45"/>
      <c r="N19808" s="56"/>
    </row>
    <row r="19809" spans="1:14" x14ac:dyDescent="0.3">
      <c r="A19809" s="42"/>
      <c r="C19809" s="52"/>
      <c r="D19809"/>
      <c r="E19809"/>
      <c r="F19809"/>
      <c r="N19809" s="56"/>
    </row>
    <row r="19810" spans="1:14" x14ac:dyDescent="0.3">
      <c r="A19810" s="42"/>
      <c r="C19810" s="52"/>
      <c r="D19810"/>
      <c r="E19810"/>
      <c r="F19810"/>
      <c r="N19810" s="56"/>
    </row>
    <row r="19811" spans="1:14" x14ac:dyDescent="0.3">
      <c r="A19811" s="42"/>
      <c r="C19811" s="52"/>
      <c r="D19811"/>
      <c r="E19811"/>
      <c r="F19811"/>
      <c r="N19811" s="56"/>
    </row>
    <row r="19812" spans="1:14" x14ac:dyDescent="0.3">
      <c r="A19812" s="42"/>
      <c r="C19812" s="52"/>
      <c r="D19812"/>
      <c r="E19812"/>
      <c r="F19812"/>
      <c r="N19812" s="56"/>
    </row>
    <row r="19813" spans="1:14" x14ac:dyDescent="0.3">
      <c r="A19813" s="42"/>
      <c r="C19813" s="52"/>
      <c r="D19813"/>
      <c r="E19813"/>
      <c r="F19813"/>
      <c r="M19813" s="45"/>
      <c r="N19813" s="56"/>
    </row>
    <row r="19814" spans="1:14" x14ac:dyDescent="0.3">
      <c r="A19814" s="42"/>
      <c r="C19814" s="52"/>
      <c r="D19814"/>
      <c r="E19814"/>
      <c r="F19814"/>
      <c r="N19814" s="56"/>
    </row>
    <row r="19815" spans="1:14" x14ac:dyDescent="0.3">
      <c r="A19815" s="42"/>
      <c r="C19815" s="52"/>
      <c r="D19815"/>
      <c r="E19815"/>
      <c r="F19815"/>
      <c r="N19815" s="56"/>
    </row>
    <row r="19816" spans="1:14" x14ac:dyDescent="0.3">
      <c r="A19816" s="42"/>
      <c r="C19816" s="52"/>
      <c r="D19816"/>
      <c r="E19816"/>
      <c r="F19816"/>
      <c r="N19816" s="56"/>
    </row>
    <row r="19817" spans="1:14" x14ac:dyDescent="0.3">
      <c r="A19817" s="42"/>
      <c r="C19817" s="52"/>
      <c r="D19817"/>
      <c r="E19817"/>
      <c r="F19817"/>
      <c r="N19817" s="56"/>
    </row>
    <row r="19818" spans="1:14" x14ac:dyDescent="0.3">
      <c r="A19818" s="42"/>
      <c r="C19818" s="52"/>
      <c r="D19818"/>
      <c r="E19818"/>
      <c r="F19818"/>
      <c r="N19818" s="56"/>
    </row>
    <row r="19819" spans="1:14" x14ac:dyDescent="0.3">
      <c r="A19819" s="42"/>
      <c r="C19819" s="52"/>
      <c r="D19819"/>
      <c r="E19819"/>
      <c r="F19819"/>
      <c r="N19819" s="56"/>
    </row>
    <row r="19820" spans="1:14" x14ac:dyDescent="0.3">
      <c r="A19820" s="42"/>
      <c r="C19820" s="52"/>
      <c r="D19820"/>
      <c r="E19820"/>
      <c r="F19820"/>
      <c r="N19820" s="56"/>
    </row>
    <row r="19821" spans="1:14" x14ac:dyDescent="0.3">
      <c r="A19821" s="42"/>
      <c r="C19821" s="52"/>
      <c r="D19821"/>
      <c r="E19821"/>
      <c r="F19821"/>
      <c r="N19821" s="56"/>
    </row>
    <row r="19822" spans="1:14" x14ac:dyDescent="0.3">
      <c r="A19822" s="42"/>
      <c r="C19822" s="52"/>
      <c r="D19822"/>
      <c r="E19822"/>
      <c r="F19822"/>
      <c r="N19822" s="56"/>
    </row>
    <row r="19823" spans="1:14" x14ac:dyDescent="0.3">
      <c r="A19823" s="42"/>
      <c r="C19823" s="52"/>
      <c r="D19823"/>
      <c r="E19823"/>
      <c r="F19823"/>
      <c r="N19823" s="56"/>
    </row>
    <row r="19824" spans="1:14" x14ac:dyDescent="0.3">
      <c r="A19824" s="42"/>
      <c r="C19824" s="52"/>
      <c r="D19824"/>
      <c r="E19824"/>
      <c r="F19824"/>
      <c r="N19824" s="56"/>
    </row>
    <row r="19825" spans="1:14" x14ac:dyDescent="0.3">
      <c r="A19825" s="42"/>
      <c r="C19825" s="52"/>
      <c r="D19825"/>
      <c r="E19825"/>
      <c r="F19825"/>
      <c r="N19825" s="56"/>
    </row>
    <row r="19826" spans="1:14" x14ac:dyDescent="0.3">
      <c r="A19826" s="42"/>
      <c r="C19826" s="52"/>
      <c r="D19826"/>
      <c r="E19826"/>
      <c r="F19826"/>
      <c r="N19826" s="56"/>
    </row>
    <row r="19827" spans="1:14" x14ac:dyDescent="0.3">
      <c r="A19827" s="42"/>
      <c r="C19827" s="52"/>
      <c r="D19827"/>
      <c r="E19827"/>
      <c r="F19827"/>
      <c r="N19827" s="56"/>
    </row>
    <row r="19828" spans="1:14" x14ac:dyDescent="0.3">
      <c r="A19828" s="42"/>
      <c r="C19828" s="52"/>
      <c r="D19828"/>
      <c r="E19828"/>
      <c r="F19828"/>
      <c r="N19828" s="56"/>
    </row>
    <row r="19829" spans="1:14" x14ac:dyDescent="0.3">
      <c r="A19829" s="42"/>
      <c r="C19829" s="52"/>
      <c r="D19829"/>
      <c r="E19829"/>
      <c r="F19829"/>
      <c r="N19829" s="56"/>
    </row>
    <row r="19830" spans="1:14" x14ac:dyDescent="0.3">
      <c r="A19830" s="42"/>
      <c r="C19830" s="52"/>
      <c r="D19830"/>
      <c r="E19830"/>
      <c r="F19830"/>
      <c r="N19830" s="56"/>
    </row>
    <row r="19831" spans="1:14" x14ac:dyDescent="0.3">
      <c r="A19831" s="42"/>
      <c r="C19831" s="52"/>
      <c r="D19831"/>
      <c r="E19831"/>
      <c r="F19831"/>
      <c r="N19831" s="56"/>
    </row>
    <row r="19832" spans="1:14" x14ac:dyDescent="0.3">
      <c r="A19832" s="42"/>
      <c r="C19832" s="52"/>
      <c r="D19832"/>
      <c r="E19832"/>
      <c r="F19832"/>
      <c r="N19832" s="56"/>
    </row>
    <row r="19833" spans="1:14" x14ac:dyDescent="0.3">
      <c r="A19833" s="42"/>
      <c r="C19833" s="52"/>
      <c r="D19833"/>
      <c r="E19833"/>
      <c r="F19833"/>
      <c r="N19833" s="56"/>
    </row>
    <row r="19834" spans="1:14" x14ac:dyDescent="0.3">
      <c r="A19834" s="42"/>
      <c r="C19834" s="52"/>
      <c r="D19834"/>
      <c r="E19834"/>
      <c r="F19834"/>
      <c r="N19834" s="56"/>
    </row>
    <row r="19835" spans="1:14" x14ac:dyDescent="0.3">
      <c r="A19835" s="42"/>
      <c r="C19835" s="52"/>
      <c r="D19835"/>
      <c r="E19835"/>
      <c r="F19835"/>
      <c r="N19835" s="56"/>
    </row>
    <row r="19836" spans="1:14" x14ac:dyDescent="0.3">
      <c r="A19836" s="42"/>
      <c r="C19836" s="52"/>
      <c r="D19836"/>
      <c r="E19836"/>
      <c r="F19836"/>
      <c r="N19836" s="56"/>
    </row>
    <row r="19837" spans="1:14" x14ac:dyDescent="0.3">
      <c r="A19837" s="42"/>
      <c r="C19837" s="52"/>
      <c r="D19837"/>
      <c r="E19837"/>
      <c r="F19837"/>
      <c r="N19837" s="56"/>
    </row>
    <row r="19838" spans="1:14" x14ac:dyDescent="0.3">
      <c r="A19838" s="42"/>
      <c r="C19838" s="52"/>
      <c r="D19838"/>
      <c r="E19838"/>
      <c r="F19838"/>
      <c r="N19838" s="56"/>
    </row>
    <row r="19839" spans="1:14" x14ac:dyDescent="0.3">
      <c r="A19839" s="42"/>
      <c r="C19839" s="52"/>
      <c r="D19839"/>
      <c r="E19839"/>
      <c r="F19839"/>
      <c r="N19839" s="56"/>
    </row>
    <row r="19840" spans="1:14" x14ac:dyDescent="0.3">
      <c r="A19840" s="42"/>
      <c r="C19840" s="52"/>
      <c r="D19840"/>
      <c r="E19840"/>
      <c r="F19840"/>
      <c r="N19840" s="56"/>
    </row>
    <row r="19841" spans="1:14" x14ac:dyDescent="0.3">
      <c r="A19841" s="42"/>
      <c r="C19841" s="52"/>
      <c r="D19841"/>
      <c r="E19841"/>
      <c r="F19841"/>
      <c r="N19841" s="56"/>
    </row>
    <row r="19842" spans="1:14" x14ac:dyDescent="0.3">
      <c r="A19842" s="42"/>
      <c r="C19842" s="52"/>
      <c r="D19842"/>
      <c r="E19842"/>
      <c r="F19842"/>
      <c r="N19842" s="56"/>
    </row>
    <row r="19843" spans="1:14" x14ac:dyDescent="0.3">
      <c r="A19843" s="42"/>
      <c r="C19843" s="52"/>
      <c r="D19843"/>
      <c r="E19843"/>
      <c r="F19843"/>
      <c r="N19843" s="56"/>
    </row>
    <row r="19844" spans="1:14" x14ac:dyDescent="0.3">
      <c r="A19844" s="42"/>
      <c r="C19844" s="52"/>
      <c r="D19844"/>
      <c r="E19844"/>
      <c r="F19844"/>
      <c r="N19844" s="56"/>
    </row>
    <row r="19845" spans="1:14" x14ac:dyDescent="0.3">
      <c r="A19845" s="42"/>
      <c r="C19845" s="52"/>
      <c r="D19845"/>
      <c r="E19845"/>
      <c r="F19845"/>
      <c r="N19845" s="56"/>
    </row>
    <row r="19846" spans="1:14" x14ac:dyDescent="0.3">
      <c r="A19846" s="42"/>
      <c r="C19846" s="52"/>
      <c r="D19846"/>
      <c r="E19846"/>
      <c r="F19846"/>
      <c r="M19846" s="45"/>
      <c r="N19846" s="56"/>
    </row>
    <row r="19847" spans="1:14" x14ac:dyDescent="0.3">
      <c r="A19847" s="42"/>
      <c r="C19847" s="52"/>
      <c r="D19847"/>
      <c r="E19847"/>
      <c r="F19847"/>
      <c r="N19847" s="56"/>
    </row>
    <row r="19848" spans="1:14" x14ac:dyDescent="0.3">
      <c r="A19848" s="42"/>
      <c r="C19848" s="52"/>
      <c r="D19848"/>
      <c r="E19848"/>
      <c r="F19848"/>
      <c r="N19848" s="56"/>
    </row>
    <row r="19849" spans="1:14" x14ac:dyDescent="0.3">
      <c r="A19849" s="42"/>
      <c r="C19849" s="52"/>
      <c r="D19849"/>
      <c r="E19849"/>
      <c r="F19849"/>
      <c r="N19849" s="56"/>
    </row>
    <row r="19850" spans="1:14" x14ac:dyDescent="0.3">
      <c r="A19850" s="42"/>
      <c r="C19850" s="52"/>
      <c r="D19850"/>
      <c r="E19850"/>
      <c r="F19850"/>
      <c r="N19850" s="56"/>
    </row>
    <row r="19851" spans="1:14" x14ac:dyDescent="0.3">
      <c r="A19851" s="42"/>
      <c r="C19851" s="52"/>
      <c r="D19851"/>
      <c r="E19851"/>
      <c r="F19851"/>
      <c r="N19851" s="56"/>
    </row>
    <row r="19852" spans="1:14" x14ac:dyDescent="0.3">
      <c r="A19852" s="42"/>
      <c r="C19852" s="52"/>
      <c r="D19852"/>
      <c r="E19852"/>
      <c r="F19852"/>
      <c r="N19852" s="56"/>
    </row>
    <row r="19853" spans="1:14" x14ac:dyDescent="0.3">
      <c r="A19853" s="42"/>
      <c r="C19853" s="52"/>
      <c r="D19853"/>
      <c r="E19853"/>
      <c r="F19853"/>
      <c r="N19853" s="56"/>
    </row>
    <row r="19854" spans="1:14" x14ac:dyDescent="0.3">
      <c r="A19854" s="42"/>
      <c r="C19854" s="52"/>
      <c r="D19854"/>
      <c r="E19854"/>
      <c r="F19854"/>
      <c r="N19854" s="56"/>
    </row>
    <row r="19855" spans="1:14" x14ac:dyDescent="0.3">
      <c r="A19855" s="42"/>
      <c r="C19855" s="52"/>
      <c r="D19855"/>
      <c r="E19855"/>
      <c r="F19855"/>
      <c r="N19855" s="56"/>
    </row>
    <row r="19856" spans="1:14" x14ac:dyDescent="0.3">
      <c r="A19856" s="42"/>
      <c r="C19856" s="52"/>
      <c r="D19856"/>
      <c r="E19856"/>
      <c r="F19856"/>
      <c r="N19856" s="56"/>
    </row>
    <row r="19857" spans="1:14" x14ac:dyDescent="0.3">
      <c r="A19857" s="42"/>
      <c r="C19857" s="52"/>
      <c r="D19857"/>
      <c r="E19857"/>
      <c r="F19857"/>
      <c r="N19857" s="56"/>
    </row>
    <row r="19858" spans="1:14" x14ac:dyDescent="0.3">
      <c r="A19858" s="42"/>
      <c r="C19858" s="52"/>
      <c r="D19858"/>
      <c r="E19858"/>
      <c r="F19858"/>
      <c r="N19858" s="56"/>
    </row>
    <row r="19859" spans="1:14" x14ac:dyDescent="0.3">
      <c r="A19859" s="42"/>
      <c r="C19859" s="52"/>
      <c r="D19859"/>
      <c r="E19859"/>
      <c r="F19859"/>
      <c r="N19859" s="56"/>
    </row>
    <row r="19860" spans="1:14" x14ac:dyDescent="0.3">
      <c r="A19860" s="42"/>
      <c r="C19860" s="52"/>
      <c r="D19860"/>
      <c r="E19860"/>
      <c r="F19860"/>
      <c r="N19860" s="56"/>
    </row>
    <row r="19861" spans="1:14" x14ac:dyDescent="0.3">
      <c r="A19861" s="42"/>
      <c r="C19861" s="52"/>
      <c r="D19861"/>
      <c r="E19861"/>
      <c r="F19861"/>
      <c r="N19861" s="56"/>
    </row>
    <row r="19862" spans="1:14" x14ac:dyDescent="0.3">
      <c r="A19862" s="42"/>
      <c r="C19862" s="52"/>
      <c r="D19862"/>
      <c r="E19862"/>
      <c r="F19862"/>
      <c r="N19862" s="56"/>
    </row>
    <row r="19863" spans="1:14" x14ac:dyDescent="0.3">
      <c r="A19863" s="42"/>
      <c r="C19863" s="52"/>
      <c r="D19863"/>
      <c r="E19863"/>
      <c r="F19863"/>
      <c r="N19863" s="56"/>
    </row>
    <row r="19864" spans="1:14" x14ac:dyDescent="0.3">
      <c r="A19864" s="42"/>
      <c r="C19864" s="52"/>
      <c r="D19864"/>
      <c r="E19864"/>
      <c r="F19864"/>
      <c r="N19864" s="56"/>
    </row>
    <row r="19865" spans="1:14" x14ac:dyDescent="0.3">
      <c r="A19865" s="42"/>
      <c r="C19865" s="52"/>
      <c r="D19865"/>
      <c r="E19865"/>
      <c r="F19865"/>
      <c r="N19865" s="56"/>
    </row>
    <row r="19866" spans="1:14" x14ac:dyDescent="0.3">
      <c r="A19866" s="42"/>
      <c r="C19866" s="52"/>
      <c r="D19866"/>
      <c r="E19866"/>
      <c r="F19866"/>
      <c r="N19866" s="56"/>
    </row>
    <row r="19867" spans="1:14" x14ac:dyDescent="0.3">
      <c r="A19867" s="42"/>
      <c r="C19867" s="52"/>
      <c r="D19867"/>
      <c r="E19867"/>
      <c r="F19867"/>
      <c r="N19867" s="56"/>
    </row>
    <row r="19868" spans="1:14" x14ac:dyDescent="0.3">
      <c r="A19868" s="42"/>
      <c r="C19868" s="52"/>
      <c r="D19868"/>
      <c r="E19868"/>
      <c r="F19868"/>
      <c r="N19868" s="56"/>
    </row>
    <row r="19869" spans="1:14" x14ac:dyDescent="0.3">
      <c r="A19869" s="42"/>
      <c r="C19869" s="52"/>
      <c r="D19869"/>
      <c r="E19869"/>
      <c r="F19869"/>
      <c r="N19869" s="56"/>
    </row>
    <row r="19870" spans="1:14" x14ac:dyDescent="0.3">
      <c r="A19870" s="42"/>
      <c r="C19870" s="52"/>
      <c r="D19870"/>
      <c r="E19870"/>
      <c r="F19870"/>
      <c r="N19870" s="56"/>
    </row>
    <row r="19871" spans="1:14" x14ac:dyDescent="0.3">
      <c r="A19871" s="42"/>
      <c r="C19871" s="52"/>
      <c r="D19871"/>
      <c r="E19871"/>
      <c r="F19871"/>
      <c r="N19871" s="56"/>
    </row>
    <row r="19872" spans="1:14" x14ac:dyDescent="0.3">
      <c r="A19872" s="42"/>
      <c r="C19872" s="52"/>
      <c r="D19872"/>
      <c r="E19872"/>
      <c r="F19872"/>
      <c r="N19872" s="56"/>
    </row>
    <row r="19873" spans="1:14" x14ac:dyDescent="0.3">
      <c r="A19873" s="42"/>
      <c r="C19873" s="52"/>
      <c r="D19873"/>
      <c r="E19873"/>
      <c r="F19873"/>
      <c r="N19873" s="56"/>
    </row>
    <row r="19874" spans="1:14" x14ac:dyDescent="0.3">
      <c r="A19874" s="42"/>
      <c r="C19874" s="52"/>
      <c r="D19874"/>
      <c r="E19874"/>
      <c r="F19874"/>
      <c r="N19874" s="56"/>
    </row>
    <row r="19875" spans="1:14" x14ac:dyDescent="0.3">
      <c r="A19875" s="42"/>
      <c r="C19875" s="52"/>
      <c r="D19875"/>
      <c r="E19875"/>
      <c r="F19875"/>
      <c r="N19875" s="56"/>
    </row>
    <row r="19876" spans="1:14" x14ac:dyDescent="0.3">
      <c r="A19876" s="42"/>
      <c r="C19876" s="52"/>
      <c r="D19876"/>
      <c r="E19876"/>
      <c r="F19876"/>
      <c r="N19876" s="56"/>
    </row>
    <row r="19877" spans="1:14" x14ac:dyDescent="0.3">
      <c r="A19877" s="42"/>
      <c r="C19877" s="52"/>
      <c r="D19877"/>
      <c r="E19877"/>
      <c r="F19877"/>
      <c r="N19877" s="56"/>
    </row>
    <row r="19878" spans="1:14" x14ac:dyDescent="0.3">
      <c r="A19878" s="42"/>
      <c r="C19878" s="52"/>
      <c r="D19878"/>
      <c r="E19878"/>
      <c r="F19878"/>
      <c r="N19878" s="56"/>
    </row>
    <row r="19879" spans="1:14" x14ac:dyDescent="0.3">
      <c r="A19879" s="42"/>
      <c r="C19879" s="52"/>
      <c r="D19879"/>
      <c r="E19879"/>
      <c r="F19879"/>
      <c r="N19879" s="56"/>
    </row>
    <row r="19880" spans="1:14" x14ac:dyDescent="0.3">
      <c r="A19880" s="42"/>
      <c r="C19880" s="52"/>
      <c r="D19880"/>
      <c r="E19880"/>
      <c r="F19880"/>
      <c r="N19880" s="56"/>
    </row>
    <row r="19881" spans="1:14" x14ac:dyDescent="0.3">
      <c r="A19881" s="42"/>
      <c r="C19881" s="52"/>
      <c r="D19881"/>
      <c r="E19881"/>
      <c r="F19881"/>
      <c r="N19881" s="56"/>
    </row>
    <row r="19882" spans="1:14" x14ac:dyDescent="0.3">
      <c r="A19882" s="42"/>
      <c r="C19882" s="52"/>
      <c r="D19882"/>
      <c r="E19882"/>
      <c r="F19882"/>
      <c r="N19882" s="56"/>
    </row>
    <row r="19883" spans="1:14" x14ac:dyDescent="0.3">
      <c r="A19883" s="42"/>
      <c r="C19883" s="52"/>
      <c r="D19883"/>
      <c r="E19883"/>
      <c r="F19883"/>
      <c r="N19883" s="56"/>
    </row>
    <row r="19884" spans="1:14" x14ac:dyDescent="0.3">
      <c r="A19884" s="42"/>
      <c r="C19884" s="52"/>
      <c r="D19884"/>
      <c r="E19884"/>
      <c r="F19884"/>
      <c r="N19884" s="56"/>
    </row>
    <row r="19885" spans="1:14" x14ac:dyDescent="0.3">
      <c r="A19885" s="42"/>
      <c r="C19885" s="52"/>
      <c r="D19885"/>
      <c r="E19885"/>
      <c r="F19885"/>
      <c r="N19885" s="56"/>
    </row>
    <row r="19886" spans="1:14" x14ac:dyDescent="0.3">
      <c r="A19886" s="42"/>
      <c r="C19886" s="52"/>
      <c r="D19886"/>
      <c r="E19886"/>
      <c r="F19886"/>
      <c r="N19886" s="56"/>
    </row>
    <row r="19887" spans="1:14" x14ac:dyDescent="0.3">
      <c r="A19887" s="42"/>
      <c r="C19887" s="52"/>
      <c r="D19887"/>
      <c r="E19887"/>
      <c r="F19887"/>
      <c r="N19887" s="56"/>
    </row>
    <row r="19888" spans="1:14" x14ac:dyDescent="0.3">
      <c r="A19888" s="42"/>
      <c r="C19888" s="52"/>
      <c r="D19888"/>
      <c r="E19888"/>
      <c r="F19888"/>
      <c r="N19888" s="56"/>
    </row>
    <row r="19889" spans="1:14" x14ac:dyDescent="0.3">
      <c r="A19889" s="42"/>
      <c r="C19889" s="52"/>
      <c r="D19889"/>
      <c r="E19889"/>
      <c r="F19889"/>
      <c r="N19889" s="56"/>
    </row>
    <row r="19890" spans="1:14" x14ac:dyDescent="0.3">
      <c r="A19890" s="42"/>
      <c r="C19890" s="52"/>
      <c r="D19890"/>
      <c r="E19890"/>
      <c r="F19890"/>
      <c r="N19890" s="56"/>
    </row>
    <row r="19891" spans="1:14" x14ac:dyDescent="0.3">
      <c r="A19891" s="42"/>
      <c r="C19891" s="52"/>
      <c r="D19891"/>
      <c r="E19891"/>
      <c r="F19891"/>
      <c r="N19891" s="56"/>
    </row>
    <row r="19892" spans="1:14" x14ac:dyDescent="0.3">
      <c r="A19892" s="42"/>
      <c r="C19892" s="52"/>
      <c r="D19892"/>
      <c r="E19892"/>
      <c r="F19892"/>
      <c r="N19892" s="56"/>
    </row>
    <row r="19893" spans="1:14" x14ac:dyDescent="0.3">
      <c r="A19893" s="42"/>
      <c r="C19893" s="52"/>
      <c r="D19893"/>
      <c r="E19893"/>
      <c r="F19893"/>
      <c r="N19893" s="56"/>
    </row>
    <row r="19894" spans="1:14" x14ac:dyDescent="0.3">
      <c r="A19894" s="42"/>
      <c r="C19894" s="52"/>
      <c r="D19894"/>
      <c r="E19894"/>
      <c r="F19894"/>
      <c r="N19894" s="56"/>
    </row>
    <row r="19895" spans="1:14" x14ac:dyDescent="0.3">
      <c r="A19895" s="42"/>
      <c r="C19895" s="52"/>
      <c r="D19895"/>
      <c r="E19895"/>
      <c r="F19895"/>
      <c r="N19895" s="56"/>
    </row>
    <row r="19896" spans="1:14" x14ac:dyDescent="0.3">
      <c r="A19896" s="42"/>
      <c r="C19896" s="52"/>
      <c r="D19896"/>
      <c r="E19896"/>
      <c r="F19896"/>
      <c r="N19896" s="56"/>
    </row>
    <row r="19897" spans="1:14" x14ac:dyDescent="0.3">
      <c r="A19897" s="42"/>
      <c r="C19897" s="52"/>
      <c r="D19897"/>
      <c r="E19897"/>
      <c r="F19897"/>
      <c r="N19897" s="56"/>
    </row>
    <row r="19898" spans="1:14" x14ac:dyDescent="0.3">
      <c r="A19898" s="42"/>
      <c r="C19898" s="52"/>
      <c r="D19898"/>
      <c r="E19898"/>
      <c r="F19898"/>
      <c r="N19898" s="56"/>
    </row>
    <row r="19899" spans="1:14" x14ac:dyDescent="0.3">
      <c r="A19899" s="42"/>
      <c r="C19899" s="52"/>
      <c r="D19899"/>
      <c r="E19899"/>
      <c r="F19899"/>
      <c r="N19899" s="56"/>
    </row>
    <row r="19900" spans="1:14" x14ac:dyDescent="0.3">
      <c r="A19900" s="42"/>
      <c r="C19900" s="52"/>
      <c r="D19900"/>
      <c r="E19900"/>
      <c r="F19900"/>
      <c r="N19900" s="56"/>
    </row>
    <row r="19901" spans="1:14" x14ac:dyDescent="0.3">
      <c r="A19901" s="42"/>
      <c r="C19901" s="52"/>
      <c r="D19901"/>
      <c r="E19901"/>
      <c r="F19901"/>
      <c r="N19901" s="56"/>
    </row>
    <row r="19902" spans="1:14" x14ac:dyDescent="0.3">
      <c r="A19902" s="42"/>
      <c r="C19902" s="52"/>
      <c r="D19902"/>
      <c r="E19902"/>
      <c r="F19902"/>
      <c r="N19902" s="56"/>
    </row>
    <row r="19903" spans="1:14" x14ac:dyDescent="0.3">
      <c r="A19903" s="42"/>
      <c r="C19903" s="52"/>
      <c r="D19903"/>
      <c r="E19903"/>
      <c r="F19903"/>
      <c r="N19903" s="56"/>
    </row>
    <row r="19904" spans="1:14" x14ac:dyDescent="0.3">
      <c r="A19904" s="42"/>
      <c r="C19904" s="52"/>
      <c r="D19904"/>
      <c r="E19904"/>
      <c r="F19904"/>
      <c r="N19904" s="56"/>
    </row>
    <row r="19905" spans="1:14" x14ac:dyDescent="0.3">
      <c r="A19905" s="42"/>
      <c r="C19905" s="52"/>
      <c r="D19905"/>
      <c r="E19905"/>
      <c r="F19905"/>
      <c r="N19905" s="56"/>
    </row>
    <row r="19906" spans="1:14" x14ac:dyDescent="0.3">
      <c r="A19906" s="42"/>
      <c r="C19906" s="52"/>
      <c r="D19906"/>
      <c r="E19906"/>
      <c r="F19906"/>
      <c r="N19906" s="56"/>
    </row>
    <row r="19907" spans="1:14" x14ac:dyDescent="0.3">
      <c r="A19907" s="42"/>
      <c r="C19907" s="52"/>
      <c r="D19907"/>
      <c r="E19907"/>
      <c r="F19907"/>
      <c r="N19907" s="56"/>
    </row>
    <row r="19908" spans="1:14" x14ac:dyDescent="0.3">
      <c r="A19908" s="42"/>
      <c r="C19908" s="52"/>
      <c r="D19908"/>
      <c r="E19908"/>
      <c r="F19908"/>
      <c r="N19908" s="56"/>
    </row>
    <row r="19909" spans="1:14" x14ac:dyDescent="0.3">
      <c r="A19909" s="42"/>
      <c r="C19909" s="52"/>
      <c r="D19909"/>
      <c r="E19909"/>
      <c r="F19909"/>
      <c r="N19909" s="56"/>
    </row>
    <row r="19910" spans="1:14" x14ac:dyDescent="0.3">
      <c r="A19910" s="42"/>
      <c r="C19910" s="52"/>
      <c r="D19910"/>
      <c r="E19910"/>
      <c r="F19910"/>
      <c r="N19910" s="56"/>
    </row>
    <row r="19911" spans="1:14" x14ac:dyDescent="0.3">
      <c r="A19911" s="42"/>
      <c r="C19911" s="52"/>
      <c r="D19911"/>
      <c r="E19911"/>
      <c r="F19911"/>
      <c r="M19911" s="45"/>
      <c r="N19911" s="56"/>
    </row>
    <row r="19912" spans="1:14" x14ac:dyDescent="0.3">
      <c r="A19912" s="42"/>
      <c r="C19912" s="52"/>
      <c r="D19912"/>
      <c r="E19912"/>
      <c r="F19912"/>
      <c r="N19912" s="56"/>
    </row>
    <row r="19913" spans="1:14" x14ac:dyDescent="0.3">
      <c r="A19913" s="42"/>
      <c r="C19913" s="52"/>
      <c r="D19913"/>
      <c r="E19913"/>
      <c r="F19913"/>
      <c r="N19913" s="56"/>
    </row>
    <row r="19914" spans="1:14" x14ac:dyDescent="0.3">
      <c r="A19914" s="42"/>
      <c r="C19914" s="52"/>
      <c r="D19914"/>
      <c r="E19914"/>
      <c r="F19914"/>
      <c r="N19914" s="56"/>
    </row>
    <row r="19915" spans="1:14" x14ac:dyDescent="0.3">
      <c r="A19915" s="42"/>
      <c r="C19915" s="52"/>
      <c r="D19915"/>
      <c r="E19915"/>
      <c r="F19915"/>
      <c r="N19915" s="56"/>
    </row>
    <row r="19916" spans="1:14" x14ac:dyDescent="0.3">
      <c r="A19916" s="42"/>
      <c r="C19916" s="52"/>
      <c r="D19916"/>
      <c r="E19916"/>
      <c r="F19916"/>
      <c r="N19916" s="56"/>
    </row>
    <row r="19917" spans="1:14" x14ac:dyDescent="0.3">
      <c r="A19917" s="42"/>
      <c r="C19917" s="52"/>
      <c r="D19917"/>
      <c r="E19917"/>
      <c r="F19917"/>
      <c r="N19917" s="56"/>
    </row>
    <row r="19918" spans="1:14" x14ac:dyDescent="0.3">
      <c r="A19918" s="42"/>
      <c r="C19918" s="52"/>
      <c r="D19918"/>
      <c r="E19918"/>
      <c r="F19918"/>
      <c r="N19918" s="56"/>
    </row>
    <row r="19919" spans="1:14" x14ac:dyDescent="0.3">
      <c r="A19919" s="42"/>
      <c r="C19919" s="52"/>
      <c r="D19919"/>
      <c r="E19919"/>
      <c r="F19919"/>
      <c r="N19919" s="56"/>
    </row>
    <row r="19920" spans="1:14" x14ac:dyDescent="0.3">
      <c r="A19920" s="42"/>
      <c r="C19920" s="52"/>
      <c r="D19920"/>
      <c r="E19920"/>
      <c r="F19920"/>
      <c r="N19920" s="56"/>
    </row>
    <row r="19921" spans="1:14" x14ac:dyDescent="0.3">
      <c r="A19921" s="42"/>
      <c r="C19921" s="52"/>
      <c r="D19921"/>
      <c r="E19921"/>
      <c r="F19921"/>
      <c r="N19921" s="56"/>
    </row>
    <row r="19922" spans="1:14" x14ac:dyDescent="0.3">
      <c r="A19922" s="42"/>
      <c r="C19922" s="52"/>
      <c r="D19922"/>
      <c r="E19922"/>
      <c r="F19922"/>
      <c r="N19922" s="56"/>
    </row>
    <row r="19923" spans="1:14" x14ac:dyDescent="0.3">
      <c r="A19923" s="42"/>
      <c r="C19923" s="52"/>
      <c r="D19923"/>
      <c r="E19923"/>
      <c r="F19923"/>
      <c r="N19923" s="56"/>
    </row>
    <row r="19924" spans="1:14" x14ac:dyDescent="0.3">
      <c r="A19924" s="42"/>
      <c r="C19924" s="52"/>
      <c r="D19924"/>
      <c r="E19924"/>
      <c r="F19924"/>
      <c r="N19924" s="56"/>
    </row>
    <row r="19925" spans="1:14" x14ac:dyDescent="0.3">
      <c r="A19925" s="42"/>
      <c r="C19925" s="52"/>
      <c r="D19925"/>
      <c r="E19925"/>
      <c r="F19925"/>
      <c r="N19925" s="56"/>
    </row>
    <row r="19926" spans="1:14" x14ac:dyDescent="0.3">
      <c r="A19926" s="42"/>
      <c r="C19926" s="52"/>
      <c r="D19926"/>
      <c r="E19926"/>
      <c r="F19926"/>
      <c r="N19926" s="56"/>
    </row>
    <row r="19927" spans="1:14" x14ac:dyDescent="0.3">
      <c r="A19927" s="42"/>
      <c r="C19927" s="52"/>
      <c r="D19927"/>
      <c r="E19927"/>
      <c r="F19927"/>
      <c r="N19927" s="56"/>
    </row>
    <row r="19928" spans="1:14" x14ac:dyDescent="0.3">
      <c r="A19928" s="42"/>
      <c r="C19928" s="52"/>
      <c r="D19928"/>
      <c r="E19928"/>
      <c r="F19928"/>
      <c r="N19928" s="56"/>
    </row>
    <row r="19929" spans="1:14" x14ac:dyDescent="0.3">
      <c r="A19929" s="42"/>
      <c r="C19929" s="52"/>
      <c r="D19929"/>
      <c r="E19929"/>
      <c r="F19929"/>
      <c r="N19929" s="56"/>
    </row>
    <row r="19930" spans="1:14" x14ac:dyDescent="0.3">
      <c r="A19930" s="42"/>
      <c r="C19930" s="52"/>
      <c r="D19930"/>
      <c r="E19930"/>
      <c r="F19930"/>
      <c r="N19930" s="56"/>
    </row>
    <row r="19931" spans="1:14" x14ac:dyDescent="0.3">
      <c r="A19931" s="42"/>
      <c r="C19931" s="52"/>
      <c r="D19931"/>
      <c r="E19931"/>
      <c r="F19931"/>
      <c r="N19931" s="56"/>
    </row>
    <row r="19932" spans="1:14" x14ac:dyDescent="0.3">
      <c r="A19932" s="42"/>
      <c r="C19932" s="52"/>
      <c r="D19932"/>
      <c r="E19932"/>
      <c r="F19932"/>
      <c r="N19932" s="56"/>
    </row>
    <row r="19933" spans="1:14" x14ac:dyDescent="0.3">
      <c r="A19933" s="42"/>
      <c r="C19933" s="52"/>
      <c r="D19933"/>
      <c r="E19933"/>
      <c r="F19933"/>
      <c r="N19933" s="56"/>
    </row>
    <row r="19934" spans="1:14" x14ac:dyDescent="0.3">
      <c r="A19934" s="42"/>
      <c r="C19934" s="52"/>
      <c r="D19934"/>
      <c r="E19934"/>
      <c r="F19934"/>
      <c r="N19934" s="56"/>
    </row>
    <row r="19935" spans="1:14" x14ac:dyDescent="0.3">
      <c r="A19935" s="42"/>
      <c r="C19935" s="52"/>
      <c r="D19935"/>
      <c r="E19935"/>
      <c r="F19935"/>
      <c r="N19935" s="56"/>
    </row>
    <row r="19936" spans="1:14" x14ac:dyDescent="0.3">
      <c r="A19936" s="42"/>
      <c r="C19936" s="52"/>
      <c r="D19936"/>
      <c r="E19936"/>
      <c r="F19936"/>
      <c r="N19936" s="56"/>
    </row>
    <row r="19937" spans="1:14" x14ac:dyDescent="0.3">
      <c r="A19937" s="42"/>
      <c r="C19937" s="52"/>
      <c r="D19937"/>
      <c r="E19937"/>
      <c r="F19937"/>
      <c r="N19937" s="56"/>
    </row>
    <row r="19938" spans="1:14" x14ac:dyDescent="0.3">
      <c r="A19938" s="42"/>
      <c r="C19938" s="52"/>
      <c r="D19938"/>
      <c r="E19938"/>
      <c r="F19938"/>
      <c r="N19938" s="56"/>
    </row>
    <row r="19939" spans="1:14" x14ac:dyDescent="0.3">
      <c r="A19939" s="42"/>
      <c r="C19939" s="52"/>
      <c r="D19939"/>
      <c r="E19939"/>
      <c r="F19939"/>
      <c r="N19939" s="56"/>
    </row>
    <row r="19940" spans="1:14" x14ac:dyDescent="0.3">
      <c r="A19940" s="42"/>
      <c r="C19940" s="52"/>
      <c r="D19940"/>
      <c r="E19940"/>
      <c r="F19940"/>
      <c r="N19940" s="56"/>
    </row>
    <row r="19941" spans="1:14" x14ac:dyDescent="0.3">
      <c r="A19941" s="42"/>
      <c r="C19941" s="52"/>
      <c r="D19941"/>
      <c r="E19941"/>
      <c r="F19941"/>
      <c r="N19941" s="56"/>
    </row>
    <row r="19942" spans="1:14" x14ac:dyDescent="0.3">
      <c r="A19942" s="42"/>
      <c r="C19942" s="52"/>
      <c r="D19942"/>
      <c r="E19942"/>
      <c r="F19942"/>
      <c r="N19942" s="56"/>
    </row>
    <row r="19943" spans="1:14" x14ac:dyDescent="0.3">
      <c r="A19943" s="42"/>
      <c r="C19943" s="52"/>
      <c r="D19943"/>
      <c r="E19943"/>
      <c r="F19943"/>
      <c r="N19943" s="56"/>
    </row>
    <row r="19944" spans="1:14" x14ac:dyDescent="0.3">
      <c r="A19944" s="42"/>
      <c r="C19944" s="52"/>
      <c r="D19944"/>
      <c r="E19944"/>
      <c r="F19944"/>
      <c r="N19944" s="56"/>
    </row>
    <row r="19945" spans="1:14" x14ac:dyDescent="0.3">
      <c r="A19945" s="42"/>
      <c r="C19945" s="52"/>
      <c r="D19945"/>
      <c r="E19945"/>
      <c r="F19945"/>
      <c r="N19945" s="56"/>
    </row>
    <row r="19946" spans="1:14" x14ac:dyDescent="0.3">
      <c r="A19946" s="42"/>
      <c r="C19946" s="52"/>
      <c r="D19946"/>
      <c r="E19946"/>
      <c r="F19946"/>
      <c r="N19946" s="56"/>
    </row>
    <row r="19947" spans="1:14" x14ac:dyDescent="0.3">
      <c r="A19947" s="42"/>
      <c r="C19947" s="52"/>
      <c r="D19947"/>
      <c r="E19947"/>
      <c r="F19947"/>
      <c r="N19947" s="56"/>
    </row>
    <row r="19948" spans="1:14" x14ac:dyDescent="0.3">
      <c r="A19948" s="42"/>
      <c r="C19948" s="52"/>
      <c r="D19948"/>
      <c r="E19948"/>
      <c r="F19948"/>
      <c r="N19948" s="56"/>
    </row>
    <row r="19949" spans="1:14" x14ac:dyDescent="0.3">
      <c r="A19949" s="42"/>
      <c r="C19949" s="52"/>
      <c r="D19949"/>
      <c r="E19949"/>
      <c r="F19949"/>
      <c r="N19949" s="56"/>
    </row>
    <row r="19950" spans="1:14" x14ac:dyDescent="0.3">
      <c r="A19950" s="42"/>
      <c r="C19950" s="52"/>
      <c r="D19950"/>
      <c r="E19950"/>
      <c r="F19950"/>
      <c r="N19950" s="56"/>
    </row>
    <row r="19951" spans="1:14" x14ac:dyDescent="0.3">
      <c r="A19951" s="42"/>
      <c r="C19951" s="52"/>
      <c r="D19951"/>
      <c r="E19951"/>
      <c r="F19951"/>
      <c r="N19951" s="56"/>
    </row>
    <row r="19952" spans="1:14" x14ac:dyDescent="0.3">
      <c r="A19952" s="42"/>
      <c r="C19952" s="52"/>
      <c r="D19952"/>
      <c r="E19952"/>
      <c r="F19952"/>
      <c r="N19952" s="56"/>
    </row>
    <row r="19953" spans="1:14" x14ac:dyDescent="0.3">
      <c r="A19953" s="42"/>
      <c r="C19953" s="52"/>
      <c r="D19953"/>
      <c r="E19953"/>
      <c r="F19953"/>
      <c r="M19953" s="45"/>
      <c r="N19953" s="56"/>
    </row>
    <row r="19954" spans="1:14" x14ac:dyDescent="0.3">
      <c r="A19954" s="42"/>
      <c r="C19954" s="52"/>
      <c r="D19954"/>
      <c r="E19954"/>
      <c r="F19954"/>
      <c r="N19954" s="56"/>
    </row>
    <row r="19955" spans="1:14" x14ac:dyDescent="0.3">
      <c r="A19955" s="42"/>
      <c r="C19955" s="52"/>
      <c r="D19955"/>
      <c r="E19955"/>
      <c r="F19955"/>
      <c r="N19955" s="56"/>
    </row>
    <row r="19956" spans="1:14" x14ac:dyDescent="0.3">
      <c r="A19956" s="42"/>
      <c r="C19956" s="52"/>
      <c r="D19956"/>
      <c r="E19956"/>
      <c r="F19956"/>
      <c r="N19956" s="56"/>
    </row>
    <row r="19957" spans="1:14" x14ac:dyDescent="0.3">
      <c r="A19957" s="42"/>
      <c r="C19957" s="52"/>
      <c r="D19957"/>
      <c r="E19957"/>
      <c r="F19957"/>
      <c r="N19957" s="56"/>
    </row>
    <row r="19958" spans="1:14" x14ac:dyDescent="0.3">
      <c r="A19958" s="42"/>
      <c r="C19958" s="52"/>
      <c r="D19958"/>
      <c r="E19958"/>
      <c r="F19958"/>
      <c r="N19958" s="56"/>
    </row>
    <row r="19959" spans="1:14" x14ac:dyDescent="0.3">
      <c r="A19959" s="42"/>
      <c r="C19959" s="52"/>
      <c r="D19959"/>
      <c r="E19959"/>
      <c r="F19959"/>
      <c r="N19959" s="56"/>
    </row>
    <row r="19960" spans="1:14" x14ac:dyDescent="0.3">
      <c r="A19960" s="42"/>
      <c r="C19960" s="52"/>
      <c r="D19960"/>
      <c r="E19960"/>
      <c r="F19960"/>
      <c r="N19960" s="56"/>
    </row>
    <row r="19961" spans="1:14" x14ac:dyDescent="0.3">
      <c r="A19961" s="42"/>
      <c r="C19961" s="52"/>
      <c r="D19961"/>
      <c r="E19961"/>
      <c r="F19961"/>
      <c r="N19961" s="56"/>
    </row>
    <row r="19962" spans="1:14" x14ac:dyDescent="0.3">
      <c r="A19962" s="42"/>
      <c r="C19962" s="52"/>
      <c r="D19962"/>
      <c r="E19962"/>
      <c r="F19962"/>
      <c r="N19962" s="56"/>
    </row>
    <row r="19963" spans="1:14" x14ac:dyDescent="0.3">
      <c r="A19963" s="42"/>
      <c r="C19963" s="52"/>
      <c r="D19963"/>
      <c r="E19963"/>
      <c r="F19963"/>
      <c r="N19963" s="56"/>
    </row>
    <row r="19964" spans="1:14" x14ac:dyDescent="0.3">
      <c r="A19964" s="42"/>
      <c r="C19964" s="52"/>
      <c r="D19964"/>
      <c r="E19964"/>
      <c r="F19964"/>
      <c r="N19964" s="56"/>
    </row>
    <row r="19965" spans="1:14" x14ac:dyDescent="0.3">
      <c r="A19965" s="42"/>
      <c r="C19965" s="52"/>
      <c r="D19965"/>
      <c r="E19965"/>
      <c r="F19965"/>
      <c r="N19965" s="56"/>
    </row>
    <row r="19966" spans="1:14" x14ac:dyDescent="0.3">
      <c r="A19966" s="42"/>
      <c r="C19966" s="52"/>
      <c r="D19966"/>
      <c r="E19966"/>
      <c r="F19966"/>
      <c r="N19966" s="56"/>
    </row>
    <row r="19967" spans="1:14" x14ac:dyDescent="0.3">
      <c r="A19967" s="42"/>
      <c r="C19967" s="52"/>
      <c r="D19967"/>
      <c r="E19967"/>
      <c r="F19967"/>
      <c r="N19967" s="56"/>
    </row>
    <row r="19968" spans="1:14" x14ac:dyDescent="0.3">
      <c r="A19968" s="42"/>
      <c r="C19968" s="52"/>
      <c r="D19968"/>
      <c r="E19968"/>
      <c r="F19968"/>
      <c r="N19968" s="56"/>
    </row>
    <row r="19969" spans="1:14" x14ac:dyDescent="0.3">
      <c r="A19969" s="42"/>
      <c r="C19969" s="52"/>
      <c r="D19969"/>
      <c r="E19969"/>
      <c r="F19969"/>
      <c r="N19969" s="56"/>
    </row>
    <row r="19970" spans="1:14" x14ac:dyDescent="0.3">
      <c r="A19970" s="42"/>
      <c r="C19970" s="52"/>
      <c r="D19970"/>
      <c r="E19970"/>
      <c r="F19970"/>
      <c r="N19970" s="56"/>
    </row>
    <row r="19971" spans="1:14" x14ac:dyDescent="0.3">
      <c r="A19971" s="42"/>
      <c r="C19971" s="52"/>
      <c r="D19971"/>
      <c r="E19971"/>
      <c r="F19971"/>
      <c r="N19971" s="56"/>
    </row>
    <row r="19972" spans="1:14" x14ac:dyDescent="0.3">
      <c r="A19972" s="42"/>
      <c r="C19972" s="52"/>
      <c r="D19972"/>
      <c r="E19972"/>
      <c r="F19972"/>
      <c r="N19972" s="56"/>
    </row>
    <row r="19973" spans="1:14" x14ac:dyDescent="0.3">
      <c r="A19973" s="42"/>
      <c r="C19973" s="52"/>
      <c r="D19973"/>
      <c r="E19973"/>
      <c r="F19973"/>
      <c r="N19973" s="56"/>
    </row>
    <row r="19974" spans="1:14" x14ac:dyDescent="0.3">
      <c r="A19974" s="42"/>
      <c r="C19974" s="52"/>
      <c r="D19974"/>
      <c r="E19974"/>
      <c r="F19974"/>
      <c r="N19974" s="56"/>
    </row>
    <row r="19975" spans="1:14" x14ac:dyDescent="0.3">
      <c r="A19975" s="42"/>
      <c r="C19975" s="52"/>
      <c r="D19975"/>
      <c r="E19975"/>
      <c r="F19975"/>
      <c r="N19975" s="56"/>
    </row>
    <row r="19976" spans="1:14" x14ac:dyDescent="0.3">
      <c r="A19976" s="42"/>
      <c r="C19976" s="52"/>
      <c r="D19976"/>
      <c r="E19976"/>
      <c r="F19976"/>
      <c r="N19976" s="56"/>
    </row>
    <row r="19977" spans="1:14" x14ac:dyDescent="0.3">
      <c r="A19977" s="42"/>
      <c r="C19977" s="52"/>
      <c r="D19977"/>
      <c r="E19977"/>
      <c r="F19977"/>
      <c r="N19977" s="56"/>
    </row>
    <row r="19978" spans="1:14" x14ac:dyDescent="0.3">
      <c r="A19978" s="42"/>
      <c r="C19978" s="52"/>
      <c r="D19978"/>
      <c r="E19978"/>
      <c r="F19978"/>
      <c r="L19978" s="45"/>
      <c r="N19978" s="56"/>
    </row>
    <row r="19979" spans="1:14" x14ac:dyDescent="0.3">
      <c r="A19979" s="42"/>
      <c r="C19979" s="52"/>
      <c r="D19979"/>
      <c r="E19979"/>
      <c r="F19979"/>
      <c r="N19979" s="56"/>
    </row>
    <row r="19980" spans="1:14" x14ac:dyDescent="0.3">
      <c r="A19980" s="42"/>
      <c r="C19980" s="52"/>
      <c r="D19980"/>
      <c r="E19980"/>
      <c r="F19980"/>
      <c r="N19980" s="56"/>
    </row>
    <row r="19981" spans="1:14" x14ac:dyDescent="0.3">
      <c r="A19981" s="42"/>
      <c r="C19981" s="52"/>
      <c r="D19981"/>
      <c r="E19981"/>
      <c r="F19981"/>
      <c r="N19981" s="56"/>
    </row>
    <row r="19982" spans="1:14" x14ac:dyDescent="0.3">
      <c r="A19982" s="42"/>
      <c r="C19982" s="52"/>
      <c r="D19982"/>
      <c r="E19982"/>
      <c r="F19982"/>
      <c r="L19982" s="45"/>
      <c r="N19982" s="56"/>
    </row>
    <row r="19983" spans="1:14" x14ac:dyDescent="0.3">
      <c r="A19983" s="42"/>
      <c r="C19983" s="52"/>
      <c r="D19983"/>
      <c r="E19983"/>
      <c r="F19983"/>
      <c r="N19983" s="56"/>
    </row>
    <row r="19984" spans="1:14" x14ac:dyDescent="0.3">
      <c r="A19984" s="42"/>
      <c r="C19984" s="52"/>
      <c r="D19984"/>
      <c r="E19984"/>
      <c r="F19984"/>
      <c r="L19984" s="45"/>
      <c r="N19984" s="56"/>
    </row>
    <row r="19985" spans="1:14" x14ac:dyDescent="0.3">
      <c r="A19985" s="42"/>
      <c r="C19985" s="52"/>
      <c r="D19985"/>
      <c r="E19985"/>
      <c r="F19985"/>
      <c r="N19985" s="56"/>
    </row>
    <row r="19986" spans="1:14" x14ac:dyDescent="0.3">
      <c r="A19986" s="42"/>
      <c r="C19986" s="52"/>
      <c r="D19986"/>
      <c r="E19986"/>
      <c r="F19986"/>
      <c r="N19986" s="56"/>
    </row>
    <row r="19987" spans="1:14" x14ac:dyDescent="0.3">
      <c r="A19987" s="42"/>
      <c r="C19987" s="52"/>
      <c r="D19987"/>
      <c r="E19987"/>
      <c r="F19987"/>
      <c r="N19987" s="56"/>
    </row>
    <row r="19988" spans="1:14" x14ac:dyDescent="0.3">
      <c r="A19988" s="42"/>
      <c r="C19988" s="52"/>
      <c r="D19988"/>
      <c r="E19988"/>
      <c r="F19988"/>
      <c r="N19988" s="56"/>
    </row>
    <row r="19989" spans="1:14" x14ac:dyDescent="0.3">
      <c r="A19989" s="42"/>
      <c r="C19989" s="52"/>
      <c r="D19989"/>
      <c r="E19989"/>
      <c r="F19989"/>
      <c r="L19989" s="45"/>
      <c r="N19989" s="56"/>
    </row>
    <row r="19990" spans="1:14" x14ac:dyDescent="0.3">
      <c r="A19990" s="42"/>
      <c r="C19990" s="52"/>
      <c r="D19990"/>
      <c r="E19990"/>
      <c r="F19990"/>
      <c r="L19990" s="45"/>
      <c r="N19990" s="56"/>
    </row>
    <row r="19991" spans="1:14" x14ac:dyDescent="0.3">
      <c r="A19991" s="42"/>
      <c r="C19991" s="52"/>
      <c r="D19991"/>
      <c r="E19991"/>
      <c r="F19991"/>
      <c r="L19991" s="45"/>
      <c r="N19991" s="56"/>
    </row>
    <row r="19992" spans="1:14" x14ac:dyDescent="0.3">
      <c r="A19992" s="42"/>
      <c r="C19992" s="52"/>
      <c r="D19992"/>
      <c r="E19992"/>
      <c r="F19992"/>
      <c r="L19992" s="45"/>
      <c r="N19992" s="56"/>
    </row>
    <row r="19993" spans="1:14" x14ac:dyDescent="0.3">
      <c r="A19993" s="42"/>
      <c r="C19993" s="52"/>
      <c r="D19993"/>
      <c r="E19993"/>
      <c r="F19993"/>
      <c r="L19993" s="45"/>
      <c r="N19993" s="56"/>
    </row>
    <row r="19994" spans="1:14" x14ac:dyDescent="0.3">
      <c r="A19994" s="42"/>
      <c r="C19994" s="52"/>
      <c r="D19994"/>
      <c r="E19994"/>
      <c r="F19994"/>
      <c r="L19994" s="45"/>
      <c r="N19994" s="56"/>
    </row>
    <row r="19995" spans="1:14" x14ac:dyDescent="0.3">
      <c r="A19995" s="42"/>
      <c r="C19995" s="52"/>
      <c r="D19995"/>
      <c r="E19995"/>
      <c r="F19995"/>
      <c r="L19995" s="45"/>
      <c r="N19995" s="56"/>
    </row>
    <row r="19996" spans="1:14" x14ac:dyDescent="0.3">
      <c r="A19996" s="42"/>
      <c r="C19996" s="52"/>
      <c r="D19996"/>
      <c r="E19996"/>
      <c r="F19996"/>
      <c r="L19996" s="45"/>
      <c r="N19996" s="56"/>
    </row>
    <row r="19997" spans="1:14" x14ac:dyDescent="0.3">
      <c r="A19997" s="42"/>
      <c r="C19997" s="52"/>
      <c r="D19997"/>
      <c r="E19997"/>
      <c r="F19997"/>
      <c r="N19997" s="56"/>
    </row>
    <row r="19998" spans="1:14" x14ac:dyDescent="0.3">
      <c r="A19998" s="42"/>
      <c r="C19998" s="52"/>
      <c r="D19998"/>
      <c r="E19998"/>
      <c r="F19998"/>
      <c r="N19998" s="56"/>
    </row>
    <row r="19999" spans="1:14" x14ac:dyDescent="0.3">
      <c r="A19999" s="42"/>
      <c r="C19999" s="52"/>
      <c r="D19999"/>
      <c r="E19999"/>
      <c r="F19999"/>
      <c r="N19999" s="56"/>
    </row>
    <row r="20000" spans="1:14" x14ac:dyDescent="0.3">
      <c r="A20000" s="42"/>
      <c r="C20000" s="52"/>
      <c r="D20000"/>
      <c r="E20000"/>
      <c r="F20000"/>
      <c r="L20000" s="45"/>
      <c r="N20000" s="56"/>
    </row>
    <row r="20001" spans="1:14" x14ac:dyDescent="0.3">
      <c r="A20001" s="42"/>
      <c r="C20001" s="52"/>
      <c r="D20001"/>
      <c r="E20001"/>
      <c r="F20001"/>
      <c r="L20001" s="45"/>
      <c r="N20001" s="56"/>
    </row>
    <row r="20002" spans="1:14" x14ac:dyDescent="0.3">
      <c r="A20002" s="42"/>
      <c r="C20002" s="52"/>
      <c r="D20002"/>
      <c r="E20002"/>
      <c r="F20002"/>
      <c r="L20002" s="45"/>
      <c r="N20002" s="56"/>
    </row>
    <row r="20003" spans="1:14" x14ac:dyDescent="0.3">
      <c r="A20003" s="42"/>
      <c r="C20003" s="52"/>
      <c r="D20003"/>
      <c r="E20003"/>
      <c r="F20003"/>
      <c r="L20003" s="45"/>
      <c r="N20003" s="56"/>
    </row>
    <row r="20004" spans="1:14" x14ac:dyDescent="0.3">
      <c r="A20004" s="42"/>
      <c r="C20004" s="52"/>
      <c r="D20004"/>
      <c r="E20004"/>
      <c r="F20004"/>
      <c r="N20004" s="56"/>
    </row>
    <row r="20005" spans="1:14" x14ac:dyDescent="0.3">
      <c r="A20005" s="42"/>
      <c r="C20005" s="52"/>
      <c r="D20005"/>
      <c r="E20005"/>
      <c r="F20005"/>
      <c r="L20005" s="45"/>
      <c r="N20005" s="56"/>
    </row>
    <row r="20006" spans="1:14" x14ac:dyDescent="0.3">
      <c r="A20006" s="42"/>
      <c r="C20006" s="52"/>
      <c r="D20006"/>
      <c r="E20006"/>
      <c r="F20006"/>
      <c r="L20006" s="45"/>
      <c r="N20006" s="56"/>
    </row>
    <row r="20007" spans="1:14" x14ac:dyDescent="0.3">
      <c r="A20007" s="42"/>
      <c r="C20007" s="52"/>
      <c r="D20007"/>
      <c r="E20007"/>
      <c r="F20007"/>
      <c r="N20007" s="56"/>
    </row>
    <row r="20008" spans="1:14" x14ac:dyDescent="0.3">
      <c r="A20008" s="42"/>
      <c r="C20008" s="52"/>
      <c r="D20008"/>
      <c r="E20008"/>
      <c r="F20008"/>
      <c r="N20008" s="56"/>
    </row>
    <row r="20009" spans="1:14" x14ac:dyDescent="0.3">
      <c r="A20009" s="42"/>
      <c r="C20009" s="52"/>
      <c r="D20009"/>
      <c r="E20009"/>
      <c r="F20009"/>
      <c r="L20009" s="45"/>
      <c r="N20009" s="56"/>
    </row>
    <row r="20010" spans="1:14" x14ac:dyDescent="0.3">
      <c r="A20010" s="42"/>
      <c r="C20010" s="52"/>
      <c r="D20010"/>
      <c r="E20010"/>
      <c r="F20010"/>
      <c r="L20010" s="45"/>
      <c r="N20010" s="56"/>
    </row>
    <row r="20011" spans="1:14" x14ac:dyDescent="0.3">
      <c r="A20011" s="42"/>
      <c r="C20011" s="52"/>
      <c r="D20011"/>
      <c r="E20011"/>
      <c r="F20011"/>
      <c r="L20011" s="45"/>
      <c r="N20011" s="56"/>
    </row>
    <row r="20012" spans="1:14" x14ac:dyDescent="0.3">
      <c r="A20012" s="42"/>
      <c r="C20012" s="52"/>
      <c r="D20012"/>
      <c r="E20012"/>
      <c r="F20012"/>
      <c r="L20012" s="45"/>
      <c r="N20012" s="56"/>
    </row>
    <row r="20013" spans="1:14" x14ac:dyDescent="0.3">
      <c r="A20013" s="42"/>
      <c r="C20013" s="52"/>
      <c r="D20013"/>
      <c r="E20013"/>
      <c r="F20013"/>
      <c r="L20013" s="45"/>
      <c r="N20013" s="56"/>
    </row>
    <row r="20014" spans="1:14" x14ac:dyDescent="0.3">
      <c r="A20014" s="42"/>
      <c r="C20014" s="52"/>
      <c r="D20014"/>
      <c r="E20014"/>
      <c r="F20014"/>
      <c r="L20014" s="45"/>
      <c r="N20014" s="56"/>
    </row>
    <row r="20015" spans="1:14" x14ac:dyDescent="0.3">
      <c r="A20015" s="42"/>
      <c r="C20015" s="52"/>
      <c r="D20015"/>
      <c r="E20015"/>
      <c r="F20015"/>
      <c r="L20015" s="45"/>
      <c r="N20015" s="56"/>
    </row>
    <row r="20016" spans="1:14" x14ac:dyDescent="0.3">
      <c r="A20016" s="42"/>
      <c r="C20016" s="52"/>
      <c r="D20016"/>
      <c r="E20016"/>
      <c r="F20016"/>
      <c r="N20016" s="56"/>
    </row>
    <row r="20017" spans="1:14" x14ac:dyDescent="0.3">
      <c r="A20017" s="42"/>
      <c r="C20017" s="52"/>
      <c r="D20017"/>
      <c r="E20017"/>
      <c r="F20017"/>
      <c r="N20017" s="56"/>
    </row>
    <row r="20018" spans="1:14" x14ac:dyDescent="0.3">
      <c r="A20018" s="42"/>
      <c r="C20018" s="52"/>
      <c r="D20018"/>
      <c r="E20018"/>
      <c r="F20018"/>
      <c r="N20018" s="56"/>
    </row>
    <row r="20019" spans="1:14" x14ac:dyDescent="0.3">
      <c r="A20019" s="42"/>
      <c r="C20019" s="52"/>
      <c r="D20019"/>
      <c r="E20019"/>
      <c r="F20019"/>
      <c r="L20019" s="45"/>
      <c r="N20019" s="56"/>
    </row>
    <row r="20020" spans="1:14" x14ac:dyDescent="0.3">
      <c r="A20020" s="42"/>
      <c r="C20020" s="52"/>
      <c r="D20020"/>
      <c r="E20020"/>
      <c r="F20020"/>
      <c r="N20020" s="56"/>
    </row>
    <row r="20021" spans="1:14" x14ac:dyDescent="0.3">
      <c r="A20021" s="42"/>
      <c r="C20021" s="52"/>
      <c r="D20021"/>
      <c r="E20021"/>
      <c r="F20021"/>
      <c r="N20021" s="56"/>
    </row>
    <row r="20022" spans="1:14" x14ac:dyDescent="0.3">
      <c r="A20022" s="42"/>
      <c r="C20022" s="52"/>
      <c r="D20022"/>
      <c r="E20022"/>
      <c r="F20022"/>
      <c r="N20022" s="56"/>
    </row>
    <row r="20023" spans="1:14" x14ac:dyDescent="0.3">
      <c r="A20023" s="42"/>
      <c r="C20023" s="52"/>
      <c r="D20023"/>
      <c r="E20023"/>
      <c r="F20023"/>
      <c r="L20023" s="45"/>
      <c r="N20023" s="56"/>
    </row>
    <row r="20024" spans="1:14" x14ac:dyDescent="0.3">
      <c r="A20024" s="42"/>
      <c r="C20024" s="52"/>
      <c r="D20024"/>
      <c r="E20024"/>
      <c r="F20024"/>
      <c r="L20024" s="45"/>
      <c r="N20024" s="56"/>
    </row>
    <row r="20025" spans="1:14" x14ac:dyDescent="0.3">
      <c r="A20025" s="42"/>
      <c r="C20025" s="52"/>
      <c r="D20025"/>
      <c r="E20025"/>
      <c r="F20025"/>
      <c r="N20025" s="56"/>
    </row>
    <row r="20026" spans="1:14" x14ac:dyDescent="0.3">
      <c r="A20026" s="42"/>
      <c r="C20026" s="52"/>
      <c r="D20026"/>
      <c r="E20026"/>
      <c r="F20026"/>
      <c r="N20026" s="56"/>
    </row>
    <row r="20027" spans="1:14" x14ac:dyDescent="0.3">
      <c r="A20027" s="42"/>
      <c r="C20027" s="52"/>
      <c r="D20027"/>
      <c r="E20027"/>
      <c r="F20027"/>
      <c r="N20027" s="56"/>
    </row>
    <row r="20028" spans="1:14" x14ac:dyDescent="0.3">
      <c r="A20028" s="42"/>
      <c r="C20028" s="52"/>
      <c r="D20028"/>
      <c r="E20028"/>
      <c r="F20028"/>
      <c r="N20028" s="56"/>
    </row>
    <row r="20029" spans="1:14" x14ac:dyDescent="0.3">
      <c r="A20029" s="42"/>
      <c r="C20029" s="52"/>
      <c r="D20029"/>
      <c r="E20029"/>
      <c r="F20029"/>
      <c r="N20029" s="56"/>
    </row>
    <row r="20030" spans="1:14" x14ac:dyDescent="0.3">
      <c r="A20030" s="42"/>
      <c r="C20030" s="52"/>
      <c r="D20030"/>
      <c r="E20030"/>
      <c r="F20030"/>
      <c r="L20030" s="45"/>
      <c r="N20030" s="56"/>
    </row>
    <row r="20031" spans="1:14" x14ac:dyDescent="0.3">
      <c r="A20031" s="42"/>
      <c r="C20031" s="52"/>
      <c r="D20031"/>
      <c r="E20031"/>
      <c r="F20031"/>
      <c r="N20031" s="56"/>
    </row>
    <row r="20032" spans="1:14" x14ac:dyDescent="0.3">
      <c r="A20032" s="42"/>
      <c r="C20032" s="52"/>
      <c r="D20032"/>
      <c r="E20032"/>
      <c r="F20032"/>
      <c r="L20032" s="45"/>
      <c r="N20032" s="56"/>
    </row>
    <row r="20033" spans="1:14" x14ac:dyDescent="0.3">
      <c r="A20033" s="42"/>
      <c r="C20033" s="52"/>
      <c r="D20033"/>
      <c r="E20033"/>
      <c r="F20033"/>
      <c r="N20033" s="56"/>
    </row>
    <row r="20034" spans="1:14" x14ac:dyDescent="0.3">
      <c r="A20034" s="42"/>
      <c r="C20034" s="52"/>
      <c r="D20034"/>
      <c r="E20034"/>
      <c r="F20034"/>
      <c r="N20034" s="56"/>
    </row>
    <row r="20035" spans="1:14" x14ac:dyDescent="0.3">
      <c r="A20035" s="42"/>
      <c r="C20035" s="52"/>
      <c r="D20035"/>
      <c r="E20035"/>
      <c r="F20035"/>
      <c r="N20035" s="56"/>
    </row>
    <row r="20036" spans="1:14" x14ac:dyDescent="0.3">
      <c r="A20036" s="42"/>
      <c r="C20036" s="52"/>
      <c r="D20036"/>
      <c r="E20036"/>
      <c r="F20036"/>
      <c r="N20036" s="56"/>
    </row>
    <row r="20037" spans="1:14" x14ac:dyDescent="0.3">
      <c r="A20037" s="42"/>
      <c r="C20037" s="52"/>
      <c r="D20037"/>
      <c r="E20037"/>
      <c r="F20037"/>
      <c r="N20037" s="56"/>
    </row>
    <row r="20038" spans="1:14" x14ac:dyDescent="0.3">
      <c r="A20038" s="42"/>
      <c r="C20038" s="52"/>
      <c r="D20038"/>
      <c r="E20038"/>
      <c r="F20038"/>
      <c r="N20038" s="56"/>
    </row>
    <row r="20039" spans="1:14" x14ac:dyDescent="0.3">
      <c r="A20039" s="42"/>
      <c r="C20039" s="52"/>
      <c r="D20039"/>
      <c r="E20039"/>
      <c r="F20039"/>
      <c r="N20039" s="56"/>
    </row>
    <row r="20040" spans="1:14" x14ac:dyDescent="0.3">
      <c r="A20040" s="42"/>
      <c r="C20040" s="52"/>
      <c r="D20040"/>
      <c r="E20040"/>
      <c r="F20040"/>
      <c r="N20040" s="56"/>
    </row>
    <row r="20041" spans="1:14" x14ac:dyDescent="0.3">
      <c r="A20041" s="42"/>
      <c r="C20041" s="52"/>
      <c r="D20041"/>
      <c r="E20041"/>
      <c r="F20041"/>
      <c r="L20041" s="45"/>
      <c r="N20041" s="56"/>
    </row>
    <row r="20042" spans="1:14" x14ac:dyDescent="0.3">
      <c r="A20042" s="42"/>
      <c r="C20042" s="52"/>
      <c r="D20042"/>
      <c r="E20042"/>
      <c r="F20042"/>
      <c r="N20042" s="56"/>
    </row>
    <row r="20043" spans="1:14" x14ac:dyDescent="0.3">
      <c r="A20043" s="42"/>
      <c r="C20043" s="52"/>
      <c r="D20043"/>
      <c r="E20043"/>
      <c r="F20043"/>
      <c r="N20043" s="56"/>
    </row>
    <row r="20044" spans="1:14" x14ac:dyDescent="0.3">
      <c r="A20044" s="42"/>
      <c r="C20044" s="52"/>
      <c r="D20044"/>
      <c r="E20044"/>
      <c r="F20044"/>
      <c r="N20044" s="56"/>
    </row>
    <row r="20045" spans="1:14" x14ac:dyDescent="0.3">
      <c r="A20045" s="42"/>
      <c r="C20045" s="52"/>
      <c r="D20045"/>
      <c r="E20045"/>
      <c r="F20045"/>
      <c r="N20045" s="56"/>
    </row>
    <row r="20046" spans="1:14" x14ac:dyDescent="0.3">
      <c r="A20046" s="42"/>
      <c r="C20046" s="52"/>
      <c r="D20046"/>
      <c r="E20046"/>
      <c r="F20046"/>
      <c r="N20046" s="56"/>
    </row>
    <row r="20047" spans="1:14" x14ac:dyDescent="0.3">
      <c r="A20047" s="42"/>
      <c r="C20047" s="52"/>
      <c r="D20047"/>
      <c r="E20047"/>
      <c r="F20047"/>
      <c r="N20047" s="56"/>
    </row>
    <row r="20048" spans="1:14" x14ac:dyDescent="0.3">
      <c r="A20048" s="42"/>
      <c r="C20048" s="52"/>
      <c r="D20048"/>
      <c r="E20048"/>
      <c r="F20048"/>
      <c r="N20048" s="56"/>
    </row>
    <row r="20049" spans="1:14" x14ac:dyDescent="0.3">
      <c r="A20049" s="42"/>
      <c r="C20049" s="52"/>
      <c r="D20049"/>
      <c r="E20049"/>
      <c r="F20049"/>
      <c r="N20049" s="56"/>
    </row>
    <row r="20050" spans="1:14" x14ac:dyDescent="0.3">
      <c r="A20050" s="42"/>
      <c r="C20050" s="52"/>
      <c r="D20050"/>
      <c r="E20050"/>
      <c r="F20050"/>
      <c r="N20050" s="56"/>
    </row>
    <row r="20051" spans="1:14" x14ac:dyDescent="0.3">
      <c r="A20051" s="42"/>
      <c r="C20051" s="52"/>
      <c r="D20051"/>
      <c r="E20051"/>
      <c r="F20051"/>
      <c r="L20051" s="45"/>
      <c r="N20051" s="56"/>
    </row>
    <row r="20052" spans="1:14" x14ac:dyDescent="0.3">
      <c r="A20052" s="42"/>
      <c r="C20052" s="52"/>
      <c r="D20052"/>
      <c r="E20052"/>
      <c r="F20052"/>
      <c r="N20052" s="56"/>
    </row>
    <row r="20053" spans="1:14" x14ac:dyDescent="0.3">
      <c r="A20053" s="42"/>
      <c r="C20053" s="52"/>
      <c r="D20053"/>
      <c r="E20053"/>
      <c r="F20053"/>
      <c r="N20053" s="56"/>
    </row>
    <row r="20054" spans="1:14" x14ac:dyDescent="0.3">
      <c r="A20054" s="42"/>
      <c r="C20054" s="52"/>
      <c r="D20054"/>
      <c r="E20054"/>
      <c r="F20054"/>
      <c r="N20054" s="56"/>
    </row>
    <row r="20055" spans="1:14" x14ac:dyDescent="0.3">
      <c r="A20055" s="42"/>
      <c r="C20055" s="52"/>
      <c r="D20055"/>
      <c r="E20055"/>
      <c r="F20055"/>
      <c r="N20055" s="56"/>
    </row>
    <row r="20056" spans="1:14" x14ac:dyDescent="0.3">
      <c r="A20056" s="42"/>
      <c r="C20056" s="52"/>
      <c r="D20056"/>
      <c r="E20056"/>
      <c r="F20056"/>
      <c r="N20056" s="56"/>
    </row>
    <row r="20057" spans="1:14" x14ac:dyDescent="0.3">
      <c r="A20057" s="42"/>
      <c r="C20057" s="52"/>
      <c r="D20057"/>
      <c r="E20057"/>
      <c r="F20057"/>
      <c r="N20057" s="56"/>
    </row>
    <row r="20058" spans="1:14" x14ac:dyDescent="0.3">
      <c r="A20058" s="42"/>
      <c r="C20058" s="52"/>
      <c r="D20058"/>
      <c r="E20058"/>
      <c r="F20058"/>
      <c r="N20058" s="56"/>
    </row>
    <row r="20059" spans="1:14" x14ac:dyDescent="0.3">
      <c r="A20059" s="42"/>
      <c r="C20059" s="52"/>
      <c r="D20059"/>
      <c r="E20059"/>
      <c r="F20059"/>
      <c r="N20059" s="56"/>
    </row>
    <row r="20060" spans="1:14" x14ac:dyDescent="0.3">
      <c r="A20060" s="42"/>
      <c r="C20060" s="52"/>
      <c r="D20060"/>
      <c r="E20060"/>
      <c r="F20060"/>
      <c r="N20060" s="56"/>
    </row>
    <row r="20061" spans="1:14" x14ac:dyDescent="0.3">
      <c r="A20061" s="42"/>
      <c r="C20061" s="52"/>
      <c r="D20061"/>
      <c r="E20061"/>
      <c r="F20061"/>
      <c r="N20061" s="56"/>
    </row>
    <row r="20062" spans="1:14" x14ac:dyDescent="0.3">
      <c r="A20062" s="42"/>
      <c r="C20062" s="52"/>
      <c r="D20062"/>
      <c r="E20062"/>
      <c r="F20062"/>
      <c r="N20062" s="56"/>
    </row>
    <row r="20063" spans="1:14" x14ac:dyDescent="0.3">
      <c r="A20063" s="42"/>
      <c r="C20063" s="52"/>
      <c r="D20063"/>
      <c r="E20063"/>
      <c r="F20063"/>
      <c r="L20063" s="45"/>
      <c r="N20063" s="56"/>
    </row>
    <row r="20064" spans="1:14" x14ac:dyDescent="0.3">
      <c r="A20064" s="42"/>
      <c r="C20064" s="52"/>
      <c r="D20064"/>
      <c r="E20064"/>
      <c r="F20064"/>
      <c r="N20064" s="56"/>
    </row>
    <row r="20065" spans="1:14" x14ac:dyDescent="0.3">
      <c r="A20065" s="42"/>
      <c r="C20065" s="52"/>
      <c r="D20065"/>
      <c r="E20065"/>
      <c r="F20065"/>
      <c r="N20065" s="56"/>
    </row>
    <row r="20066" spans="1:14" x14ac:dyDescent="0.3">
      <c r="A20066" s="42"/>
      <c r="C20066" s="52"/>
      <c r="D20066"/>
      <c r="E20066"/>
      <c r="F20066"/>
      <c r="N20066" s="56"/>
    </row>
    <row r="20067" spans="1:14" x14ac:dyDescent="0.3">
      <c r="A20067" s="42"/>
      <c r="C20067" s="52"/>
      <c r="D20067"/>
      <c r="E20067"/>
      <c r="F20067"/>
      <c r="N20067" s="56"/>
    </row>
    <row r="20068" spans="1:14" x14ac:dyDescent="0.3">
      <c r="A20068" s="42"/>
      <c r="C20068" s="52"/>
      <c r="D20068"/>
      <c r="E20068"/>
      <c r="F20068"/>
      <c r="N20068" s="56"/>
    </row>
    <row r="20069" spans="1:14" x14ac:dyDescent="0.3">
      <c r="A20069" s="42"/>
      <c r="C20069" s="52"/>
      <c r="D20069"/>
      <c r="E20069"/>
      <c r="F20069"/>
      <c r="L20069" s="45"/>
      <c r="N20069" s="56"/>
    </row>
    <row r="20070" spans="1:14" x14ac:dyDescent="0.3">
      <c r="A20070" s="42"/>
      <c r="C20070" s="52"/>
      <c r="D20070"/>
      <c r="E20070"/>
      <c r="F20070"/>
      <c r="N20070" s="56"/>
    </row>
    <row r="20071" spans="1:14" x14ac:dyDescent="0.3">
      <c r="A20071" s="42"/>
      <c r="C20071" s="52"/>
      <c r="D20071"/>
      <c r="E20071"/>
      <c r="F20071"/>
      <c r="N20071" s="56"/>
    </row>
    <row r="20072" spans="1:14" x14ac:dyDescent="0.3">
      <c r="A20072" s="42"/>
      <c r="C20072" s="52"/>
      <c r="D20072"/>
      <c r="E20072"/>
      <c r="F20072"/>
      <c r="N20072" s="56"/>
    </row>
    <row r="20073" spans="1:14" x14ac:dyDescent="0.3">
      <c r="A20073" s="42"/>
      <c r="C20073" s="52"/>
      <c r="D20073"/>
      <c r="E20073"/>
      <c r="F20073"/>
      <c r="L20073" s="45"/>
      <c r="N20073" s="56"/>
    </row>
    <row r="20074" spans="1:14" x14ac:dyDescent="0.3">
      <c r="A20074" s="42"/>
      <c r="C20074" s="52"/>
      <c r="D20074"/>
      <c r="E20074"/>
      <c r="F20074"/>
      <c r="L20074" s="45"/>
      <c r="N20074" s="56"/>
    </row>
    <row r="20075" spans="1:14" x14ac:dyDescent="0.3">
      <c r="A20075" s="42"/>
      <c r="C20075" s="52"/>
      <c r="D20075"/>
      <c r="E20075"/>
      <c r="F20075"/>
      <c r="N20075" s="56"/>
    </row>
    <row r="20076" spans="1:14" x14ac:dyDescent="0.3">
      <c r="A20076" s="42"/>
      <c r="C20076" s="52"/>
      <c r="D20076"/>
      <c r="E20076"/>
      <c r="F20076"/>
      <c r="N20076" s="56"/>
    </row>
    <row r="20077" spans="1:14" x14ac:dyDescent="0.3">
      <c r="A20077" s="42"/>
      <c r="C20077" s="52"/>
      <c r="D20077"/>
      <c r="E20077"/>
      <c r="F20077"/>
      <c r="N20077" s="56"/>
    </row>
    <row r="20078" spans="1:14" x14ac:dyDescent="0.3">
      <c r="A20078" s="42"/>
      <c r="C20078" s="52"/>
      <c r="D20078"/>
      <c r="E20078"/>
      <c r="F20078"/>
      <c r="L20078" s="45"/>
      <c r="N20078" s="56"/>
    </row>
    <row r="20079" spans="1:14" x14ac:dyDescent="0.3">
      <c r="A20079" s="42"/>
      <c r="C20079" s="52"/>
      <c r="D20079"/>
      <c r="E20079"/>
      <c r="F20079"/>
      <c r="N20079" s="56"/>
    </row>
    <row r="20080" spans="1:14" x14ac:dyDescent="0.3">
      <c r="A20080" s="42"/>
      <c r="C20080" s="52"/>
      <c r="D20080"/>
      <c r="E20080"/>
      <c r="F20080"/>
      <c r="N20080" s="56"/>
    </row>
    <row r="20081" spans="1:14" x14ac:dyDescent="0.3">
      <c r="A20081" s="42"/>
      <c r="C20081" s="52"/>
      <c r="D20081"/>
      <c r="E20081"/>
      <c r="F20081"/>
      <c r="N20081" s="56"/>
    </row>
    <row r="20082" spans="1:14" x14ac:dyDescent="0.3">
      <c r="A20082" s="42"/>
      <c r="C20082" s="52"/>
      <c r="D20082"/>
      <c r="E20082"/>
      <c r="F20082"/>
      <c r="N20082" s="56"/>
    </row>
    <row r="20083" spans="1:14" x14ac:dyDescent="0.3">
      <c r="A20083" s="42"/>
      <c r="C20083" s="52"/>
      <c r="D20083"/>
      <c r="E20083"/>
      <c r="F20083"/>
      <c r="N20083" s="56"/>
    </row>
    <row r="20084" spans="1:14" x14ac:dyDescent="0.3">
      <c r="A20084" s="42"/>
      <c r="C20084" s="52"/>
      <c r="D20084"/>
      <c r="E20084"/>
      <c r="F20084"/>
      <c r="L20084" s="45"/>
      <c r="N20084" s="56"/>
    </row>
    <row r="20085" spans="1:14" x14ac:dyDescent="0.3">
      <c r="A20085" s="42"/>
      <c r="C20085" s="52"/>
      <c r="D20085"/>
      <c r="E20085"/>
      <c r="F20085"/>
      <c r="L20085" s="45"/>
      <c r="N20085" s="56"/>
    </row>
    <row r="20086" spans="1:14" x14ac:dyDescent="0.3">
      <c r="A20086" s="42"/>
      <c r="C20086" s="52"/>
      <c r="D20086"/>
      <c r="E20086"/>
      <c r="F20086"/>
      <c r="N20086" s="56"/>
    </row>
    <row r="20087" spans="1:14" x14ac:dyDescent="0.3">
      <c r="A20087" s="42"/>
      <c r="C20087" s="52"/>
      <c r="D20087"/>
      <c r="E20087"/>
      <c r="F20087"/>
      <c r="N20087" s="56"/>
    </row>
    <row r="20088" spans="1:14" x14ac:dyDescent="0.3">
      <c r="A20088" s="42"/>
      <c r="C20088" s="52"/>
      <c r="D20088"/>
      <c r="E20088"/>
      <c r="F20088"/>
      <c r="N20088" s="56"/>
    </row>
    <row r="20089" spans="1:14" x14ac:dyDescent="0.3">
      <c r="A20089" s="42"/>
      <c r="C20089" s="52"/>
      <c r="D20089"/>
      <c r="E20089"/>
      <c r="F20089"/>
      <c r="N20089" s="56"/>
    </row>
    <row r="20090" spans="1:14" x14ac:dyDescent="0.3">
      <c r="A20090" s="42"/>
      <c r="C20090" s="52"/>
      <c r="D20090"/>
      <c r="E20090"/>
      <c r="F20090"/>
      <c r="N20090" s="56"/>
    </row>
    <row r="20091" spans="1:14" x14ac:dyDescent="0.3">
      <c r="A20091" s="42"/>
      <c r="C20091" s="52"/>
      <c r="D20091"/>
      <c r="E20091"/>
      <c r="F20091"/>
      <c r="N20091" s="56"/>
    </row>
    <row r="20092" spans="1:14" x14ac:dyDescent="0.3">
      <c r="A20092" s="42"/>
      <c r="C20092" s="52"/>
      <c r="D20092"/>
      <c r="E20092"/>
      <c r="F20092"/>
      <c r="N20092" s="56"/>
    </row>
    <row r="20093" spans="1:14" x14ac:dyDescent="0.3">
      <c r="A20093" s="42"/>
      <c r="C20093" s="52"/>
      <c r="D20093"/>
      <c r="E20093"/>
      <c r="F20093"/>
      <c r="N20093" s="56"/>
    </row>
    <row r="20094" spans="1:14" x14ac:dyDescent="0.3">
      <c r="A20094" s="42"/>
      <c r="C20094" s="52"/>
      <c r="D20094"/>
      <c r="E20094"/>
      <c r="F20094"/>
      <c r="N20094" s="56"/>
    </row>
    <row r="20095" spans="1:14" x14ac:dyDescent="0.3">
      <c r="A20095" s="42"/>
      <c r="C20095" s="52"/>
      <c r="D20095"/>
      <c r="E20095"/>
      <c r="F20095"/>
      <c r="N20095" s="56"/>
    </row>
    <row r="20096" spans="1:14" x14ac:dyDescent="0.3">
      <c r="A20096" s="42"/>
      <c r="C20096" s="52"/>
      <c r="D20096"/>
      <c r="E20096"/>
      <c r="F20096"/>
      <c r="N20096" s="56"/>
    </row>
    <row r="20097" spans="1:14" x14ac:dyDescent="0.3">
      <c r="A20097" s="42"/>
      <c r="C20097" s="52"/>
      <c r="D20097"/>
      <c r="E20097"/>
      <c r="F20097"/>
      <c r="N20097" s="56"/>
    </row>
    <row r="20098" spans="1:14" x14ac:dyDescent="0.3">
      <c r="A20098" s="42"/>
      <c r="C20098" s="52"/>
      <c r="D20098"/>
      <c r="E20098"/>
      <c r="F20098"/>
      <c r="N20098" s="56"/>
    </row>
    <row r="20099" spans="1:14" x14ac:dyDescent="0.3">
      <c r="A20099" s="42"/>
      <c r="C20099" s="52"/>
      <c r="D20099"/>
      <c r="E20099"/>
      <c r="F20099"/>
      <c r="L20099" s="45"/>
      <c r="N20099" s="56"/>
    </row>
    <row r="20100" spans="1:14" x14ac:dyDescent="0.3">
      <c r="A20100" s="42"/>
      <c r="C20100" s="52"/>
      <c r="D20100"/>
      <c r="E20100"/>
      <c r="F20100"/>
      <c r="L20100" s="45"/>
      <c r="N20100" s="56"/>
    </row>
    <row r="20101" spans="1:14" x14ac:dyDescent="0.3">
      <c r="A20101" s="42"/>
      <c r="C20101" s="52"/>
      <c r="D20101"/>
      <c r="E20101"/>
      <c r="F20101"/>
      <c r="N20101" s="56"/>
    </row>
    <row r="20102" spans="1:14" x14ac:dyDescent="0.3">
      <c r="A20102" s="42"/>
      <c r="C20102" s="52"/>
      <c r="D20102"/>
      <c r="E20102"/>
      <c r="F20102"/>
      <c r="N20102" s="56"/>
    </row>
    <row r="20103" spans="1:14" x14ac:dyDescent="0.3">
      <c r="A20103" s="42"/>
      <c r="C20103" s="52"/>
      <c r="D20103"/>
      <c r="E20103"/>
      <c r="F20103"/>
      <c r="N20103" s="56"/>
    </row>
    <row r="20104" spans="1:14" x14ac:dyDescent="0.3">
      <c r="A20104" s="42"/>
      <c r="C20104" s="52"/>
      <c r="D20104"/>
      <c r="E20104"/>
      <c r="F20104"/>
      <c r="L20104" s="45"/>
      <c r="N20104" s="56"/>
    </row>
    <row r="20105" spans="1:14" x14ac:dyDescent="0.3">
      <c r="A20105" s="42"/>
      <c r="C20105" s="52"/>
      <c r="D20105"/>
      <c r="E20105"/>
      <c r="F20105"/>
      <c r="L20105" s="45"/>
      <c r="N20105" s="56"/>
    </row>
    <row r="20106" spans="1:14" x14ac:dyDescent="0.3">
      <c r="A20106" s="42"/>
      <c r="C20106" s="52"/>
      <c r="D20106"/>
      <c r="E20106"/>
      <c r="F20106"/>
      <c r="N20106" s="56"/>
    </row>
    <row r="20107" spans="1:14" x14ac:dyDescent="0.3">
      <c r="A20107" s="42"/>
      <c r="C20107" s="52"/>
      <c r="D20107"/>
      <c r="E20107"/>
      <c r="F20107"/>
      <c r="N20107" s="56"/>
    </row>
    <row r="20108" spans="1:14" x14ac:dyDescent="0.3">
      <c r="A20108" s="42"/>
      <c r="C20108" s="52"/>
      <c r="D20108"/>
      <c r="E20108"/>
      <c r="F20108"/>
      <c r="N20108" s="56"/>
    </row>
    <row r="20109" spans="1:14" x14ac:dyDescent="0.3">
      <c r="A20109" s="42"/>
      <c r="C20109" s="52"/>
      <c r="D20109"/>
      <c r="E20109"/>
      <c r="F20109"/>
      <c r="N20109" s="56"/>
    </row>
    <row r="20110" spans="1:14" x14ac:dyDescent="0.3">
      <c r="A20110" s="42"/>
      <c r="C20110" s="52"/>
      <c r="D20110"/>
      <c r="E20110"/>
      <c r="F20110"/>
      <c r="N20110" s="56"/>
    </row>
    <row r="20111" spans="1:14" x14ac:dyDescent="0.3">
      <c r="A20111" s="42"/>
      <c r="C20111" s="52"/>
      <c r="D20111"/>
      <c r="E20111"/>
      <c r="F20111"/>
      <c r="N20111" s="56"/>
    </row>
    <row r="20112" spans="1:14" x14ac:dyDescent="0.3">
      <c r="A20112" s="42"/>
      <c r="C20112" s="52"/>
      <c r="D20112"/>
      <c r="E20112"/>
      <c r="F20112"/>
      <c r="N20112" s="56"/>
    </row>
    <row r="20113" spans="1:14" x14ac:dyDescent="0.3">
      <c r="A20113" s="42"/>
      <c r="C20113" s="52"/>
      <c r="D20113"/>
      <c r="E20113"/>
      <c r="F20113"/>
      <c r="N20113" s="56"/>
    </row>
    <row r="20114" spans="1:14" x14ac:dyDescent="0.3">
      <c r="A20114" s="42"/>
      <c r="C20114" s="52"/>
      <c r="D20114"/>
      <c r="E20114"/>
      <c r="F20114"/>
      <c r="N20114" s="56"/>
    </row>
    <row r="20115" spans="1:14" x14ac:dyDescent="0.3">
      <c r="A20115" s="42"/>
      <c r="C20115" s="52"/>
      <c r="D20115"/>
      <c r="E20115"/>
      <c r="F20115"/>
      <c r="L20115" s="45"/>
      <c r="N20115" s="56"/>
    </row>
    <row r="20116" spans="1:14" x14ac:dyDescent="0.3">
      <c r="A20116" s="42"/>
      <c r="C20116" s="52"/>
      <c r="D20116"/>
      <c r="E20116"/>
      <c r="F20116"/>
      <c r="N20116" s="56"/>
    </row>
    <row r="20117" spans="1:14" x14ac:dyDescent="0.3">
      <c r="A20117" s="42"/>
      <c r="C20117" s="52"/>
      <c r="D20117"/>
      <c r="E20117"/>
      <c r="F20117"/>
      <c r="L20117" s="45"/>
      <c r="N20117" s="56"/>
    </row>
    <row r="20118" spans="1:14" x14ac:dyDescent="0.3">
      <c r="A20118" s="42"/>
      <c r="C20118" s="52"/>
      <c r="D20118"/>
      <c r="E20118"/>
      <c r="F20118"/>
      <c r="L20118" s="45"/>
      <c r="N20118" s="56"/>
    </row>
    <row r="20119" spans="1:14" x14ac:dyDescent="0.3">
      <c r="A20119" s="42"/>
      <c r="C20119" s="52"/>
      <c r="D20119"/>
      <c r="E20119"/>
      <c r="F20119"/>
      <c r="N20119" s="56"/>
    </row>
    <row r="20120" spans="1:14" x14ac:dyDescent="0.3">
      <c r="A20120" s="42"/>
      <c r="C20120" s="52"/>
      <c r="D20120"/>
      <c r="E20120"/>
      <c r="F20120"/>
      <c r="N20120" s="56"/>
    </row>
    <row r="20121" spans="1:14" x14ac:dyDescent="0.3">
      <c r="A20121" s="42"/>
      <c r="C20121" s="52"/>
      <c r="D20121"/>
      <c r="E20121"/>
      <c r="F20121"/>
      <c r="N20121" s="56"/>
    </row>
    <row r="20122" spans="1:14" x14ac:dyDescent="0.3">
      <c r="A20122" s="42"/>
      <c r="C20122" s="52"/>
      <c r="D20122"/>
      <c r="E20122"/>
      <c r="F20122"/>
      <c r="N20122" s="56"/>
    </row>
    <row r="20123" spans="1:14" x14ac:dyDescent="0.3">
      <c r="A20123" s="42"/>
      <c r="C20123" s="52"/>
      <c r="D20123"/>
      <c r="E20123"/>
      <c r="F20123"/>
      <c r="N20123" s="56"/>
    </row>
    <row r="20124" spans="1:14" x14ac:dyDescent="0.3">
      <c r="A20124" s="42"/>
      <c r="C20124" s="52"/>
      <c r="D20124"/>
      <c r="E20124"/>
      <c r="F20124"/>
      <c r="N20124" s="56"/>
    </row>
    <row r="20125" spans="1:14" x14ac:dyDescent="0.3">
      <c r="A20125" s="42"/>
      <c r="C20125" s="52"/>
      <c r="D20125"/>
      <c r="E20125"/>
      <c r="F20125"/>
      <c r="N20125" s="56"/>
    </row>
    <row r="20126" spans="1:14" x14ac:dyDescent="0.3">
      <c r="A20126" s="42"/>
      <c r="C20126" s="52"/>
      <c r="D20126"/>
      <c r="E20126"/>
      <c r="F20126"/>
      <c r="N20126" s="56"/>
    </row>
    <row r="20127" spans="1:14" x14ac:dyDescent="0.3">
      <c r="A20127" s="42"/>
      <c r="C20127" s="52"/>
      <c r="D20127"/>
      <c r="E20127"/>
      <c r="F20127"/>
      <c r="L20127" s="45"/>
      <c r="N20127" s="56"/>
    </row>
    <row r="20128" spans="1:14" x14ac:dyDescent="0.3">
      <c r="A20128" s="42"/>
      <c r="C20128" s="52"/>
      <c r="D20128"/>
      <c r="E20128"/>
      <c r="F20128"/>
      <c r="N20128" s="56"/>
    </row>
    <row r="20129" spans="1:14" x14ac:dyDescent="0.3">
      <c r="A20129" s="42"/>
      <c r="C20129" s="52"/>
      <c r="D20129"/>
      <c r="E20129"/>
      <c r="F20129"/>
      <c r="N20129" s="56"/>
    </row>
    <row r="20130" spans="1:14" x14ac:dyDescent="0.3">
      <c r="A20130" s="42"/>
      <c r="C20130" s="52"/>
      <c r="D20130"/>
      <c r="E20130"/>
      <c r="F20130"/>
      <c r="N20130" s="56"/>
    </row>
    <row r="20131" spans="1:14" x14ac:dyDescent="0.3">
      <c r="A20131" s="42"/>
      <c r="C20131" s="52"/>
      <c r="D20131"/>
      <c r="E20131"/>
      <c r="F20131"/>
      <c r="N20131" s="56"/>
    </row>
    <row r="20132" spans="1:14" x14ac:dyDescent="0.3">
      <c r="A20132" s="42"/>
      <c r="C20132" s="52"/>
      <c r="D20132"/>
      <c r="E20132"/>
      <c r="F20132"/>
      <c r="N20132" s="56"/>
    </row>
    <row r="20133" spans="1:14" x14ac:dyDescent="0.3">
      <c r="A20133" s="42"/>
      <c r="C20133" s="52"/>
      <c r="D20133"/>
      <c r="E20133"/>
      <c r="F20133"/>
      <c r="N20133" s="56"/>
    </row>
    <row r="20134" spans="1:14" x14ac:dyDescent="0.3">
      <c r="A20134" s="42"/>
      <c r="C20134" s="52"/>
      <c r="D20134"/>
      <c r="E20134"/>
      <c r="F20134"/>
      <c r="N20134" s="56"/>
    </row>
    <row r="20135" spans="1:14" x14ac:dyDescent="0.3">
      <c r="A20135" s="42"/>
      <c r="C20135" s="52"/>
      <c r="D20135"/>
      <c r="E20135"/>
      <c r="F20135"/>
      <c r="L20135" s="45"/>
      <c r="N20135" s="56"/>
    </row>
    <row r="20136" spans="1:14" x14ac:dyDescent="0.3">
      <c r="A20136" s="42"/>
      <c r="C20136" s="52"/>
      <c r="D20136"/>
      <c r="E20136"/>
      <c r="F20136"/>
      <c r="N20136" s="56"/>
    </row>
    <row r="20137" spans="1:14" x14ac:dyDescent="0.3">
      <c r="A20137" s="42"/>
      <c r="C20137" s="52"/>
      <c r="D20137"/>
      <c r="E20137"/>
      <c r="F20137"/>
      <c r="N20137" s="56"/>
    </row>
    <row r="20138" spans="1:14" x14ac:dyDescent="0.3">
      <c r="A20138" s="42"/>
      <c r="C20138" s="52"/>
      <c r="D20138"/>
      <c r="E20138"/>
      <c r="F20138"/>
      <c r="N20138" s="56"/>
    </row>
    <row r="20139" spans="1:14" x14ac:dyDescent="0.3">
      <c r="A20139" s="42"/>
      <c r="C20139" s="52"/>
      <c r="D20139"/>
      <c r="E20139"/>
      <c r="F20139"/>
      <c r="N20139" s="56"/>
    </row>
    <row r="20140" spans="1:14" x14ac:dyDescent="0.3">
      <c r="A20140" s="42"/>
      <c r="C20140" s="52"/>
      <c r="D20140"/>
      <c r="E20140"/>
      <c r="F20140"/>
      <c r="N20140" s="56"/>
    </row>
    <row r="20141" spans="1:14" x14ac:dyDescent="0.3">
      <c r="A20141" s="42"/>
      <c r="C20141" s="52"/>
      <c r="D20141"/>
      <c r="E20141"/>
      <c r="F20141"/>
      <c r="N20141" s="56"/>
    </row>
    <row r="20142" spans="1:14" x14ac:dyDescent="0.3">
      <c r="A20142" s="42"/>
      <c r="C20142" s="52"/>
      <c r="D20142"/>
      <c r="E20142"/>
      <c r="F20142"/>
      <c r="N20142" s="56"/>
    </row>
    <row r="20143" spans="1:14" x14ac:dyDescent="0.3">
      <c r="A20143" s="42"/>
      <c r="C20143" s="52"/>
      <c r="D20143"/>
      <c r="E20143"/>
      <c r="F20143"/>
      <c r="N20143" s="56"/>
    </row>
    <row r="20144" spans="1:14" x14ac:dyDescent="0.3">
      <c r="A20144" s="42"/>
      <c r="C20144" s="52"/>
      <c r="D20144"/>
      <c r="E20144"/>
      <c r="F20144"/>
      <c r="N20144" s="56"/>
    </row>
    <row r="20145" spans="1:14" x14ac:dyDescent="0.3">
      <c r="A20145" s="42"/>
      <c r="C20145" s="52"/>
      <c r="D20145"/>
      <c r="E20145"/>
      <c r="F20145"/>
      <c r="N20145" s="56"/>
    </row>
    <row r="20146" spans="1:14" x14ac:dyDescent="0.3">
      <c r="A20146" s="42"/>
      <c r="C20146" s="52"/>
      <c r="D20146"/>
      <c r="E20146"/>
      <c r="F20146"/>
      <c r="N20146" s="56"/>
    </row>
    <row r="20147" spans="1:14" x14ac:dyDescent="0.3">
      <c r="A20147" s="42"/>
      <c r="C20147" s="52"/>
      <c r="D20147"/>
      <c r="E20147"/>
      <c r="F20147"/>
      <c r="N20147" s="56"/>
    </row>
    <row r="20148" spans="1:14" x14ac:dyDescent="0.3">
      <c r="A20148" s="42"/>
      <c r="C20148" s="52"/>
      <c r="D20148"/>
      <c r="E20148"/>
      <c r="F20148"/>
      <c r="N20148" s="56"/>
    </row>
    <row r="20149" spans="1:14" x14ac:dyDescent="0.3">
      <c r="A20149" s="42"/>
      <c r="C20149" s="52"/>
      <c r="D20149"/>
      <c r="E20149"/>
      <c r="F20149"/>
      <c r="N20149" s="56"/>
    </row>
    <row r="20150" spans="1:14" x14ac:dyDescent="0.3">
      <c r="A20150" s="42"/>
      <c r="C20150" s="52"/>
      <c r="D20150"/>
      <c r="E20150"/>
      <c r="F20150"/>
      <c r="N20150" s="56"/>
    </row>
    <row r="20151" spans="1:14" x14ac:dyDescent="0.3">
      <c r="A20151" s="42"/>
      <c r="C20151" s="52"/>
      <c r="D20151"/>
      <c r="E20151"/>
      <c r="F20151"/>
      <c r="N20151" s="56"/>
    </row>
    <row r="20152" spans="1:14" x14ac:dyDescent="0.3">
      <c r="A20152" s="42"/>
      <c r="C20152" s="52"/>
      <c r="D20152"/>
      <c r="E20152"/>
      <c r="F20152"/>
      <c r="N20152" s="56"/>
    </row>
    <row r="20153" spans="1:14" x14ac:dyDescent="0.3">
      <c r="A20153" s="42"/>
      <c r="C20153" s="52"/>
      <c r="D20153"/>
      <c r="E20153"/>
      <c r="F20153"/>
      <c r="N20153" s="56"/>
    </row>
    <row r="20154" spans="1:14" x14ac:dyDescent="0.3">
      <c r="A20154" s="42"/>
      <c r="C20154" s="52"/>
      <c r="D20154"/>
      <c r="E20154"/>
      <c r="F20154"/>
      <c r="N20154" s="56"/>
    </row>
    <row r="20155" spans="1:14" x14ac:dyDescent="0.3">
      <c r="A20155" s="42"/>
      <c r="C20155" s="52"/>
      <c r="D20155"/>
      <c r="E20155"/>
      <c r="F20155"/>
      <c r="N20155" s="56"/>
    </row>
    <row r="20156" spans="1:14" x14ac:dyDescent="0.3">
      <c r="A20156" s="42"/>
      <c r="C20156" s="52"/>
      <c r="D20156"/>
      <c r="E20156"/>
      <c r="F20156"/>
      <c r="N20156" s="56"/>
    </row>
    <row r="20157" spans="1:14" x14ac:dyDescent="0.3">
      <c r="A20157" s="42"/>
      <c r="C20157" s="52"/>
      <c r="D20157"/>
      <c r="E20157"/>
      <c r="F20157"/>
      <c r="L20157" s="45"/>
      <c r="N20157" s="56"/>
    </row>
    <row r="20158" spans="1:14" x14ac:dyDescent="0.3">
      <c r="A20158" s="42"/>
      <c r="C20158" s="52"/>
      <c r="D20158"/>
      <c r="E20158"/>
      <c r="N20158" s="56"/>
    </row>
    <row r="20159" spans="1:14" x14ac:dyDescent="0.3">
      <c r="A20159" s="42"/>
      <c r="C20159" s="52"/>
      <c r="D20159"/>
      <c r="E20159"/>
      <c r="N20159" s="56"/>
    </row>
    <row r="20160" spans="1:14" x14ac:dyDescent="0.3">
      <c r="A20160" s="42"/>
      <c r="C20160" s="52"/>
      <c r="D20160"/>
      <c r="E20160"/>
      <c r="N20160" s="56"/>
    </row>
    <row r="20161" spans="1:14" x14ac:dyDescent="0.3">
      <c r="A20161" s="42"/>
      <c r="C20161" s="52"/>
      <c r="D20161"/>
      <c r="E20161"/>
      <c r="N20161" s="56"/>
    </row>
    <row r="20162" spans="1:14" x14ac:dyDescent="0.3">
      <c r="A20162" s="42"/>
      <c r="C20162" s="52"/>
      <c r="D20162"/>
      <c r="E20162"/>
      <c r="N20162" s="56"/>
    </row>
    <row r="20163" spans="1:14" x14ac:dyDescent="0.3">
      <c r="A20163" s="42"/>
      <c r="C20163" s="52"/>
      <c r="D20163"/>
      <c r="E20163"/>
      <c r="N20163" s="56"/>
    </row>
    <row r="20164" spans="1:14" x14ac:dyDescent="0.3">
      <c r="A20164" s="42"/>
      <c r="C20164" s="52"/>
      <c r="D20164"/>
      <c r="E20164"/>
      <c r="N20164" s="56"/>
    </row>
    <row r="20165" spans="1:14" x14ac:dyDescent="0.3">
      <c r="A20165" s="42"/>
      <c r="C20165" s="52"/>
      <c r="D20165"/>
      <c r="E20165"/>
      <c r="N20165" s="56"/>
    </row>
    <row r="20166" spans="1:14" x14ac:dyDescent="0.3">
      <c r="A20166" s="42"/>
      <c r="C20166" s="52"/>
      <c r="D20166"/>
      <c r="E20166"/>
      <c r="N20166" s="56"/>
    </row>
    <row r="20167" spans="1:14" x14ac:dyDescent="0.3">
      <c r="A20167" s="42"/>
      <c r="C20167" s="52"/>
      <c r="D20167"/>
      <c r="E20167"/>
      <c r="N20167" s="56"/>
    </row>
    <row r="20168" spans="1:14" x14ac:dyDescent="0.3">
      <c r="A20168" s="42"/>
      <c r="C20168" s="52"/>
      <c r="D20168"/>
      <c r="E20168"/>
      <c r="N20168" s="56"/>
    </row>
    <row r="20169" spans="1:14" x14ac:dyDescent="0.3">
      <c r="A20169" s="42"/>
      <c r="C20169" s="52"/>
      <c r="D20169"/>
      <c r="E20169"/>
      <c r="N20169" s="56"/>
    </row>
    <row r="20170" spans="1:14" x14ac:dyDescent="0.3">
      <c r="A20170" s="42"/>
      <c r="C20170" s="52"/>
      <c r="D20170"/>
      <c r="E20170"/>
      <c r="N20170" s="56"/>
    </row>
    <row r="20171" spans="1:14" x14ac:dyDescent="0.3">
      <c r="A20171" s="42"/>
      <c r="C20171" s="52"/>
      <c r="D20171"/>
      <c r="E20171"/>
      <c r="N20171" s="56"/>
    </row>
    <row r="20172" spans="1:14" x14ac:dyDescent="0.3">
      <c r="A20172" s="42"/>
      <c r="C20172" s="52"/>
      <c r="D20172"/>
      <c r="E20172"/>
      <c r="N20172" s="56"/>
    </row>
    <row r="20173" spans="1:14" x14ac:dyDescent="0.3">
      <c r="A20173" s="42"/>
      <c r="C20173" s="52"/>
      <c r="D20173"/>
      <c r="E20173"/>
      <c r="N20173" s="56"/>
    </row>
    <row r="20174" spans="1:14" x14ac:dyDescent="0.3">
      <c r="A20174" s="42"/>
      <c r="C20174" s="52"/>
      <c r="D20174"/>
      <c r="E20174"/>
      <c r="N20174" s="56"/>
    </row>
    <row r="20175" spans="1:14" x14ac:dyDescent="0.3">
      <c r="A20175" s="42"/>
      <c r="C20175" s="52"/>
      <c r="D20175"/>
      <c r="E20175"/>
      <c r="N20175" s="56"/>
    </row>
    <row r="20176" spans="1:14" x14ac:dyDescent="0.3">
      <c r="A20176" s="42"/>
      <c r="C20176" s="52"/>
      <c r="D20176"/>
      <c r="E20176"/>
      <c r="N20176" s="56"/>
    </row>
    <row r="20177" spans="1:14" x14ac:dyDescent="0.3">
      <c r="A20177" s="42"/>
      <c r="C20177" s="52"/>
      <c r="D20177"/>
      <c r="E20177"/>
      <c r="N20177" s="56"/>
    </row>
    <row r="20178" spans="1:14" x14ac:dyDescent="0.3">
      <c r="A20178" s="42"/>
      <c r="C20178" s="52"/>
      <c r="D20178"/>
      <c r="E20178"/>
      <c r="N20178" s="56"/>
    </row>
    <row r="20179" spans="1:14" x14ac:dyDescent="0.3">
      <c r="A20179" s="42"/>
      <c r="C20179" s="52"/>
      <c r="D20179"/>
      <c r="E20179"/>
      <c r="N20179" s="56"/>
    </row>
    <row r="20180" spans="1:14" x14ac:dyDescent="0.3">
      <c r="A20180" s="42"/>
      <c r="C20180" s="52"/>
      <c r="D20180"/>
      <c r="E20180"/>
      <c r="N20180" s="56"/>
    </row>
    <row r="20181" spans="1:14" x14ac:dyDescent="0.3">
      <c r="A20181" s="42"/>
      <c r="C20181" s="52"/>
      <c r="D20181"/>
      <c r="E20181"/>
      <c r="N20181" s="56"/>
    </row>
    <row r="20182" spans="1:14" x14ac:dyDescent="0.3">
      <c r="A20182" s="42"/>
      <c r="C20182" s="52"/>
      <c r="D20182"/>
      <c r="E20182"/>
      <c r="N20182" s="56"/>
    </row>
    <row r="20183" spans="1:14" x14ac:dyDescent="0.3">
      <c r="A20183" s="42"/>
      <c r="C20183" s="52"/>
      <c r="D20183"/>
      <c r="E20183"/>
      <c r="N20183" s="56"/>
    </row>
    <row r="20184" spans="1:14" x14ac:dyDescent="0.3">
      <c r="A20184" s="42"/>
      <c r="C20184" s="52"/>
      <c r="D20184"/>
      <c r="E20184"/>
      <c r="N20184" s="56"/>
    </row>
    <row r="20185" spans="1:14" x14ac:dyDescent="0.3">
      <c r="A20185" s="42"/>
      <c r="C20185" s="52"/>
      <c r="D20185"/>
      <c r="E20185"/>
      <c r="N20185" s="56"/>
    </row>
    <row r="20186" spans="1:14" x14ac:dyDescent="0.3">
      <c r="A20186" s="42"/>
      <c r="C20186" s="52"/>
      <c r="D20186"/>
      <c r="E20186"/>
      <c r="N20186" s="56"/>
    </row>
    <row r="20187" spans="1:14" x14ac:dyDescent="0.3">
      <c r="A20187" s="42"/>
      <c r="C20187" s="52"/>
      <c r="D20187"/>
      <c r="E20187"/>
      <c r="N20187" s="56"/>
    </row>
    <row r="20188" spans="1:14" x14ac:dyDescent="0.3">
      <c r="A20188" s="42"/>
      <c r="C20188" s="52"/>
      <c r="D20188"/>
      <c r="E20188"/>
      <c r="N20188" s="56"/>
    </row>
    <row r="20189" spans="1:14" x14ac:dyDescent="0.3">
      <c r="A20189" s="42"/>
      <c r="C20189" s="52"/>
      <c r="D20189"/>
      <c r="E20189"/>
      <c r="N20189" s="56"/>
    </row>
    <row r="20190" spans="1:14" x14ac:dyDescent="0.3">
      <c r="A20190" s="42"/>
      <c r="C20190" s="52"/>
      <c r="D20190"/>
      <c r="E20190"/>
      <c r="N20190" s="56"/>
    </row>
    <row r="20191" spans="1:14" x14ac:dyDescent="0.3">
      <c r="A20191" s="42"/>
      <c r="C20191" s="52"/>
      <c r="D20191"/>
      <c r="E20191"/>
      <c r="N20191" s="56"/>
    </row>
    <row r="20192" spans="1:14" x14ac:dyDescent="0.3">
      <c r="A20192" s="42"/>
      <c r="C20192" s="52"/>
      <c r="D20192"/>
      <c r="E20192"/>
      <c r="N20192" s="56"/>
    </row>
    <row r="20193" spans="1:14" x14ac:dyDescent="0.3">
      <c r="A20193" s="42"/>
      <c r="C20193" s="52"/>
      <c r="D20193"/>
      <c r="E20193"/>
      <c r="N20193" s="56"/>
    </row>
    <row r="20194" spans="1:14" x14ac:dyDescent="0.3">
      <c r="A20194" s="42"/>
      <c r="C20194" s="52"/>
      <c r="D20194"/>
      <c r="E20194"/>
      <c r="N20194" s="56"/>
    </row>
    <row r="20195" spans="1:14" x14ac:dyDescent="0.3">
      <c r="A20195" s="42"/>
      <c r="C20195" s="52"/>
      <c r="D20195"/>
      <c r="E20195"/>
      <c r="N20195" s="56"/>
    </row>
    <row r="20196" spans="1:14" x14ac:dyDescent="0.3">
      <c r="A20196" s="42"/>
      <c r="C20196" s="52"/>
      <c r="D20196"/>
      <c r="E20196"/>
      <c r="N20196" s="56"/>
    </row>
    <row r="20197" spans="1:14" x14ac:dyDescent="0.3">
      <c r="A20197" s="42"/>
      <c r="C20197" s="52"/>
      <c r="D20197"/>
      <c r="E20197"/>
      <c r="N20197" s="56"/>
    </row>
    <row r="20198" spans="1:14" x14ac:dyDescent="0.3">
      <c r="A20198" s="42"/>
      <c r="C20198" s="52"/>
      <c r="D20198"/>
      <c r="E20198"/>
      <c r="N20198" s="56"/>
    </row>
    <row r="20199" spans="1:14" x14ac:dyDescent="0.3">
      <c r="A20199" s="42"/>
      <c r="C20199" s="52"/>
      <c r="D20199"/>
      <c r="E20199"/>
      <c r="N20199" s="56"/>
    </row>
    <row r="20200" spans="1:14" x14ac:dyDescent="0.3">
      <c r="A20200" s="42"/>
      <c r="C20200" s="52"/>
      <c r="D20200"/>
      <c r="E20200"/>
      <c r="N20200" s="56"/>
    </row>
    <row r="20201" spans="1:14" x14ac:dyDescent="0.3">
      <c r="A20201" s="42"/>
      <c r="C20201" s="52"/>
      <c r="D20201"/>
      <c r="E20201"/>
      <c r="N20201" s="56"/>
    </row>
    <row r="20202" spans="1:14" x14ac:dyDescent="0.3">
      <c r="A20202" s="42"/>
      <c r="C20202" s="52"/>
      <c r="D20202"/>
      <c r="E20202"/>
      <c r="N20202" s="56"/>
    </row>
    <row r="20203" spans="1:14" x14ac:dyDescent="0.3">
      <c r="A20203" s="42"/>
      <c r="C20203" s="52"/>
      <c r="D20203"/>
      <c r="E20203"/>
      <c r="N20203" s="56"/>
    </row>
    <row r="20204" spans="1:14" x14ac:dyDescent="0.3">
      <c r="A20204" s="42"/>
      <c r="C20204" s="52"/>
      <c r="D20204"/>
      <c r="E20204"/>
      <c r="N20204" s="56"/>
    </row>
    <row r="20205" spans="1:14" x14ac:dyDescent="0.3">
      <c r="A20205" s="42"/>
      <c r="C20205" s="52"/>
      <c r="D20205"/>
      <c r="E20205"/>
      <c r="N20205" s="56"/>
    </row>
    <row r="20206" spans="1:14" x14ac:dyDescent="0.3">
      <c r="A20206" s="42"/>
      <c r="C20206" s="52"/>
      <c r="D20206"/>
      <c r="E20206"/>
      <c r="N20206" s="56"/>
    </row>
    <row r="20207" spans="1:14" x14ac:dyDescent="0.3">
      <c r="A20207" s="42"/>
      <c r="C20207" s="52"/>
      <c r="D20207"/>
      <c r="E20207"/>
      <c r="N20207" s="56"/>
    </row>
    <row r="20208" spans="1:14" x14ac:dyDescent="0.3">
      <c r="A20208" s="42"/>
      <c r="C20208" s="52"/>
      <c r="D20208"/>
      <c r="E20208"/>
      <c r="N20208" s="56"/>
    </row>
    <row r="20209" spans="1:14" x14ac:dyDescent="0.3">
      <c r="A20209" s="42"/>
      <c r="C20209" s="52"/>
      <c r="D20209"/>
      <c r="E20209"/>
      <c r="N20209" s="56"/>
    </row>
    <row r="20210" spans="1:14" x14ac:dyDescent="0.3">
      <c r="A20210" s="42"/>
      <c r="C20210" s="52"/>
      <c r="D20210"/>
      <c r="E20210"/>
      <c r="N20210" s="56"/>
    </row>
    <row r="20211" spans="1:14" x14ac:dyDescent="0.3">
      <c r="A20211" s="42"/>
      <c r="C20211" s="52"/>
      <c r="D20211"/>
      <c r="E20211"/>
      <c r="N20211" s="56"/>
    </row>
    <row r="20212" spans="1:14" x14ac:dyDescent="0.3">
      <c r="A20212" s="42"/>
      <c r="C20212" s="52"/>
      <c r="D20212"/>
      <c r="E20212"/>
      <c r="N20212" s="56"/>
    </row>
    <row r="20213" spans="1:14" x14ac:dyDescent="0.3">
      <c r="A20213" s="42"/>
      <c r="C20213" s="52"/>
      <c r="D20213"/>
      <c r="E20213"/>
      <c r="N20213" s="56"/>
    </row>
    <row r="20214" spans="1:14" x14ac:dyDescent="0.3">
      <c r="A20214" s="42"/>
      <c r="C20214" s="52"/>
      <c r="D20214"/>
      <c r="E20214"/>
      <c r="N20214" s="56"/>
    </row>
    <row r="20215" spans="1:14" x14ac:dyDescent="0.3">
      <c r="A20215" s="42"/>
      <c r="C20215" s="52"/>
      <c r="D20215"/>
      <c r="E20215"/>
      <c r="N20215" s="56"/>
    </row>
    <row r="20216" spans="1:14" x14ac:dyDescent="0.3">
      <c r="A20216" s="42"/>
      <c r="C20216" s="52"/>
      <c r="D20216"/>
      <c r="E20216"/>
      <c r="N20216" s="56"/>
    </row>
    <row r="20217" spans="1:14" x14ac:dyDescent="0.3">
      <c r="A20217" s="42"/>
      <c r="C20217" s="52"/>
      <c r="D20217"/>
      <c r="E20217"/>
      <c r="N20217" s="56"/>
    </row>
    <row r="20218" spans="1:14" x14ac:dyDescent="0.3">
      <c r="A20218" s="42"/>
      <c r="C20218" s="52"/>
      <c r="D20218"/>
      <c r="E20218"/>
      <c r="N20218" s="56"/>
    </row>
    <row r="20219" spans="1:14" x14ac:dyDescent="0.3">
      <c r="A20219" s="42"/>
      <c r="C20219" s="52"/>
      <c r="D20219"/>
      <c r="E20219"/>
      <c r="N20219" s="56"/>
    </row>
    <row r="20220" spans="1:14" x14ac:dyDescent="0.3">
      <c r="A20220" s="42"/>
      <c r="C20220" s="52"/>
      <c r="D20220"/>
      <c r="E20220"/>
      <c r="N20220" s="56"/>
    </row>
    <row r="20221" spans="1:14" x14ac:dyDescent="0.3">
      <c r="A20221" s="42"/>
      <c r="C20221" s="52"/>
      <c r="D20221"/>
      <c r="E20221"/>
      <c r="N20221" s="56"/>
    </row>
    <row r="20222" spans="1:14" x14ac:dyDescent="0.3">
      <c r="A20222" s="42"/>
      <c r="C20222" s="52"/>
      <c r="D20222"/>
      <c r="E20222"/>
      <c r="N20222" s="56"/>
    </row>
    <row r="20223" spans="1:14" x14ac:dyDescent="0.3">
      <c r="A20223" s="42"/>
      <c r="C20223" s="52"/>
      <c r="D20223"/>
      <c r="E20223"/>
      <c r="N20223" s="56"/>
    </row>
    <row r="20224" spans="1:14" x14ac:dyDescent="0.3">
      <c r="A20224" s="42"/>
      <c r="C20224" s="52"/>
      <c r="D20224"/>
      <c r="E20224"/>
      <c r="N20224" s="56"/>
    </row>
    <row r="20225" spans="1:14" x14ac:dyDescent="0.3">
      <c r="A20225" s="42"/>
      <c r="C20225" s="52"/>
      <c r="D20225"/>
      <c r="E20225"/>
      <c r="N20225" s="56"/>
    </row>
    <row r="20226" spans="1:14" x14ac:dyDescent="0.3">
      <c r="A20226" s="42"/>
      <c r="C20226" s="52"/>
      <c r="D20226"/>
      <c r="E20226"/>
      <c r="N20226" s="56"/>
    </row>
    <row r="20227" spans="1:14" x14ac:dyDescent="0.3">
      <c r="A20227" s="42"/>
      <c r="C20227" s="52"/>
      <c r="D20227"/>
      <c r="E20227"/>
      <c r="N20227" s="56"/>
    </row>
    <row r="20228" spans="1:14" x14ac:dyDescent="0.3">
      <c r="A20228" s="42"/>
      <c r="C20228" s="52"/>
      <c r="D20228"/>
      <c r="E20228"/>
      <c r="N20228" s="56"/>
    </row>
    <row r="20229" spans="1:14" x14ac:dyDescent="0.3">
      <c r="A20229" s="42"/>
      <c r="C20229" s="52"/>
      <c r="D20229"/>
      <c r="E20229"/>
      <c r="N20229" s="56"/>
    </row>
    <row r="20230" spans="1:14" x14ac:dyDescent="0.3">
      <c r="A20230" s="42"/>
      <c r="C20230" s="52"/>
      <c r="D20230"/>
      <c r="E20230"/>
      <c r="N20230" s="56"/>
    </row>
    <row r="20231" spans="1:14" x14ac:dyDescent="0.3">
      <c r="A20231" s="42"/>
      <c r="C20231" s="52"/>
      <c r="D20231"/>
      <c r="E20231"/>
      <c r="N20231" s="56"/>
    </row>
    <row r="20232" spans="1:14" x14ac:dyDescent="0.3">
      <c r="A20232" s="42"/>
      <c r="C20232" s="52"/>
      <c r="D20232"/>
      <c r="E20232"/>
      <c r="N20232" s="56"/>
    </row>
    <row r="20233" spans="1:14" x14ac:dyDescent="0.3">
      <c r="A20233" s="42"/>
      <c r="C20233" s="52"/>
      <c r="D20233"/>
      <c r="E20233"/>
      <c r="N20233" s="56"/>
    </row>
    <row r="20234" spans="1:14" x14ac:dyDescent="0.3">
      <c r="A20234" s="42"/>
      <c r="C20234" s="52"/>
      <c r="D20234"/>
      <c r="E20234"/>
      <c r="N20234" s="56"/>
    </row>
    <row r="20235" spans="1:14" x14ac:dyDescent="0.3">
      <c r="A20235" s="42"/>
      <c r="C20235" s="52"/>
      <c r="D20235"/>
      <c r="E20235"/>
      <c r="N20235" s="56"/>
    </row>
    <row r="20236" spans="1:14" x14ac:dyDescent="0.3">
      <c r="A20236" s="42"/>
      <c r="C20236" s="52"/>
      <c r="D20236"/>
      <c r="E20236"/>
      <c r="N20236" s="56"/>
    </row>
    <row r="20237" spans="1:14" x14ac:dyDescent="0.3">
      <c r="A20237" s="42"/>
      <c r="C20237" s="52"/>
      <c r="D20237"/>
      <c r="E20237"/>
      <c r="N20237" s="56"/>
    </row>
    <row r="20238" spans="1:14" x14ac:dyDescent="0.3">
      <c r="A20238" s="42"/>
      <c r="C20238" s="52"/>
      <c r="D20238"/>
      <c r="E20238"/>
      <c r="N20238" s="56"/>
    </row>
    <row r="20239" spans="1:14" x14ac:dyDescent="0.3">
      <c r="A20239" s="42"/>
      <c r="C20239" s="52"/>
      <c r="D20239"/>
      <c r="E20239"/>
      <c r="N20239" s="56"/>
    </row>
    <row r="20240" spans="1:14" x14ac:dyDescent="0.3">
      <c r="A20240" s="42"/>
      <c r="C20240" s="52"/>
      <c r="D20240"/>
      <c r="E20240"/>
      <c r="N20240" s="56"/>
    </row>
    <row r="20241" spans="1:14" x14ac:dyDescent="0.3">
      <c r="A20241" s="42"/>
      <c r="C20241" s="52"/>
      <c r="D20241"/>
      <c r="E20241"/>
      <c r="N20241" s="56"/>
    </row>
    <row r="20242" spans="1:14" x14ac:dyDescent="0.3">
      <c r="A20242" s="42"/>
      <c r="C20242" s="52"/>
      <c r="D20242"/>
      <c r="E20242"/>
      <c r="N20242" s="56"/>
    </row>
    <row r="20243" spans="1:14" x14ac:dyDescent="0.3">
      <c r="A20243" s="42"/>
      <c r="C20243" s="52"/>
      <c r="D20243"/>
      <c r="E20243"/>
      <c r="N20243" s="56"/>
    </row>
    <row r="20244" spans="1:14" x14ac:dyDescent="0.3">
      <c r="A20244" s="42"/>
      <c r="C20244" s="52"/>
      <c r="D20244"/>
      <c r="E20244"/>
      <c r="N20244" s="56"/>
    </row>
    <row r="20245" spans="1:14" x14ac:dyDescent="0.3">
      <c r="A20245" s="42"/>
      <c r="C20245" s="52"/>
      <c r="D20245"/>
      <c r="E20245"/>
      <c r="N20245" s="56"/>
    </row>
    <row r="20246" spans="1:14" x14ac:dyDescent="0.3">
      <c r="A20246" s="42"/>
      <c r="C20246" s="52"/>
      <c r="D20246"/>
      <c r="E20246"/>
      <c r="N20246" s="56"/>
    </row>
    <row r="20247" spans="1:14" x14ac:dyDescent="0.3">
      <c r="A20247" s="42"/>
      <c r="C20247" s="52"/>
      <c r="D20247"/>
      <c r="E20247"/>
      <c r="N20247" s="56"/>
    </row>
    <row r="20248" spans="1:14" x14ac:dyDescent="0.3">
      <c r="A20248" s="42"/>
      <c r="C20248" s="52"/>
      <c r="D20248"/>
      <c r="E20248"/>
      <c r="M20248" s="45"/>
      <c r="N20248" s="56"/>
    </row>
    <row r="20249" spans="1:14" x14ac:dyDescent="0.3">
      <c r="A20249" s="42"/>
      <c r="C20249" s="52"/>
      <c r="D20249"/>
      <c r="E20249"/>
      <c r="N20249" s="56"/>
    </row>
    <row r="20250" spans="1:14" x14ac:dyDescent="0.3">
      <c r="A20250" s="42"/>
      <c r="C20250" s="52"/>
      <c r="D20250"/>
      <c r="E20250"/>
      <c r="N20250" s="56"/>
    </row>
    <row r="20251" spans="1:14" x14ac:dyDescent="0.3">
      <c r="A20251" s="42"/>
      <c r="C20251" s="52"/>
      <c r="D20251"/>
      <c r="E20251"/>
      <c r="N20251" s="56"/>
    </row>
    <row r="20252" spans="1:14" x14ac:dyDescent="0.3">
      <c r="A20252" s="42"/>
      <c r="C20252" s="52"/>
      <c r="D20252"/>
      <c r="E20252"/>
      <c r="N20252" s="56"/>
    </row>
    <row r="20253" spans="1:14" x14ac:dyDescent="0.3">
      <c r="A20253" s="42"/>
      <c r="C20253" s="52"/>
      <c r="D20253"/>
      <c r="E20253"/>
      <c r="N20253" s="56"/>
    </row>
    <row r="20254" spans="1:14" x14ac:dyDescent="0.3">
      <c r="A20254" s="42"/>
      <c r="C20254" s="52"/>
      <c r="D20254"/>
      <c r="E20254"/>
      <c r="N20254" s="56"/>
    </row>
    <row r="20255" spans="1:14" x14ac:dyDescent="0.3">
      <c r="A20255" s="42"/>
      <c r="C20255" s="52"/>
      <c r="D20255"/>
      <c r="E20255"/>
      <c r="N20255" s="56"/>
    </row>
    <row r="20256" spans="1:14" x14ac:dyDescent="0.3">
      <c r="A20256" s="42"/>
      <c r="C20256" s="52"/>
      <c r="D20256"/>
      <c r="E20256"/>
      <c r="N20256" s="56"/>
    </row>
    <row r="20257" spans="1:14" x14ac:dyDescent="0.3">
      <c r="A20257" s="42"/>
      <c r="C20257" s="52"/>
      <c r="D20257"/>
      <c r="E20257"/>
      <c r="N20257" s="56"/>
    </row>
    <row r="20258" spans="1:14" x14ac:dyDescent="0.3">
      <c r="A20258" s="42"/>
      <c r="C20258" s="52"/>
      <c r="D20258"/>
      <c r="E20258"/>
      <c r="N20258" s="56"/>
    </row>
    <row r="20259" spans="1:14" x14ac:dyDescent="0.3">
      <c r="A20259" s="42"/>
      <c r="C20259" s="52"/>
      <c r="D20259"/>
      <c r="E20259"/>
      <c r="N20259" s="56"/>
    </row>
    <row r="20260" spans="1:14" x14ac:dyDescent="0.3">
      <c r="A20260" s="42"/>
      <c r="C20260" s="52"/>
      <c r="D20260"/>
      <c r="E20260"/>
      <c r="N20260" s="56"/>
    </row>
    <row r="20261" spans="1:14" x14ac:dyDescent="0.3">
      <c r="A20261" s="42"/>
      <c r="C20261" s="52"/>
      <c r="D20261"/>
      <c r="E20261"/>
      <c r="N20261" s="56"/>
    </row>
    <row r="20262" spans="1:14" x14ac:dyDescent="0.3">
      <c r="A20262" s="42"/>
      <c r="C20262" s="52"/>
      <c r="D20262"/>
      <c r="E20262"/>
      <c r="N20262" s="56"/>
    </row>
    <row r="20263" spans="1:14" x14ac:dyDescent="0.3">
      <c r="A20263" s="42"/>
      <c r="C20263" s="52"/>
      <c r="D20263"/>
      <c r="E20263"/>
      <c r="N20263" s="56"/>
    </row>
    <row r="20264" spans="1:14" x14ac:dyDescent="0.3">
      <c r="A20264" s="42"/>
      <c r="C20264" s="52"/>
      <c r="D20264"/>
      <c r="E20264"/>
      <c r="N20264" s="56"/>
    </row>
    <row r="20265" spans="1:14" x14ac:dyDescent="0.3">
      <c r="A20265" s="42"/>
      <c r="C20265" s="52"/>
      <c r="D20265"/>
      <c r="E20265"/>
      <c r="N20265" s="56"/>
    </row>
    <row r="20266" spans="1:14" x14ac:dyDescent="0.3">
      <c r="A20266" s="42"/>
      <c r="C20266" s="52"/>
      <c r="D20266"/>
      <c r="E20266"/>
      <c r="N20266" s="56"/>
    </row>
    <row r="20267" spans="1:14" x14ac:dyDescent="0.3">
      <c r="A20267" s="42"/>
      <c r="C20267" s="52"/>
      <c r="D20267"/>
      <c r="E20267"/>
      <c r="N20267" s="56"/>
    </row>
    <row r="20268" spans="1:14" x14ac:dyDescent="0.3">
      <c r="A20268" s="42"/>
      <c r="C20268" s="52"/>
      <c r="D20268"/>
      <c r="E20268"/>
      <c r="N20268" s="56"/>
    </row>
    <row r="20269" spans="1:14" x14ac:dyDescent="0.3">
      <c r="A20269" s="42"/>
      <c r="C20269" s="52"/>
      <c r="D20269"/>
      <c r="E20269"/>
      <c r="N20269" s="56"/>
    </row>
    <row r="20270" spans="1:14" x14ac:dyDescent="0.3">
      <c r="A20270" s="42"/>
      <c r="C20270" s="52"/>
      <c r="D20270"/>
      <c r="E20270"/>
      <c r="N20270" s="56"/>
    </row>
    <row r="20271" spans="1:14" x14ac:dyDescent="0.3">
      <c r="A20271" s="42"/>
      <c r="C20271" s="52"/>
      <c r="D20271"/>
      <c r="E20271"/>
      <c r="N20271" s="56"/>
    </row>
    <row r="20272" spans="1:14" x14ac:dyDescent="0.3">
      <c r="A20272" s="42"/>
      <c r="C20272" s="52"/>
      <c r="D20272"/>
      <c r="E20272"/>
      <c r="N20272" s="56"/>
    </row>
    <row r="20273" spans="1:14" x14ac:dyDescent="0.3">
      <c r="A20273" s="42"/>
      <c r="C20273" s="52"/>
      <c r="D20273"/>
      <c r="E20273"/>
      <c r="N20273" s="56"/>
    </row>
    <row r="20274" spans="1:14" x14ac:dyDescent="0.3">
      <c r="A20274" s="42"/>
      <c r="C20274" s="52"/>
      <c r="D20274"/>
      <c r="E20274"/>
      <c r="N20274" s="56"/>
    </row>
    <row r="20275" spans="1:14" x14ac:dyDescent="0.3">
      <c r="A20275" s="42"/>
      <c r="C20275" s="52"/>
      <c r="D20275"/>
      <c r="E20275"/>
      <c r="N20275" s="56"/>
    </row>
    <row r="20276" spans="1:14" x14ac:dyDescent="0.3">
      <c r="A20276" s="42"/>
      <c r="C20276" s="52"/>
      <c r="D20276"/>
      <c r="E20276"/>
      <c r="N20276" s="56"/>
    </row>
    <row r="20277" spans="1:14" x14ac:dyDescent="0.3">
      <c r="A20277" s="42"/>
      <c r="C20277" s="52"/>
      <c r="D20277"/>
      <c r="E20277"/>
      <c r="N20277" s="56"/>
    </row>
    <row r="20278" spans="1:14" x14ac:dyDescent="0.3">
      <c r="A20278" s="42"/>
      <c r="C20278" s="52"/>
      <c r="D20278"/>
      <c r="E20278"/>
      <c r="N20278" s="56"/>
    </row>
    <row r="20279" spans="1:14" x14ac:dyDescent="0.3">
      <c r="A20279" s="42"/>
      <c r="C20279" s="52"/>
      <c r="D20279"/>
      <c r="E20279"/>
      <c r="N20279" s="56"/>
    </row>
    <row r="20280" spans="1:14" x14ac:dyDescent="0.3">
      <c r="A20280" s="42"/>
      <c r="C20280" s="52"/>
      <c r="D20280"/>
      <c r="E20280"/>
      <c r="N20280" s="56"/>
    </row>
    <row r="20281" spans="1:14" x14ac:dyDescent="0.3">
      <c r="A20281" s="42"/>
      <c r="C20281" s="52"/>
      <c r="D20281"/>
      <c r="E20281"/>
      <c r="N20281" s="56"/>
    </row>
    <row r="20282" spans="1:14" x14ac:dyDescent="0.3">
      <c r="A20282" s="42"/>
      <c r="C20282" s="52"/>
      <c r="D20282"/>
      <c r="E20282"/>
      <c r="N20282" s="56"/>
    </row>
    <row r="20283" spans="1:14" x14ac:dyDescent="0.3">
      <c r="A20283" s="42"/>
      <c r="C20283" s="52"/>
      <c r="D20283"/>
      <c r="E20283"/>
      <c r="N20283" s="56"/>
    </row>
    <row r="20284" spans="1:14" x14ac:dyDescent="0.3">
      <c r="A20284" s="42"/>
      <c r="C20284" s="52"/>
      <c r="D20284"/>
      <c r="E20284"/>
      <c r="N20284" s="56"/>
    </row>
    <row r="20285" spans="1:14" x14ac:dyDescent="0.3">
      <c r="A20285" s="42"/>
      <c r="C20285" s="52"/>
      <c r="D20285"/>
      <c r="E20285"/>
      <c r="N20285" s="56"/>
    </row>
    <row r="20286" spans="1:14" x14ac:dyDescent="0.3">
      <c r="A20286" s="42"/>
      <c r="C20286" s="52"/>
      <c r="D20286"/>
      <c r="E20286"/>
      <c r="N20286" s="56"/>
    </row>
    <row r="20287" spans="1:14" x14ac:dyDescent="0.3">
      <c r="A20287" s="42"/>
      <c r="C20287" s="52"/>
      <c r="D20287"/>
      <c r="E20287"/>
      <c r="N20287" s="56"/>
    </row>
    <row r="20288" spans="1:14" x14ac:dyDescent="0.3">
      <c r="A20288" s="42"/>
      <c r="C20288" s="52"/>
      <c r="D20288"/>
      <c r="E20288"/>
      <c r="N20288" s="56"/>
    </row>
    <row r="20289" spans="1:14" x14ac:dyDescent="0.3">
      <c r="A20289" s="42"/>
      <c r="C20289" s="52"/>
      <c r="D20289"/>
      <c r="E20289"/>
      <c r="N20289" s="56"/>
    </row>
    <row r="20290" spans="1:14" x14ac:dyDescent="0.3">
      <c r="A20290" s="42"/>
      <c r="C20290" s="52"/>
      <c r="D20290"/>
      <c r="E20290"/>
      <c r="N20290" s="56"/>
    </row>
    <row r="20291" spans="1:14" x14ac:dyDescent="0.3">
      <c r="A20291" s="42"/>
      <c r="C20291" s="52"/>
      <c r="D20291"/>
      <c r="E20291"/>
      <c r="N20291" s="56"/>
    </row>
    <row r="20292" spans="1:14" x14ac:dyDescent="0.3">
      <c r="A20292" s="42"/>
      <c r="C20292" s="52"/>
      <c r="D20292"/>
      <c r="E20292"/>
      <c r="N20292" s="56"/>
    </row>
    <row r="20293" spans="1:14" x14ac:dyDescent="0.3">
      <c r="A20293" s="42"/>
      <c r="C20293" s="52"/>
      <c r="D20293"/>
      <c r="E20293"/>
      <c r="N20293" s="56"/>
    </row>
    <row r="20294" spans="1:14" x14ac:dyDescent="0.3">
      <c r="A20294" s="42"/>
      <c r="C20294" s="52"/>
      <c r="D20294"/>
      <c r="E20294"/>
      <c r="N20294" s="56"/>
    </row>
    <row r="20295" spans="1:14" x14ac:dyDescent="0.3">
      <c r="A20295" s="42"/>
      <c r="C20295" s="52"/>
      <c r="D20295"/>
      <c r="E20295"/>
      <c r="N20295" s="56"/>
    </row>
    <row r="20296" spans="1:14" x14ac:dyDescent="0.3">
      <c r="A20296" s="42"/>
      <c r="C20296" s="52"/>
      <c r="D20296"/>
      <c r="E20296"/>
      <c r="N20296" s="56"/>
    </row>
    <row r="20297" spans="1:14" x14ac:dyDescent="0.3">
      <c r="A20297" s="42"/>
      <c r="C20297" s="52"/>
      <c r="D20297"/>
      <c r="E20297"/>
      <c r="N20297" s="56"/>
    </row>
    <row r="20298" spans="1:14" x14ac:dyDescent="0.3">
      <c r="A20298" s="42"/>
      <c r="C20298" s="52"/>
      <c r="D20298"/>
      <c r="E20298"/>
      <c r="N20298" s="56"/>
    </row>
    <row r="20299" spans="1:14" x14ac:dyDescent="0.3">
      <c r="A20299" s="42"/>
      <c r="C20299" s="52"/>
      <c r="D20299"/>
      <c r="E20299"/>
      <c r="N20299" s="56"/>
    </row>
    <row r="20300" spans="1:14" x14ac:dyDescent="0.3">
      <c r="A20300" s="42"/>
      <c r="C20300" s="52"/>
      <c r="D20300"/>
      <c r="E20300"/>
      <c r="N20300" s="56"/>
    </row>
    <row r="20301" spans="1:14" x14ac:dyDescent="0.3">
      <c r="A20301" s="42"/>
      <c r="C20301" s="52"/>
      <c r="D20301"/>
      <c r="E20301"/>
      <c r="N20301" s="56"/>
    </row>
    <row r="20302" spans="1:14" x14ac:dyDescent="0.3">
      <c r="A20302" s="42"/>
      <c r="C20302" s="52"/>
      <c r="D20302"/>
      <c r="E20302"/>
      <c r="N20302" s="56"/>
    </row>
    <row r="20303" spans="1:14" x14ac:dyDescent="0.3">
      <c r="A20303" s="42"/>
      <c r="C20303" s="52"/>
      <c r="D20303"/>
      <c r="E20303"/>
      <c r="N20303" s="56"/>
    </row>
    <row r="20304" spans="1:14" x14ac:dyDescent="0.3">
      <c r="A20304" s="42"/>
      <c r="C20304" s="52"/>
      <c r="D20304"/>
      <c r="E20304"/>
      <c r="N20304" s="56"/>
    </row>
    <row r="20305" spans="1:14" x14ac:dyDescent="0.3">
      <c r="A20305" s="42"/>
      <c r="C20305" s="52"/>
      <c r="D20305"/>
      <c r="E20305"/>
      <c r="N20305" s="56"/>
    </row>
    <row r="20306" spans="1:14" x14ac:dyDescent="0.3">
      <c r="A20306" s="42"/>
      <c r="C20306" s="52"/>
      <c r="D20306"/>
      <c r="E20306"/>
      <c r="N20306" s="56"/>
    </row>
    <row r="20307" spans="1:14" x14ac:dyDescent="0.3">
      <c r="A20307" s="42"/>
      <c r="C20307" s="52"/>
      <c r="D20307"/>
      <c r="E20307"/>
      <c r="N20307" s="56"/>
    </row>
    <row r="20308" spans="1:14" x14ac:dyDescent="0.3">
      <c r="A20308" s="42"/>
      <c r="C20308" s="52"/>
      <c r="D20308"/>
      <c r="E20308"/>
      <c r="N20308" s="56"/>
    </row>
    <row r="20309" spans="1:14" x14ac:dyDescent="0.3">
      <c r="A20309" s="42"/>
      <c r="C20309" s="52"/>
      <c r="D20309"/>
      <c r="E20309"/>
      <c r="N20309" s="56"/>
    </row>
    <row r="20310" spans="1:14" x14ac:dyDescent="0.3">
      <c r="A20310" s="42"/>
      <c r="C20310" s="52"/>
      <c r="D20310"/>
      <c r="E20310"/>
      <c r="N20310" s="56"/>
    </row>
    <row r="20311" spans="1:14" x14ac:dyDescent="0.3">
      <c r="A20311" s="42"/>
      <c r="C20311" s="52"/>
      <c r="D20311"/>
      <c r="E20311"/>
      <c r="N20311" s="56"/>
    </row>
    <row r="20312" spans="1:14" x14ac:dyDescent="0.3">
      <c r="A20312" s="42"/>
      <c r="C20312" s="52"/>
      <c r="D20312"/>
      <c r="E20312"/>
      <c r="N20312" s="56"/>
    </row>
    <row r="20313" spans="1:14" x14ac:dyDescent="0.3">
      <c r="A20313" s="42"/>
      <c r="C20313" s="52"/>
      <c r="D20313"/>
      <c r="E20313"/>
      <c r="N20313" s="56"/>
    </row>
    <row r="20314" spans="1:14" x14ac:dyDescent="0.3">
      <c r="A20314" s="42"/>
      <c r="C20314" s="52"/>
      <c r="D20314"/>
      <c r="E20314"/>
      <c r="N20314" s="56"/>
    </row>
    <row r="20315" spans="1:14" x14ac:dyDescent="0.3">
      <c r="A20315" s="42"/>
      <c r="C20315" s="52"/>
      <c r="D20315"/>
      <c r="E20315"/>
      <c r="N20315" s="56"/>
    </row>
    <row r="20316" spans="1:14" x14ac:dyDescent="0.3">
      <c r="A20316" s="42"/>
      <c r="C20316" s="52"/>
      <c r="D20316"/>
      <c r="E20316"/>
      <c r="N20316" s="56"/>
    </row>
    <row r="20317" spans="1:14" x14ac:dyDescent="0.3">
      <c r="A20317" s="42"/>
      <c r="C20317" s="52"/>
      <c r="D20317"/>
      <c r="E20317"/>
      <c r="N20317" s="56"/>
    </row>
    <row r="20318" spans="1:14" x14ac:dyDescent="0.3">
      <c r="A20318" s="42"/>
      <c r="C20318" s="52"/>
      <c r="D20318"/>
      <c r="E20318"/>
      <c r="N20318" s="56"/>
    </row>
    <row r="20319" spans="1:14" x14ac:dyDescent="0.3">
      <c r="A20319" s="42"/>
      <c r="C20319" s="52"/>
      <c r="D20319"/>
      <c r="E20319"/>
      <c r="N20319" s="56"/>
    </row>
    <row r="20320" spans="1:14" x14ac:dyDescent="0.3">
      <c r="A20320" s="42"/>
      <c r="C20320" s="52"/>
      <c r="D20320"/>
      <c r="E20320"/>
      <c r="N20320" s="56"/>
    </row>
    <row r="20321" spans="1:14" x14ac:dyDescent="0.3">
      <c r="A20321" s="42"/>
      <c r="C20321" s="52"/>
      <c r="D20321"/>
      <c r="E20321"/>
      <c r="N20321" s="56"/>
    </row>
    <row r="20322" spans="1:14" x14ac:dyDescent="0.3">
      <c r="A20322" s="42"/>
      <c r="C20322" s="52"/>
      <c r="D20322"/>
      <c r="E20322"/>
      <c r="N20322" s="56"/>
    </row>
    <row r="20323" spans="1:14" x14ac:dyDescent="0.3">
      <c r="A20323" s="42"/>
      <c r="C20323" s="52"/>
      <c r="D20323"/>
      <c r="E20323"/>
      <c r="N20323" s="56"/>
    </row>
    <row r="20324" spans="1:14" x14ac:dyDescent="0.3">
      <c r="A20324" s="42"/>
      <c r="C20324" s="52"/>
      <c r="D20324"/>
      <c r="E20324"/>
      <c r="N20324" s="56"/>
    </row>
    <row r="20325" spans="1:14" x14ac:dyDescent="0.3">
      <c r="A20325" s="42"/>
      <c r="C20325" s="52"/>
      <c r="D20325"/>
      <c r="E20325"/>
      <c r="N20325" s="56"/>
    </row>
    <row r="20326" spans="1:14" x14ac:dyDescent="0.3">
      <c r="A20326" s="42"/>
      <c r="C20326" s="52"/>
      <c r="D20326"/>
      <c r="E20326"/>
      <c r="N20326" s="56"/>
    </row>
    <row r="20327" spans="1:14" x14ac:dyDescent="0.3">
      <c r="A20327" s="42"/>
      <c r="C20327" s="52"/>
      <c r="D20327"/>
      <c r="E20327"/>
      <c r="N20327" s="56"/>
    </row>
    <row r="20328" spans="1:14" x14ac:dyDescent="0.3">
      <c r="A20328" s="42"/>
      <c r="C20328" s="52"/>
      <c r="D20328"/>
      <c r="E20328"/>
      <c r="N20328" s="56"/>
    </row>
    <row r="20329" spans="1:14" x14ac:dyDescent="0.3">
      <c r="A20329" s="42"/>
      <c r="C20329" s="52"/>
      <c r="D20329"/>
      <c r="E20329"/>
      <c r="N20329" s="56"/>
    </row>
    <row r="20330" spans="1:14" x14ac:dyDescent="0.3">
      <c r="A20330" s="42"/>
      <c r="C20330" s="52"/>
      <c r="D20330"/>
      <c r="E20330"/>
      <c r="N20330" s="56"/>
    </row>
    <row r="20331" spans="1:14" x14ac:dyDescent="0.3">
      <c r="A20331" s="42"/>
      <c r="C20331" s="52"/>
      <c r="D20331"/>
      <c r="E20331"/>
      <c r="N20331" s="56"/>
    </row>
    <row r="20332" spans="1:14" x14ac:dyDescent="0.3">
      <c r="A20332" s="42"/>
      <c r="C20332" s="52"/>
      <c r="D20332"/>
      <c r="E20332"/>
      <c r="N20332" s="56"/>
    </row>
    <row r="20333" spans="1:14" x14ac:dyDescent="0.3">
      <c r="A20333" s="42"/>
      <c r="C20333" s="52"/>
      <c r="D20333"/>
      <c r="E20333"/>
      <c r="N20333" s="56"/>
    </row>
    <row r="20334" spans="1:14" x14ac:dyDescent="0.3">
      <c r="A20334" s="42"/>
      <c r="C20334" s="52"/>
      <c r="D20334"/>
      <c r="E20334"/>
      <c r="N20334" s="56"/>
    </row>
    <row r="20335" spans="1:14" x14ac:dyDescent="0.3">
      <c r="A20335" s="42"/>
      <c r="C20335" s="52"/>
      <c r="D20335"/>
      <c r="E20335"/>
      <c r="N20335" s="56"/>
    </row>
    <row r="20336" spans="1:14" x14ac:dyDescent="0.3">
      <c r="A20336" s="42"/>
      <c r="C20336" s="52"/>
      <c r="D20336"/>
      <c r="E20336"/>
      <c r="N20336" s="56"/>
    </row>
    <row r="20337" spans="1:14" x14ac:dyDescent="0.3">
      <c r="A20337" s="42"/>
      <c r="C20337" s="52"/>
      <c r="D20337"/>
      <c r="E20337"/>
      <c r="N20337" s="56"/>
    </row>
    <row r="20338" spans="1:14" x14ac:dyDescent="0.3">
      <c r="A20338" s="42"/>
      <c r="C20338" s="52"/>
      <c r="D20338"/>
      <c r="E20338"/>
      <c r="N20338" s="56"/>
    </row>
    <row r="20339" spans="1:14" x14ac:dyDescent="0.3">
      <c r="A20339" s="42"/>
      <c r="C20339" s="52"/>
      <c r="D20339"/>
      <c r="E20339"/>
      <c r="N20339" s="56"/>
    </row>
    <row r="20340" spans="1:14" x14ac:dyDescent="0.3">
      <c r="A20340" s="42"/>
      <c r="C20340" s="52"/>
      <c r="D20340"/>
      <c r="E20340"/>
      <c r="N20340" s="56"/>
    </row>
    <row r="20341" spans="1:14" x14ac:dyDescent="0.3">
      <c r="A20341" s="42"/>
      <c r="C20341" s="52"/>
      <c r="D20341"/>
      <c r="E20341"/>
      <c r="N20341" s="56"/>
    </row>
    <row r="20342" spans="1:14" x14ac:dyDescent="0.3">
      <c r="A20342" s="42"/>
      <c r="C20342" s="52"/>
      <c r="D20342"/>
      <c r="E20342"/>
      <c r="N20342" s="56"/>
    </row>
    <row r="20343" spans="1:14" x14ac:dyDescent="0.3">
      <c r="A20343" s="42"/>
      <c r="C20343" s="52"/>
      <c r="D20343"/>
      <c r="E20343"/>
      <c r="N20343" s="56"/>
    </row>
    <row r="20344" spans="1:14" x14ac:dyDescent="0.3">
      <c r="A20344" s="42"/>
      <c r="C20344" s="52"/>
      <c r="D20344"/>
      <c r="E20344"/>
      <c r="N20344" s="56"/>
    </row>
    <row r="20345" spans="1:14" x14ac:dyDescent="0.3">
      <c r="A20345" s="42"/>
      <c r="C20345" s="52"/>
      <c r="D20345"/>
      <c r="E20345"/>
      <c r="N20345" s="56"/>
    </row>
    <row r="20346" spans="1:14" x14ac:dyDescent="0.3">
      <c r="A20346" s="42"/>
      <c r="C20346" s="52"/>
      <c r="D20346"/>
      <c r="E20346"/>
      <c r="N20346" s="56"/>
    </row>
    <row r="20347" spans="1:14" x14ac:dyDescent="0.3">
      <c r="A20347" s="42"/>
      <c r="C20347" s="52"/>
      <c r="D20347"/>
      <c r="E20347"/>
      <c r="N20347" s="56"/>
    </row>
    <row r="20348" spans="1:14" x14ac:dyDescent="0.3">
      <c r="A20348" s="42"/>
      <c r="C20348" s="52"/>
      <c r="D20348"/>
      <c r="E20348"/>
      <c r="N20348" s="56"/>
    </row>
    <row r="20349" spans="1:14" x14ac:dyDescent="0.3">
      <c r="A20349" s="42"/>
      <c r="C20349" s="52"/>
      <c r="D20349"/>
      <c r="E20349"/>
      <c r="N20349" s="56"/>
    </row>
    <row r="20350" spans="1:14" x14ac:dyDescent="0.3">
      <c r="A20350" s="42"/>
      <c r="C20350" s="52"/>
      <c r="D20350"/>
      <c r="E20350"/>
      <c r="N20350" s="56"/>
    </row>
    <row r="20351" spans="1:14" x14ac:dyDescent="0.3">
      <c r="A20351" s="42"/>
      <c r="C20351" s="52"/>
      <c r="D20351"/>
      <c r="E20351"/>
      <c r="N20351" s="56"/>
    </row>
    <row r="20352" spans="1:14" x14ac:dyDescent="0.3">
      <c r="A20352" s="42"/>
      <c r="C20352" s="52"/>
      <c r="D20352"/>
      <c r="E20352"/>
      <c r="N20352" s="56"/>
    </row>
    <row r="20353" spans="1:14" x14ac:dyDescent="0.3">
      <c r="A20353" s="42"/>
      <c r="C20353" s="52"/>
      <c r="D20353"/>
      <c r="E20353"/>
      <c r="N20353" s="56"/>
    </row>
    <row r="20354" spans="1:14" x14ac:dyDescent="0.3">
      <c r="A20354" s="42"/>
      <c r="C20354" s="52"/>
      <c r="D20354"/>
      <c r="E20354"/>
      <c r="N20354" s="56"/>
    </row>
    <row r="20355" spans="1:14" x14ac:dyDescent="0.3">
      <c r="A20355" s="42"/>
      <c r="C20355" s="52"/>
      <c r="D20355"/>
      <c r="E20355"/>
      <c r="N20355" s="56"/>
    </row>
    <row r="20356" spans="1:14" x14ac:dyDescent="0.3">
      <c r="A20356" s="42"/>
      <c r="C20356" s="52"/>
      <c r="D20356"/>
      <c r="E20356"/>
      <c r="N20356" s="56"/>
    </row>
    <row r="20357" spans="1:14" x14ac:dyDescent="0.3">
      <c r="A20357" s="42"/>
      <c r="C20357" s="52"/>
      <c r="D20357"/>
      <c r="E20357"/>
      <c r="N20357" s="56"/>
    </row>
    <row r="20358" spans="1:14" x14ac:dyDescent="0.3">
      <c r="A20358" s="42"/>
      <c r="C20358" s="52"/>
      <c r="D20358"/>
      <c r="E20358"/>
      <c r="N20358" s="56"/>
    </row>
    <row r="20359" spans="1:14" x14ac:dyDescent="0.3">
      <c r="A20359" s="42"/>
      <c r="C20359" s="52"/>
      <c r="D20359"/>
      <c r="E20359"/>
      <c r="N20359" s="56"/>
    </row>
    <row r="20360" spans="1:14" x14ac:dyDescent="0.3">
      <c r="A20360" s="42"/>
      <c r="C20360" s="52"/>
      <c r="D20360"/>
      <c r="E20360"/>
      <c r="N20360" s="56"/>
    </row>
    <row r="20361" spans="1:14" x14ac:dyDescent="0.3">
      <c r="A20361" s="42"/>
      <c r="C20361" s="52"/>
      <c r="D20361"/>
      <c r="E20361"/>
      <c r="M20361" s="45"/>
      <c r="N20361" s="56"/>
    </row>
    <row r="20362" spans="1:14" x14ac:dyDescent="0.3">
      <c r="A20362" s="42"/>
      <c r="C20362" s="52"/>
      <c r="D20362"/>
      <c r="E20362"/>
      <c r="N20362" s="56"/>
    </row>
    <row r="20363" spans="1:14" x14ac:dyDescent="0.3">
      <c r="A20363" s="42"/>
      <c r="C20363" s="52"/>
      <c r="D20363"/>
      <c r="E20363"/>
      <c r="N20363" s="56"/>
    </row>
    <row r="20364" spans="1:14" x14ac:dyDescent="0.3">
      <c r="A20364" s="42"/>
      <c r="C20364" s="52"/>
      <c r="D20364"/>
      <c r="E20364"/>
      <c r="N20364" s="56"/>
    </row>
    <row r="20365" spans="1:14" x14ac:dyDescent="0.3">
      <c r="A20365" s="42"/>
      <c r="C20365" s="52"/>
      <c r="D20365"/>
      <c r="E20365"/>
      <c r="N20365" s="56"/>
    </row>
    <row r="20366" spans="1:14" x14ac:dyDescent="0.3">
      <c r="A20366" s="42"/>
      <c r="C20366" s="52"/>
      <c r="D20366"/>
      <c r="E20366"/>
      <c r="N20366" s="56"/>
    </row>
    <row r="20367" spans="1:14" x14ac:dyDescent="0.3">
      <c r="A20367" s="42"/>
      <c r="C20367" s="52"/>
      <c r="D20367"/>
      <c r="E20367"/>
      <c r="N20367" s="56"/>
    </row>
    <row r="20368" spans="1:14" x14ac:dyDescent="0.3">
      <c r="A20368" s="42"/>
      <c r="C20368" s="52"/>
      <c r="D20368"/>
      <c r="E20368"/>
      <c r="N20368" s="56"/>
    </row>
    <row r="20369" spans="1:14" x14ac:dyDescent="0.3">
      <c r="A20369" s="42"/>
      <c r="C20369" s="52"/>
      <c r="D20369"/>
      <c r="E20369"/>
      <c r="N20369" s="56"/>
    </row>
    <row r="20370" spans="1:14" x14ac:dyDescent="0.3">
      <c r="A20370" s="42"/>
      <c r="C20370" s="52"/>
      <c r="D20370"/>
      <c r="E20370"/>
      <c r="N20370" s="56"/>
    </row>
    <row r="20371" spans="1:14" x14ac:dyDescent="0.3">
      <c r="A20371" s="42"/>
      <c r="C20371" s="52"/>
      <c r="D20371"/>
      <c r="E20371"/>
      <c r="M20371" s="45"/>
      <c r="N20371" s="56"/>
    </row>
    <row r="20372" spans="1:14" x14ac:dyDescent="0.3">
      <c r="A20372" s="42"/>
      <c r="C20372" s="52"/>
      <c r="D20372"/>
      <c r="E20372"/>
      <c r="N20372" s="56"/>
    </row>
    <row r="20373" spans="1:14" x14ac:dyDescent="0.3">
      <c r="A20373" s="42"/>
      <c r="C20373" s="52"/>
      <c r="D20373"/>
      <c r="E20373"/>
      <c r="N20373" s="56"/>
    </row>
    <row r="20374" spans="1:14" x14ac:dyDescent="0.3">
      <c r="A20374" s="42"/>
      <c r="C20374" s="52"/>
      <c r="D20374"/>
      <c r="E20374"/>
      <c r="N20374" s="56"/>
    </row>
    <row r="20375" spans="1:14" x14ac:dyDescent="0.3">
      <c r="A20375" s="42"/>
      <c r="C20375" s="52"/>
      <c r="D20375"/>
      <c r="E20375"/>
      <c r="N20375" s="56"/>
    </row>
    <row r="20376" spans="1:14" x14ac:dyDescent="0.3">
      <c r="A20376" s="42"/>
      <c r="C20376" s="52"/>
      <c r="D20376"/>
      <c r="E20376"/>
      <c r="N20376" s="56"/>
    </row>
    <row r="20377" spans="1:14" x14ac:dyDescent="0.3">
      <c r="A20377" s="42"/>
      <c r="C20377" s="52"/>
      <c r="D20377"/>
      <c r="E20377"/>
      <c r="N20377" s="56"/>
    </row>
    <row r="20378" spans="1:14" x14ac:dyDescent="0.3">
      <c r="A20378" s="42"/>
      <c r="C20378" s="52"/>
      <c r="D20378"/>
      <c r="E20378"/>
      <c r="N20378" s="56"/>
    </row>
    <row r="20379" spans="1:14" x14ac:dyDescent="0.3">
      <c r="A20379" s="42"/>
      <c r="C20379" s="52"/>
      <c r="D20379"/>
      <c r="E20379"/>
      <c r="N20379" s="56"/>
    </row>
    <row r="20380" spans="1:14" x14ac:dyDescent="0.3">
      <c r="A20380" s="42"/>
      <c r="C20380" s="52"/>
      <c r="D20380"/>
      <c r="E20380"/>
      <c r="N20380" s="56"/>
    </row>
    <row r="20381" spans="1:14" x14ac:dyDescent="0.3">
      <c r="A20381" s="42"/>
      <c r="C20381" s="52"/>
      <c r="D20381"/>
      <c r="E20381"/>
      <c r="N20381" s="56"/>
    </row>
    <row r="20382" spans="1:14" x14ac:dyDescent="0.3">
      <c r="A20382" s="42"/>
      <c r="C20382" s="52"/>
      <c r="D20382"/>
      <c r="E20382"/>
      <c r="N20382" s="56"/>
    </row>
    <row r="20383" spans="1:14" x14ac:dyDescent="0.3">
      <c r="A20383" s="42"/>
      <c r="C20383" s="52"/>
      <c r="D20383"/>
      <c r="E20383"/>
      <c r="N20383" s="56"/>
    </row>
    <row r="20384" spans="1:14" x14ac:dyDescent="0.3">
      <c r="A20384" s="42"/>
      <c r="C20384" s="52"/>
      <c r="D20384"/>
      <c r="E20384"/>
      <c r="N20384" s="56"/>
    </row>
    <row r="20385" spans="1:14" x14ac:dyDescent="0.3">
      <c r="A20385" s="42"/>
      <c r="C20385" s="52"/>
      <c r="D20385"/>
      <c r="E20385"/>
      <c r="N20385" s="56"/>
    </row>
    <row r="20386" spans="1:14" x14ac:dyDescent="0.3">
      <c r="A20386" s="42"/>
      <c r="C20386" s="52"/>
      <c r="D20386"/>
      <c r="E20386"/>
      <c r="N20386" s="56"/>
    </row>
    <row r="20387" spans="1:14" x14ac:dyDescent="0.3">
      <c r="A20387" s="42"/>
      <c r="C20387" s="52"/>
      <c r="D20387"/>
      <c r="E20387"/>
      <c r="N20387" s="56"/>
    </row>
    <row r="20388" spans="1:14" x14ac:dyDescent="0.3">
      <c r="A20388" s="42"/>
      <c r="C20388" s="52"/>
      <c r="D20388"/>
      <c r="E20388"/>
      <c r="N20388" s="56"/>
    </row>
    <row r="20389" spans="1:14" x14ac:dyDescent="0.3">
      <c r="A20389" s="42"/>
      <c r="C20389" s="52"/>
      <c r="D20389"/>
      <c r="E20389"/>
      <c r="M20389" s="45"/>
      <c r="N20389" s="56"/>
    </row>
    <row r="20390" spans="1:14" x14ac:dyDescent="0.3">
      <c r="A20390" s="42"/>
      <c r="C20390" s="52"/>
      <c r="D20390"/>
      <c r="E20390"/>
      <c r="N20390" s="56"/>
    </row>
    <row r="20391" spans="1:14" x14ac:dyDescent="0.3">
      <c r="A20391" s="42"/>
      <c r="C20391" s="52"/>
      <c r="D20391"/>
      <c r="E20391"/>
      <c r="N20391" s="56"/>
    </row>
    <row r="20392" spans="1:14" x14ac:dyDescent="0.3">
      <c r="A20392" s="42"/>
      <c r="C20392" s="52"/>
      <c r="D20392"/>
      <c r="E20392"/>
      <c r="N20392" s="56"/>
    </row>
    <row r="20393" spans="1:14" x14ac:dyDescent="0.3">
      <c r="A20393" s="42"/>
      <c r="C20393" s="52"/>
      <c r="D20393"/>
      <c r="E20393"/>
      <c r="N20393" s="56"/>
    </row>
    <row r="20394" spans="1:14" x14ac:dyDescent="0.3">
      <c r="A20394" s="42"/>
      <c r="C20394" s="52"/>
      <c r="D20394"/>
      <c r="E20394"/>
      <c r="N20394" s="56"/>
    </row>
    <row r="20395" spans="1:14" x14ac:dyDescent="0.3">
      <c r="A20395" s="42"/>
      <c r="C20395" s="52"/>
      <c r="D20395"/>
      <c r="E20395"/>
      <c r="N20395" s="56"/>
    </row>
    <row r="20396" spans="1:14" x14ac:dyDescent="0.3">
      <c r="A20396" s="42"/>
      <c r="C20396" s="52"/>
      <c r="D20396"/>
      <c r="E20396"/>
      <c r="N20396" s="56"/>
    </row>
    <row r="20397" spans="1:14" x14ac:dyDescent="0.3">
      <c r="A20397" s="42"/>
      <c r="C20397" s="52"/>
      <c r="D20397"/>
      <c r="E20397"/>
      <c r="N20397" s="56"/>
    </row>
    <row r="20398" spans="1:14" x14ac:dyDescent="0.3">
      <c r="A20398" s="42"/>
      <c r="C20398" s="52"/>
      <c r="D20398"/>
      <c r="E20398"/>
      <c r="N20398" s="56"/>
    </row>
    <row r="20399" spans="1:14" x14ac:dyDescent="0.3">
      <c r="A20399" s="42"/>
      <c r="C20399" s="52"/>
      <c r="D20399"/>
      <c r="E20399"/>
      <c r="N20399" s="56"/>
    </row>
    <row r="20400" spans="1:14" x14ac:dyDescent="0.3">
      <c r="A20400" s="42"/>
      <c r="C20400" s="52"/>
      <c r="D20400"/>
      <c r="E20400"/>
      <c r="N20400" s="56"/>
    </row>
    <row r="20401" spans="1:14" x14ac:dyDescent="0.3">
      <c r="A20401" s="42"/>
      <c r="C20401" s="52"/>
      <c r="D20401"/>
      <c r="E20401"/>
      <c r="N20401" s="56"/>
    </row>
    <row r="20402" spans="1:14" x14ac:dyDescent="0.3">
      <c r="A20402" s="42"/>
      <c r="C20402" s="52"/>
      <c r="D20402"/>
      <c r="E20402"/>
      <c r="N20402" s="56"/>
    </row>
    <row r="20403" spans="1:14" x14ac:dyDescent="0.3">
      <c r="A20403" s="42"/>
      <c r="C20403" s="52"/>
      <c r="D20403"/>
      <c r="E20403"/>
      <c r="N20403" s="56"/>
    </row>
    <row r="20404" spans="1:14" x14ac:dyDescent="0.3">
      <c r="A20404" s="42"/>
      <c r="C20404" s="52"/>
      <c r="D20404"/>
      <c r="E20404"/>
      <c r="N20404" s="56"/>
    </row>
    <row r="20405" spans="1:14" x14ac:dyDescent="0.3">
      <c r="A20405" s="42"/>
      <c r="C20405" s="52"/>
      <c r="D20405"/>
      <c r="E20405"/>
      <c r="N20405" s="56"/>
    </row>
    <row r="20406" spans="1:14" x14ac:dyDescent="0.3">
      <c r="A20406" s="42"/>
      <c r="C20406" s="52"/>
      <c r="D20406"/>
      <c r="E20406"/>
      <c r="N20406" s="56"/>
    </row>
    <row r="20407" spans="1:14" x14ac:dyDescent="0.3">
      <c r="A20407" s="42"/>
      <c r="C20407" s="52"/>
      <c r="D20407"/>
      <c r="E20407"/>
      <c r="N20407" s="56"/>
    </row>
    <row r="20408" spans="1:14" x14ac:dyDescent="0.3">
      <c r="A20408" s="42"/>
      <c r="C20408" s="52"/>
      <c r="D20408"/>
      <c r="E20408"/>
      <c r="N20408" s="56"/>
    </row>
    <row r="20409" spans="1:14" x14ac:dyDescent="0.3">
      <c r="A20409" s="42"/>
      <c r="C20409" s="52"/>
      <c r="D20409"/>
      <c r="E20409"/>
      <c r="N20409" s="56"/>
    </row>
    <row r="20410" spans="1:14" x14ac:dyDescent="0.3">
      <c r="A20410" s="42"/>
      <c r="C20410" s="52"/>
      <c r="D20410"/>
      <c r="E20410"/>
      <c r="N20410" s="56"/>
    </row>
    <row r="20411" spans="1:14" x14ac:dyDescent="0.3">
      <c r="A20411" s="42"/>
      <c r="C20411" s="52"/>
      <c r="D20411"/>
      <c r="E20411"/>
      <c r="N20411" s="56"/>
    </row>
    <row r="20412" spans="1:14" x14ac:dyDescent="0.3">
      <c r="A20412" s="42"/>
      <c r="C20412" s="52"/>
      <c r="D20412"/>
      <c r="E20412"/>
      <c r="M20412" s="45"/>
      <c r="N20412" s="56"/>
    </row>
    <row r="20413" spans="1:14" x14ac:dyDescent="0.3">
      <c r="A20413" s="42"/>
      <c r="C20413" s="52"/>
      <c r="D20413"/>
      <c r="E20413"/>
      <c r="N20413" s="56"/>
    </row>
    <row r="20414" spans="1:14" x14ac:dyDescent="0.3">
      <c r="A20414" s="42"/>
      <c r="C20414" s="52"/>
      <c r="D20414"/>
      <c r="E20414"/>
      <c r="M20414" s="45"/>
      <c r="N20414" s="56"/>
    </row>
    <row r="20415" spans="1:14" x14ac:dyDescent="0.3">
      <c r="A20415" s="42"/>
      <c r="C20415" s="52"/>
      <c r="D20415"/>
      <c r="E20415"/>
      <c r="N20415" s="56"/>
    </row>
    <row r="20416" spans="1:14" x14ac:dyDescent="0.3">
      <c r="A20416" s="42"/>
      <c r="C20416" s="52"/>
      <c r="D20416"/>
      <c r="E20416"/>
      <c r="N20416" s="56"/>
    </row>
    <row r="20417" spans="1:14" x14ac:dyDescent="0.3">
      <c r="A20417" s="42"/>
      <c r="C20417" s="52"/>
      <c r="D20417"/>
      <c r="E20417"/>
      <c r="N20417" s="56"/>
    </row>
    <row r="20418" spans="1:14" x14ac:dyDescent="0.3">
      <c r="A20418" s="42"/>
      <c r="C20418" s="52"/>
      <c r="D20418"/>
      <c r="E20418"/>
      <c r="N20418" s="56"/>
    </row>
    <row r="20419" spans="1:14" x14ac:dyDescent="0.3">
      <c r="A20419" s="42"/>
      <c r="C20419" s="52"/>
      <c r="D20419"/>
      <c r="E20419"/>
      <c r="N20419" s="56"/>
    </row>
    <row r="20420" spans="1:14" x14ac:dyDescent="0.3">
      <c r="A20420" s="42"/>
      <c r="C20420" s="52"/>
      <c r="D20420"/>
      <c r="E20420"/>
      <c r="N20420" s="56"/>
    </row>
    <row r="20421" spans="1:14" x14ac:dyDescent="0.3">
      <c r="A20421" s="42"/>
      <c r="C20421" s="52"/>
      <c r="D20421"/>
      <c r="E20421"/>
      <c r="N20421" s="56"/>
    </row>
    <row r="20422" spans="1:14" x14ac:dyDescent="0.3">
      <c r="A20422" s="42"/>
      <c r="C20422" s="52"/>
      <c r="D20422"/>
      <c r="E20422"/>
      <c r="N20422" s="56"/>
    </row>
    <row r="20423" spans="1:14" x14ac:dyDescent="0.3">
      <c r="A20423" s="42"/>
      <c r="C20423" s="52"/>
      <c r="D20423"/>
      <c r="E20423"/>
      <c r="N20423" s="56"/>
    </row>
    <row r="20424" spans="1:14" x14ac:dyDescent="0.3">
      <c r="A20424" s="42"/>
      <c r="C20424" s="52"/>
      <c r="D20424"/>
      <c r="E20424"/>
      <c r="N20424" s="56"/>
    </row>
    <row r="20425" spans="1:14" x14ac:dyDescent="0.3">
      <c r="A20425" s="42"/>
      <c r="C20425" s="52"/>
      <c r="D20425"/>
      <c r="E20425"/>
      <c r="N20425" s="56"/>
    </row>
    <row r="20426" spans="1:14" x14ac:dyDescent="0.3">
      <c r="A20426" s="42"/>
      <c r="C20426" s="52"/>
      <c r="D20426"/>
      <c r="E20426"/>
      <c r="N20426" s="56"/>
    </row>
    <row r="20427" spans="1:14" x14ac:dyDescent="0.3">
      <c r="A20427" s="42"/>
      <c r="C20427" s="52"/>
      <c r="D20427"/>
      <c r="E20427"/>
      <c r="N20427" s="56"/>
    </row>
    <row r="20428" spans="1:14" x14ac:dyDescent="0.3">
      <c r="A20428" s="42"/>
      <c r="C20428" s="52"/>
      <c r="D20428"/>
      <c r="E20428"/>
      <c r="N20428" s="56"/>
    </row>
    <row r="20429" spans="1:14" x14ac:dyDescent="0.3">
      <c r="A20429" s="42"/>
      <c r="C20429" s="52"/>
      <c r="D20429"/>
      <c r="E20429"/>
      <c r="N20429" s="56"/>
    </row>
    <row r="20430" spans="1:14" x14ac:dyDescent="0.3">
      <c r="A20430" s="42"/>
      <c r="C20430" s="52"/>
      <c r="D20430"/>
      <c r="E20430"/>
      <c r="N20430" s="56"/>
    </row>
    <row r="20431" spans="1:14" x14ac:dyDescent="0.3">
      <c r="A20431" s="42"/>
      <c r="C20431" s="52"/>
      <c r="D20431"/>
      <c r="E20431"/>
      <c r="N20431" s="56"/>
    </row>
    <row r="20432" spans="1:14" x14ac:dyDescent="0.3">
      <c r="A20432" s="42"/>
      <c r="C20432" s="52"/>
      <c r="D20432"/>
      <c r="E20432"/>
      <c r="N20432" s="56"/>
    </row>
    <row r="20433" spans="1:14" x14ac:dyDescent="0.3">
      <c r="A20433" s="42"/>
      <c r="C20433" s="52"/>
      <c r="D20433"/>
      <c r="E20433"/>
      <c r="N20433" s="56"/>
    </row>
    <row r="20434" spans="1:14" x14ac:dyDescent="0.3">
      <c r="A20434" s="42"/>
      <c r="C20434" s="52"/>
      <c r="D20434"/>
      <c r="E20434"/>
      <c r="N20434" s="56"/>
    </row>
    <row r="20435" spans="1:14" x14ac:dyDescent="0.3">
      <c r="A20435" s="42"/>
      <c r="C20435" s="52"/>
      <c r="D20435"/>
      <c r="E20435"/>
      <c r="N20435" s="56"/>
    </row>
    <row r="20436" spans="1:14" x14ac:dyDescent="0.3">
      <c r="A20436" s="42"/>
      <c r="C20436" s="52"/>
      <c r="D20436"/>
      <c r="E20436"/>
      <c r="N20436" s="56"/>
    </row>
    <row r="20437" spans="1:14" x14ac:dyDescent="0.3">
      <c r="A20437" s="42"/>
      <c r="C20437" s="52"/>
      <c r="D20437"/>
      <c r="E20437"/>
      <c r="N20437" s="56"/>
    </row>
    <row r="20438" spans="1:14" x14ac:dyDescent="0.3">
      <c r="A20438" s="42"/>
      <c r="C20438" s="52"/>
      <c r="D20438"/>
      <c r="E20438"/>
      <c r="N20438" s="56"/>
    </row>
    <row r="20439" spans="1:14" x14ac:dyDescent="0.3">
      <c r="A20439" s="42"/>
      <c r="C20439" s="52"/>
      <c r="D20439"/>
      <c r="E20439"/>
      <c r="N20439" s="56"/>
    </row>
    <row r="20440" spans="1:14" x14ac:dyDescent="0.3">
      <c r="A20440" s="42"/>
      <c r="C20440" s="52"/>
      <c r="D20440"/>
      <c r="E20440"/>
      <c r="N20440" s="56"/>
    </row>
    <row r="20441" spans="1:14" x14ac:dyDescent="0.3">
      <c r="A20441" s="42"/>
      <c r="C20441" s="52"/>
      <c r="D20441"/>
      <c r="E20441"/>
      <c r="N20441" s="56"/>
    </row>
    <row r="20442" spans="1:14" x14ac:dyDescent="0.3">
      <c r="A20442" s="42"/>
      <c r="C20442" s="52"/>
      <c r="D20442"/>
      <c r="E20442"/>
      <c r="N20442" s="56"/>
    </row>
    <row r="20443" spans="1:14" x14ac:dyDescent="0.3">
      <c r="A20443" s="42"/>
      <c r="C20443" s="52"/>
      <c r="D20443"/>
      <c r="E20443"/>
      <c r="N20443" s="56"/>
    </row>
    <row r="20444" spans="1:14" x14ac:dyDescent="0.3">
      <c r="A20444" s="42"/>
      <c r="C20444" s="52"/>
      <c r="D20444"/>
      <c r="E20444"/>
      <c r="N20444" s="56"/>
    </row>
    <row r="20445" spans="1:14" x14ac:dyDescent="0.3">
      <c r="A20445" s="42"/>
      <c r="C20445" s="52"/>
      <c r="D20445"/>
      <c r="E20445"/>
      <c r="N20445" s="56"/>
    </row>
    <row r="20446" spans="1:14" x14ac:dyDescent="0.3">
      <c r="A20446" s="42"/>
      <c r="C20446" s="52"/>
      <c r="D20446"/>
      <c r="E20446"/>
      <c r="N20446" s="56"/>
    </row>
    <row r="20447" spans="1:14" x14ac:dyDescent="0.3">
      <c r="A20447" s="42"/>
      <c r="C20447" s="52"/>
      <c r="D20447"/>
      <c r="E20447"/>
      <c r="N20447" s="56"/>
    </row>
    <row r="20448" spans="1:14" x14ac:dyDescent="0.3">
      <c r="A20448" s="42"/>
      <c r="C20448" s="52"/>
      <c r="D20448"/>
      <c r="E20448"/>
      <c r="N20448" s="56"/>
    </row>
    <row r="20449" spans="1:14" x14ac:dyDescent="0.3">
      <c r="A20449" s="42"/>
      <c r="C20449" s="52"/>
      <c r="D20449"/>
      <c r="E20449"/>
      <c r="N20449" s="56"/>
    </row>
    <row r="20450" spans="1:14" x14ac:dyDescent="0.3">
      <c r="A20450" s="42"/>
      <c r="C20450" s="52"/>
      <c r="D20450"/>
      <c r="E20450"/>
      <c r="N20450" s="56"/>
    </row>
    <row r="20451" spans="1:14" x14ac:dyDescent="0.3">
      <c r="A20451" s="42"/>
      <c r="C20451" s="52"/>
      <c r="D20451"/>
      <c r="E20451"/>
      <c r="N20451" s="56"/>
    </row>
    <row r="20452" spans="1:14" x14ac:dyDescent="0.3">
      <c r="A20452" s="42"/>
      <c r="C20452" s="52"/>
      <c r="D20452"/>
      <c r="E20452"/>
      <c r="N20452" s="56"/>
    </row>
    <row r="20453" spans="1:14" x14ac:dyDescent="0.3">
      <c r="A20453" s="42"/>
      <c r="C20453" s="52"/>
      <c r="D20453"/>
      <c r="E20453"/>
      <c r="N20453" s="56"/>
    </row>
    <row r="20454" spans="1:14" x14ac:dyDescent="0.3">
      <c r="A20454" s="42"/>
      <c r="C20454" s="52"/>
      <c r="D20454"/>
      <c r="E20454"/>
      <c r="N20454" s="56"/>
    </row>
    <row r="20455" spans="1:14" x14ac:dyDescent="0.3">
      <c r="A20455" s="42"/>
      <c r="C20455" s="52"/>
      <c r="D20455"/>
      <c r="E20455"/>
      <c r="N20455" s="56"/>
    </row>
    <row r="20456" spans="1:14" x14ac:dyDescent="0.3">
      <c r="A20456" s="42"/>
      <c r="C20456" s="52"/>
      <c r="D20456"/>
      <c r="E20456"/>
      <c r="N20456" s="56"/>
    </row>
    <row r="20457" spans="1:14" x14ac:dyDescent="0.3">
      <c r="A20457" s="42"/>
      <c r="C20457" s="52"/>
      <c r="D20457"/>
      <c r="E20457"/>
      <c r="N20457" s="56"/>
    </row>
    <row r="20458" spans="1:14" x14ac:dyDescent="0.3">
      <c r="A20458" s="42"/>
      <c r="C20458" s="52"/>
      <c r="D20458"/>
      <c r="E20458"/>
      <c r="N20458" s="56"/>
    </row>
    <row r="20459" spans="1:14" x14ac:dyDescent="0.3">
      <c r="A20459" s="42"/>
      <c r="C20459" s="52"/>
      <c r="D20459"/>
      <c r="E20459"/>
      <c r="N20459" s="56"/>
    </row>
    <row r="20460" spans="1:14" x14ac:dyDescent="0.3">
      <c r="A20460" s="42"/>
      <c r="C20460" s="52"/>
      <c r="D20460"/>
      <c r="E20460"/>
      <c r="N20460" s="56"/>
    </row>
    <row r="20461" spans="1:14" x14ac:dyDescent="0.3">
      <c r="A20461" s="42"/>
      <c r="C20461" s="52"/>
      <c r="D20461"/>
      <c r="E20461"/>
      <c r="M20461" s="45"/>
      <c r="N20461" s="56"/>
    </row>
    <row r="20462" spans="1:14" x14ac:dyDescent="0.3">
      <c r="A20462" s="42"/>
      <c r="C20462" s="52"/>
      <c r="D20462"/>
      <c r="E20462"/>
      <c r="N20462" s="56"/>
    </row>
    <row r="20463" spans="1:14" x14ac:dyDescent="0.3">
      <c r="A20463" s="42"/>
      <c r="C20463" s="52"/>
      <c r="D20463"/>
      <c r="E20463"/>
      <c r="N20463" s="56"/>
    </row>
    <row r="20464" spans="1:14" x14ac:dyDescent="0.3">
      <c r="A20464" s="42"/>
      <c r="C20464" s="52"/>
      <c r="D20464"/>
      <c r="E20464"/>
      <c r="N20464" s="56"/>
    </row>
    <row r="20465" spans="1:14" x14ac:dyDescent="0.3">
      <c r="A20465" s="42"/>
      <c r="C20465" s="52"/>
      <c r="D20465"/>
      <c r="E20465"/>
      <c r="N20465" s="56"/>
    </row>
    <row r="20466" spans="1:14" x14ac:dyDescent="0.3">
      <c r="A20466" s="42"/>
      <c r="C20466" s="52"/>
      <c r="D20466"/>
      <c r="E20466"/>
      <c r="N20466" s="56"/>
    </row>
    <row r="20467" spans="1:14" x14ac:dyDescent="0.3">
      <c r="A20467" s="42"/>
      <c r="C20467" s="52"/>
      <c r="D20467"/>
      <c r="E20467"/>
      <c r="N20467" s="56"/>
    </row>
    <row r="20468" spans="1:14" x14ac:dyDescent="0.3">
      <c r="A20468" s="42"/>
      <c r="C20468" s="52"/>
      <c r="D20468"/>
      <c r="E20468"/>
      <c r="N20468" s="56"/>
    </row>
    <row r="20469" spans="1:14" x14ac:dyDescent="0.3">
      <c r="A20469" s="42"/>
      <c r="C20469" s="52"/>
      <c r="D20469"/>
      <c r="E20469"/>
      <c r="N20469" s="56"/>
    </row>
    <row r="20470" spans="1:14" x14ac:dyDescent="0.3">
      <c r="A20470" s="42"/>
      <c r="C20470" s="52"/>
      <c r="D20470"/>
      <c r="E20470"/>
      <c r="N20470" s="56"/>
    </row>
    <row r="20471" spans="1:14" x14ac:dyDescent="0.3">
      <c r="A20471" s="42"/>
      <c r="C20471" s="52"/>
      <c r="D20471"/>
      <c r="E20471"/>
      <c r="N20471" s="56"/>
    </row>
    <row r="20472" spans="1:14" x14ac:dyDescent="0.3">
      <c r="A20472" s="42"/>
      <c r="C20472" s="52"/>
      <c r="D20472"/>
      <c r="E20472"/>
      <c r="N20472" s="56"/>
    </row>
    <row r="20473" spans="1:14" x14ac:dyDescent="0.3">
      <c r="A20473" s="42"/>
      <c r="C20473" s="52"/>
      <c r="D20473"/>
      <c r="E20473"/>
      <c r="N20473" s="56"/>
    </row>
    <row r="20474" spans="1:14" x14ac:dyDescent="0.3">
      <c r="A20474" s="42"/>
      <c r="C20474" s="52"/>
      <c r="D20474"/>
      <c r="E20474"/>
      <c r="N20474" s="56"/>
    </row>
    <row r="20475" spans="1:14" x14ac:dyDescent="0.3">
      <c r="A20475" s="42"/>
      <c r="C20475" s="52"/>
      <c r="D20475"/>
      <c r="E20475"/>
      <c r="N20475" s="56"/>
    </row>
    <row r="20476" spans="1:14" x14ac:dyDescent="0.3">
      <c r="A20476" s="42"/>
      <c r="C20476" s="52"/>
      <c r="D20476"/>
      <c r="E20476"/>
      <c r="N20476" s="56"/>
    </row>
    <row r="20477" spans="1:14" x14ac:dyDescent="0.3">
      <c r="A20477" s="42"/>
      <c r="C20477" s="52"/>
      <c r="D20477"/>
      <c r="E20477"/>
      <c r="N20477" s="56"/>
    </row>
    <row r="20478" spans="1:14" x14ac:dyDescent="0.3">
      <c r="A20478" s="42"/>
      <c r="C20478" s="52"/>
      <c r="D20478"/>
      <c r="E20478"/>
      <c r="N20478" s="56"/>
    </row>
    <row r="20479" spans="1:14" x14ac:dyDescent="0.3">
      <c r="A20479" s="42"/>
      <c r="C20479" s="52"/>
      <c r="D20479"/>
      <c r="E20479"/>
      <c r="N20479" s="56"/>
    </row>
    <row r="20480" spans="1:14" x14ac:dyDescent="0.3">
      <c r="A20480" s="42"/>
      <c r="C20480" s="52"/>
      <c r="D20480"/>
      <c r="E20480"/>
      <c r="N20480" s="56"/>
    </row>
    <row r="20481" spans="1:14" x14ac:dyDescent="0.3">
      <c r="A20481" s="42"/>
      <c r="C20481" s="52"/>
      <c r="D20481"/>
      <c r="E20481"/>
      <c r="N20481" s="56"/>
    </row>
    <row r="20482" spans="1:14" x14ac:dyDescent="0.3">
      <c r="A20482" s="42"/>
      <c r="C20482" s="52"/>
      <c r="D20482"/>
      <c r="E20482"/>
      <c r="N20482" s="56"/>
    </row>
    <row r="20483" spans="1:14" x14ac:dyDescent="0.3">
      <c r="A20483" s="42"/>
      <c r="C20483" s="52"/>
      <c r="D20483"/>
      <c r="E20483"/>
      <c r="N20483" s="56"/>
    </row>
    <row r="20484" spans="1:14" x14ac:dyDescent="0.3">
      <c r="A20484" s="42"/>
      <c r="C20484" s="52"/>
      <c r="D20484"/>
      <c r="E20484"/>
      <c r="N20484" s="56"/>
    </row>
    <row r="20485" spans="1:14" x14ac:dyDescent="0.3">
      <c r="A20485" s="42"/>
      <c r="C20485" s="52"/>
      <c r="D20485"/>
      <c r="E20485"/>
      <c r="N20485" s="56"/>
    </row>
    <row r="20486" spans="1:14" x14ac:dyDescent="0.3">
      <c r="A20486" s="42"/>
      <c r="C20486" s="52"/>
      <c r="D20486"/>
      <c r="E20486"/>
      <c r="N20486" s="56"/>
    </row>
    <row r="20487" spans="1:14" x14ac:dyDescent="0.3">
      <c r="A20487" s="42"/>
      <c r="C20487" s="52"/>
      <c r="D20487"/>
      <c r="E20487"/>
      <c r="N20487" s="56"/>
    </row>
    <row r="20488" spans="1:14" x14ac:dyDescent="0.3">
      <c r="A20488" s="42"/>
      <c r="C20488" s="52"/>
      <c r="D20488"/>
      <c r="E20488"/>
      <c r="N20488" s="56"/>
    </row>
    <row r="20489" spans="1:14" x14ac:dyDescent="0.3">
      <c r="A20489" s="42"/>
      <c r="C20489" s="52"/>
      <c r="D20489"/>
      <c r="E20489"/>
      <c r="N20489" s="56"/>
    </row>
    <row r="20490" spans="1:14" x14ac:dyDescent="0.3">
      <c r="A20490" s="42"/>
      <c r="C20490" s="52"/>
      <c r="D20490"/>
      <c r="E20490"/>
      <c r="N20490" s="56"/>
    </row>
    <row r="20491" spans="1:14" x14ac:dyDescent="0.3">
      <c r="A20491" s="42"/>
      <c r="C20491" s="52"/>
      <c r="D20491"/>
      <c r="E20491"/>
      <c r="N20491" s="56"/>
    </row>
    <row r="20492" spans="1:14" x14ac:dyDescent="0.3">
      <c r="A20492" s="42"/>
      <c r="C20492" s="52"/>
      <c r="D20492"/>
      <c r="E20492"/>
      <c r="N20492" s="56"/>
    </row>
    <row r="20493" spans="1:14" x14ac:dyDescent="0.3">
      <c r="A20493" s="42"/>
      <c r="C20493" s="52"/>
      <c r="D20493"/>
      <c r="E20493"/>
      <c r="N20493" s="56"/>
    </row>
    <row r="20494" spans="1:14" x14ac:dyDescent="0.3">
      <c r="A20494" s="42"/>
      <c r="C20494" s="52"/>
      <c r="D20494"/>
      <c r="E20494"/>
      <c r="N20494" s="56"/>
    </row>
    <row r="20495" spans="1:14" x14ac:dyDescent="0.3">
      <c r="A20495" s="42"/>
      <c r="C20495" s="52"/>
      <c r="D20495"/>
      <c r="E20495"/>
      <c r="N20495" s="56"/>
    </row>
    <row r="20496" spans="1:14" x14ac:dyDescent="0.3">
      <c r="A20496" s="42"/>
      <c r="C20496" s="52"/>
      <c r="D20496"/>
      <c r="E20496"/>
      <c r="N20496" s="56"/>
    </row>
    <row r="20497" spans="1:14" x14ac:dyDescent="0.3">
      <c r="A20497" s="42"/>
      <c r="C20497" s="52"/>
      <c r="D20497"/>
      <c r="E20497"/>
      <c r="N20497" s="56"/>
    </row>
    <row r="20498" spans="1:14" x14ac:dyDescent="0.3">
      <c r="A20498" s="42"/>
      <c r="C20498" s="52"/>
      <c r="D20498"/>
      <c r="E20498"/>
      <c r="N20498" s="56"/>
    </row>
    <row r="20499" spans="1:14" x14ac:dyDescent="0.3">
      <c r="A20499" s="42"/>
      <c r="C20499" s="52"/>
      <c r="D20499"/>
      <c r="E20499"/>
      <c r="M20499" s="45"/>
      <c r="N20499" s="56"/>
    </row>
    <row r="20500" spans="1:14" x14ac:dyDescent="0.3">
      <c r="A20500" s="42"/>
      <c r="C20500" s="52"/>
      <c r="D20500"/>
      <c r="E20500"/>
      <c r="N20500" s="56"/>
    </row>
    <row r="20501" spans="1:14" x14ac:dyDescent="0.3">
      <c r="A20501" s="42"/>
      <c r="C20501" s="52"/>
      <c r="D20501"/>
      <c r="E20501"/>
      <c r="N20501" s="56"/>
    </row>
    <row r="20502" spans="1:14" x14ac:dyDescent="0.3">
      <c r="A20502" s="42"/>
      <c r="C20502" s="52"/>
      <c r="D20502"/>
      <c r="E20502"/>
      <c r="N20502" s="56"/>
    </row>
    <row r="20503" spans="1:14" x14ac:dyDescent="0.3">
      <c r="A20503" s="42"/>
      <c r="C20503" s="52"/>
      <c r="D20503"/>
      <c r="E20503"/>
      <c r="N20503" s="56"/>
    </row>
    <row r="20504" spans="1:14" x14ac:dyDescent="0.3">
      <c r="A20504" s="42"/>
      <c r="C20504" s="52"/>
      <c r="D20504"/>
      <c r="E20504"/>
      <c r="N20504" s="56"/>
    </row>
    <row r="20505" spans="1:14" x14ac:dyDescent="0.3">
      <c r="A20505" s="42"/>
      <c r="C20505" s="52"/>
      <c r="D20505"/>
      <c r="E20505"/>
      <c r="N20505" s="56"/>
    </row>
    <row r="20506" spans="1:14" x14ac:dyDescent="0.3">
      <c r="A20506" s="42"/>
      <c r="C20506" s="52"/>
      <c r="D20506"/>
      <c r="E20506"/>
      <c r="N20506" s="56"/>
    </row>
    <row r="20507" spans="1:14" x14ac:dyDescent="0.3">
      <c r="A20507" s="42"/>
      <c r="C20507" s="52"/>
      <c r="D20507"/>
      <c r="E20507"/>
      <c r="N20507" s="56"/>
    </row>
    <row r="20508" spans="1:14" x14ac:dyDescent="0.3">
      <c r="A20508" s="42"/>
      <c r="C20508" s="52"/>
      <c r="D20508"/>
      <c r="E20508"/>
      <c r="N20508" s="56"/>
    </row>
    <row r="20509" spans="1:14" x14ac:dyDescent="0.3">
      <c r="A20509" s="42"/>
      <c r="C20509" s="52"/>
      <c r="D20509"/>
      <c r="E20509"/>
      <c r="N20509" s="56"/>
    </row>
    <row r="20510" spans="1:14" x14ac:dyDescent="0.3">
      <c r="A20510" s="42"/>
      <c r="C20510" s="52"/>
      <c r="D20510"/>
      <c r="E20510"/>
      <c r="N20510" s="56"/>
    </row>
    <row r="20511" spans="1:14" x14ac:dyDescent="0.3">
      <c r="A20511" s="42"/>
      <c r="C20511" s="52"/>
      <c r="D20511"/>
      <c r="E20511"/>
      <c r="N20511" s="56"/>
    </row>
    <row r="20512" spans="1:14" x14ac:dyDescent="0.3">
      <c r="A20512" s="42"/>
      <c r="C20512" s="52"/>
      <c r="D20512"/>
      <c r="E20512"/>
      <c r="N20512" s="56"/>
    </row>
    <row r="20513" spans="1:14" x14ac:dyDescent="0.3">
      <c r="A20513" s="42"/>
      <c r="C20513" s="52"/>
      <c r="D20513"/>
      <c r="E20513"/>
      <c r="N20513" s="56"/>
    </row>
    <row r="20514" spans="1:14" x14ac:dyDescent="0.3">
      <c r="A20514" s="42"/>
      <c r="C20514" s="52"/>
      <c r="D20514"/>
      <c r="E20514"/>
      <c r="N20514" s="56"/>
    </row>
    <row r="20515" spans="1:14" x14ac:dyDescent="0.3">
      <c r="A20515" s="42"/>
      <c r="C20515" s="52"/>
      <c r="D20515"/>
      <c r="E20515"/>
      <c r="N20515" s="56"/>
    </row>
    <row r="20516" spans="1:14" x14ac:dyDescent="0.3">
      <c r="A20516" s="42"/>
      <c r="C20516" s="52"/>
      <c r="D20516"/>
      <c r="E20516"/>
      <c r="N20516" s="56"/>
    </row>
    <row r="20517" spans="1:14" x14ac:dyDescent="0.3">
      <c r="A20517" s="42"/>
      <c r="C20517" s="52"/>
      <c r="D20517"/>
      <c r="E20517"/>
      <c r="N20517" s="56"/>
    </row>
    <row r="20518" spans="1:14" x14ac:dyDescent="0.3">
      <c r="A20518" s="42"/>
      <c r="C20518" s="52"/>
      <c r="D20518"/>
      <c r="E20518"/>
      <c r="M20518" s="45"/>
      <c r="N20518" s="56"/>
    </row>
    <row r="20519" spans="1:14" x14ac:dyDescent="0.3">
      <c r="A20519" s="42"/>
      <c r="C20519" s="52"/>
      <c r="D20519"/>
      <c r="E20519"/>
      <c r="N20519" s="56"/>
    </row>
    <row r="20520" spans="1:14" x14ac:dyDescent="0.3">
      <c r="A20520" s="42"/>
      <c r="C20520" s="52"/>
      <c r="D20520"/>
      <c r="E20520"/>
      <c r="N20520" s="56"/>
    </row>
    <row r="20521" spans="1:14" x14ac:dyDescent="0.3">
      <c r="A20521" s="42"/>
      <c r="C20521" s="52"/>
      <c r="D20521"/>
      <c r="E20521"/>
      <c r="N20521" s="56"/>
    </row>
    <row r="20522" spans="1:14" x14ac:dyDescent="0.3">
      <c r="A20522" s="42"/>
      <c r="C20522" s="52"/>
      <c r="D20522"/>
      <c r="E20522"/>
      <c r="N20522" s="56"/>
    </row>
    <row r="20523" spans="1:14" x14ac:dyDescent="0.3">
      <c r="A20523" s="42"/>
      <c r="C20523" s="52"/>
      <c r="D20523"/>
      <c r="E20523"/>
      <c r="M20523" s="45"/>
      <c r="N20523" s="56"/>
    </row>
    <row r="20524" spans="1:14" x14ac:dyDescent="0.3">
      <c r="A20524" s="42"/>
      <c r="C20524" s="52"/>
      <c r="D20524"/>
      <c r="E20524"/>
      <c r="M20524" s="45"/>
      <c r="N20524" s="56"/>
    </row>
    <row r="20525" spans="1:14" x14ac:dyDescent="0.3">
      <c r="A20525" s="42"/>
      <c r="C20525" s="52"/>
      <c r="D20525"/>
      <c r="E20525"/>
      <c r="N20525" s="56"/>
    </row>
    <row r="20526" spans="1:14" x14ac:dyDescent="0.3">
      <c r="A20526" s="42"/>
      <c r="C20526" s="52"/>
      <c r="D20526"/>
      <c r="E20526"/>
      <c r="N20526" s="56"/>
    </row>
    <row r="20527" spans="1:14" x14ac:dyDescent="0.3">
      <c r="A20527" s="42"/>
      <c r="C20527" s="52"/>
      <c r="D20527"/>
      <c r="E20527"/>
      <c r="N20527" s="56"/>
    </row>
    <row r="20528" spans="1:14" x14ac:dyDescent="0.3">
      <c r="A20528" s="42"/>
      <c r="C20528" s="52"/>
      <c r="D20528"/>
      <c r="E20528"/>
      <c r="N20528" s="56"/>
    </row>
    <row r="20529" spans="1:14" x14ac:dyDescent="0.3">
      <c r="A20529" s="42"/>
      <c r="C20529" s="52"/>
      <c r="D20529"/>
      <c r="E20529"/>
      <c r="N20529" s="56"/>
    </row>
    <row r="20530" spans="1:14" x14ac:dyDescent="0.3">
      <c r="A20530" s="42"/>
      <c r="C20530" s="52"/>
      <c r="D20530"/>
      <c r="E20530"/>
      <c r="N20530" s="56"/>
    </row>
    <row r="20531" spans="1:14" x14ac:dyDescent="0.3">
      <c r="A20531" s="42"/>
      <c r="C20531" s="52"/>
      <c r="D20531"/>
      <c r="E20531"/>
      <c r="N20531" s="56"/>
    </row>
    <row r="20532" spans="1:14" x14ac:dyDescent="0.3">
      <c r="A20532" s="42"/>
      <c r="C20532" s="52"/>
      <c r="D20532"/>
      <c r="E20532"/>
      <c r="N20532" s="56"/>
    </row>
    <row r="20533" spans="1:14" x14ac:dyDescent="0.3">
      <c r="A20533" s="42"/>
      <c r="C20533" s="52"/>
      <c r="D20533"/>
      <c r="E20533"/>
      <c r="N20533" s="56"/>
    </row>
    <row r="20534" spans="1:14" x14ac:dyDescent="0.3">
      <c r="A20534" s="42"/>
      <c r="C20534" s="52"/>
      <c r="D20534"/>
      <c r="E20534"/>
      <c r="N20534" s="56"/>
    </row>
    <row r="20535" spans="1:14" x14ac:dyDescent="0.3">
      <c r="A20535" s="42"/>
      <c r="C20535" s="52"/>
      <c r="D20535"/>
      <c r="E20535"/>
      <c r="N20535" s="56"/>
    </row>
    <row r="20536" spans="1:14" x14ac:dyDescent="0.3">
      <c r="A20536" s="42"/>
      <c r="C20536" s="52"/>
      <c r="D20536"/>
      <c r="E20536"/>
      <c r="N20536" s="56"/>
    </row>
    <row r="20537" spans="1:14" x14ac:dyDescent="0.3">
      <c r="A20537" s="42"/>
      <c r="C20537" s="52"/>
      <c r="D20537"/>
      <c r="E20537"/>
      <c r="N20537" s="56"/>
    </row>
    <row r="20538" spans="1:14" x14ac:dyDescent="0.3">
      <c r="A20538" s="42"/>
      <c r="C20538" s="52"/>
      <c r="D20538"/>
      <c r="E20538"/>
      <c r="N20538" s="56"/>
    </row>
    <row r="20539" spans="1:14" x14ac:dyDescent="0.3">
      <c r="A20539" s="42"/>
      <c r="C20539" s="52"/>
      <c r="D20539"/>
      <c r="E20539"/>
      <c r="N20539" s="56"/>
    </row>
    <row r="20540" spans="1:14" x14ac:dyDescent="0.3">
      <c r="A20540" s="42"/>
      <c r="C20540" s="52"/>
      <c r="D20540"/>
      <c r="E20540"/>
      <c r="N20540" s="56"/>
    </row>
    <row r="20541" spans="1:14" x14ac:dyDescent="0.3">
      <c r="A20541" s="42"/>
      <c r="C20541" s="52"/>
      <c r="D20541"/>
      <c r="E20541"/>
      <c r="N20541" s="56"/>
    </row>
    <row r="20542" spans="1:14" x14ac:dyDescent="0.3">
      <c r="A20542" s="42"/>
      <c r="C20542" s="52"/>
      <c r="D20542"/>
      <c r="E20542"/>
      <c r="N20542" s="56"/>
    </row>
    <row r="20543" spans="1:14" x14ac:dyDescent="0.3">
      <c r="A20543" s="42"/>
      <c r="C20543" s="52"/>
      <c r="D20543"/>
      <c r="E20543"/>
      <c r="N20543" s="56"/>
    </row>
    <row r="20544" spans="1:14" x14ac:dyDescent="0.3">
      <c r="A20544" s="42"/>
      <c r="C20544" s="52"/>
      <c r="D20544"/>
      <c r="E20544"/>
      <c r="N20544" s="56"/>
    </row>
    <row r="20545" spans="1:14" x14ac:dyDescent="0.3">
      <c r="A20545" s="42"/>
      <c r="C20545" s="52"/>
      <c r="D20545"/>
      <c r="E20545"/>
      <c r="N20545" s="56"/>
    </row>
    <row r="20546" spans="1:14" x14ac:dyDescent="0.3">
      <c r="A20546" s="42"/>
      <c r="C20546" s="52"/>
      <c r="D20546"/>
      <c r="E20546"/>
      <c r="N20546" s="56"/>
    </row>
    <row r="20547" spans="1:14" x14ac:dyDescent="0.3">
      <c r="A20547" s="42"/>
      <c r="C20547" s="52"/>
      <c r="D20547"/>
      <c r="E20547"/>
      <c r="N20547" s="56"/>
    </row>
    <row r="20548" spans="1:14" x14ac:dyDescent="0.3">
      <c r="A20548" s="42"/>
      <c r="C20548" s="52"/>
      <c r="D20548"/>
      <c r="E20548"/>
      <c r="N20548" s="56"/>
    </row>
    <row r="20549" spans="1:14" x14ac:dyDescent="0.3">
      <c r="A20549" s="42"/>
      <c r="C20549" s="52"/>
      <c r="D20549"/>
      <c r="E20549"/>
      <c r="N20549" s="56"/>
    </row>
    <row r="20550" spans="1:14" x14ac:dyDescent="0.3">
      <c r="A20550" s="42"/>
      <c r="C20550" s="52"/>
      <c r="D20550"/>
      <c r="E20550"/>
      <c r="N20550" s="56"/>
    </row>
    <row r="20551" spans="1:14" x14ac:dyDescent="0.3">
      <c r="A20551" s="42"/>
      <c r="C20551" s="52"/>
      <c r="D20551"/>
      <c r="E20551"/>
      <c r="N20551" s="56"/>
    </row>
    <row r="20552" spans="1:14" x14ac:dyDescent="0.3">
      <c r="A20552" s="42"/>
      <c r="C20552" s="52"/>
      <c r="D20552"/>
      <c r="E20552"/>
      <c r="N20552" s="56"/>
    </row>
    <row r="20553" spans="1:14" x14ac:dyDescent="0.3">
      <c r="A20553" s="42"/>
      <c r="C20553" s="52"/>
      <c r="D20553"/>
      <c r="E20553"/>
      <c r="N20553" s="56"/>
    </row>
    <row r="20554" spans="1:14" x14ac:dyDescent="0.3">
      <c r="A20554" s="42"/>
      <c r="C20554" s="52"/>
      <c r="D20554"/>
      <c r="E20554"/>
      <c r="N20554" s="56"/>
    </row>
    <row r="20555" spans="1:14" x14ac:dyDescent="0.3">
      <c r="A20555" s="42"/>
      <c r="C20555" s="52"/>
      <c r="D20555"/>
      <c r="E20555"/>
      <c r="N20555" s="56"/>
    </row>
    <row r="20556" spans="1:14" x14ac:dyDescent="0.3">
      <c r="A20556" s="42"/>
      <c r="C20556" s="52"/>
      <c r="D20556"/>
      <c r="E20556"/>
      <c r="N20556" s="56"/>
    </row>
    <row r="20557" spans="1:14" x14ac:dyDescent="0.3">
      <c r="A20557" s="42"/>
      <c r="C20557" s="52"/>
      <c r="D20557"/>
      <c r="E20557"/>
      <c r="N20557" s="56"/>
    </row>
    <row r="20558" spans="1:14" x14ac:dyDescent="0.3">
      <c r="A20558" s="42"/>
      <c r="C20558" s="52"/>
      <c r="D20558"/>
      <c r="E20558"/>
      <c r="N20558" s="56"/>
    </row>
    <row r="20559" spans="1:14" x14ac:dyDescent="0.3">
      <c r="A20559" s="42"/>
      <c r="C20559" s="52"/>
      <c r="D20559"/>
      <c r="E20559"/>
      <c r="N20559" s="56"/>
    </row>
    <row r="20560" spans="1:14" x14ac:dyDescent="0.3">
      <c r="A20560" s="42"/>
      <c r="C20560" s="52"/>
      <c r="D20560"/>
      <c r="E20560"/>
      <c r="N20560" s="56"/>
    </row>
    <row r="20561" spans="1:14" x14ac:dyDescent="0.3">
      <c r="A20561" s="42"/>
      <c r="C20561" s="52"/>
      <c r="D20561"/>
      <c r="E20561"/>
      <c r="N20561" s="56"/>
    </row>
    <row r="20562" spans="1:14" x14ac:dyDescent="0.3">
      <c r="A20562" s="42"/>
      <c r="C20562" s="52"/>
      <c r="D20562"/>
      <c r="E20562"/>
      <c r="N20562" s="56"/>
    </row>
    <row r="20563" spans="1:14" x14ac:dyDescent="0.3">
      <c r="A20563" s="42"/>
      <c r="C20563" s="52"/>
      <c r="D20563"/>
      <c r="E20563"/>
      <c r="N20563" s="56"/>
    </row>
    <row r="20564" spans="1:14" x14ac:dyDescent="0.3">
      <c r="A20564" s="42"/>
      <c r="C20564" s="52"/>
      <c r="D20564"/>
      <c r="E20564"/>
      <c r="M20564" s="45"/>
      <c r="N20564" s="56"/>
    </row>
    <row r="20565" spans="1:14" x14ac:dyDescent="0.3">
      <c r="A20565" s="42"/>
      <c r="C20565" s="52"/>
      <c r="D20565"/>
      <c r="E20565"/>
      <c r="M20565" s="45"/>
      <c r="N20565" s="56"/>
    </row>
    <row r="20566" spans="1:14" x14ac:dyDescent="0.3">
      <c r="A20566" s="42"/>
      <c r="C20566" s="52"/>
      <c r="D20566"/>
      <c r="E20566"/>
      <c r="N20566" s="56"/>
    </row>
    <row r="20567" spans="1:14" x14ac:dyDescent="0.3">
      <c r="A20567" s="42"/>
      <c r="C20567" s="52"/>
      <c r="D20567"/>
      <c r="E20567"/>
      <c r="N20567" s="56"/>
    </row>
    <row r="20568" spans="1:14" x14ac:dyDescent="0.3">
      <c r="A20568" s="42"/>
      <c r="C20568" s="52"/>
      <c r="D20568"/>
      <c r="E20568"/>
      <c r="N20568" s="56"/>
    </row>
    <row r="20569" spans="1:14" x14ac:dyDescent="0.3">
      <c r="A20569" s="42"/>
      <c r="C20569" s="52"/>
      <c r="D20569"/>
      <c r="E20569"/>
      <c r="N20569" s="56"/>
    </row>
    <row r="20570" spans="1:14" x14ac:dyDescent="0.3">
      <c r="A20570" s="42"/>
      <c r="C20570" s="52"/>
      <c r="D20570"/>
      <c r="E20570"/>
      <c r="N20570" s="56"/>
    </row>
    <row r="20571" spans="1:14" x14ac:dyDescent="0.3">
      <c r="A20571" s="42"/>
      <c r="C20571" s="52"/>
      <c r="D20571"/>
      <c r="E20571"/>
      <c r="N20571" s="56"/>
    </row>
    <row r="20572" spans="1:14" x14ac:dyDescent="0.3">
      <c r="A20572" s="42"/>
      <c r="C20572" s="52"/>
      <c r="D20572"/>
      <c r="E20572"/>
      <c r="N20572" s="56"/>
    </row>
    <row r="20573" spans="1:14" x14ac:dyDescent="0.3">
      <c r="A20573" s="42"/>
      <c r="C20573" s="52"/>
      <c r="D20573"/>
      <c r="E20573"/>
      <c r="N20573" s="56"/>
    </row>
    <row r="20574" spans="1:14" x14ac:dyDescent="0.3">
      <c r="A20574" s="42"/>
      <c r="C20574" s="52"/>
      <c r="D20574"/>
      <c r="E20574"/>
      <c r="N20574" s="56"/>
    </row>
    <row r="20575" spans="1:14" x14ac:dyDescent="0.3">
      <c r="A20575" s="42"/>
      <c r="C20575" s="52"/>
      <c r="D20575"/>
      <c r="E20575"/>
      <c r="N20575" s="56"/>
    </row>
    <row r="20576" spans="1:14" x14ac:dyDescent="0.3">
      <c r="A20576" s="42"/>
      <c r="C20576" s="52"/>
      <c r="D20576"/>
      <c r="E20576"/>
      <c r="N20576" s="56"/>
    </row>
    <row r="20577" spans="1:14" x14ac:dyDescent="0.3">
      <c r="A20577" s="42"/>
      <c r="C20577" s="52"/>
      <c r="D20577"/>
      <c r="E20577"/>
      <c r="N20577" s="56"/>
    </row>
    <row r="20578" spans="1:14" x14ac:dyDescent="0.3">
      <c r="A20578" s="42"/>
      <c r="C20578" s="52"/>
      <c r="D20578"/>
      <c r="E20578"/>
      <c r="N20578" s="56"/>
    </row>
    <row r="20579" spans="1:14" x14ac:dyDescent="0.3">
      <c r="A20579" s="42"/>
      <c r="C20579" s="52"/>
      <c r="D20579"/>
      <c r="E20579"/>
      <c r="N20579" s="56"/>
    </row>
    <row r="20580" spans="1:14" x14ac:dyDescent="0.3">
      <c r="A20580" s="42"/>
      <c r="C20580" s="52"/>
      <c r="D20580"/>
      <c r="E20580"/>
      <c r="N20580" s="56"/>
    </row>
    <row r="20581" spans="1:14" x14ac:dyDescent="0.3">
      <c r="A20581" s="42"/>
      <c r="C20581" s="52"/>
      <c r="D20581"/>
      <c r="E20581"/>
      <c r="N20581" s="56"/>
    </row>
    <row r="20582" spans="1:14" x14ac:dyDescent="0.3">
      <c r="A20582" s="42"/>
      <c r="C20582" s="52"/>
      <c r="D20582"/>
      <c r="E20582"/>
      <c r="N20582" s="56"/>
    </row>
    <row r="20583" spans="1:14" x14ac:dyDescent="0.3">
      <c r="A20583" s="42"/>
      <c r="C20583" s="52"/>
      <c r="D20583"/>
      <c r="E20583"/>
      <c r="N20583" s="56"/>
    </row>
    <row r="20584" spans="1:14" x14ac:dyDescent="0.3">
      <c r="A20584" s="42"/>
      <c r="C20584" s="52"/>
      <c r="D20584"/>
      <c r="E20584"/>
      <c r="N20584" s="56"/>
    </row>
    <row r="20585" spans="1:14" x14ac:dyDescent="0.3">
      <c r="A20585" s="42"/>
      <c r="C20585" s="52"/>
      <c r="D20585"/>
      <c r="E20585"/>
      <c r="N20585" s="56"/>
    </row>
    <row r="20586" spans="1:14" x14ac:dyDescent="0.3">
      <c r="A20586" s="42"/>
      <c r="C20586" s="52"/>
      <c r="D20586"/>
      <c r="E20586"/>
      <c r="N20586" s="56"/>
    </row>
    <row r="20587" spans="1:14" x14ac:dyDescent="0.3">
      <c r="A20587" s="42"/>
      <c r="C20587" s="52"/>
      <c r="D20587"/>
      <c r="E20587"/>
      <c r="N20587" s="56"/>
    </row>
    <row r="20588" spans="1:14" x14ac:dyDescent="0.3">
      <c r="A20588" s="42"/>
      <c r="C20588" s="52"/>
      <c r="D20588"/>
      <c r="E20588"/>
      <c r="N20588" s="56"/>
    </row>
    <row r="20589" spans="1:14" x14ac:dyDescent="0.3">
      <c r="A20589" s="42"/>
      <c r="C20589" s="52"/>
      <c r="D20589"/>
      <c r="E20589"/>
      <c r="N20589" s="56"/>
    </row>
    <row r="20590" spans="1:14" x14ac:dyDescent="0.3">
      <c r="A20590" s="42"/>
      <c r="C20590" s="52"/>
      <c r="D20590"/>
      <c r="E20590"/>
      <c r="N20590" s="56"/>
    </row>
    <row r="20591" spans="1:14" x14ac:dyDescent="0.3">
      <c r="A20591" s="42"/>
      <c r="C20591" s="52"/>
      <c r="D20591"/>
      <c r="E20591"/>
      <c r="N20591" s="56"/>
    </row>
    <row r="20592" spans="1:14" x14ac:dyDescent="0.3">
      <c r="A20592" s="42"/>
      <c r="C20592" s="52"/>
      <c r="D20592"/>
      <c r="E20592"/>
      <c r="N20592" s="56"/>
    </row>
    <row r="20593" spans="1:14" x14ac:dyDescent="0.3">
      <c r="A20593" s="42"/>
      <c r="C20593" s="52"/>
      <c r="D20593"/>
      <c r="E20593"/>
      <c r="N20593" s="56"/>
    </row>
    <row r="20594" spans="1:14" x14ac:dyDescent="0.3">
      <c r="A20594" s="42"/>
      <c r="C20594" s="52"/>
      <c r="D20594"/>
      <c r="E20594"/>
      <c r="N20594" s="56"/>
    </row>
    <row r="20595" spans="1:14" x14ac:dyDescent="0.3">
      <c r="A20595" s="42"/>
      <c r="C20595" s="52"/>
      <c r="D20595"/>
      <c r="E20595"/>
      <c r="N20595" s="56"/>
    </row>
    <row r="20596" spans="1:14" x14ac:dyDescent="0.3">
      <c r="A20596" s="42"/>
      <c r="C20596" s="52"/>
      <c r="D20596"/>
      <c r="E20596"/>
      <c r="N20596" s="56"/>
    </row>
    <row r="20597" spans="1:14" x14ac:dyDescent="0.3">
      <c r="A20597" s="42"/>
      <c r="C20597" s="52"/>
      <c r="D20597"/>
      <c r="E20597"/>
      <c r="N20597" s="56"/>
    </row>
    <row r="20598" spans="1:14" x14ac:dyDescent="0.3">
      <c r="A20598" s="42"/>
      <c r="C20598" s="52"/>
      <c r="D20598"/>
      <c r="E20598"/>
      <c r="N20598" s="56"/>
    </row>
    <row r="20599" spans="1:14" x14ac:dyDescent="0.3">
      <c r="A20599" s="42"/>
      <c r="C20599" s="52"/>
      <c r="D20599"/>
      <c r="E20599"/>
      <c r="N20599" s="56"/>
    </row>
    <row r="20600" spans="1:14" x14ac:dyDescent="0.3">
      <c r="A20600" s="42"/>
      <c r="C20600" s="52"/>
      <c r="D20600"/>
      <c r="E20600"/>
      <c r="N20600" s="56"/>
    </row>
    <row r="20601" spans="1:14" x14ac:dyDescent="0.3">
      <c r="A20601" s="42"/>
      <c r="C20601" s="52"/>
      <c r="D20601"/>
      <c r="E20601"/>
      <c r="N20601" s="56"/>
    </row>
    <row r="20602" spans="1:14" x14ac:dyDescent="0.3">
      <c r="A20602" s="42"/>
      <c r="C20602" s="52"/>
      <c r="D20602"/>
      <c r="E20602"/>
      <c r="N20602" s="56"/>
    </row>
    <row r="20603" spans="1:14" x14ac:dyDescent="0.3">
      <c r="A20603" s="42"/>
      <c r="C20603" s="52"/>
      <c r="D20603"/>
      <c r="E20603"/>
      <c r="N20603" s="56"/>
    </row>
    <row r="20604" spans="1:14" x14ac:dyDescent="0.3">
      <c r="A20604" s="42"/>
      <c r="C20604" s="52"/>
      <c r="D20604"/>
      <c r="E20604"/>
      <c r="N20604" s="56"/>
    </row>
    <row r="20605" spans="1:14" x14ac:dyDescent="0.3">
      <c r="A20605" s="42"/>
      <c r="C20605" s="52"/>
      <c r="D20605"/>
      <c r="E20605"/>
      <c r="N20605" s="56"/>
    </row>
    <row r="20606" spans="1:14" x14ac:dyDescent="0.3">
      <c r="A20606" s="42"/>
      <c r="C20606" s="52"/>
      <c r="D20606"/>
      <c r="E20606"/>
      <c r="N20606" s="56"/>
    </row>
    <row r="20607" spans="1:14" x14ac:dyDescent="0.3">
      <c r="A20607" s="42"/>
      <c r="C20607" s="52"/>
      <c r="D20607"/>
      <c r="E20607"/>
      <c r="N20607" s="56"/>
    </row>
    <row r="20608" spans="1:14" x14ac:dyDescent="0.3">
      <c r="A20608" s="42"/>
      <c r="C20608" s="52"/>
      <c r="D20608"/>
      <c r="E20608"/>
      <c r="N20608" s="56"/>
    </row>
    <row r="20609" spans="1:14" x14ac:dyDescent="0.3">
      <c r="A20609" s="42"/>
      <c r="C20609" s="52"/>
      <c r="D20609"/>
      <c r="E20609"/>
      <c r="N20609" s="56"/>
    </row>
    <row r="20610" spans="1:14" x14ac:dyDescent="0.3">
      <c r="A20610" s="42"/>
      <c r="C20610" s="52"/>
      <c r="D20610"/>
      <c r="E20610"/>
      <c r="N20610" s="56"/>
    </row>
    <row r="20611" spans="1:14" x14ac:dyDescent="0.3">
      <c r="A20611" s="42"/>
      <c r="C20611" s="52"/>
      <c r="D20611"/>
      <c r="E20611"/>
      <c r="N20611" s="56"/>
    </row>
    <row r="20612" spans="1:14" x14ac:dyDescent="0.3">
      <c r="A20612" s="42"/>
      <c r="C20612" s="52"/>
      <c r="D20612"/>
      <c r="E20612"/>
      <c r="N20612" s="56"/>
    </row>
    <row r="20613" spans="1:14" x14ac:dyDescent="0.3">
      <c r="A20613" s="42"/>
      <c r="C20613" s="52"/>
      <c r="D20613"/>
      <c r="E20613"/>
      <c r="N20613" s="56"/>
    </row>
    <row r="20614" spans="1:14" x14ac:dyDescent="0.3">
      <c r="A20614" s="42"/>
      <c r="C20614" s="52"/>
      <c r="D20614"/>
      <c r="E20614"/>
      <c r="N20614" s="56"/>
    </row>
    <row r="20615" spans="1:14" x14ac:dyDescent="0.3">
      <c r="A20615" s="42"/>
      <c r="C20615" s="52"/>
      <c r="D20615"/>
      <c r="E20615"/>
      <c r="N20615" s="56"/>
    </row>
    <row r="20616" spans="1:14" x14ac:dyDescent="0.3">
      <c r="A20616" s="42"/>
      <c r="C20616" s="52"/>
      <c r="D20616"/>
      <c r="E20616"/>
      <c r="N20616" s="56"/>
    </row>
    <row r="20617" spans="1:14" x14ac:dyDescent="0.3">
      <c r="A20617" s="42"/>
      <c r="C20617" s="52"/>
      <c r="D20617"/>
      <c r="E20617"/>
      <c r="N20617" s="56"/>
    </row>
    <row r="20618" spans="1:14" x14ac:dyDescent="0.3">
      <c r="A20618" s="42"/>
      <c r="C20618" s="52"/>
      <c r="D20618"/>
      <c r="E20618"/>
      <c r="N20618" s="56"/>
    </row>
    <row r="20619" spans="1:14" x14ac:dyDescent="0.3">
      <c r="A20619" s="42"/>
      <c r="C20619" s="52"/>
      <c r="D20619"/>
      <c r="E20619"/>
      <c r="N20619" s="56"/>
    </row>
    <row r="20620" spans="1:14" x14ac:dyDescent="0.3">
      <c r="A20620" s="42"/>
      <c r="C20620" s="52"/>
      <c r="D20620"/>
      <c r="E20620"/>
      <c r="N20620" s="56"/>
    </row>
    <row r="20621" spans="1:14" x14ac:dyDescent="0.3">
      <c r="A20621" s="42"/>
      <c r="C20621" s="52"/>
      <c r="D20621"/>
      <c r="E20621"/>
      <c r="N20621" s="56"/>
    </row>
    <row r="20622" spans="1:14" x14ac:dyDescent="0.3">
      <c r="A20622" s="42"/>
      <c r="C20622" s="52"/>
      <c r="D20622"/>
      <c r="E20622"/>
      <c r="N20622" s="56"/>
    </row>
    <row r="20623" spans="1:14" x14ac:dyDescent="0.3">
      <c r="A20623" s="42"/>
      <c r="C20623" s="52"/>
      <c r="D20623"/>
      <c r="E20623"/>
      <c r="N20623" s="56"/>
    </row>
    <row r="20624" spans="1:14" x14ac:dyDescent="0.3">
      <c r="A20624" s="42"/>
      <c r="C20624" s="52"/>
      <c r="D20624"/>
      <c r="E20624"/>
      <c r="N20624" s="56"/>
    </row>
    <row r="20625" spans="1:14" x14ac:dyDescent="0.3">
      <c r="A20625" s="42"/>
      <c r="C20625" s="52"/>
      <c r="D20625"/>
      <c r="E20625"/>
      <c r="N20625" s="56"/>
    </row>
    <row r="20626" spans="1:14" x14ac:dyDescent="0.3">
      <c r="A20626" s="42"/>
      <c r="C20626" s="52"/>
      <c r="D20626"/>
      <c r="E20626"/>
      <c r="N20626" s="56"/>
    </row>
    <row r="20627" spans="1:14" x14ac:dyDescent="0.3">
      <c r="A20627" s="42"/>
      <c r="C20627" s="52"/>
      <c r="D20627"/>
      <c r="E20627"/>
      <c r="N20627" s="56"/>
    </row>
    <row r="20628" spans="1:14" x14ac:dyDescent="0.3">
      <c r="A20628" s="42"/>
      <c r="C20628" s="52"/>
      <c r="D20628"/>
      <c r="E20628"/>
      <c r="N20628" s="56"/>
    </row>
    <row r="20629" spans="1:14" x14ac:dyDescent="0.3">
      <c r="A20629" s="42"/>
      <c r="C20629" s="52"/>
      <c r="D20629"/>
      <c r="E20629"/>
      <c r="N20629" s="56"/>
    </row>
    <row r="20630" spans="1:14" x14ac:dyDescent="0.3">
      <c r="A20630" s="42"/>
      <c r="C20630" s="52"/>
      <c r="D20630"/>
      <c r="E20630"/>
      <c r="N20630" s="56"/>
    </row>
    <row r="20631" spans="1:14" x14ac:dyDescent="0.3">
      <c r="A20631" s="42"/>
      <c r="C20631" s="52"/>
      <c r="D20631"/>
      <c r="E20631"/>
      <c r="N20631" s="56"/>
    </row>
    <row r="20632" spans="1:14" x14ac:dyDescent="0.3">
      <c r="A20632" s="42"/>
      <c r="C20632" s="52"/>
      <c r="D20632"/>
      <c r="E20632"/>
      <c r="N20632" s="56"/>
    </row>
    <row r="20633" spans="1:14" x14ac:dyDescent="0.3">
      <c r="A20633" s="42"/>
      <c r="C20633" s="52"/>
      <c r="D20633"/>
      <c r="E20633"/>
      <c r="N20633" s="56"/>
    </row>
    <row r="20634" spans="1:14" x14ac:dyDescent="0.3">
      <c r="A20634" s="42"/>
      <c r="C20634" s="52"/>
      <c r="D20634"/>
      <c r="E20634"/>
      <c r="N20634" s="56"/>
    </row>
    <row r="20635" spans="1:14" x14ac:dyDescent="0.3">
      <c r="A20635" s="42"/>
      <c r="C20635" s="52"/>
      <c r="D20635"/>
      <c r="E20635"/>
      <c r="N20635" s="56"/>
    </row>
    <row r="20636" spans="1:14" x14ac:dyDescent="0.3">
      <c r="A20636" s="42"/>
      <c r="C20636" s="52"/>
      <c r="D20636"/>
      <c r="E20636"/>
      <c r="M20636" s="45"/>
      <c r="N20636" s="56"/>
    </row>
    <row r="20637" spans="1:14" x14ac:dyDescent="0.3">
      <c r="A20637" s="42"/>
      <c r="C20637" s="52"/>
      <c r="D20637"/>
      <c r="E20637"/>
      <c r="N20637" s="56"/>
    </row>
    <row r="20638" spans="1:14" x14ac:dyDescent="0.3">
      <c r="A20638" s="42"/>
      <c r="C20638" s="52"/>
      <c r="D20638"/>
      <c r="E20638"/>
      <c r="N20638" s="56"/>
    </row>
    <row r="20639" spans="1:14" x14ac:dyDescent="0.3">
      <c r="A20639" s="42"/>
      <c r="C20639" s="52"/>
      <c r="D20639"/>
      <c r="E20639"/>
      <c r="N20639" s="56"/>
    </row>
    <row r="20640" spans="1:14" x14ac:dyDescent="0.3">
      <c r="A20640" s="42"/>
      <c r="C20640" s="52"/>
      <c r="D20640"/>
      <c r="E20640"/>
      <c r="N20640" s="56"/>
    </row>
    <row r="20641" spans="1:14" x14ac:dyDescent="0.3">
      <c r="A20641" s="42"/>
      <c r="C20641" s="52"/>
      <c r="D20641"/>
      <c r="E20641"/>
      <c r="N20641" s="56"/>
    </row>
    <row r="20642" spans="1:14" x14ac:dyDescent="0.3">
      <c r="A20642" s="42"/>
      <c r="C20642" s="52"/>
      <c r="D20642"/>
      <c r="E20642"/>
      <c r="N20642" s="56"/>
    </row>
    <row r="20643" spans="1:14" x14ac:dyDescent="0.3">
      <c r="A20643" s="42"/>
      <c r="C20643" s="52"/>
      <c r="D20643"/>
      <c r="E20643"/>
      <c r="M20643" s="45"/>
      <c r="N20643" s="56"/>
    </row>
    <row r="20644" spans="1:14" x14ac:dyDescent="0.3">
      <c r="A20644" s="42"/>
      <c r="C20644" s="52"/>
      <c r="D20644"/>
      <c r="E20644"/>
      <c r="N20644" s="56"/>
    </row>
    <row r="20645" spans="1:14" x14ac:dyDescent="0.3">
      <c r="A20645" s="42"/>
      <c r="C20645" s="52"/>
      <c r="D20645"/>
      <c r="E20645"/>
      <c r="N20645" s="56"/>
    </row>
    <row r="20646" spans="1:14" x14ac:dyDescent="0.3">
      <c r="A20646" s="42"/>
      <c r="C20646" s="52"/>
      <c r="D20646"/>
      <c r="E20646"/>
      <c r="N20646" s="56"/>
    </row>
    <row r="20647" spans="1:14" x14ac:dyDescent="0.3">
      <c r="A20647" s="42"/>
      <c r="C20647" s="52"/>
      <c r="D20647"/>
      <c r="E20647"/>
      <c r="N20647" s="56"/>
    </row>
    <row r="20648" spans="1:14" x14ac:dyDescent="0.3">
      <c r="A20648" s="42"/>
      <c r="C20648" s="52"/>
      <c r="D20648"/>
      <c r="E20648"/>
      <c r="N20648" s="56"/>
    </row>
    <row r="20649" spans="1:14" x14ac:dyDescent="0.3">
      <c r="A20649" s="42"/>
      <c r="C20649" s="52"/>
      <c r="D20649"/>
      <c r="E20649"/>
      <c r="N20649" s="56"/>
    </row>
    <row r="20650" spans="1:14" x14ac:dyDescent="0.3">
      <c r="A20650" s="42"/>
      <c r="C20650" s="52"/>
      <c r="D20650"/>
      <c r="E20650"/>
      <c r="N20650" s="56"/>
    </row>
    <row r="20651" spans="1:14" x14ac:dyDescent="0.3">
      <c r="A20651" s="42"/>
      <c r="C20651" s="52"/>
      <c r="D20651"/>
      <c r="E20651"/>
      <c r="N20651" s="56"/>
    </row>
    <row r="20652" spans="1:14" x14ac:dyDescent="0.3">
      <c r="A20652" s="42"/>
      <c r="C20652" s="52"/>
      <c r="D20652"/>
      <c r="E20652"/>
      <c r="N20652" s="56"/>
    </row>
    <row r="20653" spans="1:14" x14ac:dyDescent="0.3">
      <c r="A20653" s="42"/>
      <c r="C20653" s="52"/>
      <c r="D20653"/>
      <c r="E20653"/>
      <c r="N20653" s="56"/>
    </row>
    <row r="20654" spans="1:14" x14ac:dyDescent="0.3">
      <c r="A20654" s="42"/>
      <c r="C20654" s="52"/>
      <c r="D20654"/>
      <c r="E20654"/>
      <c r="N20654" s="56"/>
    </row>
    <row r="20655" spans="1:14" x14ac:dyDescent="0.3">
      <c r="A20655" s="42"/>
      <c r="C20655" s="52"/>
      <c r="D20655"/>
      <c r="E20655"/>
      <c r="N20655" s="56"/>
    </row>
    <row r="20656" spans="1:14" x14ac:dyDescent="0.3">
      <c r="A20656" s="42"/>
      <c r="C20656" s="52"/>
      <c r="D20656"/>
      <c r="E20656"/>
      <c r="N20656" s="56"/>
    </row>
    <row r="20657" spans="1:14" x14ac:dyDescent="0.3">
      <c r="A20657" s="42"/>
      <c r="C20657" s="52"/>
      <c r="D20657"/>
      <c r="E20657"/>
      <c r="N20657" s="56"/>
    </row>
    <row r="20658" spans="1:14" x14ac:dyDescent="0.3">
      <c r="A20658" s="42"/>
      <c r="C20658" s="52"/>
      <c r="D20658"/>
      <c r="E20658"/>
      <c r="N20658" s="56"/>
    </row>
    <row r="20659" spans="1:14" x14ac:dyDescent="0.3">
      <c r="A20659" s="42"/>
      <c r="C20659" s="52"/>
      <c r="D20659"/>
      <c r="E20659"/>
      <c r="N20659" s="56"/>
    </row>
    <row r="20660" spans="1:14" x14ac:dyDescent="0.3">
      <c r="A20660" s="42"/>
      <c r="C20660" s="52"/>
      <c r="D20660"/>
      <c r="E20660"/>
      <c r="N20660" s="56"/>
    </row>
    <row r="20661" spans="1:14" x14ac:dyDescent="0.3">
      <c r="A20661" s="42"/>
      <c r="C20661" s="52"/>
      <c r="D20661"/>
      <c r="E20661"/>
      <c r="N20661" s="56"/>
    </row>
    <row r="20662" spans="1:14" x14ac:dyDescent="0.3">
      <c r="A20662" s="42"/>
      <c r="C20662" s="52"/>
      <c r="D20662"/>
      <c r="E20662"/>
      <c r="N20662" s="56"/>
    </row>
    <row r="20663" spans="1:14" x14ac:dyDescent="0.3">
      <c r="A20663" s="42"/>
      <c r="C20663" s="52"/>
      <c r="D20663"/>
      <c r="E20663"/>
      <c r="N20663" s="56"/>
    </row>
    <row r="20664" spans="1:14" x14ac:dyDescent="0.3">
      <c r="A20664" s="42"/>
      <c r="C20664" s="52"/>
      <c r="D20664"/>
      <c r="E20664"/>
      <c r="N20664" s="56"/>
    </row>
    <row r="20665" spans="1:14" x14ac:dyDescent="0.3">
      <c r="A20665" s="42"/>
      <c r="C20665" s="52"/>
      <c r="D20665"/>
      <c r="E20665"/>
      <c r="N20665" s="56"/>
    </row>
    <row r="20666" spans="1:14" x14ac:dyDescent="0.3">
      <c r="A20666" s="42"/>
      <c r="C20666" s="52"/>
      <c r="D20666"/>
      <c r="E20666"/>
      <c r="N20666" s="56"/>
    </row>
    <row r="20667" spans="1:14" x14ac:dyDescent="0.3">
      <c r="A20667" s="42"/>
      <c r="C20667" s="52"/>
      <c r="D20667"/>
      <c r="E20667"/>
      <c r="N20667" s="56"/>
    </row>
    <row r="20668" spans="1:14" x14ac:dyDescent="0.3">
      <c r="A20668" s="42"/>
      <c r="C20668" s="52"/>
      <c r="D20668"/>
      <c r="E20668"/>
      <c r="N20668" s="56"/>
    </row>
    <row r="20669" spans="1:14" x14ac:dyDescent="0.3">
      <c r="A20669" s="42"/>
      <c r="C20669" s="52"/>
      <c r="D20669"/>
      <c r="E20669"/>
      <c r="N20669" s="56"/>
    </row>
    <row r="20670" spans="1:14" x14ac:dyDescent="0.3">
      <c r="A20670" s="42"/>
      <c r="C20670" s="52"/>
      <c r="D20670"/>
      <c r="E20670"/>
      <c r="N20670" s="56"/>
    </row>
    <row r="20671" spans="1:14" x14ac:dyDescent="0.3">
      <c r="A20671" s="42"/>
      <c r="C20671" s="52"/>
      <c r="D20671"/>
      <c r="E20671"/>
      <c r="N20671" s="56"/>
    </row>
    <row r="20672" spans="1:14" x14ac:dyDescent="0.3">
      <c r="A20672" s="42"/>
      <c r="C20672" s="52"/>
      <c r="D20672"/>
      <c r="E20672"/>
      <c r="N20672" s="56"/>
    </row>
    <row r="20673" spans="1:14" x14ac:dyDescent="0.3">
      <c r="A20673" s="42"/>
      <c r="C20673" s="52"/>
      <c r="D20673"/>
      <c r="E20673"/>
      <c r="N20673" s="56"/>
    </row>
    <row r="20674" spans="1:14" x14ac:dyDescent="0.3">
      <c r="A20674" s="42"/>
      <c r="C20674" s="52"/>
      <c r="D20674"/>
      <c r="E20674"/>
      <c r="N20674" s="56"/>
    </row>
    <row r="20675" spans="1:14" x14ac:dyDescent="0.3">
      <c r="A20675" s="42"/>
      <c r="C20675" s="52"/>
      <c r="D20675"/>
      <c r="E20675"/>
      <c r="N20675" s="56"/>
    </row>
    <row r="20676" spans="1:14" x14ac:dyDescent="0.3">
      <c r="A20676" s="42"/>
      <c r="C20676" s="52"/>
      <c r="D20676"/>
      <c r="E20676"/>
      <c r="N20676" s="56"/>
    </row>
    <row r="20677" spans="1:14" x14ac:dyDescent="0.3">
      <c r="A20677" s="42"/>
      <c r="C20677" s="52"/>
      <c r="D20677"/>
      <c r="E20677"/>
      <c r="N20677" s="56"/>
    </row>
    <row r="20678" spans="1:14" x14ac:dyDescent="0.3">
      <c r="A20678" s="42"/>
      <c r="C20678" s="52"/>
      <c r="D20678"/>
      <c r="E20678"/>
      <c r="M20678" s="45"/>
      <c r="N20678" s="56"/>
    </row>
    <row r="20679" spans="1:14" x14ac:dyDescent="0.3">
      <c r="A20679" s="42"/>
      <c r="C20679" s="52"/>
      <c r="D20679"/>
      <c r="E20679"/>
      <c r="N20679" s="56"/>
    </row>
    <row r="20680" spans="1:14" x14ac:dyDescent="0.3">
      <c r="A20680" s="42"/>
      <c r="C20680" s="52"/>
      <c r="D20680"/>
      <c r="E20680"/>
      <c r="N20680" s="56"/>
    </row>
    <row r="20681" spans="1:14" x14ac:dyDescent="0.3">
      <c r="A20681" s="42"/>
      <c r="C20681" s="52"/>
      <c r="D20681"/>
      <c r="E20681"/>
      <c r="N20681" s="56"/>
    </row>
    <row r="20682" spans="1:14" x14ac:dyDescent="0.3">
      <c r="A20682" s="42"/>
      <c r="C20682" s="52"/>
      <c r="D20682"/>
      <c r="E20682"/>
      <c r="N20682" s="56"/>
    </row>
    <row r="20683" spans="1:14" x14ac:dyDescent="0.3">
      <c r="A20683" s="42"/>
      <c r="C20683" s="52"/>
      <c r="D20683"/>
      <c r="E20683"/>
      <c r="N20683" s="56"/>
    </row>
    <row r="20684" spans="1:14" x14ac:dyDescent="0.3">
      <c r="A20684" s="42"/>
      <c r="C20684" s="52"/>
      <c r="D20684"/>
      <c r="E20684"/>
      <c r="N20684" s="56"/>
    </row>
    <row r="20685" spans="1:14" x14ac:dyDescent="0.3">
      <c r="A20685" s="42"/>
      <c r="C20685" s="52"/>
      <c r="D20685"/>
      <c r="E20685"/>
      <c r="N20685" s="56"/>
    </row>
    <row r="20686" spans="1:14" x14ac:dyDescent="0.3">
      <c r="A20686" s="42"/>
      <c r="C20686" s="52"/>
      <c r="D20686"/>
      <c r="E20686"/>
      <c r="N20686" s="56"/>
    </row>
    <row r="20687" spans="1:14" x14ac:dyDescent="0.3">
      <c r="A20687" s="42"/>
      <c r="C20687" s="52"/>
      <c r="D20687"/>
      <c r="E20687"/>
      <c r="N20687" s="56"/>
    </row>
    <row r="20688" spans="1:14" x14ac:dyDescent="0.3">
      <c r="A20688" s="42"/>
      <c r="C20688" s="52"/>
      <c r="D20688"/>
      <c r="E20688"/>
      <c r="N20688" s="56"/>
    </row>
    <row r="20689" spans="1:14" x14ac:dyDescent="0.3">
      <c r="A20689" s="42"/>
      <c r="C20689" s="52"/>
      <c r="D20689"/>
      <c r="E20689"/>
      <c r="N20689" s="56"/>
    </row>
    <row r="20690" spans="1:14" x14ac:dyDescent="0.3">
      <c r="A20690" s="42"/>
      <c r="C20690" s="52"/>
      <c r="D20690"/>
      <c r="E20690"/>
      <c r="N20690" s="56"/>
    </row>
    <row r="20691" spans="1:14" x14ac:dyDescent="0.3">
      <c r="A20691" s="42"/>
      <c r="C20691" s="52"/>
      <c r="D20691"/>
      <c r="E20691"/>
      <c r="N20691" s="56"/>
    </row>
    <row r="20692" spans="1:14" x14ac:dyDescent="0.3">
      <c r="A20692" s="42"/>
      <c r="C20692" s="52"/>
      <c r="D20692"/>
      <c r="E20692"/>
      <c r="N20692" s="56"/>
    </row>
    <row r="20693" spans="1:14" x14ac:dyDescent="0.3">
      <c r="A20693" s="42"/>
      <c r="C20693" s="52"/>
      <c r="D20693"/>
      <c r="E20693"/>
      <c r="N20693" s="56"/>
    </row>
    <row r="20694" spans="1:14" x14ac:dyDescent="0.3">
      <c r="A20694" s="42"/>
      <c r="C20694" s="52"/>
      <c r="D20694"/>
      <c r="E20694"/>
      <c r="N20694" s="56"/>
    </row>
    <row r="20695" spans="1:14" x14ac:dyDescent="0.3">
      <c r="A20695" s="42"/>
      <c r="C20695" s="52"/>
      <c r="D20695"/>
      <c r="E20695"/>
      <c r="N20695" s="56"/>
    </row>
    <row r="20696" spans="1:14" x14ac:dyDescent="0.3">
      <c r="A20696" s="42"/>
      <c r="C20696" s="52"/>
      <c r="D20696"/>
      <c r="E20696"/>
      <c r="N20696" s="56"/>
    </row>
    <row r="20697" spans="1:14" x14ac:dyDescent="0.3">
      <c r="A20697" s="42"/>
      <c r="C20697" s="52"/>
      <c r="D20697"/>
      <c r="E20697"/>
      <c r="N20697" s="56"/>
    </row>
    <row r="20698" spans="1:14" x14ac:dyDescent="0.3">
      <c r="A20698" s="42"/>
      <c r="C20698" s="52"/>
      <c r="D20698"/>
      <c r="E20698"/>
      <c r="N20698" s="56"/>
    </row>
    <row r="20699" spans="1:14" x14ac:dyDescent="0.3">
      <c r="A20699" s="42"/>
      <c r="C20699" s="52"/>
      <c r="D20699"/>
      <c r="E20699"/>
      <c r="N20699" s="56"/>
    </row>
    <row r="20700" spans="1:14" x14ac:dyDescent="0.3">
      <c r="A20700" s="42"/>
      <c r="C20700" s="52"/>
      <c r="D20700"/>
      <c r="E20700"/>
      <c r="N20700" s="56"/>
    </row>
    <row r="20701" spans="1:14" x14ac:dyDescent="0.3">
      <c r="A20701" s="42"/>
      <c r="C20701" s="52"/>
      <c r="D20701"/>
      <c r="E20701"/>
      <c r="N20701" s="56"/>
    </row>
    <row r="20702" spans="1:14" x14ac:dyDescent="0.3">
      <c r="A20702" s="42"/>
      <c r="C20702" s="52"/>
      <c r="D20702"/>
      <c r="E20702"/>
      <c r="N20702" s="56"/>
    </row>
    <row r="20703" spans="1:14" x14ac:dyDescent="0.3">
      <c r="A20703" s="42"/>
      <c r="C20703" s="52"/>
      <c r="D20703"/>
      <c r="E20703"/>
      <c r="N20703" s="56"/>
    </row>
    <row r="20704" spans="1:14" x14ac:dyDescent="0.3">
      <c r="A20704" s="42"/>
      <c r="C20704" s="52"/>
      <c r="D20704"/>
      <c r="E20704"/>
      <c r="N20704" s="56"/>
    </row>
    <row r="20705" spans="1:14" x14ac:dyDescent="0.3">
      <c r="A20705" s="42"/>
      <c r="C20705" s="52"/>
      <c r="D20705"/>
      <c r="E20705"/>
      <c r="N20705" s="56"/>
    </row>
    <row r="20706" spans="1:14" x14ac:dyDescent="0.3">
      <c r="A20706" s="42"/>
      <c r="C20706" s="52"/>
      <c r="D20706"/>
      <c r="E20706"/>
      <c r="N20706" s="56"/>
    </row>
    <row r="20707" spans="1:14" x14ac:dyDescent="0.3">
      <c r="A20707" s="42"/>
      <c r="C20707" s="52"/>
      <c r="D20707"/>
      <c r="E20707"/>
      <c r="N20707" s="56"/>
    </row>
    <row r="20708" spans="1:14" x14ac:dyDescent="0.3">
      <c r="A20708" s="42"/>
      <c r="C20708" s="52"/>
      <c r="D20708"/>
      <c r="E20708"/>
      <c r="N20708" s="56"/>
    </row>
    <row r="20709" spans="1:14" x14ac:dyDescent="0.3">
      <c r="A20709" s="42"/>
      <c r="C20709" s="52"/>
      <c r="D20709"/>
      <c r="E20709"/>
      <c r="N20709" s="56"/>
    </row>
    <row r="20710" spans="1:14" x14ac:dyDescent="0.3">
      <c r="A20710" s="42"/>
      <c r="C20710" s="52"/>
      <c r="D20710"/>
      <c r="E20710"/>
      <c r="N20710" s="56"/>
    </row>
    <row r="20711" spans="1:14" x14ac:dyDescent="0.3">
      <c r="A20711" s="42"/>
      <c r="C20711" s="52"/>
      <c r="D20711"/>
      <c r="E20711"/>
      <c r="N20711" s="56"/>
    </row>
    <row r="20712" spans="1:14" x14ac:dyDescent="0.3">
      <c r="A20712" s="42"/>
      <c r="C20712" s="52"/>
      <c r="D20712"/>
      <c r="E20712"/>
      <c r="N20712" s="56"/>
    </row>
    <row r="20713" spans="1:14" x14ac:dyDescent="0.3">
      <c r="A20713" s="42"/>
      <c r="C20713" s="52"/>
      <c r="D20713"/>
      <c r="E20713"/>
      <c r="N20713" s="56"/>
    </row>
    <row r="20714" spans="1:14" x14ac:dyDescent="0.3">
      <c r="A20714" s="42"/>
      <c r="C20714" s="52"/>
      <c r="D20714"/>
      <c r="E20714"/>
      <c r="N20714" s="56"/>
    </row>
    <row r="20715" spans="1:14" x14ac:dyDescent="0.3">
      <c r="A20715" s="42"/>
      <c r="C20715" s="52"/>
      <c r="D20715"/>
      <c r="E20715"/>
      <c r="N20715" s="56"/>
    </row>
    <row r="20716" spans="1:14" x14ac:dyDescent="0.3">
      <c r="A20716" s="42"/>
      <c r="C20716" s="52"/>
      <c r="D20716"/>
      <c r="E20716"/>
      <c r="N20716" s="56"/>
    </row>
    <row r="20717" spans="1:14" x14ac:dyDescent="0.3">
      <c r="A20717" s="42"/>
      <c r="C20717" s="52"/>
      <c r="D20717"/>
      <c r="E20717"/>
      <c r="N20717" s="56"/>
    </row>
    <row r="20718" spans="1:14" x14ac:dyDescent="0.3">
      <c r="A20718" s="42"/>
      <c r="C20718" s="52"/>
      <c r="D20718"/>
      <c r="E20718"/>
      <c r="N20718" s="56"/>
    </row>
    <row r="20719" spans="1:14" x14ac:dyDescent="0.3">
      <c r="A20719" s="42"/>
      <c r="C20719" s="52"/>
      <c r="D20719"/>
      <c r="E20719"/>
      <c r="N20719" s="56"/>
    </row>
    <row r="20720" spans="1:14" x14ac:dyDescent="0.3">
      <c r="A20720" s="42"/>
      <c r="C20720" s="52"/>
      <c r="D20720"/>
      <c r="E20720"/>
      <c r="N20720" s="56"/>
    </row>
    <row r="20721" spans="1:14" x14ac:dyDescent="0.3">
      <c r="A20721" s="42"/>
      <c r="C20721" s="52"/>
      <c r="D20721"/>
      <c r="E20721"/>
      <c r="N20721" s="56"/>
    </row>
    <row r="20722" spans="1:14" x14ac:dyDescent="0.3">
      <c r="A20722" s="42"/>
      <c r="C20722" s="52"/>
      <c r="D20722"/>
      <c r="E20722"/>
      <c r="N20722" s="56"/>
    </row>
    <row r="20723" spans="1:14" x14ac:dyDescent="0.3">
      <c r="A20723" s="42"/>
      <c r="C20723" s="52"/>
      <c r="D20723"/>
      <c r="E20723"/>
      <c r="N20723" s="56"/>
    </row>
    <row r="20724" spans="1:14" x14ac:dyDescent="0.3">
      <c r="A20724" s="42"/>
      <c r="C20724" s="52"/>
      <c r="D20724"/>
      <c r="E20724"/>
      <c r="N20724" s="56"/>
    </row>
    <row r="20725" spans="1:14" x14ac:dyDescent="0.3">
      <c r="A20725" s="42"/>
      <c r="C20725" s="52"/>
      <c r="D20725"/>
      <c r="E20725"/>
      <c r="N20725" s="56"/>
    </row>
    <row r="20726" spans="1:14" x14ac:dyDescent="0.3">
      <c r="A20726" s="42"/>
      <c r="C20726" s="52"/>
      <c r="D20726"/>
      <c r="E20726"/>
      <c r="N20726" s="56"/>
    </row>
    <row r="20727" spans="1:14" x14ac:dyDescent="0.3">
      <c r="A20727" s="42"/>
      <c r="C20727" s="52"/>
      <c r="D20727"/>
      <c r="E20727"/>
      <c r="N20727" s="56"/>
    </row>
    <row r="20728" spans="1:14" x14ac:dyDescent="0.3">
      <c r="A20728" s="42"/>
      <c r="C20728" s="52"/>
      <c r="D20728"/>
      <c r="E20728"/>
      <c r="N20728" s="56"/>
    </row>
    <row r="20729" spans="1:14" x14ac:dyDescent="0.3">
      <c r="A20729" s="42"/>
      <c r="C20729" s="52"/>
      <c r="D20729"/>
      <c r="E20729"/>
      <c r="N20729" s="56"/>
    </row>
    <row r="20730" spans="1:14" x14ac:dyDescent="0.3">
      <c r="A20730" s="42"/>
      <c r="C20730" s="52"/>
      <c r="D20730"/>
      <c r="E20730"/>
      <c r="N20730" s="56"/>
    </row>
    <row r="20731" spans="1:14" x14ac:dyDescent="0.3">
      <c r="A20731" s="42"/>
      <c r="C20731" s="52"/>
      <c r="D20731"/>
      <c r="E20731"/>
      <c r="N20731" s="56"/>
    </row>
    <row r="20732" spans="1:14" x14ac:dyDescent="0.3">
      <c r="A20732" s="42"/>
      <c r="C20732" s="52"/>
      <c r="D20732"/>
      <c r="E20732"/>
      <c r="N20732" s="56"/>
    </row>
    <row r="20733" spans="1:14" x14ac:dyDescent="0.3">
      <c r="A20733" s="42"/>
      <c r="C20733" s="52"/>
      <c r="D20733"/>
      <c r="E20733"/>
      <c r="N20733" s="56"/>
    </row>
    <row r="20734" spans="1:14" x14ac:dyDescent="0.3">
      <c r="A20734" s="42"/>
      <c r="C20734" s="52"/>
      <c r="D20734"/>
      <c r="E20734"/>
      <c r="N20734" s="56"/>
    </row>
    <row r="20735" spans="1:14" x14ac:dyDescent="0.3">
      <c r="A20735" s="42"/>
      <c r="C20735" s="52"/>
      <c r="D20735"/>
      <c r="E20735"/>
      <c r="N20735" s="56"/>
    </row>
    <row r="20736" spans="1:14" x14ac:dyDescent="0.3">
      <c r="A20736" s="42"/>
      <c r="C20736" s="52"/>
      <c r="D20736"/>
      <c r="E20736"/>
      <c r="N20736" s="56"/>
    </row>
    <row r="20737" spans="1:14" x14ac:dyDescent="0.3">
      <c r="A20737" s="42"/>
      <c r="C20737" s="52"/>
      <c r="D20737"/>
      <c r="E20737"/>
      <c r="N20737" s="56"/>
    </row>
    <row r="20738" spans="1:14" x14ac:dyDescent="0.3">
      <c r="A20738" s="42"/>
      <c r="C20738" s="52"/>
      <c r="D20738"/>
      <c r="E20738"/>
      <c r="N20738" s="56"/>
    </row>
    <row r="20739" spans="1:14" x14ac:dyDescent="0.3">
      <c r="A20739" s="42"/>
      <c r="C20739" s="52"/>
      <c r="D20739"/>
      <c r="E20739"/>
      <c r="N20739" s="56"/>
    </row>
    <row r="20740" spans="1:14" x14ac:dyDescent="0.3">
      <c r="A20740" s="42"/>
      <c r="C20740" s="52"/>
      <c r="D20740"/>
      <c r="E20740"/>
      <c r="N20740" s="56"/>
    </row>
    <row r="20741" spans="1:14" x14ac:dyDescent="0.3">
      <c r="A20741" s="42"/>
      <c r="C20741" s="52"/>
      <c r="D20741"/>
      <c r="E20741"/>
      <c r="N20741" s="56"/>
    </row>
    <row r="20742" spans="1:14" x14ac:dyDescent="0.3">
      <c r="A20742" s="42"/>
      <c r="C20742" s="52"/>
      <c r="D20742"/>
      <c r="E20742"/>
      <c r="N20742" s="56"/>
    </row>
    <row r="20743" spans="1:14" x14ac:dyDescent="0.3">
      <c r="A20743" s="42"/>
      <c r="C20743" s="52"/>
      <c r="D20743"/>
      <c r="E20743"/>
      <c r="N20743" s="56"/>
    </row>
    <row r="20744" spans="1:14" x14ac:dyDescent="0.3">
      <c r="A20744" s="42"/>
      <c r="C20744" s="52"/>
      <c r="D20744"/>
      <c r="E20744"/>
      <c r="N20744" s="56"/>
    </row>
    <row r="20745" spans="1:14" x14ac:dyDescent="0.3">
      <c r="A20745" s="42"/>
      <c r="C20745" s="52"/>
      <c r="D20745"/>
      <c r="E20745"/>
      <c r="N20745" s="56"/>
    </row>
    <row r="20746" spans="1:14" x14ac:dyDescent="0.3">
      <c r="A20746" s="42"/>
      <c r="C20746" s="52"/>
      <c r="D20746"/>
      <c r="E20746"/>
      <c r="N20746" s="56"/>
    </row>
    <row r="20747" spans="1:14" x14ac:dyDescent="0.3">
      <c r="A20747" s="42"/>
      <c r="C20747" s="52"/>
      <c r="D20747"/>
      <c r="E20747"/>
      <c r="N20747" s="56"/>
    </row>
    <row r="20748" spans="1:14" x14ac:dyDescent="0.3">
      <c r="A20748" s="42"/>
      <c r="C20748" s="52"/>
      <c r="D20748"/>
      <c r="E20748"/>
      <c r="N20748" s="56"/>
    </row>
    <row r="20749" spans="1:14" x14ac:dyDescent="0.3">
      <c r="A20749" s="42"/>
      <c r="C20749" s="52"/>
      <c r="D20749"/>
      <c r="E20749"/>
      <c r="N20749" s="56"/>
    </row>
    <row r="20750" spans="1:14" x14ac:dyDescent="0.3">
      <c r="A20750" s="42"/>
      <c r="C20750" s="52"/>
      <c r="D20750"/>
      <c r="E20750"/>
      <c r="N20750" s="56"/>
    </row>
    <row r="20751" spans="1:14" x14ac:dyDescent="0.3">
      <c r="A20751" s="42"/>
      <c r="C20751" s="52"/>
      <c r="D20751"/>
      <c r="E20751"/>
      <c r="N20751" s="56"/>
    </row>
    <row r="20752" spans="1:14" x14ac:dyDescent="0.3">
      <c r="A20752" s="42"/>
      <c r="C20752" s="52"/>
      <c r="D20752"/>
      <c r="E20752"/>
      <c r="N20752" s="56"/>
    </row>
    <row r="20753" spans="1:14" x14ac:dyDescent="0.3">
      <c r="A20753" s="42"/>
      <c r="C20753" s="52"/>
      <c r="D20753"/>
      <c r="E20753"/>
      <c r="N20753" s="56"/>
    </row>
    <row r="20754" spans="1:14" x14ac:dyDescent="0.3">
      <c r="A20754" s="42"/>
      <c r="C20754" s="52"/>
      <c r="D20754"/>
      <c r="E20754"/>
      <c r="N20754" s="56"/>
    </row>
    <row r="20755" spans="1:14" x14ac:dyDescent="0.3">
      <c r="A20755" s="42"/>
      <c r="C20755" s="52"/>
      <c r="D20755"/>
      <c r="E20755"/>
      <c r="N20755" s="56"/>
    </row>
    <row r="20756" spans="1:14" x14ac:dyDescent="0.3">
      <c r="A20756" s="42"/>
      <c r="C20756" s="52"/>
      <c r="D20756"/>
      <c r="E20756"/>
      <c r="N20756" s="56"/>
    </row>
    <row r="20757" spans="1:14" x14ac:dyDescent="0.3">
      <c r="A20757" s="42"/>
      <c r="C20757" s="52"/>
      <c r="D20757"/>
      <c r="E20757"/>
      <c r="N20757" s="56"/>
    </row>
    <row r="20758" spans="1:14" x14ac:dyDescent="0.3">
      <c r="A20758" s="42"/>
      <c r="C20758" s="52"/>
      <c r="D20758"/>
      <c r="E20758"/>
      <c r="N20758" s="56"/>
    </row>
    <row r="20759" spans="1:14" x14ac:dyDescent="0.3">
      <c r="A20759" s="42"/>
      <c r="C20759" s="52"/>
      <c r="D20759"/>
      <c r="E20759"/>
      <c r="N20759" s="56"/>
    </row>
    <row r="20760" spans="1:14" x14ac:dyDescent="0.3">
      <c r="A20760" s="42"/>
      <c r="C20760" s="52"/>
      <c r="D20760"/>
      <c r="E20760"/>
      <c r="N20760" s="56"/>
    </row>
    <row r="20761" spans="1:14" x14ac:dyDescent="0.3">
      <c r="A20761" s="42"/>
      <c r="C20761" s="52"/>
      <c r="D20761"/>
      <c r="E20761"/>
      <c r="N20761" s="56"/>
    </row>
    <row r="20762" spans="1:14" x14ac:dyDescent="0.3">
      <c r="A20762" s="42"/>
      <c r="C20762" s="52"/>
      <c r="D20762"/>
      <c r="E20762"/>
      <c r="N20762" s="56"/>
    </row>
    <row r="20763" spans="1:14" x14ac:dyDescent="0.3">
      <c r="A20763" s="42"/>
      <c r="C20763" s="52"/>
      <c r="D20763"/>
      <c r="E20763"/>
      <c r="N20763" s="56"/>
    </row>
    <row r="20764" spans="1:14" x14ac:dyDescent="0.3">
      <c r="A20764" s="42"/>
      <c r="C20764" s="52"/>
      <c r="D20764"/>
      <c r="E20764"/>
      <c r="N20764" s="56"/>
    </row>
    <row r="20765" spans="1:14" x14ac:dyDescent="0.3">
      <c r="A20765" s="42"/>
      <c r="C20765" s="52"/>
      <c r="D20765"/>
      <c r="E20765"/>
      <c r="M20765" s="45"/>
      <c r="N20765" s="56"/>
    </row>
    <row r="20766" spans="1:14" x14ac:dyDescent="0.3">
      <c r="A20766" s="42"/>
      <c r="C20766" s="52"/>
      <c r="D20766"/>
      <c r="E20766"/>
      <c r="N20766" s="56"/>
    </row>
    <row r="20767" spans="1:14" x14ac:dyDescent="0.3">
      <c r="A20767" s="42"/>
      <c r="C20767" s="52"/>
      <c r="D20767"/>
      <c r="E20767"/>
      <c r="N20767" s="56"/>
    </row>
    <row r="20768" spans="1:14" x14ac:dyDescent="0.3">
      <c r="A20768" s="42"/>
      <c r="C20768" s="52"/>
      <c r="D20768"/>
      <c r="E20768"/>
      <c r="N20768" s="56"/>
    </row>
    <row r="20769" spans="1:14" x14ac:dyDescent="0.3">
      <c r="A20769" s="42"/>
      <c r="C20769" s="52"/>
      <c r="D20769"/>
      <c r="E20769"/>
      <c r="N20769" s="56"/>
    </row>
    <row r="20770" spans="1:14" x14ac:dyDescent="0.3">
      <c r="A20770" s="42"/>
      <c r="C20770" s="52"/>
      <c r="D20770"/>
      <c r="E20770"/>
      <c r="N20770" s="56"/>
    </row>
    <row r="20771" spans="1:14" x14ac:dyDescent="0.3">
      <c r="A20771" s="42"/>
      <c r="C20771" s="52"/>
      <c r="D20771"/>
      <c r="E20771"/>
      <c r="N20771" s="56"/>
    </row>
    <row r="20772" spans="1:14" x14ac:dyDescent="0.3">
      <c r="A20772" s="42"/>
      <c r="C20772" s="52"/>
      <c r="D20772"/>
      <c r="E20772"/>
      <c r="N20772" s="56"/>
    </row>
    <row r="20773" spans="1:14" x14ac:dyDescent="0.3">
      <c r="A20773" s="42"/>
      <c r="C20773" s="52"/>
      <c r="D20773"/>
      <c r="E20773"/>
      <c r="N20773" s="56"/>
    </row>
    <row r="20774" spans="1:14" x14ac:dyDescent="0.3">
      <c r="A20774" s="42"/>
      <c r="C20774" s="52"/>
      <c r="D20774"/>
      <c r="E20774"/>
      <c r="N20774" s="56"/>
    </row>
    <row r="20775" spans="1:14" x14ac:dyDescent="0.3">
      <c r="A20775" s="42"/>
      <c r="C20775" s="52"/>
      <c r="D20775"/>
      <c r="E20775"/>
      <c r="N20775" s="56"/>
    </row>
    <row r="20776" spans="1:14" x14ac:dyDescent="0.3">
      <c r="A20776" s="42"/>
      <c r="C20776" s="52"/>
      <c r="D20776"/>
      <c r="E20776"/>
      <c r="N20776" s="56"/>
    </row>
    <row r="20777" spans="1:14" x14ac:dyDescent="0.3">
      <c r="A20777" s="42"/>
      <c r="C20777" s="52"/>
      <c r="D20777"/>
      <c r="E20777"/>
      <c r="N20777" s="56"/>
    </row>
    <row r="20778" spans="1:14" x14ac:dyDescent="0.3">
      <c r="A20778" s="42"/>
      <c r="C20778" s="52"/>
      <c r="D20778"/>
      <c r="E20778"/>
      <c r="N20778" s="56"/>
    </row>
    <row r="20779" spans="1:14" x14ac:dyDescent="0.3">
      <c r="A20779" s="42"/>
      <c r="C20779" s="52"/>
      <c r="D20779"/>
      <c r="E20779"/>
      <c r="N20779" s="56"/>
    </row>
    <row r="20780" spans="1:14" x14ac:dyDescent="0.3">
      <c r="A20780" s="42"/>
      <c r="C20780" s="52"/>
      <c r="D20780"/>
      <c r="E20780"/>
      <c r="N20780" s="56"/>
    </row>
    <row r="20781" spans="1:14" x14ac:dyDescent="0.3">
      <c r="A20781" s="42"/>
      <c r="C20781" s="52"/>
      <c r="D20781"/>
      <c r="E20781"/>
      <c r="N20781" s="56"/>
    </row>
    <row r="20782" spans="1:14" x14ac:dyDescent="0.3">
      <c r="A20782" s="42"/>
      <c r="C20782" s="52"/>
      <c r="D20782"/>
      <c r="E20782"/>
      <c r="N20782" s="56"/>
    </row>
    <row r="20783" spans="1:14" x14ac:dyDescent="0.3">
      <c r="A20783" s="42"/>
      <c r="C20783" s="52"/>
      <c r="D20783"/>
      <c r="E20783"/>
      <c r="N20783" s="56"/>
    </row>
    <row r="20784" spans="1:14" x14ac:dyDescent="0.3">
      <c r="A20784" s="42"/>
      <c r="C20784" s="52"/>
      <c r="D20784"/>
      <c r="E20784"/>
      <c r="N20784" s="56"/>
    </row>
    <row r="20785" spans="1:14" x14ac:dyDescent="0.3">
      <c r="A20785" s="42"/>
      <c r="C20785" s="52"/>
      <c r="D20785"/>
      <c r="E20785"/>
      <c r="N20785" s="56"/>
    </row>
    <row r="20786" spans="1:14" x14ac:dyDescent="0.3">
      <c r="A20786" s="42"/>
      <c r="C20786" s="52"/>
      <c r="D20786"/>
      <c r="E20786"/>
      <c r="N20786" s="56"/>
    </row>
    <row r="20787" spans="1:14" x14ac:dyDescent="0.3">
      <c r="A20787" s="42"/>
      <c r="C20787" s="52"/>
      <c r="D20787"/>
      <c r="E20787"/>
      <c r="N20787" s="56"/>
    </row>
    <row r="20788" spans="1:14" x14ac:dyDescent="0.3">
      <c r="A20788" s="42"/>
      <c r="C20788" s="52"/>
      <c r="D20788"/>
      <c r="E20788"/>
      <c r="N20788" s="56"/>
    </row>
    <row r="20789" spans="1:14" x14ac:dyDescent="0.3">
      <c r="A20789" s="42"/>
      <c r="C20789" s="52"/>
      <c r="D20789"/>
      <c r="E20789"/>
      <c r="N20789" s="56"/>
    </row>
    <row r="20790" spans="1:14" x14ac:dyDescent="0.3">
      <c r="A20790" s="42"/>
      <c r="C20790" s="52"/>
      <c r="D20790"/>
      <c r="E20790"/>
      <c r="N20790" s="56"/>
    </row>
    <row r="20791" spans="1:14" x14ac:dyDescent="0.3">
      <c r="A20791" s="42"/>
      <c r="C20791" s="52"/>
      <c r="D20791"/>
      <c r="E20791"/>
      <c r="N20791" s="56"/>
    </row>
    <row r="20792" spans="1:14" x14ac:dyDescent="0.3">
      <c r="A20792" s="42"/>
      <c r="C20792" s="52"/>
      <c r="D20792"/>
      <c r="E20792"/>
      <c r="N20792" s="56"/>
    </row>
    <row r="20793" spans="1:14" x14ac:dyDescent="0.3">
      <c r="A20793" s="42"/>
      <c r="C20793" s="52"/>
      <c r="D20793"/>
      <c r="E20793"/>
      <c r="N20793" s="56"/>
    </row>
    <row r="20794" spans="1:14" x14ac:dyDescent="0.3">
      <c r="A20794" s="42"/>
      <c r="C20794" s="52"/>
      <c r="D20794"/>
      <c r="E20794"/>
      <c r="N20794" s="56"/>
    </row>
    <row r="20795" spans="1:14" x14ac:dyDescent="0.3">
      <c r="A20795" s="42"/>
      <c r="C20795" s="52"/>
      <c r="D20795"/>
      <c r="E20795"/>
      <c r="N20795" s="56"/>
    </row>
    <row r="20796" spans="1:14" x14ac:dyDescent="0.3">
      <c r="A20796" s="42"/>
      <c r="C20796" s="52"/>
      <c r="D20796"/>
      <c r="E20796"/>
      <c r="N20796" s="56"/>
    </row>
    <row r="20797" spans="1:14" x14ac:dyDescent="0.3">
      <c r="A20797" s="42"/>
      <c r="C20797" s="52"/>
      <c r="D20797"/>
      <c r="E20797"/>
      <c r="N20797" s="56"/>
    </row>
    <row r="20798" spans="1:14" x14ac:dyDescent="0.3">
      <c r="A20798" s="42"/>
      <c r="C20798" s="52"/>
      <c r="D20798"/>
      <c r="E20798"/>
      <c r="N20798" s="56"/>
    </row>
    <row r="20799" spans="1:14" x14ac:dyDescent="0.3">
      <c r="A20799" s="42"/>
      <c r="C20799" s="52"/>
      <c r="D20799"/>
      <c r="E20799"/>
      <c r="N20799" s="56"/>
    </row>
    <row r="20800" spans="1:14" x14ac:dyDescent="0.3">
      <c r="A20800" s="42"/>
      <c r="C20800" s="52"/>
      <c r="D20800"/>
      <c r="E20800"/>
      <c r="N20800" s="56"/>
    </row>
    <row r="20801" spans="1:14" x14ac:dyDescent="0.3">
      <c r="A20801" s="42"/>
      <c r="C20801" s="52"/>
      <c r="D20801"/>
      <c r="E20801"/>
      <c r="M20801" s="45"/>
      <c r="N20801" s="56"/>
    </row>
    <row r="20802" spans="1:14" x14ac:dyDescent="0.3">
      <c r="A20802" s="42"/>
      <c r="C20802" s="52"/>
      <c r="D20802"/>
      <c r="E20802"/>
      <c r="N20802" s="56"/>
    </row>
    <row r="20803" spans="1:14" x14ac:dyDescent="0.3">
      <c r="A20803" s="42"/>
      <c r="C20803" s="52"/>
      <c r="D20803"/>
      <c r="E20803"/>
      <c r="N20803" s="56"/>
    </row>
    <row r="20804" spans="1:14" x14ac:dyDescent="0.3">
      <c r="A20804" s="42"/>
      <c r="C20804" s="52"/>
      <c r="D20804"/>
      <c r="E20804"/>
      <c r="N20804" s="56"/>
    </row>
    <row r="20805" spans="1:14" x14ac:dyDescent="0.3">
      <c r="A20805" s="42"/>
      <c r="C20805" s="52"/>
      <c r="D20805"/>
      <c r="E20805"/>
      <c r="N20805" s="56"/>
    </row>
    <row r="20806" spans="1:14" x14ac:dyDescent="0.3">
      <c r="A20806" s="42"/>
      <c r="C20806" s="52"/>
      <c r="D20806"/>
      <c r="E20806"/>
      <c r="N20806" s="56"/>
    </row>
    <row r="20807" spans="1:14" x14ac:dyDescent="0.3">
      <c r="A20807" s="42"/>
      <c r="C20807" s="52"/>
      <c r="D20807"/>
      <c r="E20807"/>
      <c r="N20807" s="56"/>
    </row>
    <row r="20808" spans="1:14" x14ac:dyDescent="0.3">
      <c r="A20808" s="42"/>
      <c r="C20808" s="52"/>
      <c r="D20808"/>
      <c r="E20808"/>
      <c r="N20808" s="56"/>
    </row>
    <row r="20809" spans="1:14" x14ac:dyDescent="0.3">
      <c r="A20809" s="42"/>
      <c r="C20809" s="52"/>
      <c r="D20809"/>
      <c r="E20809"/>
      <c r="N20809" s="56"/>
    </row>
    <row r="20810" spans="1:14" x14ac:dyDescent="0.3">
      <c r="A20810" s="42"/>
      <c r="C20810" s="52"/>
      <c r="D20810"/>
      <c r="E20810"/>
      <c r="N20810" s="56"/>
    </row>
    <row r="20811" spans="1:14" x14ac:dyDescent="0.3">
      <c r="A20811" s="42"/>
      <c r="C20811" s="52"/>
      <c r="D20811"/>
      <c r="E20811"/>
      <c r="N20811" s="56"/>
    </row>
    <row r="20812" spans="1:14" x14ac:dyDescent="0.3">
      <c r="A20812" s="42"/>
      <c r="C20812" s="52"/>
      <c r="D20812"/>
      <c r="E20812"/>
      <c r="N20812" s="56"/>
    </row>
    <row r="20813" spans="1:14" x14ac:dyDescent="0.3">
      <c r="A20813" s="42"/>
      <c r="C20813" s="52"/>
      <c r="D20813"/>
      <c r="E20813"/>
      <c r="N20813" s="56"/>
    </row>
    <row r="20814" spans="1:14" x14ac:dyDescent="0.3">
      <c r="A20814" s="42"/>
      <c r="C20814" s="52"/>
      <c r="D20814"/>
      <c r="E20814"/>
      <c r="N20814" s="56"/>
    </row>
    <row r="20815" spans="1:14" x14ac:dyDescent="0.3">
      <c r="A20815" s="42"/>
      <c r="C20815" s="52"/>
      <c r="D20815"/>
      <c r="E20815"/>
      <c r="N20815" s="56"/>
    </row>
    <row r="20816" spans="1:14" x14ac:dyDescent="0.3">
      <c r="A20816" s="42"/>
      <c r="C20816" s="52"/>
      <c r="D20816"/>
      <c r="E20816"/>
      <c r="N20816" s="56"/>
    </row>
    <row r="20817" spans="1:14" x14ac:dyDescent="0.3">
      <c r="A20817" s="42"/>
      <c r="C20817" s="52"/>
      <c r="D20817"/>
      <c r="E20817"/>
      <c r="N20817" s="56"/>
    </row>
    <row r="20818" spans="1:14" x14ac:dyDescent="0.3">
      <c r="A20818" s="42"/>
      <c r="C20818" s="52"/>
      <c r="D20818"/>
      <c r="E20818"/>
      <c r="N20818" s="56"/>
    </row>
    <row r="20819" spans="1:14" x14ac:dyDescent="0.3">
      <c r="A20819" s="42"/>
      <c r="C20819" s="52"/>
      <c r="D20819"/>
      <c r="E20819"/>
      <c r="N20819" s="56"/>
    </row>
    <row r="20820" spans="1:14" x14ac:dyDescent="0.3">
      <c r="A20820" s="42"/>
      <c r="C20820" s="52"/>
      <c r="D20820"/>
      <c r="E20820"/>
      <c r="N20820" s="56"/>
    </row>
    <row r="20821" spans="1:14" x14ac:dyDescent="0.3">
      <c r="A20821" s="42"/>
      <c r="C20821" s="52"/>
      <c r="D20821"/>
      <c r="E20821"/>
      <c r="N20821" s="56"/>
    </row>
    <row r="20822" spans="1:14" x14ac:dyDescent="0.3">
      <c r="A20822" s="42"/>
      <c r="C20822" s="52"/>
      <c r="D20822"/>
      <c r="E20822"/>
      <c r="N20822" s="56"/>
    </row>
    <row r="20823" spans="1:14" x14ac:dyDescent="0.3">
      <c r="A20823" s="42"/>
      <c r="C20823" s="52"/>
      <c r="D20823"/>
      <c r="E20823"/>
      <c r="N20823" s="56"/>
    </row>
    <row r="20824" spans="1:14" x14ac:dyDescent="0.3">
      <c r="A20824" s="42"/>
      <c r="C20824" s="52"/>
      <c r="D20824"/>
      <c r="E20824"/>
      <c r="N20824" s="56"/>
    </row>
    <row r="20825" spans="1:14" x14ac:dyDescent="0.3">
      <c r="A20825" s="42"/>
      <c r="C20825" s="52"/>
      <c r="D20825"/>
      <c r="E20825"/>
      <c r="N20825" s="56"/>
    </row>
    <row r="20826" spans="1:14" x14ac:dyDescent="0.3">
      <c r="A20826" s="42"/>
      <c r="C20826" s="52"/>
      <c r="D20826"/>
      <c r="E20826"/>
      <c r="N20826" s="56"/>
    </row>
    <row r="20827" spans="1:14" x14ac:dyDescent="0.3">
      <c r="A20827" s="42"/>
      <c r="C20827" s="52"/>
      <c r="D20827"/>
      <c r="E20827"/>
      <c r="M20827" s="45"/>
      <c r="N20827" s="56"/>
    </row>
    <row r="20828" spans="1:14" x14ac:dyDescent="0.3">
      <c r="A20828" s="42"/>
      <c r="C20828" s="52"/>
      <c r="D20828"/>
      <c r="E20828"/>
      <c r="N20828" s="56"/>
    </row>
    <row r="20829" spans="1:14" x14ac:dyDescent="0.3">
      <c r="A20829" s="42"/>
      <c r="C20829" s="52"/>
      <c r="D20829"/>
      <c r="E20829"/>
      <c r="N20829" s="56"/>
    </row>
    <row r="20830" spans="1:14" x14ac:dyDescent="0.3">
      <c r="A20830" s="42"/>
      <c r="C20830" s="52"/>
      <c r="D20830"/>
      <c r="E20830"/>
      <c r="N20830" s="56"/>
    </row>
    <row r="20831" spans="1:14" x14ac:dyDescent="0.3">
      <c r="A20831" s="42"/>
      <c r="C20831" s="52"/>
      <c r="D20831"/>
      <c r="E20831"/>
      <c r="N20831" s="56"/>
    </row>
    <row r="20832" spans="1:14" x14ac:dyDescent="0.3">
      <c r="A20832" s="42"/>
      <c r="C20832" s="52"/>
      <c r="D20832"/>
      <c r="E20832"/>
      <c r="N20832" s="56"/>
    </row>
    <row r="20833" spans="1:14" x14ac:dyDescent="0.3">
      <c r="A20833" s="42"/>
      <c r="C20833" s="52"/>
      <c r="D20833"/>
      <c r="E20833"/>
      <c r="N20833" s="56"/>
    </row>
    <row r="20834" spans="1:14" x14ac:dyDescent="0.3">
      <c r="A20834" s="42"/>
      <c r="C20834" s="52"/>
      <c r="D20834"/>
      <c r="E20834"/>
      <c r="N20834" s="56"/>
    </row>
    <row r="20835" spans="1:14" x14ac:dyDescent="0.3">
      <c r="A20835" s="42"/>
      <c r="C20835" s="52"/>
      <c r="D20835"/>
      <c r="E20835"/>
      <c r="N20835" s="56"/>
    </row>
    <row r="20836" spans="1:14" x14ac:dyDescent="0.3">
      <c r="A20836" s="42"/>
      <c r="C20836" s="52"/>
      <c r="D20836"/>
      <c r="E20836"/>
      <c r="N20836" s="56"/>
    </row>
    <row r="20837" spans="1:14" x14ac:dyDescent="0.3">
      <c r="A20837" s="42"/>
      <c r="C20837" s="52"/>
      <c r="D20837"/>
      <c r="E20837"/>
      <c r="N20837" s="56"/>
    </row>
    <row r="20838" spans="1:14" x14ac:dyDescent="0.3">
      <c r="A20838" s="42"/>
      <c r="C20838" s="52"/>
      <c r="D20838"/>
      <c r="E20838"/>
      <c r="N20838" s="56"/>
    </row>
    <row r="20839" spans="1:14" x14ac:dyDescent="0.3">
      <c r="A20839" s="42"/>
      <c r="C20839" s="52"/>
      <c r="D20839"/>
      <c r="E20839"/>
      <c r="N20839" s="56"/>
    </row>
    <row r="20840" spans="1:14" x14ac:dyDescent="0.3">
      <c r="A20840" s="42"/>
      <c r="C20840" s="52"/>
      <c r="D20840"/>
      <c r="E20840"/>
      <c r="N20840" s="56"/>
    </row>
    <row r="20841" spans="1:14" x14ac:dyDescent="0.3">
      <c r="A20841" s="42"/>
      <c r="C20841" s="52"/>
      <c r="D20841"/>
      <c r="E20841"/>
      <c r="N20841" s="56"/>
    </row>
    <row r="20842" spans="1:14" x14ac:dyDescent="0.3">
      <c r="A20842" s="42"/>
      <c r="C20842" s="52"/>
      <c r="D20842"/>
      <c r="E20842"/>
      <c r="N20842" s="56"/>
    </row>
    <row r="20843" spans="1:14" x14ac:dyDescent="0.3">
      <c r="A20843" s="42"/>
      <c r="C20843" s="52"/>
      <c r="D20843"/>
      <c r="E20843"/>
      <c r="N20843" s="56"/>
    </row>
    <row r="20844" spans="1:14" x14ac:dyDescent="0.3">
      <c r="A20844" s="42"/>
      <c r="C20844" s="52"/>
      <c r="D20844"/>
      <c r="E20844"/>
      <c r="N20844" s="56"/>
    </row>
    <row r="20845" spans="1:14" x14ac:dyDescent="0.3">
      <c r="A20845" s="42"/>
      <c r="C20845" s="52"/>
      <c r="D20845"/>
      <c r="E20845"/>
      <c r="N20845" s="56"/>
    </row>
    <row r="20846" spans="1:14" x14ac:dyDescent="0.3">
      <c r="A20846" s="42"/>
      <c r="C20846" s="52"/>
      <c r="D20846"/>
      <c r="E20846"/>
      <c r="N20846" s="56"/>
    </row>
    <row r="20847" spans="1:14" x14ac:dyDescent="0.3">
      <c r="A20847" s="42"/>
      <c r="C20847" s="52"/>
      <c r="D20847"/>
      <c r="E20847"/>
      <c r="N20847" s="56"/>
    </row>
    <row r="20848" spans="1:14" x14ac:dyDescent="0.3">
      <c r="A20848" s="42"/>
      <c r="C20848" s="52"/>
      <c r="D20848"/>
      <c r="E20848"/>
      <c r="N20848" s="56"/>
    </row>
    <row r="20849" spans="1:14" x14ac:dyDescent="0.3">
      <c r="A20849" s="42"/>
      <c r="C20849" s="52"/>
      <c r="D20849"/>
      <c r="E20849"/>
      <c r="N20849" s="56"/>
    </row>
    <row r="20850" spans="1:14" x14ac:dyDescent="0.3">
      <c r="A20850" s="42"/>
      <c r="C20850" s="52"/>
      <c r="D20850"/>
      <c r="E20850"/>
      <c r="N20850" s="56"/>
    </row>
    <row r="20851" spans="1:14" x14ac:dyDescent="0.3">
      <c r="A20851" s="42"/>
      <c r="C20851" s="52"/>
      <c r="D20851"/>
      <c r="E20851"/>
      <c r="N20851" s="56"/>
    </row>
    <row r="20852" spans="1:14" x14ac:dyDescent="0.3">
      <c r="A20852" s="42"/>
      <c r="C20852" s="52"/>
      <c r="D20852"/>
      <c r="E20852"/>
      <c r="N20852" s="56"/>
    </row>
    <row r="20853" spans="1:14" x14ac:dyDescent="0.3">
      <c r="A20853" s="42"/>
      <c r="C20853" s="52"/>
      <c r="D20853"/>
      <c r="E20853"/>
      <c r="N20853" s="56"/>
    </row>
    <row r="20854" spans="1:14" x14ac:dyDescent="0.3">
      <c r="A20854" s="42"/>
      <c r="C20854" s="52"/>
      <c r="D20854"/>
      <c r="E20854"/>
      <c r="N20854" s="56"/>
    </row>
    <row r="20855" spans="1:14" x14ac:dyDescent="0.3">
      <c r="A20855" s="42"/>
      <c r="C20855" s="52"/>
      <c r="D20855"/>
      <c r="E20855"/>
      <c r="N20855" s="56"/>
    </row>
    <row r="20856" spans="1:14" x14ac:dyDescent="0.3">
      <c r="A20856" s="42"/>
      <c r="C20856" s="52"/>
      <c r="D20856"/>
      <c r="E20856"/>
      <c r="N20856" s="56"/>
    </row>
    <row r="20857" spans="1:14" x14ac:dyDescent="0.3">
      <c r="A20857" s="42"/>
      <c r="C20857" s="52"/>
      <c r="D20857"/>
      <c r="E20857"/>
      <c r="N20857" s="56"/>
    </row>
    <row r="20858" spans="1:14" x14ac:dyDescent="0.3">
      <c r="A20858" s="42"/>
      <c r="C20858" s="52"/>
      <c r="D20858"/>
      <c r="E20858"/>
      <c r="N20858" s="56"/>
    </row>
    <row r="20859" spans="1:14" x14ac:dyDescent="0.3">
      <c r="A20859" s="42"/>
      <c r="C20859" s="52"/>
      <c r="D20859"/>
      <c r="E20859"/>
      <c r="N20859" s="56"/>
    </row>
    <row r="20860" spans="1:14" x14ac:dyDescent="0.3">
      <c r="A20860" s="42"/>
      <c r="C20860" s="52"/>
      <c r="D20860"/>
      <c r="E20860"/>
      <c r="N20860" s="56"/>
    </row>
    <row r="20861" spans="1:14" x14ac:dyDescent="0.3">
      <c r="A20861" s="42"/>
      <c r="C20861" s="52"/>
      <c r="D20861"/>
      <c r="E20861"/>
      <c r="N20861" s="56"/>
    </row>
    <row r="20862" spans="1:14" x14ac:dyDescent="0.3">
      <c r="A20862" s="42"/>
      <c r="C20862" s="52"/>
      <c r="D20862"/>
      <c r="E20862"/>
      <c r="N20862" s="56"/>
    </row>
    <row r="20863" spans="1:14" x14ac:dyDescent="0.3">
      <c r="A20863" s="42"/>
      <c r="C20863" s="52"/>
      <c r="D20863"/>
      <c r="E20863"/>
      <c r="N20863" s="56"/>
    </row>
    <row r="20864" spans="1:14" x14ac:dyDescent="0.3">
      <c r="A20864" s="42"/>
      <c r="C20864" s="52"/>
      <c r="D20864"/>
      <c r="E20864"/>
      <c r="N20864" s="56"/>
    </row>
    <row r="20865" spans="1:14" x14ac:dyDescent="0.3">
      <c r="A20865" s="42"/>
      <c r="C20865" s="52"/>
      <c r="D20865"/>
      <c r="E20865"/>
      <c r="N20865" s="56"/>
    </row>
    <row r="20866" spans="1:14" x14ac:dyDescent="0.3">
      <c r="A20866" s="42"/>
      <c r="C20866" s="52"/>
      <c r="D20866"/>
      <c r="E20866"/>
      <c r="N20866" s="56"/>
    </row>
    <row r="20867" spans="1:14" x14ac:dyDescent="0.3">
      <c r="A20867" s="42"/>
      <c r="C20867" s="52"/>
      <c r="D20867"/>
      <c r="E20867"/>
      <c r="N20867" s="56"/>
    </row>
    <row r="20868" spans="1:14" x14ac:dyDescent="0.3">
      <c r="A20868" s="42"/>
      <c r="C20868" s="52"/>
      <c r="D20868"/>
      <c r="E20868"/>
      <c r="N20868" s="56"/>
    </row>
    <row r="20869" spans="1:14" x14ac:dyDescent="0.3">
      <c r="A20869" s="42"/>
      <c r="C20869" s="52"/>
      <c r="D20869"/>
      <c r="E20869"/>
      <c r="N20869" s="56"/>
    </row>
    <row r="20870" spans="1:14" x14ac:dyDescent="0.3">
      <c r="A20870" s="42"/>
      <c r="C20870" s="52"/>
      <c r="D20870"/>
      <c r="E20870"/>
      <c r="N20870" s="56"/>
    </row>
    <row r="20871" spans="1:14" x14ac:dyDescent="0.3">
      <c r="A20871" s="42"/>
      <c r="C20871" s="52"/>
      <c r="D20871"/>
      <c r="E20871"/>
      <c r="N20871" s="56"/>
    </row>
    <row r="20872" spans="1:14" x14ac:dyDescent="0.3">
      <c r="A20872" s="42"/>
      <c r="C20872" s="52"/>
      <c r="D20872"/>
      <c r="E20872"/>
      <c r="N20872" s="56"/>
    </row>
    <row r="20873" spans="1:14" x14ac:dyDescent="0.3">
      <c r="A20873" s="42"/>
      <c r="C20873" s="52"/>
      <c r="D20873"/>
      <c r="E20873"/>
      <c r="N20873" s="56"/>
    </row>
    <row r="20874" spans="1:14" x14ac:dyDescent="0.3">
      <c r="A20874" s="42"/>
      <c r="C20874" s="52"/>
      <c r="D20874"/>
      <c r="E20874"/>
      <c r="N20874" s="56"/>
    </row>
    <row r="20875" spans="1:14" x14ac:dyDescent="0.3">
      <c r="A20875" s="42"/>
      <c r="C20875" s="52"/>
      <c r="D20875"/>
      <c r="E20875"/>
      <c r="N20875" s="56"/>
    </row>
    <row r="20876" spans="1:14" x14ac:dyDescent="0.3">
      <c r="A20876" s="42"/>
      <c r="C20876" s="52"/>
      <c r="D20876"/>
      <c r="E20876"/>
      <c r="N20876" s="56"/>
    </row>
    <row r="20877" spans="1:14" x14ac:dyDescent="0.3">
      <c r="A20877" s="42"/>
      <c r="C20877" s="52"/>
      <c r="D20877"/>
      <c r="E20877"/>
      <c r="N20877" s="56"/>
    </row>
    <row r="20878" spans="1:14" x14ac:dyDescent="0.3">
      <c r="A20878" s="42"/>
      <c r="C20878" s="52"/>
      <c r="D20878"/>
      <c r="E20878"/>
      <c r="N20878" s="56"/>
    </row>
    <row r="20879" spans="1:14" x14ac:dyDescent="0.3">
      <c r="A20879" s="42"/>
      <c r="C20879" s="52"/>
      <c r="D20879"/>
      <c r="E20879"/>
      <c r="N20879" s="56"/>
    </row>
    <row r="20880" spans="1:14" x14ac:dyDescent="0.3">
      <c r="A20880" s="42"/>
      <c r="C20880" s="52"/>
      <c r="D20880"/>
      <c r="E20880"/>
      <c r="N20880" s="56"/>
    </row>
    <row r="20881" spans="1:14" x14ac:dyDescent="0.3">
      <c r="A20881" s="42"/>
      <c r="C20881" s="52"/>
      <c r="D20881"/>
      <c r="E20881"/>
      <c r="N20881" s="56"/>
    </row>
    <row r="20882" spans="1:14" x14ac:dyDescent="0.3">
      <c r="A20882" s="42"/>
      <c r="C20882" s="52"/>
      <c r="D20882"/>
      <c r="E20882"/>
      <c r="N20882" s="56"/>
    </row>
    <row r="20883" spans="1:14" x14ac:dyDescent="0.3">
      <c r="A20883" s="42"/>
      <c r="C20883" s="52"/>
      <c r="D20883"/>
      <c r="E20883"/>
      <c r="N20883" s="56"/>
    </row>
    <row r="20884" spans="1:14" x14ac:dyDescent="0.3">
      <c r="A20884" s="42"/>
      <c r="C20884" s="52"/>
      <c r="D20884"/>
      <c r="E20884"/>
      <c r="N20884" s="56"/>
    </row>
    <row r="20885" spans="1:14" x14ac:dyDescent="0.3">
      <c r="A20885" s="42"/>
      <c r="C20885" s="52"/>
      <c r="D20885"/>
      <c r="E20885"/>
      <c r="N20885" s="56"/>
    </row>
    <row r="20886" spans="1:14" x14ac:dyDescent="0.3">
      <c r="A20886" s="42"/>
      <c r="C20886" s="52"/>
      <c r="D20886"/>
      <c r="E20886"/>
      <c r="N20886" s="56"/>
    </row>
    <row r="20887" spans="1:14" x14ac:dyDescent="0.3">
      <c r="A20887" s="42"/>
      <c r="C20887" s="52"/>
      <c r="D20887"/>
      <c r="E20887"/>
      <c r="N20887" s="56"/>
    </row>
    <row r="20888" spans="1:14" x14ac:dyDescent="0.3">
      <c r="A20888" s="42"/>
      <c r="C20888" s="52"/>
      <c r="D20888"/>
      <c r="E20888"/>
      <c r="N20888" s="56"/>
    </row>
    <row r="20889" spans="1:14" x14ac:dyDescent="0.3">
      <c r="A20889" s="42"/>
      <c r="C20889" s="52"/>
      <c r="D20889"/>
      <c r="E20889"/>
      <c r="N20889" s="56"/>
    </row>
    <row r="20890" spans="1:14" x14ac:dyDescent="0.3">
      <c r="A20890" s="42"/>
      <c r="C20890" s="52"/>
      <c r="D20890"/>
      <c r="E20890"/>
      <c r="N20890" s="56"/>
    </row>
    <row r="20891" spans="1:14" x14ac:dyDescent="0.3">
      <c r="A20891" s="42"/>
      <c r="C20891" s="52"/>
      <c r="D20891"/>
      <c r="E20891"/>
      <c r="N20891" s="56"/>
    </row>
    <row r="20892" spans="1:14" x14ac:dyDescent="0.3">
      <c r="A20892" s="42"/>
      <c r="C20892" s="52"/>
      <c r="D20892"/>
      <c r="E20892"/>
      <c r="N20892" s="56"/>
    </row>
    <row r="20893" spans="1:14" x14ac:dyDescent="0.3">
      <c r="A20893" s="42"/>
      <c r="C20893" s="52"/>
      <c r="D20893"/>
      <c r="E20893"/>
      <c r="N20893" s="56"/>
    </row>
    <row r="20894" spans="1:14" x14ac:dyDescent="0.3">
      <c r="A20894" s="42"/>
      <c r="C20894" s="52"/>
      <c r="D20894"/>
      <c r="E20894"/>
      <c r="N20894" s="56"/>
    </row>
    <row r="20895" spans="1:14" x14ac:dyDescent="0.3">
      <c r="A20895" s="42"/>
      <c r="C20895" s="52"/>
      <c r="D20895"/>
      <c r="E20895"/>
      <c r="N20895" s="56"/>
    </row>
    <row r="20896" spans="1:14" x14ac:dyDescent="0.3">
      <c r="A20896" s="42"/>
      <c r="C20896" s="52"/>
      <c r="D20896"/>
      <c r="E20896"/>
      <c r="N20896" s="56"/>
    </row>
    <row r="20897" spans="1:14" x14ac:dyDescent="0.3">
      <c r="A20897" s="42"/>
      <c r="C20897" s="52"/>
      <c r="D20897"/>
      <c r="E20897"/>
      <c r="N20897" s="56"/>
    </row>
    <row r="20898" spans="1:14" x14ac:dyDescent="0.3">
      <c r="A20898" s="42"/>
      <c r="C20898" s="52"/>
      <c r="D20898"/>
      <c r="E20898"/>
      <c r="N20898" s="56"/>
    </row>
    <row r="20899" spans="1:14" x14ac:dyDescent="0.3">
      <c r="A20899" s="42"/>
      <c r="C20899" s="52"/>
      <c r="D20899"/>
      <c r="E20899"/>
      <c r="N20899" s="56"/>
    </row>
    <row r="20900" spans="1:14" x14ac:dyDescent="0.3">
      <c r="A20900" s="42"/>
      <c r="C20900" s="52"/>
      <c r="D20900"/>
      <c r="E20900"/>
      <c r="N20900" s="56"/>
    </row>
    <row r="20901" spans="1:14" x14ac:dyDescent="0.3">
      <c r="A20901" s="42"/>
      <c r="C20901" s="52"/>
      <c r="D20901"/>
      <c r="E20901"/>
      <c r="N20901" s="56"/>
    </row>
    <row r="20902" spans="1:14" x14ac:dyDescent="0.3">
      <c r="A20902" s="42"/>
      <c r="C20902" s="52"/>
      <c r="D20902"/>
      <c r="E20902"/>
      <c r="N20902" s="56"/>
    </row>
    <row r="20903" spans="1:14" x14ac:dyDescent="0.3">
      <c r="A20903" s="42"/>
      <c r="C20903" s="52"/>
      <c r="D20903"/>
      <c r="E20903"/>
      <c r="N20903" s="56"/>
    </row>
    <row r="20904" spans="1:14" x14ac:dyDescent="0.3">
      <c r="A20904" s="42"/>
      <c r="C20904" s="52"/>
      <c r="D20904"/>
      <c r="E20904"/>
      <c r="N20904" s="56"/>
    </row>
    <row r="20905" spans="1:14" x14ac:dyDescent="0.3">
      <c r="A20905" s="42"/>
      <c r="C20905" s="52"/>
      <c r="D20905"/>
      <c r="E20905"/>
      <c r="N20905" s="56"/>
    </row>
    <row r="20906" spans="1:14" x14ac:dyDescent="0.3">
      <c r="A20906" s="42"/>
      <c r="C20906" s="52"/>
      <c r="D20906"/>
      <c r="E20906"/>
      <c r="N20906" s="56"/>
    </row>
    <row r="20907" spans="1:14" x14ac:dyDescent="0.3">
      <c r="A20907" s="42"/>
      <c r="C20907" s="52"/>
      <c r="D20907"/>
      <c r="E20907"/>
      <c r="N20907" s="56"/>
    </row>
    <row r="20908" spans="1:14" x14ac:dyDescent="0.3">
      <c r="A20908" s="42"/>
      <c r="C20908" s="52"/>
      <c r="D20908"/>
      <c r="E20908"/>
      <c r="N20908" s="56"/>
    </row>
    <row r="20909" spans="1:14" x14ac:dyDescent="0.3">
      <c r="A20909" s="42"/>
      <c r="C20909" s="52"/>
      <c r="D20909"/>
      <c r="E20909"/>
      <c r="N20909" s="56"/>
    </row>
    <row r="20910" spans="1:14" x14ac:dyDescent="0.3">
      <c r="A20910" s="42"/>
      <c r="C20910" s="52"/>
      <c r="D20910"/>
      <c r="E20910"/>
      <c r="N20910" s="56"/>
    </row>
    <row r="20911" spans="1:14" x14ac:dyDescent="0.3">
      <c r="A20911" s="42"/>
      <c r="C20911" s="52"/>
      <c r="D20911"/>
      <c r="E20911"/>
      <c r="N20911" s="56"/>
    </row>
    <row r="20912" spans="1:14" x14ac:dyDescent="0.3">
      <c r="A20912" s="42"/>
      <c r="C20912" s="52"/>
      <c r="D20912"/>
      <c r="E20912"/>
      <c r="N20912" s="56"/>
    </row>
    <row r="20913" spans="1:14" x14ac:dyDescent="0.3">
      <c r="A20913" s="42"/>
      <c r="C20913" s="52"/>
      <c r="D20913"/>
      <c r="E20913"/>
      <c r="N20913" s="56"/>
    </row>
    <row r="20914" spans="1:14" x14ac:dyDescent="0.3">
      <c r="A20914" s="42"/>
      <c r="C20914" s="52"/>
      <c r="D20914"/>
      <c r="E20914"/>
      <c r="N20914" s="56"/>
    </row>
    <row r="20915" spans="1:14" x14ac:dyDescent="0.3">
      <c r="A20915" s="42"/>
      <c r="C20915" s="52"/>
      <c r="D20915"/>
      <c r="E20915"/>
      <c r="N20915" s="56"/>
    </row>
    <row r="20916" spans="1:14" x14ac:dyDescent="0.3">
      <c r="A20916" s="42"/>
      <c r="C20916" s="52"/>
      <c r="D20916"/>
      <c r="E20916"/>
      <c r="N20916" s="56"/>
    </row>
    <row r="20917" spans="1:14" x14ac:dyDescent="0.3">
      <c r="A20917" s="42"/>
      <c r="C20917" s="52"/>
      <c r="D20917"/>
      <c r="E20917"/>
      <c r="M20917" s="45"/>
      <c r="N20917" s="56"/>
    </row>
    <row r="20918" spans="1:14" x14ac:dyDescent="0.3">
      <c r="A20918" s="42"/>
      <c r="C20918" s="52"/>
      <c r="D20918"/>
      <c r="E20918"/>
      <c r="N20918" s="56"/>
    </row>
    <row r="20919" spans="1:14" x14ac:dyDescent="0.3">
      <c r="A20919" s="42"/>
      <c r="C20919" s="52"/>
      <c r="D20919"/>
      <c r="E20919"/>
      <c r="M20919" s="45"/>
      <c r="N20919" s="56"/>
    </row>
    <row r="20920" spans="1:14" x14ac:dyDescent="0.3">
      <c r="A20920" s="42"/>
      <c r="C20920" s="52"/>
      <c r="D20920"/>
      <c r="E20920"/>
      <c r="N20920" s="56"/>
    </row>
    <row r="20921" spans="1:14" x14ac:dyDescent="0.3">
      <c r="A20921" s="42"/>
      <c r="C20921" s="52"/>
      <c r="D20921"/>
      <c r="E20921"/>
      <c r="M20921" s="45"/>
      <c r="N20921" s="56"/>
    </row>
    <row r="20922" spans="1:14" x14ac:dyDescent="0.3">
      <c r="A20922" s="42"/>
      <c r="C20922" s="52"/>
      <c r="D20922"/>
      <c r="E20922"/>
      <c r="N20922" s="56"/>
    </row>
    <row r="20923" spans="1:14" x14ac:dyDescent="0.3">
      <c r="A20923" s="42"/>
      <c r="C20923" s="52"/>
      <c r="D20923"/>
      <c r="E20923"/>
      <c r="N20923" s="56"/>
    </row>
    <row r="20924" spans="1:14" x14ac:dyDescent="0.3">
      <c r="A20924" s="42"/>
      <c r="C20924" s="52"/>
      <c r="D20924"/>
      <c r="E20924"/>
      <c r="N20924" s="56"/>
    </row>
    <row r="20925" spans="1:14" x14ac:dyDescent="0.3">
      <c r="A20925" s="42"/>
      <c r="C20925" s="52"/>
      <c r="D20925"/>
      <c r="E20925"/>
      <c r="N20925" s="56"/>
    </row>
    <row r="20926" spans="1:14" x14ac:dyDescent="0.3">
      <c r="A20926" s="42"/>
      <c r="C20926" s="52"/>
      <c r="D20926"/>
      <c r="E20926"/>
      <c r="N20926" s="56"/>
    </row>
    <row r="20927" spans="1:14" x14ac:dyDescent="0.3">
      <c r="A20927" s="42"/>
      <c r="C20927" s="52"/>
      <c r="D20927"/>
      <c r="E20927"/>
      <c r="N20927" s="56"/>
    </row>
    <row r="20928" spans="1:14" x14ac:dyDescent="0.3">
      <c r="A20928" s="42"/>
      <c r="C20928" s="52"/>
      <c r="D20928"/>
      <c r="E20928"/>
      <c r="N20928" s="56"/>
    </row>
    <row r="20929" spans="1:14" x14ac:dyDescent="0.3">
      <c r="A20929" s="42"/>
      <c r="C20929" s="52"/>
      <c r="D20929"/>
      <c r="E20929"/>
      <c r="N20929" s="56"/>
    </row>
    <row r="20930" spans="1:14" x14ac:dyDescent="0.3">
      <c r="A20930" s="42"/>
      <c r="C20930" s="52"/>
      <c r="D20930"/>
      <c r="E20930"/>
      <c r="N20930" s="56"/>
    </row>
    <row r="20931" spans="1:14" x14ac:dyDescent="0.3">
      <c r="A20931" s="42"/>
      <c r="C20931" s="52"/>
      <c r="D20931"/>
      <c r="E20931"/>
      <c r="N20931" s="56"/>
    </row>
    <row r="20932" spans="1:14" x14ac:dyDescent="0.3">
      <c r="A20932" s="42"/>
      <c r="C20932" s="52"/>
      <c r="D20932"/>
      <c r="E20932"/>
      <c r="N20932" s="56"/>
    </row>
    <row r="20933" spans="1:14" x14ac:dyDescent="0.3">
      <c r="A20933" s="42"/>
      <c r="C20933" s="52"/>
      <c r="D20933"/>
      <c r="E20933"/>
      <c r="N20933" s="56"/>
    </row>
    <row r="20934" spans="1:14" x14ac:dyDescent="0.3">
      <c r="A20934" s="42"/>
      <c r="C20934" s="52"/>
      <c r="D20934"/>
      <c r="E20934"/>
      <c r="N20934" s="56"/>
    </row>
    <row r="20935" spans="1:14" x14ac:dyDescent="0.3">
      <c r="A20935" s="42"/>
      <c r="C20935" s="52"/>
      <c r="D20935"/>
      <c r="E20935"/>
      <c r="N20935" s="56"/>
    </row>
    <row r="20936" spans="1:14" x14ac:dyDescent="0.3">
      <c r="A20936" s="42"/>
      <c r="C20936" s="52"/>
      <c r="D20936"/>
      <c r="E20936"/>
      <c r="N20936" s="56"/>
    </row>
    <row r="20937" spans="1:14" x14ac:dyDescent="0.3">
      <c r="A20937" s="42"/>
      <c r="C20937" s="52"/>
      <c r="D20937"/>
      <c r="E20937"/>
      <c r="N20937" s="56"/>
    </row>
    <row r="20938" spans="1:14" x14ac:dyDescent="0.3">
      <c r="A20938" s="42"/>
      <c r="C20938" s="52"/>
      <c r="D20938"/>
      <c r="E20938"/>
      <c r="N20938" s="56"/>
    </row>
    <row r="20939" spans="1:14" x14ac:dyDescent="0.3">
      <c r="A20939" s="42"/>
      <c r="C20939" s="52"/>
      <c r="D20939"/>
      <c r="E20939"/>
      <c r="N20939" s="56"/>
    </row>
    <row r="20940" spans="1:14" x14ac:dyDescent="0.3">
      <c r="A20940" s="42"/>
      <c r="C20940" s="52"/>
      <c r="D20940"/>
      <c r="E20940"/>
      <c r="N20940" s="56"/>
    </row>
    <row r="20941" spans="1:14" x14ac:dyDescent="0.3">
      <c r="A20941" s="42"/>
      <c r="C20941" s="52"/>
      <c r="D20941"/>
      <c r="E20941"/>
      <c r="N20941" s="56"/>
    </row>
    <row r="20942" spans="1:14" x14ac:dyDescent="0.3">
      <c r="A20942" s="42"/>
      <c r="C20942" s="52"/>
      <c r="D20942"/>
      <c r="E20942"/>
      <c r="N20942" s="56"/>
    </row>
    <row r="20943" spans="1:14" x14ac:dyDescent="0.3">
      <c r="A20943" s="42"/>
      <c r="C20943" s="52"/>
      <c r="D20943"/>
      <c r="E20943"/>
      <c r="N20943" s="56"/>
    </row>
    <row r="20944" spans="1:14" x14ac:dyDescent="0.3">
      <c r="A20944" s="42"/>
      <c r="C20944" s="52"/>
      <c r="D20944"/>
      <c r="E20944"/>
      <c r="N20944" s="56"/>
    </row>
    <row r="20945" spans="1:14" x14ac:dyDescent="0.3">
      <c r="A20945" s="42"/>
      <c r="C20945" s="52"/>
      <c r="D20945"/>
      <c r="E20945"/>
      <c r="N20945" s="56"/>
    </row>
    <row r="20946" spans="1:14" x14ac:dyDescent="0.3">
      <c r="A20946" s="42"/>
      <c r="C20946" s="52"/>
      <c r="D20946"/>
      <c r="E20946"/>
      <c r="N20946" s="56"/>
    </row>
    <row r="20947" spans="1:14" x14ac:dyDescent="0.3">
      <c r="A20947" s="42"/>
      <c r="C20947" s="52"/>
      <c r="D20947"/>
      <c r="E20947"/>
      <c r="N20947" s="56"/>
    </row>
    <row r="20948" spans="1:14" x14ac:dyDescent="0.3">
      <c r="A20948" s="42"/>
      <c r="C20948" s="52"/>
      <c r="D20948"/>
      <c r="E20948"/>
      <c r="N20948" s="56"/>
    </row>
    <row r="20949" spans="1:14" x14ac:dyDescent="0.3">
      <c r="A20949" s="42"/>
      <c r="C20949" s="52"/>
      <c r="D20949"/>
      <c r="E20949"/>
      <c r="N20949" s="56"/>
    </row>
    <row r="20950" spans="1:14" x14ac:dyDescent="0.3">
      <c r="A20950" s="42"/>
      <c r="C20950" s="52"/>
      <c r="D20950"/>
      <c r="E20950"/>
      <c r="N20950" s="56"/>
    </row>
    <row r="20951" spans="1:14" x14ac:dyDescent="0.3">
      <c r="A20951" s="42"/>
      <c r="C20951" s="52"/>
      <c r="D20951"/>
      <c r="E20951"/>
      <c r="N20951" s="56"/>
    </row>
    <row r="20952" spans="1:14" x14ac:dyDescent="0.3">
      <c r="A20952" s="42"/>
      <c r="C20952" s="52"/>
      <c r="D20952"/>
      <c r="E20952"/>
      <c r="N20952" s="56"/>
    </row>
    <row r="20953" spans="1:14" x14ac:dyDescent="0.3">
      <c r="A20953" s="42"/>
      <c r="C20953" s="52"/>
      <c r="D20953"/>
      <c r="E20953"/>
      <c r="M20953" s="45"/>
      <c r="N20953" s="56"/>
    </row>
    <row r="20954" spans="1:14" x14ac:dyDescent="0.3">
      <c r="A20954" s="42"/>
      <c r="C20954" s="52"/>
      <c r="D20954"/>
      <c r="E20954"/>
      <c r="N20954" s="56"/>
    </row>
    <row r="20955" spans="1:14" x14ac:dyDescent="0.3">
      <c r="A20955" s="42"/>
      <c r="C20955" s="52"/>
      <c r="D20955"/>
      <c r="E20955"/>
      <c r="N20955" s="56"/>
    </row>
    <row r="20956" spans="1:14" x14ac:dyDescent="0.3">
      <c r="A20956" s="42"/>
      <c r="C20956" s="52"/>
      <c r="D20956"/>
      <c r="E20956"/>
      <c r="N20956" s="56"/>
    </row>
    <row r="20957" spans="1:14" x14ac:dyDescent="0.3">
      <c r="A20957" s="42"/>
      <c r="C20957" s="52"/>
      <c r="D20957"/>
      <c r="E20957"/>
      <c r="N20957" s="56"/>
    </row>
    <row r="20958" spans="1:14" x14ac:dyDescent="0.3">
      <c r="A20958" s="42"/>
      <c r="C20958" s="52"/>
      <c r="D20958"/>
      <c r="E20958"/>
      <c r="N20958" s="56"/>
    </row>
    <row r="20959" spans="1:14" x14ac:dyDescent="0.3">
      <c r="A20959" s="42"/>
      <c r="C20959" s="52"/>
      <c r="D20959"/>
      <c r="E20959"/>
      <c r="N20959" s="56"/>
    </row>
    <row r="20960" spans="1:14" x14ac:dyDescent="0.3">
      <c r="A20960" s="42"/>
      <c r="C20960" s="52"/>
      <c r="D20960"/>
      <c r="E20960"/>
      <c r="N20960" s="56"/>
    </row>
    <row r="20961" spans="1:14" x14ac:dyDescent="0.3">
      <c r="A20961" s="42"/>
      <c r="C20961" s="52"/>
      <c r="D20961"/>
      <c r="E20961"/>
      <c r="N20961" s="56"/>
    </row>
    <row r="20962" spans="1:14" x14ac:dyDescent="0.3">
      <c r="A20962" s="42"/>
      <c r="C20962" s="52"/>
      <c r="D20962"/>
      <c r="E20962"/>
      <c r="N20962" s="56"/>
    </row>
    <row r="20963" spans="1:14" x14ac:dyDescent="0.3">
      <c r="A20963" s="42"/>
      <c r="C20963" s="52"/>
      <c r="D20963"/>
      <c r="E20963"/>
      <c r="N20963" s="56"/>
    </row>
    <row r="20964" spans="1:14" x14ac:dyDescent="0.3">
      <c r="A20964" s="42"/>
      <c r="C20964" s="52"/>
      <c r="D20964"/>
      <c r="E20964"/>
      <c r="N20964" s="56"/>
    </row>
    <row r="20965" spans="1:14" x14ac:dyDescent="0.3">
      <c r="A20965" s="42"/>
      <c r="C20965" s="52"/>
      <c r="D20965"/>
      <c r="E20965"/>
      <c r="N20965" s="56"/>
    </row>
    <row r="20966" spans="1:14" x14ac:dyDescent="0.3">
      <c r="A20966" s="42"/>
      <c r="C20966" s="52"/>
      <c r="D20966"/>
      <c r="E20966"/>
      <c r="N20966" s="56"/>
    </row>
    <row r="20967" spans="1:14" x14ac:dyDescent="0.3">
      <c r="A20967" s="42"/>
      <c r="C20967" s="52"/>
      <c r="D20967"/>
      <c r="E20967"/>
      <c r="N20967" s="56"/>
    </row>
    <row r="20968" spans="1:14" x14ac:dyDescent="0.3">
      <c r="A20968" s="42"/>
      <c r="C20968" s="52"/>
      <c r="D20968"/>
      <c r="E20968"/>
      <c r="N20968" s="56"/>
    </row>
    <row r="20969" spans="1:14" x14ac:dyDescent="0.3">
      <c r="A20969" s="42"/>
      <c r="C20969" s="52"/>
      <c r="D20969"/>
      <c r="E20969"/>
      <c r="N20969" s="56"/>
    </row>
    <row r="20970" spans="1:14" x14ac:dyDescent="0.3">
      <c r="A20970" s="42"/>
      <c r="C20970" s="52"/>
      <c r="D20970"/>
      <c r="E20970"/>
      <c r="N20970" s="56"/>
    </row>
    <row r="20971" spans="1:14" x14ac:dyDescent="0.3">
      <c r="A20971" s="42"/>
      <c r="C20971" s="52"/>
      <c r="D20971"/>
      <c r="E20971"/>
      <c r="N20971" s="56"/>
    </row>
    <row r="20972" spans="1:14" x14ac:dyDescent="0.3">
      <c r="A20972" s="42"/>
      <c r="C20972" s="52"/>
      <c r="D20972"/>
      <c r="E20972"/>
      <c r="N20972" s="56"/>
    </row>
    <row r="20973" spans="1:14" x14ac:dyDescent="0.3">
      <c r="A20973" s="42"/>
      <c r="C20973" s="52"/>
      <c r="D20973"/>
      <c r="E20973"/>
      <c r="N20973" s="56"/>
    </row>
    <row r="20974" spans="1:14" x14ac:dyDescent="0.3">
      <c r="A20974" s="42"/>
      <c r="C20974" s="52"/>
      <c r="D20974"/>
      <c r="E20974"/>
      <c r="N20974" s="56"/>
    </row>
    <row r="20975" spans="1:14" x14ac:dyDescent="0.3">
      <c r="A20975" s="42"/>
      <c r="C20975" s="52"/>
      <c r="D20975"/>
      <c r="E20975"/>
      <c r="N20975" s="56"/>
    </row>
    <row r="20976" spans="1:14" x14ac:dyDescent="0.3">
      <c r="A20976" s="42"/>
      <c r="C20976" s="52"/>
      <c r="D20976"/>
      <c r="E20976"/>
      <c r="N20976" s="56"/>
    </row>
    <row r="20977" spans="1:14" x14ac:dyDescent="0.3">
      <c r="A20977" s="42"/>
      <c r="C20977" s="52"/>
      <c r="D20977"/>
      <c r="E20977"/>
      <c r="N20977" s="56"/>
    </row>
    <row r="20978" spans="1:14" x14ac:dyDescent="0.3">
      <c r="A20978" s="42"/>
      <c r="C20978" s="52"/>
      <c r="D20978"/>
      <c r="E20978"/>
      <c r="N20978" s="56"/>
    </row>
    <row r="20979" spans="1:14" x14ac:dyDescent="0.3">
      <c r="A20979" s="42"/>
      <c r="C20979" s="52"/>
      <c r="D20979"/>
      <c r="E20979"/>
      <c r="N20979" s="56"/>
    </row>
    <row r="20980" spans="1:14" x14ac:dyDescent="0.3">
      <c r="A20980" s="42"/>
      <c r="C20980" s="52"/>
      <c r="D20980"/>
      <c r="E20980"/>
      <c r="N20980" s="56"/>
    </row>
    <row r="20981" spans="1:14" x14ac:dyDescent="0.3">
      <c r="A20981" s="42"/>
      <c r="C20981" s="52"/>
      <c r="D20981"/>
      <c r="E20981"/>
      <c r="N20981" s="56"/>
    </row>
    <row r="20982" spans="1:14" x14ac:dyDescent="0.3">
      <c r="A20982" s="42"/>
      <c r="C20982" s="52"/>
      <c r="D20982"/>
      <c r="E20982"/>
      <c r="N20982" s="56"/>
    </row>
    <row r="20983" spans="1:14" x14ac:dyDescent="0.3">
      <c r="A20983" s="42"/>
      <c r="C20983" s="52"/>
      <c r="D20983"/>
      <c r="E20983"/>
      <c r="N20983" s="56"/>
    </row>
    <row r="20984" spans="1:14" x14ac:dyDescent="0.3">
      <c r="A20984" s="42"/>
      <c r="C20984" s="52"/>
      <c r="D20984"/>
      <c r="E20984"/>
      <c r="N20984" s="56"/>
    </row>
    <row r="20985" spans="1:14" x14ac:dyDescent="0.3">
      <c r="A20985" s="42"/>
      <c r="C20985" s="52"/>
      <c r="D20985"/>
      <c r="E20985"/>
      <c r="N20985" s="56"/>
    </row>
    <row r="20986" spans="1:14" x14ac:dyDescent="0.3">
      <c r="A20986" s="42"/>
      <c r="C20986" s="52"/>
      <c r="D20986"/>
      <c r="E20986"/>
      <c r="N20986" s="56"/>
    </row>
    <row r="20987" spans="1:14" x14ac:dyDescent="0.3">
      <c r="A20987" s="42"/>
      <c r="C20987" s="52"/>
      <c r="D20987"/>
      <c r="E20987"/>
      <c r="N20987" s="56"/>
    </row>
    <row r="20988" spans="1:14" x14ac:dyDescent="0.3">
      <c r="A20988" s="42"/>
      <c r="C20988" s="52"/>
      <c r="D20988"/>
      <c r="E20988"/>
      <c r="N20988" s="56"/>
    </row>
    <row r="20989" spans="1:14" x14ac:dyDescent="0.3">
      <c r="A20989" s="42"/>
      <c r="C20989" s="52"/>
      <c r="D20989"/>
      <c r="E20989"/>
      <c r="N20989" s="56"/>
    </row>
    <row r="20990" spans="1:14" x14ac:dyDescent="0.3">
      <c r="A20990" s="42"/>
      <c r="C20990" s="52"/>
      <c r="D20990"/>
      <c r="E20990"/>
      <c r="N20990" s="56"/>
    </row>
    <row r="20991" spans="1:14" x14ac:dyDescent="0.3">
      <c r="A20991" s="42"/>
      <c r="C20991" s="52"/>
      <c r="D20991"/>
      <c r="E20991"/>
      <c r="N20991" s="56"/>
    </row>
    <row r="20992" spans="1:14" x14ac:dyDescent="0.3">
      <c r="A20992" s="42"/>
      <c r="C20992" s="52"/>
      <c r="D20992"/>
      <c r="E20992"/>
      <c r="N20992" s="56"/>
    </row>
    <row r="20993" spans="1:14" x14ac:dyDescent="0.3">
      <c r="A20993" s="42"/>
      <c r="C20993" s="52"/>
      <c r="D20993"/>
      <c r="E20993"/>
      <c r="N20993" s="56"/>
    </row>
    <row r="20994" spans="1:14" x14ac:dyDescent="0.3">
      <c r="A20994" s="42"/>
      <c r="C20994" s="52"/>
      <c r="D20994"/>
      <c r="E20994"/>
      <c r="N20994" s="56"/>
    </row>
    <row r="20995" spans="1:14" x14ac:dyDescent="0.3">
      <c r="A20995" s="42"/>
      <c r="C20995" s="52"/>
      <c r="D20995"/>
      <c r="E20995"/>
      <c r="N20995" s="56"/>
    </row>
    <row r="20996" spans="1:14" x14ac:dyDescent="0.3">
      <c r="A20996" s="42"/>
      <c r="C20996" s="52"/>
      <c r="D20996"/>
      <c r="E20996"/>
      <c r="N20996" s="56"/>
    </row>
    <row r="20997" spans="1:14" x14ac:dyDescent="0.3">
      <c r="A20997" s="42"/>
      <c r="C20997" s="52"/>
      <c r="D20997"/>
      <c r="E20997"/>
      <c r="N20997" s="56"/>
    </row>
    <row r="20998" spans="1:14" x14ac:dyDescent="0.3">
      <c r="A20998" s="42"/>
      <c r="C20998" s="52"/>
      <c r="D20998"/>
      <c r="E20998"/>
      <c r="N20998" s="56"/>
    </row>
    <row r="20999" spans="1:14" x14ac:dyDescent="0.3">
      <c r="A20999" s="42"/>
      <c r="C20999" s="52"/>
      <c r="D20999"/>
      <c r="E20999"/>
      <c r="N20999" s="56"/>
    </row>
    <row r="21000" spans="1:14" x14ac:dyDescent="0.3">
      <c r="A21000" s="42"/>
      <c r="C21000" s="52"/>
      <c r="D21000"/>
      <c r="E21000"/>
      <c r="N21000" s="56"/>
    </row>
    <row r="21001" spans="1:14" x14ac:dyDescent="0.3">
      <c r="A21001" s="42"/>
      <c r="C21001" s="52"/>
      <c r="D21001"/>
      <c r="E21001"/>
      <c r="M21001" s="45"/>
      <c r="N21001" s="56"/>
    </row>
    <row r="21002" spans="1:14" x14ac:dyDescent="0.3">
      <c r="A21002" s="42"/>
      <c r="C21002" s="52"/>
      <c r="D21002"/>
      <c r="E21002"/>
      <c r="N21002" s="56"/>
    </row>
    <row r="21003" spans="1:14" x14ac:dyDescent="0.3">
      <c r="A21003" s="42"/>
      <c r="C21003" s="52"/>
      <c r="D21003"/>
      <c r="E21003"/>
      <c r="N21003" s="56"/>
    </row>
    <row r="21004" spans="1:14" x14ac:dyDescent="0.3">
      <c r="A21004" s="42"/>
      <c r="C21004" s="52"/>
      <c r="D21004"/>
      <c r="E21004"/>
      <c r="N21004" s="56"/>
    </row>
    <row r="21005" spans="1:14" x14ac:dyDescent="0.3">
      <c r="A21005" s="42"/>
      <c r="C21005" s="52"/>
      <c r="D21005"/>
      <c r="E21005"/>
      <c r="N21005" s="56"/>
    </row>
    <row r="21006" spans="1:14" x14ac:dyDescent="0.3">
      <c r="A21006" s="42"/>
      <c r="C21006" s="52"/>
      <c r="D21006"/>
      <c r="E21006"/>
      <c r="N21006" s="56"/>
    </row>
    <row r="21007" spans="1:14" x14ac:dyDescent="0.3">
      <c r="A21007" s="42"/>
      <c r="C21007" s="52"/>
      <c r="D21007"/>
      <c r="E21007"/>
      <c r="N21007" s="56"/>
    </row>
    <row r="21008" spans="1:14" x14ac:dyDescent="0.3">
      <c r="A21008" s="42"/>
      <c r="C21008" s="52"/>
      <c r="D21008"/>
      <c r="E21008"/>
      <c r="N21008" s="56"/>
    </row>
    <row r="21009" spans="1:14" x14ac:dyDescent="0.3">
      <c r="A21009" s="42"/>
      <c r="C21009" s="52"/>
      <c r="D21009"/>
      <c r="E21009"/>
      <c r="N21009" s="56"/>
    </row>
    <row r="21010" spans="1:14" x14ac:dyDescent="0.3">
      <c r="A21010" s="42"/>
      <c r="C21010" s="52"/>
      <c r="D21010"/>
      <c r="E21010"/>
      <c r="N21010" s="56"/>
    </row>
    <row r="21011" spans="1:14" x14ac:dyDescent="0.3">
      <c r="A21011" s="42"/>
      <c r="C21011" s="52"/>
      <c r="D21011"/>
      <c r="E21011"/>
      <c r="N21011" s="56"/>
    </row>
    <row r="21012" spans="1:14" x14ac:dyDescent="0.3">
      <c r="A21012" s="42"/>
      <c r="C21012" s="52"/>
      <c r="D21012"/>
      <c r="E21012"/>
      <c r="N21012" s="56"/>
    </row>
    <row r="21013" spans="1:14" x14ac:dyDescent="0.3">
      <c r="A21013" s="42"/>
      <c r="C21013" s="52"/>
      <c r="D21013"/>
      <c r="E21013"/>
      <c r="N21013" s="56"/>
    </row>
    <row r="21014" spans="1:14" x14ac:dyDescent="0.3">
      <c r="A21014" s="42"/>
      <c r="C21014" s="52"/>
      <c r="D21014"/>
      <c r="E21014"/>
      <c r="N21014" s="56"/>
    </row>
    <row r="21015" spans="1:14" x14ac:dyDescent="0.3">
      <c r="A21015" s="42"/>
      <c r="C21015" s="52"/>
      <c r="D21015"/>
      <c r="E21015"/>
      <c r="N21015" s="56"/>
    </row>
    <row r="21016" spans="1:14" x14ac:dyDescent="0.3">
      <c r="A21016" s="42"/>
      <c r="C21016" s="52"/>
      <c r="D21016"/>
      <c r="E21016"/>
      <c r="N21016" s="56"/>
    </row>
    <row r="21017" spans="1:14" x14ac:dyDescent="0.3">
      <c r="A21017" s="42"/>
      <c r="C21017" s="52"/>
      <c r="D21017"/>
      <c r="E21017"/>
      <c r="N21017" s="56"/>
    </row>
    <row r="21018" spans="1:14" x14ac:dyDescent="0.3">
      <c r="A21018" s="42"/>
      <c r="C21018" s="52"/>
      <c r="D21018"/>
      <c r="E21018"/>
      <c r="N21018" s="56"/>
    </row>
    <row r="21019" spans="1:14" x14ac:dyDescent="0.3">
      <c r="A21019" s="42"/>
      <c r="C21019" s="52"/>
      <c r="D21019"/>
      <c r="E21019"/>
      <c r="N21019" s="56"/>
    </row>
    <row r="21020" spans="1:14" x14ac:dyDescent="0.3">
      <c r="A21020" s="42"/>
      <c r="C21020" s="52"/>
      <c r="D21020"/>
      <c r="E21020"/>
      <c r="N21020" s="56"/>
    </row>
    <row r="21021" spans="1:14" x14ac:dyDescent="0.3">
      <c r="A21021" s="42"/>
      <c r="C21021" s="52"/>
      <c r="D21021"/>
      <c r="E21021"/>
      <c r="N21021" s="56"/>
    </row>
    <row r="21022" spans="1:14" x14ac:dyDescent="0.3">
      <c r="A21022" s="42"/>
      <c r="C21022" s="52"/>
      <c r="D21022"/>
      <c r="E21022"/>
      <c r="N21022" s="56"/>
    </row>
    <row r="21023" spans="1:14" x14ac:dyDescent="0.3">
      <c r="A21023" s="42"/>
      <c r="C21023" s="52"/>
      <c r="D21023"/>
      <c r="E21023"/>
      <c r="N21023" s="56"/>
    </row>
    <row r="21024" spans="1:14" x14ac:dyDescent="0.3">
      <c r="A21024" s="42"/>
      <c r="C21024" s="52"/>
      <c r="D21024"/>
      <c r="E21024"/>
      <c r="N21024" s="56"/>
    </row>
    <row r="21025" spans="1:14" x14ac:dyDescent="0.3">
      <c r="A21025" s="42"/>
      <c r="C21025" s="52"/>
      <c r="D21025"/>
      <c r="E21025"/>
      <c r="N21025" s="56"/>
    </row>
    <row r="21026" spans="1:14" x14ac:dyDescent="0.3">
      <c r="A21026" s="42"/>
      <c r="C21026" s="52"/>
      <c r="D21026"/>
      <c r="E21026"/>
      <c r="N21026" s="56"/>
    </row>
    <row r="21027" spans="1:14" x14ac:dyDescent="0.3">
      <c r="A21027" s="42"/>
      <c r="C21027" s="52"/>
      <c r="D21027"/>
      <c r="E21027"/>
      <c r="N21027" s="56"/>
    </row>
    <row r="21028" spans="1:14" x14ac:dyDescent="0.3">
      <c r="A21028" s="42"/>
      <c r="C21028" s="52"/>
      <c r="D21028"/>
      <c r="E21028"/>
      <c r="N21028" s="56"/>
    </row>
    <row r="21029" spans="1:14" x14ac:dyDescent="0.3">
      <c r="A21029" s="42"/>
      <c r="C21029" s="52"/>
      <c r="D21029"/>
      <c r="E21029"/>
      <c r="N21029" s="56"/>
    </row>
    <row r="21030" spans="1:14" x14ac:dyDescent="0.3">
      <c r="A21030" s="42"/>
      <c r="C21030" s="52"/>
      <c r="D21030"/>
      <c r="E21030"/>
      <c r="N21030" s="56"/>
    </row>
    <row r="21031" spans="1:14" x14ac:dyDescent="0.3">
      <c r="A21031" s="42"/>
      <c r="C21031" s="52"/>
      <c r="D21031"/>
      <c r="E21031"/>
      <c r="N21031" s="56"/>
    </row>
    <row r="21032" spans="1:14" x14ac:dyDescent="0.3">
      <c r="A21032" s="42"/>
      <c r="C21032" s="52"/>
      <c r="D21032"/>
      <c r="E21032"/>
      <c r="N21032" s="56"/>
    </row>
    <row r="21033" spans="1:14" x14ac:dyDescent="0.3">
      <c r="A21033" s="42"/>
      <c r="C21033" s="52"/>
      <c r="D21033"/>
      <c r="E21033"/>
      <c r="N21033" s="56"/>
    </row>
    <row r="21034" spans="1:14" x14ac:dyDescent="0.3">
      <c r="A21034" s="42"/>
      <c r="C21034" s="52"/>
      <c r="D21034"/>
      <c r="E21034"/>
      <c r="N21034" s="56"/>
    </row>
    <row r="21035" spans="1:14" x14ac:dyDescent="0.3">
      <c r="A21035" s="42"/>
      <c r="C21035" s="52"/>
      <c r="D21035"/>
      <c r="E21035"/>
      <c r="N21035" s="56"/>
    </row>
    <row r="21036" spans="1:14" x14ac:dyDescent="0.3">
      <c r="A21036" s="42"/>
      <c r="C21036" s="52"/>
      <c r="D21036"/>
      <c r="E21036"/>
      <c r="N21036" s="56"/>
    </row>
    <row r="21037" spans="1:14" x14ac:dyDescent="0.3">
      <c r="A21037" s="42"/>
      <c r="C21037" s="52"/>
      <c r="D21037"/>
      <c r="E21037"/>
      <c r="N21037" s="56"/>
    </row>
    <row r="21038" spans="1:14" x14ac:dyDescent="0.3">
      <c r="A21038" s="42"/>
      <c r="C21038" s="52"/>
      <c r="D21038"/>
      <c r="E21038"/>
      <c r="N21038" s="56"/>
    </row>
    <row r="21039" spans="1:14" x14ac:dyDescent="0.3">
      <c r="A21039" s="42"/>
      <c r="C21039" s="52"/>
      <c r="D21039"/>
      <c r="E21039"/>
      <c r="N21039" s="56"/>
    </row>
    <row r="21040" spans="1:14" x14ac:dyDescent="0.3">
      <c r="A21040" s="42"/>
      <c r="C21040" s="52"/>
      <c r="D21040"/>
      <c r="E21040"/>
      <c r="N21040" s="56"/>
    </row>
    <row r="21041" spans="1:14" x14ac:dyDescent="0.3">
      <c r="A21041" s="42"/>
      <c r="C21041" s="52"/>
      <c r="D21041"/>
      <c r="E21041"/>
      <c r="N21041" s="56"/>
    </row>
    <row r="21042" spans="1:14" x14ac:dyDescent="0.3">
      <c r="A21042" s="42"/>
      <c r="C21042" s="52"/>
      <c r="D21042"/>
      <c r="E21042"/>
      <c r="N21042" s="56"/>
    </row>
    <row r="21043" spans="1:14" x14ac:dyDescent="0.3">
      <c r="A21043" s="42"/>
      <c r="C21043" s="52"/>
      <c r="D21043"/>
      <c r="E21043"/>
      <c r="N21043" s="56"/>
    </row>
    <row r="21044" spans="1:14" x14ac:dyDescent="0.3">
      <c r="A21044" s="42"/>
      <c r="C21044" s="52"/>
      <c r="D21044"/>
      <c r="E21044"/>
      <c r="N21044" s="56"/>
    </row>
    <row r="21045" spans="1:14" x14ac:dyDescent="0.3">
      <c r="A21045" s="42"/>
      <c r="C21045" s="52"/>
      <c r="D21045"/>
      <c r="E21045"/>
      <c r="N21045" s="56"/>
    </row>
    <row r="21046" spans="1:14" x14ac:dyDescent="0.3">
      <c r="A21046" s="42"/>
      <c r="C21046" s="52"/>
      <c r="D21046"/>
      <c r="E21046"/>
      <c r="N21046" s="56"/>
    </row>
    <row r="21047" spans="1:14" x14ac:dyDescent="0.3">
      <c r="A21047" s="42"/>
      <c r="C21047" s="52"/>
      <c r="D21047"/>
      <c r="E21047"/>
      <c r="N21047" s="56"/>
    </row>
    <row r="21048" spans="1:14" x14ac:dyDescent="0.3">
      <c r="A21048" s="42"/>
      <c r="C21048" s="52"/>
      <c r="D21048"/>
      <c r="E21048"/>
      <c r="N21048" s="56"/>
    </row>
    <row r="21049" spans="1:14" x14ac:dyDescent="0.3">
      <c r="A21049" s="42"/>
      <c r="C21049" s="52"/>
      <c r="D21049"/>
      <c r="E21049"/>
      <c r="N21049" s="56"/>
    </row>
    <row r="21050" spans="1:14" x14ac:dyDescent="0.3">
      <c r="A21050" s="42"/>
      <c r="C21050" s="52"/>
      <c r="D21050"/>
      <c r="E21050"/>
      <c r="N21050" s="56"/>
    </row>
    <row r="21051" spans="1:14" x14ac:dyDescent="0.3">
      <c r="A21051" s="42"/>
      <c r="C21051" s="52"/>
      <c r="D21051"/>
      <c r="E21051"/>
      <c r="N21051" s="56"/>
    </row>
    <row r="21052" spans="1:14" x14ac:dyDescent="0.3">
      <c r="A21052" s="42"/>
      <c r="C21052" s="52"/>
      <c r="D21052"/>
      <c r="E21052"/>
      <c r="N21052" s="56"/>
    </row>
    <row r="21053" spans="1:14" x14ac:dyDescent="0.3">
      <c r="A21053" s="42"/>
      <c r="C21053" s="52"/>
      <c r="D21053"/>
      <c r="E21053"/>
      <c r="N21053" s="56"/>
    </row>
    <row r="21054" spans="1:14" x14ac:dyDescent="0.3">
      <c r="A21054" s="42"/>
      <c r="C21054" s="52"/>
      <c r="D21054"/>
      <c r="E21054"/>
      <c r="N21054" s="56"/>
    </row>
    <row r="21055" spans="1:14" x14ac:dyDescent="0.3">
      <c r="A21055" s="42"/>
      <c r="C21055" s="52"/>
      <c r="D21055"/>
      <c r="E21055"/>
      <c r="N21055" s="56"/>
    </row>
    <row r="21056" spans="1:14" x14ac:dyDescent="0.3">
      <c r="A21056" s="42"/>
      <c r="C21056" s="52"/>
      <c r="D21056"/>
      <c r="E21056"/>
      <c r="N21056" s="56"/>
    </row>
    <row r="21057" spans="1:14" x14ac:dyDescent="0.3">
      <c r="A21057" s="42"/>
      <c r="C21057" s="52"/>
      <c r="D21057"/>
      <c r="E21057"/>
      <c r="N21057" s="56"/>
    </row>
    <row r="21058" spans="1:14" x14ac:dyDescent="0.3">
      <c r="A21058" s="42"/>
      <c r="C21058" s="52"/>
      <c r="D21058"/>
      <c r="E21058"/>
      <c r="N21058" s="56"/>
    </row>
    <row r="21059" spans="1:14" x14ac:dyDescent="0.3">
      <c r="A21059" s="42"/>
      <c r="C21059" s="52"/>
      <c r="D21059"/>
      <c r="E21059"/>
      <c r="N21059" s="56"/>
    </row>
    <row r="21060" spans="1:14" x14ac:dyDescent="0.3">
      <c r="A21060" s="42"/>
      <c r="C21060" s="52"/>
      <c r="D21060"/>
      <c r="E21060"/>
      <c r="N21060" s="56"/>
    </row>
    <row r="21061" spans="1:14" x14ac:dyDescent="0.3">
      <c r="A21061" s="42"/>
      <c r="C21061" s="52"/>
      <c r="D21061"/>
      <c r="E21061"/>
      <c r="N21061" s="56"/>
    </row>
    <row r="21062" spans="1:14" x14ac:dyDescent="0.3">
      <c r="A21062" s="42"/>
      <c r="C21062" s="52"/>
      <c r="D21062"/>
      <c r="E21062"/>
      <c r="N21062" s="56"/>
    </row>
    <row r="21063" spans="1:14" x14ac:dyDescent="0.3">
      <c r="A21063" s="42"/>
      <c r="C21063" s="52"/>
      <c r="D21063"/>
      <c r="E21063"/>
      <c r="N21063" s="56"/>
    </row>
    <row r="21064" spans="1:14" x14ac:dyDescent="0.3">
      <c r="A21064" s="42"/>
      <c r="C21064" s="52"/>
      <c r="D21064"/>
      <c r="E21064"/>
      <c r="N21064" s="56"/>
    </row>
    <row r="21065" spans="1:14" x14ac:dyDescent="0.3">
      <c r="A21065" s="42"/>
      <c r="C21065" s="52"/>
      <c r="D21065"/>
      <c r="E21065"/>
      <c r="N21065" s="56"/>
    </row>
    <row r="21066" spans="1:14" x14ac:dyDescent="0.3">
      <c r="A21066" s="42"/>
      <c r="C21066" s="52"/>
      <c r="D21066"/>
      <c r="E21066"/>
      <c r="N21066" s="56"/>
    </row>
    <row r="21067" spans="1:14" x14ac:dyDescent="0.3">
      <c r="A21067" s="42"/>
      <c r="C21067" s="52"/>
      <c r="D21067"/>
      <c r="E21067"/>
      <c r="N21067" s="56"/>
    </row>
    <row r="21068" spans="1:14" x14ac:dyDescent="0.3">
      <c r="A21068" s="42"/>
      <c r="C21068" s="52"/>
      <c r="D21068"/>
      <c r="E21068"/>
      <c r="N21068" s="56"/>
    </row>
    <row r="21069" spans="1:14" x14ac:dyDescent="0.3">
      <c r="A21069" s="42"/>
      <c r="C21069" s="52"/>
      <c r="D21069"/>
      <c r="E21069"/>
      <c r="N21069" s="56"/>
    </row>
    <row r="21070" spans="1:14" x14ac:dyDescent="0.3">
      <c r="A21070" s="42"/>
      <c r="C21070" s="52"/>
      <c r="D21070"/>
      <c r="E21070"/>
      <c r="N21070" s="56"/>
    </row>
    <row r="21071" spans="1:14" x14ac:dyDescent="0.3">
      <c r="A21071" s="42"/>
      <c r="C21071" s="52"/>
      <c r="D21071"/>
      <c r="E21071"/>
      <c r="N21071" s="56"/>
    </row>
    <row r="21072" spans="1:14" x14ac:dyDescent="0.3">
      <c r="A21072" s="42"/>
      <c r="C21072" s="52"/>
      <c r="D21072"/>
      <c r="E21072"/>
      <c r="N21072" s="56"/>
    </row>
    <row r="21073" spans="1:14" x14ac:dyDescent="0.3">
      <c r="A21073" s="42"/>
      <c r="C21073" s="52"/>
      <c r="D21073"/>
      <c r="E21073"/>
      <c r="N21073" s="56"/>
    </row>
    <row r="21074" spans="1:14" x14ac:dyDescent="0.3">
      <c r="A21074" s="42"/>
      <c r="C21074" s="52"/>
      <c r="D21074"/>
      <c r="E21074"/>
      <c r="N21074" s="56"/>
    </row>
    <row r="21075" spans="1:14" x14ac:dyDescent="0.3">
      <c r="A21075" s="42"/>
      <c r="C21075" s="52"/>
      <c r="D21075"/>
      <c r="E21075"/>
      <c r="N21075" s="56"/>
    </row>
    <row r="21076" spans="1:14" x14ac:dyDescent="0.3">
      <c r="A21076" s="42"/>
      <c r="C21076" s="52"/>
      <c r="D21076"/>
      <c r="E21076"/>
      <c r="N21076" s="56"/>
    </row>
    <row r="21077" spans="1:14" x14ac:dyDescent="0.3">
      <c r="A21077" s="42"/>
      <c r="C21077" s="52"/>
      <c r="D21077"/>
      <c r="E21077"/>
      <c r="N21077" s="56"/>
    </row>
    <row r="21078" spans="1:14" x14ac:dyDescent="0.3">
      <c r="A21078" s="42"/>
      <c r="C21078" s="52"/>
      <c r="D21078"/>
      <c r="E21078"/>
      <c r="N21078" s="56"/>
    </row>
    <row r="21079" spans="1:14" x14ac:dyDescent="0.3">
      <c r="A21079" s="42"/>
      <c r="C21079" s="52"/>
      <c r="D21079"/>
      <c r="E21079"/>
      <c r="N21079" s="56"/>
    </row>
    <row r="21080" spans="1:14" x14ac:dyDescent="0.3">
      <c r="A21080" s="42"/>
      <c r="C21080" s="52"/>
      <c r="D21080"/>
      <c r="E21080"/>
      <c r="N21080" s="56"/>
    </row>
    <row r="21081" spans="1:14" x14ac:dyDescent="0.3">
      <c r="A21081" s="42"/>
      <c r="C21081" s="52"/>
      <c r="D21081"/>
      <c r="E21081"/>
      <c r="N21081" s="56"/>
    </row>
    <row r="21082" spans="1:14" x14ac:dyDescent="0.3">
      <c r="A21082" s="42"/>
      <c r="C21082" s="52"/>
      <c r="D21082"/>
      <c r="E21082"/>
      <c r="N21082" s="56"/>
    </row>
    <row r="21083" spans="1:14" x14ac:dyDescent="0.3">
      <c r="A21083" s="42"/>
      <c r="C21083" s="52"/>
      <c r="D21083"/>
      <c r="E21083"/>
      <c r="N21083" s="56"/>
    </row>
    <row r="21084" spans="1:14" x14ac:dyDescent="0.3">
      <c r="A21084" s="42"/>
      <c r="C21084" s="52"/>
      <c r="D21084"/>
      <c r="E21084"/>
      <c r="N21084" s="56"/>
    </row>
    <row r="21085" spans="1:14" x14ac:dyDescent="0.3">
      <c r="A21085" s="42"/>
      <c r="C21085" s="52"/>
      <c r="D21085"/>
      <c r="E21085"/>
      <c r="N21085" s="56"/>
    </row>
    <row r="21086" spans="1:14" x14ac:dyDescent="0.3">
      <c r="A21086" s="42"/>
      <c r="C21086" s="52"/>
      <c r="D21086"/>
      <c r="E21086"/>
      <c r="N21086" s="56"/>
    </row>
    <row r="21087" spans="1:14" x14ac:dyDescent="0.3">
      <c r="A21087" s="42"/>
      <c r="C21087" s="52"/>
      <c r="D21087"/>
      <c r="E21087"/>
      <c r="N21087" s="56"/>
    </row>
    <row r="21088" spans="1:14" x14ac:dyDescent="0.3">
      <c r="A21088" s="42"/>
      <c r="C21088" s="52"/>
      <c r="D21088"/>
      <c r="E21088"/>
      <c r="N21088" s="56"/>
    </row>
    <row r="21089" spans="1:14" x14ac:dyDescent="0.3">
      <c r="A21089" s="42"/>
      <c r="C21089" s="52"/>
      <c r="D21089"/>
      <c r="E21089"/>
      <c r="N21089" s="56"/>
    </row>
    <row r="21090" spans="1:14" x14ac:dyDescent="0.3">
      <c r="A21090" s="42"/>
      <c r="C21090" s="52"/>
      <c r="D21090"/>
      <c r="E21090"/>
      <c r="N21090" s="56"/>
    </row>
    <row r="21091" spans="1:14" x14ac:dyDescent="0.3">
      <c r="A21091" s="42"/>
      <c r="C21091" s="52"/>
      <c r="D21091"/>
      <c r="E21091"/>
      <c r="N21091" s="56"/>
    </row>
    <row r="21092" spans="1:14" x14ac:dyDescent="0.3">
      <c r="A21092" s="42"/>
      <c r="C21092" s="52"/>
      <c r="D21092"/>
      <c r="E21092"/>
      <c r="N21092" s="56"/>
    </row>
    <row r="21093" spans="1:14" x14ac:dyDescent="0.3">
      <c r="A21093" s="42"/>
      <c r="C21093" s="52"/>
      <c r="D21093"/>
      <c r="E21093"/>
      <c r="N21093" s="56"/>
    </row>
    <row r="21094" spans="1:14" x14ac:dyDescent="0.3">
      <c r="A21094" s="42"/>
      <c r="C21094" s="52"/>
      <c r="D21094"/>
      <c r="E21094"/>
      <c r="N21094" s="56"/>
    </row>
    <row r="21095" spans="1:14" x14ac:dyDescent="0.3">
      <c r="A21095" s="42"/>
      <c r="C21095" s="52"/>
      <c r="D21095"/>
      <c r="E21095"/>
      <c r="N21095" s="56"/>
    </row>
    <row r="21096" spans="1:14" x14ac:dyDescent="0.3">
      <c r="A21096" s="42"/>
      <c r="C21096" s="52"/>
      <c r="D21096"/>
      <c r="E21096"/>
      <c r="N21096" s="56"/>
    </row>
    <row r="21097" spans="1:14" x14ac:dyDescent="0.3">
      <c r="A21097" s="42"/>
      <c r="C21097" s="52"/>
      <c r="D21097"/>
      <c r="E21097"/>
      <c r="N21097" s="56"/>
    </row>
    <row r="21098" spans="1:14" x14ac:dyDescent="0.3">
      <c r="A21098" s="42"/>
      <c r="C21098" s="52"/>
      <c r="D21098"/>
      <c r="E21098"/>
      <c r="N21098" s="56"/>
    </row>
    <row r="21099" spans="1:14" x14ac:dyDescent="0.3">
      <c r="A21099" s="42"/>
      <c r="C21099" s="52"/>
      <c r="D21099"/>
      <c r="E21099"/>
      <c r="N21099" s="56"/>
    </row>
    <row r="21100" spans="1:14" x14ac:dyDescent="0.3">
      <c r="A21100" s="42"/>
      <c r="C21100" s="52"/>
      <c r="D21100"/>
      <c r="E21100"/>
      <c r="N21100" s="56"/>
    </row>
    <row r="21101" spans="1:14" x14ac:dyDescent="0.3">
      <c r="A21101" s="42"/>
      <c r="C21101" s="52"/>
      <c r="D21101"/>
      <c r="E21101"/>
      <c r="N21101" s="56"/>
    </row>
    <row r="21102" spans="1:14" x14ac:dyDescent="0.3">
      <c r="A21102" s="42"/>
      <c r="C21102" s="52"/>
      <c r="D21102"/>
      <c r="E21102"/>
      <c r="N21102" s="56"/>
    </row>
    <row r="21103" spans="1:14" x14ac:dyDescent="0.3">
      <c r="A21103" s="42"/>
      <c r="C21103" s="52"/>
      <c r="D21103"/>
      <c r="E21103"/>
      <c r="N21103" s="56"/>
    </row>
    <row r="21104" spans="1:14" x14ac:dyDescent="0.3">
      <c r="A21104" s="42"/>
      <c r="C21104" s="52"/>
      <c r="D21104"/>
      <c r="E21104"/>
      <c r="N21104" s="56"/>
    </row>
    <row r="21105" spans="1:14" x14ac:dyDescent="0.3">
      <c r="A21105" s="42"/>
      <c r="C21105" s="52"/>
      <c r="D21105"/>
      <c r="E21105"/>
      <c r="N21105" s="56"/>
    </row>
    <row r="21106" spans="1:14" x14ac:dyDescent="0.3">
      <c r="A21106" s="42"/>
      <c r="C21106" s="52"/>
      <c r="D21106"/>
      <c r="E21106"/>
      <c r="N21106" s="56"/>
    </row>
    <row r="21107" spans="1:14" x14ac:dyDescent="0.3">
      <c r="A21107" s="42"/>
      <c r="C21107" s="52"/>
      <c r="D21107"/>
      <c r="E21107"/>
      <c r="N21107" s="56"/>
    </row>
    <row r="21108" spans="1:14" x14ac:dyDescent="0.3">
      <c r="A21108" s="42"/>
      <c r="C21108" s="52"/>
      <c r="D21108"/>
      <c r="E21108"/>
      <c r="N21108" s="56"/>
    </row>
    <row r="21109" spans="1:14" x14ac:dyDescent="0.3">
      <c r="A21109" s="42"/>
      <c r="C21109" s="52"/>
      <c r="D21109"/>
      <c r="E21109"/>
      <c r="N21109" s="56"/>
    </row>
    <row r="21110" spans="1:14" x14ac:dyDescent="0.3">
      <c r="A21110" s="42"/>
      <c r="C21110" s="52"/>
      <c r="D21110"/>
      <c r="E21110"/>
      <c r="N21110" s="56"/>
    </row>
    <row r="21111" spans="1:14" x14ac:dyDescent="0.3">
      <c r="A21111" s="42"/>
      <c r="C21111" s="52"/>
      <c r="D21111"/>
      <c r="E21111"/>
      <c r="N21111" s="56"/>
    </row>
    <row r="21112" spans="1:14" x14ac:dyDescent="0.3">
      <c r="A21112" s="42"/>
      <c r="C21112" s="52"/>
      <c r="D21112"/>
      <c r="E21112"/>
      <c r="N21112" s="56"/>
    </row>
    <row r="21113" spans="1:14" x14ac:dyDescent="0.3">
      <c r="A21113" s="42"/>
      <c r="C21113" s="52"/>
      <c r="D21113"/>
      <c r="E21113"/>
      <c r="N21113" s="56"/>
    </row>
    <row r="21114" spans="1:14" x14ac:dyDescent="0.3">
      <c r="A21114" s="42"/>
      <c r="C21114" s="52"/>
      <c r="D21114"/>
      <c r="E21114"/>
      <c r="M21114" s="45"/>
      <c r="N21114" s="56"/>
    </row>
    <row r="21115" spans="1:14" x14ac:dyDescent="0.3">
      <c r="A21115" s="42"/>
      <c r="C21115" s="52"/>
      <c r="D21115"/>
      <c r="E21115"/>
      <c r="N21115" s="56"/>
    </row>
    <row r="21116" spans="1:14" x14ac:dyDescent="0.3">
      <c r="A21116" s="42"/>
      <c r="C21116" s="52"/>
      <c r="D21116"/>
      <c r="E21116"/>
      <c r="N21116" s="56"/>
    </row>
    <row r="21117" spans="1:14" x14ac:dyDescent="0.3">
      <c r="A21117" s="42"/>
      <c r="C21117" s="52"/>
      <c r="D21117"/>
      <c r="E21117"/>
      <c r="N21117" s="56"/>
    </row>
    <row r="21118" spans="1:14" x14ac:dyDescent="0.3">
      <c r="A21118" s="42"/>
      <c r="C21118" s="52"/>
      <c r="D21118"/>
      <c r="E21118"/>
      <c r="M21118" s="45"/>
      <c r="N21118" s="56"/>
    </row>
    <row r="21119" spans="1:14" x14ac:dyDescent="0.3">
      <c r="A21119" s="42"/>
      <c r="C21119" s="52"/>
      <c r="D21119"/>
      <c r="E21119"/>
      <c r="N21119" s="56"/>
    </row>
    <row r="21120" spans="1:14" x14ac:dyDescent="0.3">
      <c r="A21120" s="42"/>
      <c r="C21120" s="52"/>
      <c r="D21120"/>
      <c r="E21120"/>
      <c r="N21120" s="56"/>
    </row>
    <row r="21121" spans="1:14" x14ac:dyDescent="0.3">
      <c r="A21121" s="42"/>
      <c r="C21121" s="52"/>
      <c r="D21121"/>
      <c r="E21121"/>
      <c r="N21121" s="56"/>
    </row>
    <row r="21122" spans="1:14" x14ac:dyDescent="0.3">
      <c r="A21122" s="42"/>
      <c r="C21122" s="52"/>
      <c r="D21122"/>
      <c r="E21122"/>
      <c r="N21122" s="56"/>
    </row>
    <row r="21123" spans="1:14" x14ac:dyDescent="0.3">
      <c r="A21123" s="42"/>
      <c r="C21123" s="52"/>
      <c r="D21123"/>
      <c r="E21123"/>
      <c r="N21123" s="56"/>
    </row>
    <row r="21124" spans="1:14" x14ac:dyDescent="0.3">
      <c r="A21124" s="42"/>
      <c r="C21124" s="52"/>
      <c r="D21124"/>
      <c r="E21124"/>
      <c r="N21124" s="56"/>
    </row>
    <row r="21125" spans="1:14" x14ac:dyDescent="0.3">
      <c r="A21125" s="42"/>
      <c r="C21125" s="52"/>
      <c r="D21125"/>
      <c r="E21125"/>
      <c r="N21125" s="56"/>
    </row>
    <row r="21126" spans="1:14" x14ac:dyDescent="0.3">
      <c r="A21126" s="42"/>
      <c r="C21126" s="52"/>
      <c r="D21126"/>
      <c r="E21126"/>
      <c r="N21126" s="56"/>
    </row>
    <row r="21127" spans="1:14" x14ac:dyDescent="0.3">
      <c r="A21127" s="42"/>
      <c r="C21127" s="52"/>
      <c r="D21127"/>
      <c r="E21127"/>
      <c r="N21127" s="56"/>
    </row>
    <row r="21128" spans="1:14" x14ac:dyDescent="0.3">
      <c r="A21128" s="42"/>
      <c r="C21128" s="52"/>
      <c r="D21128"/>
      <c r="E21128"/>
      <c r="N21128" s="56"/>
    </row>
    <row r="21129" spans="1:14" x14ac:dyDescent="0.3">
      <c r="A21129" s="42"/>
      <c r="C21129" s="52"/>
      <c r="D21129"/>
      <c r="E21129"/>
      <c r="N21129" s="56"/>
    </row>
    <row r="21130" spans="1:14" x14ac:dyDescent="0.3">
      <c r="A21130" s="42"/>
      <c r="C21130" s="52"/>
      <c r="D21130"/>
      <c r="E21130"/>
      <c r="N21130" s="56"/>
    </row>
    <row r="21131" spans="1:14" x14ac:dyDescent="0.3">
      <c r="A21131" s="42"/>
      <c r="C21131" s="52"/>
      <c r="D21131"/>
      <c r="E21131"/>
      <c r="N21131" s="56"/>
    </row>
    <row r="21132" spans="1:14" x14ac:dyDescent="0.3">
      <c r="A21132" s="42"/>
      <c r="C21132" s="52"/>
      <c r="D21132"/>
      <c r="E21132"/>
      <c r="N21132" s="56"/>
    </row>
    <row r="21133" spans="1:14" x14ac:dyDescent="0.3">
      <c r="A21133" s="42"/>
      <c r="C21133" s="52"/>
      <c r="D21133"/>
      <c r="E21133"/>
      <c r="N21133" s="56"/>
    </row>
    <row r="21134" spans="1:14" x14ac:dyDescent="0.3">
      <c r="A21134" s="42"/>
      <c r="C21134" s="52"/>
      <c r="D21134"/>
      <c r="E21134"/>
      <c r="N21134" s="56"/>
    </row>
    <row r="21135" spans="1:14" x14ac:dyDescent="0.3">
      <c r="A21135" s="42"/>
      <c r="C21135" s="52"/>
      <c r="D21135"/>
      <c r="E21135"/>
      <c r="N21135" s="56"/>
    </row>
    <row r="21136" spans="1:14" x14ac:dyDescent="0.3">
      <c r="A21136" s="42"/>
      <c r="C21136" s="52"/>
      <c r="D21136"/>
      <c r="E21136"/>
      <c r="N21136" s="56"/>
    </row>
    <row r="21137" spans="1:14" x14ac:dyDescent="0.3">
      <c r="A21137" s="42"/>
      <c r="C21137" s="52"/>
      <c r="D21137"/>
      <c r="E21137"/>
      <c r="N21137" s="56"/>
    </row>
    <row r="21138" spans="1:14" x14ac:dyDescent="0.3">
      <c r="A21138" s="42"/>
      <c r="C21138" s="52"/>
      <c r="D21138"/>
      <c r="E21138"/>
      <c r="N21138" s="56"/>
    </row>
    <row r="21139" spans="1:14" x14ac:dyDescent="0.3">
      <c r="A21139" s="42"/>
      <c r="C21139" s="52"/>
      <c r="D21139"/>
      <c r="E21139"/>
      <c r="N21139" s="56"/>
    </row>
    <row r="21140" spans="1:14" x14ac:dyDescent="0.3">
      <c r="A21140" s="42"/>
      <c r="C21140" s="52"/>
      <c r="D21140"/>
      <c r="E21140"/>
      <c r="N21140" s="56"/>
    </row>
    <row r="21141" spans="1:14" x14ac:dyDescent="0.3">
      <c r="A21141" s="42"/>
      <c r="C21141" s="52"/>
      <c r="D21141"/>
      <c r="E21141"/>
      <c r="N21141" s="56"/>
    </row>
    <row r="21142" spans="1:14" x14ac:dyDescent="0.3">
      <c r="A21142" s="42"/>
      <c r="C21142" s="52"/>
      <c r="D21142"/>
      <c r="E21142"/>
      <c r="N21142" s="56"/>
    </row>
    <row r="21143" spans="1:14" x14ac:dyDescent="0.3">
      <c r="A21143" s="42"/>
      <c r="C21143" s="52"/>
      <c r="D21143"/>
      <c r="E21143"/>
      <c r="N21143" s="56"/>
    </row>
    <row r="21144" spans="1:14" x14ac:dyDescent="0.3">
      <c r="A21144" s="42"/>
      <c r="C21144" s="52"/>
      <c r="D21144"/>
      <c r="E21144"/>
      <c r="N21144" s="56"/>
    </row>
    <row r="21145" spans="1:14" x14ac:dyDescent="0.3">
      <c r="A21145" s="42"/>
      <c r="C21145" s="52"/>
      <c r="D21145"/>
      <c r="E21145"/>
      <c r="N21145" s="56"/>
    </row>
    <row r="21146" spans="1:14" x14ac:dyDescent="0.3">
      <c r="A21146" s="42"/>
      <c r="C21146" s="52"/>
      <c r="D21146"/>
      <c r="E21146"/>
      <c r="N21146" s="56"/>
    </row>
    <row r="21147" spans="1:14" x14ac:dyDescent="0.3">
      <c r="A21147" s="42"/>
      <c r="C21147" s="52"/>
      <c r="D21147"/>
      <c r="E21147"/>
      <c r="N21147" s="56"/>
    </row>
    <row r="21148" spans="1:14" x14ac:dyDescent="0.3">
      <c r="A21148" s="42"/>
      <c r="C21148" s="52"/>
      <c r="D21148"/>
      <c r="E21148"/>
      <c r="N21148" s="56"/>
    </row>
    <row r="21149" spans="1:14" x14ac:dyDescent="0.3">
      <c r="A21149" s="42"/>
      <c r="C21149" s="52"/>
      <c r="D21149"/>
      <c r="E21149"/>
      <c r="N21149" s="56"/>
    </row>
    <row r="21150" spans="1:14" x14ac:dyDescent="0.3">
      <c r="A21150" s="42"/>
      <c r="C21150" s="52"/>
      <c r="D21150"/>
      <c r="E21150"/>
      <c r="M21150" s="45"/>
      <c r="N21150" s="56"/>
    </row>
    <row r="21151" spans="1:14" x14ac:dyDescent="0.3">
      <c r="A21151" s="42"/>
      <c r="C21151" s="52"/>
      <c r="D21151"/>
      <c r="E21151"/>
      <c r="N21151" s="56"/>
    </row>
    <row r="21152" spans="1:14" x14ac:dyDescent="0.3">
      <c r="A21152" s="42"/>
      <c r="C21152" s="52"/>
      <c r="D21152"/>
      <c r="E21152"/>
      <c r="N21152" s="56"/>
    </row>
    <row r="21153" spans="1:14" x14ac:dyDescent="0.3">
      <c r="A21153" s="42"/>
      <c r="C21153" s="52"/>
      <c r="D21153"/>
      <c r="E21153"/>
      <c r="N21153" s="56"/>
    </row>
    <row r="21154" spans="1:14" x14ac:dyDescent="0.3">
      <c r="A21154" s="42"/>
      <c r="C21154" s="52"/>
      <c r="D21154"/>
      <c r="E21154"/>
      <c r="N21154" s="56"/>
    </row>
    <row r="21155" spans="1:14" x14ac:dyDescent="0.3">
      <c r="A21155" s="42"/>
      <c r="C21155" s="52"/>
      <c r="D21155"/>
      <c r="E21155"/>
      <c r="N21155" s="56"/>
    </row>
    <row r="21156" spans="1:14" x14ac:dyDescent="0.3">
      <c r="A21156" s="42"/>
      <c r="C21156" s="52"/>
      <c r="D21156"/>
      <c r="E21156"/>
      <c r="N21156" s="56"/>
    </row>
    <row r="21157" spans="1:14" x14ac:dyDescent="0.3">
      <c r="A21157" s="42"/>
      <c r="C21157" s="52"/>
      <c r="D21157"/>
      <c r="E21157"/>
      <c r="N21157" s="56"/>
    </row>
    <row r="21158" spans="1:14" x14ac:dyDescent="0.3">
      <c r="A21158" s="42"/>
      <c r="C21158" s="52"/>
      <c r="D21158"/>
      <c r="E21158"/>
      <c r="N21158" s="56"/>
    </row>
    <row r="21159" spans="1:14" x14ac:dyDescent="0.3">
      <c r="A21159" s="42"/>
      <c r="C21159" s="52"/>
      <c r="D21159"/>
      <c r="E21159"/>
      <c r="N21159" s="56"/>
    </row>
    <row r="21160" spans="1:14" x14ac:dyDescent="0.3">
      <c r="A21160" s="42"/>
      <c r="C21160" s="52"/>
      <c r="D21160"/>
      <c r="E21160"/>
      <c r="N21160" s="56"/>
    </row>
    <row r="21161" spans="1:14" x14ac:dyDescent="0.3">
      <c r="A21161" s="42"/>
      <c r="C21161" s="52"/>
      <c r="D21161"/>
      <c r="E21161"/>
      <c r="N21161" s="56"/>
    </row>
    <row r="21162" spans="1:14" x14ac:dyDescent="0.3">
      <c r="A21162" s="42"/>
      <c r="C21162" s="52"/>
      <c r="D21162"/>
      <c r="E21162"/>
      <c r="N21162" s="56"/>
    </row>
    <row r="21163" spans="1:14" x14ac:dyDescent="0.3">
      <c r="A21163" s="42"/>
      <c r="C21163" s="52"/>
      <c r="D21163"/>
      <c r="E21163"/>
      <c r="N21163" s="56"/>
    </row>
    <row r="21164" spans="1:14" x14ac:dyDescent="0.3">
      <c r="A21164" s="42"/>
      <c r="C21164" s="52"/>
      <c r="D21164"/>
      <c r="E21164"/>
      <c r="N21164" s="56"/>
    </row>
    <row r="21165" spans="1:14" x14ac:dyDescent="0.3">
      <c r="A21165" s="42"/>
      <c r="C21165" s="52"/>
      <c r="D21165"/>
      <c r="E21165"/>
      <c r="N21165" s="56"/>
    </row>
    <row r="21166" spans="1:14" x14ac:dyDescent="0.3">
      <c r="A21166" s="42"/>
      <c r="C21166" s="52"/>
      <c r="D21166"/>
      <c r="E21166"/>
      <c r="N21166" s="56"/>
    </row>
    <row r="21167" spans="1:14" x14ac:dyDescent="0.3">
      <c r="A21167" s="42"/>
      <c r="C21167" s="52"/>
      <c r="D21167"/>
      <c r="E21167"/>
      <c r="N21167" s="56"/>
    </row>
    <row r="21168" spans="1:14" x14ac:dyDescent="0.3">
      <c r="A21168" s="42"/>
      <c r="C21168" s="52"/>
      <c r="D21168"/>
      <c r="E21168"/>
      <c r="N21168" s="56"/>
    </row>
    <row r="21169" spans="1:14" x14ac:dyDescent="0.3">
      <c r="A21169" s="42"/>
      <c r="C21169" s="52"/>
      <c r="D21169"/>
      <c r="E21169"/>
      <c r="N21169" s="56"/>
    </row>
    <row r="21170" spans="1:14" x14ac:dyDescent="0.3">
      <c r="A21170" s="42"/>
      <c r="C21170" s="52"/>
      <c r="D21170"/>
      <c r="E21170"/>
      <c r="N21170" s="56"/>
    </row>
    <row r="21171" spans="1:14" x14ac:dyDescent="0.3">
      <c r="A21171" s="42"/>
      <c r="C21171" s="52"/>
      <c r="D21171"/>
      <c r="E21171"/>
      <c r="N21171" s="56"/>
    </row>
    <row r="21172" spans="1:14" x14ac:dyDescent="0.3">
      <c r="A21172" s="42"/>
      <c r="C21172" s="52"/>
      <c r="D21172"/>
      <c r="E21172"/>
      <c r="N21172" s="56"/>
    </row>
    <row r="21173" spans="1:14" x14ac:dyDescent="0.3">
      <c r="A21173" s="42"/>
      <c r="C21173" s="52"/>
      <c r="D21173"/>
      <c r="E21173"/>
      <c r="N21173" s="56"/>
    </row>
    <row r="21174" spans="1:14" x14ac:dyDescent="0.3">
      <c r="A21174" s="42"/>
      <c r="C21174" s="52"/>
      <c r="D21174"/>
      <c r="E21174"/>
      <c r="N21174" s="56"/>
    </row>
    <row r="21175" spans="1:14" x14ac:dyDescent="0.3">
      <c r="A21175" s="42"/>
      <c r="C21175" s="52"/>
      <c r="D21175"/>
      <c r="E21175"/>
      <c r="N21175" s="56"/>
    </row>
    <row r="21176" spans="1:14" x14ac:dyDescent="0.3">
      <c r="A21176" s="42"/>
      <c r="C21176" s="52"/>
      <c r="D21176"/>
      <c r="E21176"/>
      <c r="N21176" s="56"/>
    </row>
    <row r="21177" spans="1:14" x14ac:dyDescent="0.3">
      <c r="A21177" s="42"/>
      <c r="C21177" s="52"/>
      <c r="D21177"/>
      <c r="E21177"/>
      <c r="N21177" s="56"/>
    </row>
    <row r="21178" spans="1:14" x14ac:dyDescent="0.3">
      <c r="A21178" s="42"/>
      <c r="C21178" s="52"/>
      <c r="D21178"/>
      <c r="E21178"/>
      <c r="N21178" s="56"/>
    </row>
    <row r="21179" spans="1:14" x14ac:dyDescent="0.3">
      <c r="A21179" s="42"/>
      <c r="C21179" s="52"/>
      <c r="D21179"/>
      <c r="E21179"/>
      <c r="N21179" s="56"/>
    </row>
    <row r="21180" spans="1:14" x14ac:dyDescent="0.3">
      <c r="A21180" s="42"/>
      <c r="C21180" s="52"/>
      <c r="D21180"/>
      <c r="E21180"/>
      <c r="N21180" s="56"/>
    </row>
    <row r="21181" spans="1:14" x14ac:dyDescent="0.3">
      <c r="A21181" s="42"/>
      <c r="C21181" s="52"/>
      <c r="D21181"/>
      <c r="E21181"/>
      <c r="N21181" s="56"/>
    </row>
    <row r="21182" spans="1:14" x14ac:dyDescent="0.3">
      <c r="A21182" s="42"/>
      <c r="C21182" s="52"/>
      <c r="D21182"/>
      <c r="E21182"/>
      <c r="N21182" s="56"/>
    </row>
    <row r="21183" spans="1:14" x14ac:dyDescent="0.3">
      <c r="A21183" s="42"/>
      <c r="C21183" s="52"/>
      <c r="D21183"/>
      <c r="E21183"/>
      <c r="N21183" s="56"/>
    </row>
    <row r="21184" spans="1:14" x14ac:dyDescent="0.3">
      <c r="A21184" s="42"/>
      <c r="C21184" s="52"/>
      <c r="D21184"/>
      <c r="E21184"/>
      <c r="N21184" s="56"/>
    </row>
    <row r="21185" spans="1:14" x14ac:dyDescent="0.3">
      <c r="A21185" s="42"/>
      <c r="C21185" s="52"/>
      <c r="D21185"/>
      <c r="E21185"/>
      <c r="N21185" s="56"/>
    </row>
    <row r="21186" spans="1:14" x14ac:dyDescent="0.3">
      <c r="A21186" s="42"/>
      <c r="C21186" s="52"/>
      <c r="D21186"/>
      <c r="E21186"/>
      <c r="N21186" s="56"/>
    </row>
    <row r="21187" spans="1:14" x14ac:dyDescent="0.3">
      <c r="A21187" s="42"/>
      <c r="C21187" s="52"/>
      <c r="D21187"/>
      <c r="E21187"/>
      <c r="N21187" s="56"/>
    </row>
    <row r="21188" spans="1:14" x14ac:dyDescent="0.3">
      <c r="A21188" s="42"/>
      <c r="C21188" s="52"/>
      <c r="D21188"/>
      <c r="E21188"/>
      <c r="N21188" s="56"/>
    </row>
    <row r="21189" spans="1:14" x14ac:dyDescent="0.3">
      <c r="A21189" s="42"/>
      <c r="C21189" s="52"/>
      <c r="D21189"/>
      <c r="E21189"/>
      <c r="N21189" s="56"/>
    </row>
    <row r="21190" spans="1:14" x14ac:dyDescent="0.3">
      <c r="A21190" s="42"/>
      <c r="C21190" s="52"/>
      <c r="D21190"/>
      <c r="E21190"/>
      <c r="N21190" s="56"/>
    </row>
    <row r="21191" spans="1:14" x14ac:dyDescent="0.3">
      <c r="A21191" s="42"/>
      <c r="C21191" s="52"/>
      <c r="D21191"/>
      <c r="E21191"/>
      <c r="N21191" s="56"/>
    </row>
    <row r="21192" spans="1:14" x14ac:dyDescent="0.3">
      <c r="A21192" s="42"/>
      <c r="C21192" s="52"/>
      <c r="D21192"/>
      <c r="E21192"/>
      <c r="N21192" s="56"/>
    </row>
    <row r="21193" spans="1:14" x14ac:dyDescent="0.3">
      <c r="A21193" s="42"/>
      <c r="C21193" s="52"/>
      <c r="D21193"/>
      <c r="E21193"/>
      <c r="N21193" s="56"/>
    </row>
    <row r="21194" spans="1:14" x14ac:dyDescent="0.3">
      <c r="A21194" s="42"/>
      <c r="C21194" s="52"/>
      <c r="D21194"/>
      <c r="E21194"/>
      <c r="N21194" s="56"/>
    </row>
    <row r="21195" spans="1:14" x14ac:dyDescent="0.3">
      <c r="A21195" s="42"/>
      <c r="C21195" s="52"/>
      <c r="D21195"/>
      <c r="E21195"/>
      <c r="N21195" s="56"/>
    </row>
    <row r="21196" spans="1:14" x14ac:dyDescent="0.3">
      <c r="A21196" s="42"/>
      <c r="C21196" s="52"/>
      <c r="D21196"/>
      <c r="E21196"/>
      <c r="N21196" s="56"/>
    </row>
    <row r="21197" spans="1:14" x14ac:dyDescent="0.3">
      <c r="A21197" s="42"/>
      <c r="C21197" s="52"/>
      <c r="D21197"/>
      <c r="E21197"/>
      <c r="N21197" s="56"/>
    </row>
    <row r="21198" spans="1:14" x14ac:dyDescent="0.3">
      <c r="A21198" s="42"/>
      <c r="C21198" s="52"/>
      <c r="D21198"/>
      <c r="E21198"/>
      <c r="N21198" s="56"/>
    </row>
    <row r="21199" spans="1:14" x14ac:dyDescent="0.3">
      <c r="A21199" s="42"/>
      <c r="C21199" s="52"/>
      <c r="D21199"/>
      <c r="E21199"/>
      <c r="N21199" s="56"/>
    </row>
    <row r="21200" spans="1:14" x14ac:dyDescent="0.3">
      <c r="A21200" s="42"/>
      <c r="C21200" s="52"/>
      <c r="D21200"/>
      <c r="E21200"/>
      <c r="N21200" s="56"/>
    </row>
    <row r="21201" spans="1:14" x14ac:dyDescent="0.3">
      <c r="A21201" s="42"/>
      <c r="C21201" s="52"/>
      <c r="D21201"/>
      <c r="E21201"/>
      <c r="N21201" s="56"/>
    </row>
    <row r="21202" spans="1:14" x14ac:dyDescent="0.3">
      <c r="A21202" s="42"/>
      <c r="C21202" s="52"/>
      <c r="D21202"/>
      <c r="E21202"/>
      <c r="N21202" s="56"/>
    </row>
    <row r="21203" spans="1:14" x14ac:dyDescent="0.3">
      <c r="A21203" s="42"/>
      <c r="C21203" s="52"/>
      <c r="D21203"/>
      <c r="E21203"/>
      <c r="N21203" s="56"/>
    </row>
    <row r="21204" spans="1:14" x14ac:dyDescent="0.3">
      <c r="A21204" s="42"/>
      <c r="C21204" s="52"/>
      <c r="D21204"/>
      <c r="E21204"/>
      <c r="N21204" s="56"/>
    </row>
    <row r="21205" spans="1:14" x14ac:dyDescent="0.3">
      <c r="A21205" s="42"/>
      <c r="C21205" s="52"/>
      <c r="D21205"/>
      <c r="E21205"/>
      <c r="N21205" s="56"/>
    </row>
    <row r="21206" spans="1:14" x14ac:dyDescent="0.3">
      <c r="A21206" s="42"/>
      <c r="C21206" s="52"/>
      <c r="D21206"/>
      <c r="E21206"/>
      <c r="N21206" s="56"/>
    </row>
    <row r="21207" spans="1:14" x14ac:dyDescent="0.3">
      <c r="A21207" s="42"/>
      <c r="C21207" s="52"/>
      <c r="D21207"/>
      <c r="E21207"/>
      <c r="N21207" s="56"/>
    </row>
    <row r="21208" spans="1:14" x14ac:dyDescent="0.3">
      <c r="A21208" s="42"/>
      <c r="C21208" s="52"/>
      <c r="D21208"/>
      <c r="E21208"/>
      <c r="N21208" s="56"/>
    </row>
    <row r="21209" spans="1:14" x14ac:dyDescent="0.3">
      <c r="A21209" s="42"/>
      <c r="C21209" s="52"/>
      <c r="D21209"/>
      <c r="E21209"/>
      <c r="N21209" s="56"/>
    </row>
    <row r="21210" spans="1:14" x14ac:dyDescent="0.3">
      <c r="A21210" s="42"/>
      <c r="C21210" s="52"/>
      <c r="D21210"/>
      <c r="E21210"/>
      <c r="N21210" s="56"/>
    </row>
    <row r="21211" spans="1:14" x14ac:dyDescent="0.3">
      <c r="A21211" s="42"/>
      <c r="C21211" s="52"/>
      <c r="D21211"/>
      <c r="E21211"/>
      <c r="N21211" s="56"/>
    </row>
    <row r="21212" spans="1:14" x14ac:dyDescent="0.3">
      <c r="A21212" s="42"/>
      <c r="C21212" s="52"/>
      <c r="D21212"/>
      <c r="E21212"/>
      <c r="N21212" s="56"/>
    </row>
    <row r="21213" spans="1:14" x14ac:dyDescent="0.3">
      <c r="A21213" s="42"/>
      <c r="C21213" s="52"/>
      <c r="D21213"/>
      <c r="E21213"/>
      <c r="N21213" s="56"/>
    </row>
    <row r="21214" spans="1:14" x14ac:dyDescent="0.3">
      <c r="A21214" s="42"/>
      <c r="C21214" s="52"/>
      <c r="D21214"/>
      <c r="E21214"/>
      <c r="N21214" s="56"/>
    </row>
    <row r="21215" spans="1:14" x14ac:dyDescent="0.3">
      <c r="A21215" s="42"/>
      <c r="C21215" s="52"/>
      <c r="D21215"/>
      <c r="E21215"/>
      <c r="N21215" s="56"/>
    </row>
    <row r="21216" spans="1:14" x14ac:dyDescent="0.3">
      <c r="A21216" s="42"/>
      <c r="C21216" s="52"/>
      <c r="D21216"/>
      <c r="E21216"/>
      <c r="N21216" s="56"/>
    </row>
    <row r="21217" spans="1:14" x14ac:dyDescent="0.3">
      <c r="A21217" s="42"/>
      <c r="C21217" s="52"/>
      <c r="D21217"/>
      <c r="E21217"/>
      <c r="N21217" s="56"/>
    </row>
    <row r="21218" spans="1:14" x14ac:dyDescent="0.3">
      <c r="A21218" s="42"/>
      <c r="C21218" s="52"/>
      <c r="D21218"/>
      <c r="E21218"/>
      <c r="N21218" s="56"/>
    </row>
    <row r="21219" spans="1:14" x14ac:dyDescent="0.3">
      <c r="A21219" s="42"/>
      <c r="C21219" s="52"/>
      <c r="D21219"/>
      <c r="E21219"/>
      <c r="N21219" s="56"/>
    </row>
    <row r="21220" spans="1:14" x14ac:dyDescent="0.3">
      <c r="A21220" s="42"/>
      <c r="C21220" s="52"/>
      <c r="D21220"/>
      <c r="E21220"/>
      <c r="N21220" s="56"/>
    </row>
    <row r="21221" spans="1:14" x14ac:dyDescent="0.3">
      <c r="A21221" s="42"/>
      <c r="C21221" s="52"/>
      <c r="D21221"/>
      <c r="E21221"/>
      <c r="N21221" s="56"/>
    </row>
    <row r="21222" spans="1:14" x14ac:dyDescent="0.3">
      <c r="A21222" s="42"/>
      <c r="C21222" s="52"/>
      <c r="D21222"/>
      <c r="E21222"/>
      <c r="N21222" s="56"/>
    </row>
    <row r="21223" spans="1:14" x14ac:dyDescent="0.3">
      <c r="A21223" s="42"/>
      <c r="C21223" s="52"/>
      <c r="D21223"/>
      <c r="E21223"/>
      <c r="N21223" s="56"/>
    </row>
    <row r="21224" spans="1:14" x14ac:dyDescent="0.3">
      <c r="A21224" s="42"/>
      <c r="C21224" s="52"/>
      <c r="D21224"/>
      <c r="E21224"/>
      <c r="N21224" s="56"/>
    </row>
    <row r="21225" spans="1:14" x14ac:dyDescent="0.3">
      <c r="A21225" s="42"/>
      <c r="C21225" s="52"/>
      <c r="D21225"/>
      <c r="E21225"/>
      <c r="N21225" s="56"/>
    </row>
    <row r="21226" spans="1:14" x14ac:dyDescent="0.3">
      <c r="A21226" s="42"/>
      <c r="C21226" s="52"/>
      <c r="D21226"/>
      <c r="E21226"/>
      <c r="N21226" s="56"/>
    </row>
    <row r="21227" spans="1:14" x14ac:dyDescent="0.3">
      <c r="A21227" s="42"/>
      <c r="C21227" s="52"/>
      <c r="D21227"/>
      <c r="E21227"/>
      <c r="N21227" s="56"/>
    </row>
    <row r="21228" spans="1:14" x14ac:dyDescent="0.3">
      <c r="A21228" s="42"/>
      <c r="C21228" s="52"/>
      <c r="D21228"/>
      <c r="E21228"/>
      <c r="N21228" s="56"/>
    </row>
    <row r="21229" spans="1:14" x14ac:dyDescent="0.3">
      <c r="A21229" s="42"/>
      <c r="C21229" s="52"/>
      <c r="D21229"/>
      <c r="E21229"/>
      <c r="M21229" s="45"/>
      <c r="N21229" s="56"/>
    </row>
    <row r="21230" spans="1:14" x14ac:dyDescent="0.3">
      <c r="A21230" s="42"/>
      <c r="C21230" s="52"/>
      <c r="D21230"/>
      <c r="E21230"/>
      <c r="N21230" s="56"/>
    </row>
    <row r="21231" spans="1:14" x14ac:dyDescent="0.3">
      <c r="A21231" s="42"/>
      <c r="C21231" s="52"/>
      <c r="D21231"/>
      <c r="E21231"/>
      <c r="N21231" s="56"/>
    </row>
    <row r="21232" spans="1:14" x14ac:dyDescent="0.3">
      <c r="A21232" s="42"/>
      <c r="C21232" s="52"/>
      <c r="D21232"/>
      <c r="E21232"/>
      <c r="N21232" s="56"/>
    </row>
    <row r="21233" spans="1:14" x14ac:dyDescent="0.3">
      <c r="A21233" s="42"/>
      <c r="C21233" s="52"/>
      <c r="D21233"/>
      <c r="E21233"/>
      <c r="N21233" s="56"/>
    </row>
    <row r="21234" spans="1:14" x14ac:dyDescent="0.3">
      <c r="A21234" s="42"/>
      <c r="C21234" s="52"/>
      <c r="D21234"/>
      <c r="E21234"/>
      <c r="N21234" s="56"/>
    </row>
    <row r="21235" spans="1:14" x14ac:dyDescent="0.3">
      <c r="A21235" s="42"/>
      <c r="C21235" s="52"/>
      <c r="D21235"/>
      <c r="E21235"/>
      <c r="N21235" s="56"/>
    </row>
    <row r="21236" spans="1:14" x14ac:dyDescent="0.3">
      <c r="A21236" s="42"/>
      <c r="C21236" s="52"/>
      <c r="D21236"/>
      <c r="E21236"/>
      <c r="N21236" s="56"/>
    </row>
    <row r="21237" spans="1:14" x14ac:dyDescent="0.3">
      <c r="A21237" s="42"/>
      <c r="C21237" s="52"/>
      <c r="D21237"/>
      <c r="E21237"/>
      <c r="N21237" s="56"/>
    </row>
    <row r="21238" spans="1:14" x14ac:dyDescent="0.3">
      <c r="A21238" s="42"/>
      <c r="C21238" s="52"/>
      <c r="D21238"/>
      <c r="E21238"/>
      <c r="N21238" s="56"/>
    </row>
    <row r="21239" spans="1:14" x14ac:dyDescent="0.3">
      <c r="A21239" s="42"/>
      <c r="C21239" s="52"/>
      <c r="D21239"/>
      <c r="E21239"/>
      <c r="N21239" s="56"/>
    </row>
    <row r="21240" spans="1:14" x14ac:dyDescent="0.3">
      <c r="A21240" s="42"/>
      <c r="C21240" s="52"/>
      <c r="D21240"/>
      <c r="E21240"/>
      <c r="N21240" s="56"/>
    </row>
    <row r="21241" spans="1:14" x14ac:dyDescent="0.3">
      <c r="A21241" s="42"/>
      <c r="C21241" s="52"/>
      <c r="D21241"/>
      <c r="E21241"/>
      <c r="N21241" s="56"/>
    </row>
    <row r="21242" spans="1:14" x14ac:dyDescent="0.3">
      <c r="A21242" s="42"/>
      <c r="C21242" s="52"/>
      <c r="D21242"/>
      <c r="E21242"/>
      <c r="N21242" s="56"/>
    </row>
    <row r="21243" spans="1:14" x14ac:dyDescent="0.3">
      <c r="A21243" s="42"/>
      <c r="C21243" s="52"/>
      <c r="D21243"/>
      <c r="E21243"/>
      <c r="N21243" s="56"/>
    </row>
    <row r="21244" spans="1:14" x14ac:dyDescent="0.3">
      <c r="A21244" s="42"/>
      <c r="C21244" s="52"/>
      <c r="D21244"/>
      <c r="E21244"/>
      <c r="N21244" s="56"/>
    </row>
    <row r="21245" spans="1:14" x14ac:dyDescent="0.3">
      <c r="A21245" s="42"/>
      <c r="C21245" s="52"/>
      <c r="D21245"/>
      <c r="E21245"/>
      <c r="N21245" s="56"/>
    </row>
    <row r="21246" spans="1:14" x14ac:dyDescent="0.3">
      <c r="A21246" s="42"/>
      <c r="C21246" s="52"/>
      <c r="D21246"/>
      <c r="E21246"/>
      <c r="N21246" s="56"/>
    </row>
    <row r="21247" spans="1:14" x14ac:dyDescent="0.3">
      <c r="A21247" s="42"/>
      <c r="C21247" s="52"/>
      <c r="D21247"/>
      <c r="E21247"/>
      <c r="N21247" s="56"/>
    </row>
    <row r="21248" spans="1:14" x14ac:dyDescent="0.3">
      <c r="A21248" s="42"/>
      <c r="C21248" s="52"/>
      <c r="D21248"/>
      <c r="E21248"/>
      <c r="N21248" s="56"/>
    </row>
    <row r="21249" spans="1:14" x14ac:dyDescent="0.3">
      <c r="A21249" s="42"/>
      <c r="C21249" s="52"/>
      <c r="D21249"/>
      <c r="E21249"/>
      <c r="N21249" s="56"/>
    </row>
    <row r="21250" spans="1:14" x14ac:dyDescent="0.3">
      <c r="A21250" s="42"/>
      <c r="C21250" s="52"/>
      <c r="D21250"/>
      <c r="E21250"/>
      <c r="N21250" s="56"/>
    </row>
    <row r="21251" spans="1:14" x14ac:dyDescent="0.3">
      <c r="A21251" s="42"/>
      <c r="C21251" s="52"/>
      <c r="D21251"/>
      <c r="E21251"/>
      <c r="N21251" s="56"/>
    </row>
    <row r="21252" spans="1:14" x14ac:dyDescent="0.3">
      <c r="A21252" s="42"/>
      <c r="C21252" s="52"/>
      <c r="D21252"/>
      <c r="E21252"/>
      <c r="N21252" s="56"/>
    </row>
    <row r="21253" spans="1:14" x14ac:dyDescent="0.3">
      <c r="A21253" s="42"/>
      <c r="C21253" s="52"/>
      <c r="D21253"/>
      <c r="E21253"/>
      <c r="N21253" s="56"/>
    </row>
    <row r="21254" spans="1:14" x14ac:dyDescent="0.3">
      <c r="A21254" s="42"/>
      <c r="C21254" s="52"/>
      <c r="D21254"/>
      <c r="E21254"/>
      <c r="N21254" s="56"/>
    </row>
    <row r="21255" spans="1:14" x14ac:dyDescent="0.3">
      <c r="A21255" s="42"/>
      <c r="C21255" s="52"/>
      <c r="D21255"/>
      <c r="E21255"/>
      <c r="N21255" s="56"/>
    </row>
    <row r="21256" spans="1:14" x14ac:dyDescent="0.3">
      <c r="A21256" s="42"/>
      <c r="C21256" s="52"/>
      <c r="D21256"/>
      <c r="E21256"/>
      <c r="N21256" s="56"/>
    </row>
    <row r="21257" spans="1:14" x14ac:dyDescent="0.3">
      <c r="A21257" s="42"/>
      <c r="C21257" s="52"/>
      <c r="D21257"/>
      <c r="E21257"/>
      <c r="N21257" s="56"/>
    </row>
    <row r="21258" spans="1:14" x14ac:dyDescent="0.3">
      <c r="A21258" s="42"/>
      <c r="C21258" s="52"/>
      <c r="D21258"/>
      <c r="E21258"/>
      <c r="N21258" s="56"/>
    </row>
    <row r="21259" spans="1:14" x14ac:dyDescent="0.3">
      <c r="A21259" s="42"/>
      <c r="C21259" s="52"/>
      <c r="D21259"/>
      <c r="E21259"/>
      <c r="N21259" s="56"/>
    </row>
    <row r="21260" spans="1:14" x14ac:dyDescent="0.3">
      <c r="A21260" s="42"/>
      <c r="C21260" s="52"/>
      <c r="D21260"/>
      <c r="E21260"/>
      <c r="N21260" s="56"/>
    </row>
    <row r="21261" spans="1:14" x14ac:dyDescent="0.3">
      <c r="A21261" s="42"/>
      <c r="C21261" s="52"/>
      <c r="D21261"/>
      <c r="E21261"/>
      <c r="N21261" s="56"/>
    </row>
    <row r="21262" spans="1:14" x14ac:dyDescent="0.3">
      <c r="A21262" s="42"/>
      <c r="C21262" s="52"/>
      <c r="D21262"/>
      <c r="E21262"/>
      <c r="N21262" s="56"/>
    </row>
    <row r="21263" spans="1:14" x14ac:dyDescent="0.3">
      <c r="A21263" s="42"/>
      <c r="C21263" s="52"/>
      <c r="D21263"/>
      <c r="E21263"/>
      <c r="M21263" s="45"/>
      <c r="N21263" s="56"/>
    </row>
    <row r="21264" spans="1:14" x14ac:dyDescent="0.3">
      <c r="A21264" s="42"/>
      <c r="C21264" s="52"/>
      <c r="D21264"/>
      <c r="E21264"/>
      <c r="N21264" s="56"/>
    </row>
    <row r="21265" spans="1:14" x14ac:dyDescent="0.3">
      <c r="A21265" s="42"/>
      <c r="C21265" s="52"/>
      <c r="D21265"/>
      <c r="E21265"/>
      <c r="N21265" s="56"/>
    </row>
    <row r="21266" spans="1:14" x14ac:dyDescent="0.3">
      <c r="A21266" s="42"/>
      <c r="C21266" s="52"/>
      <c r="D21266"/>
      <c r="E21266"/>
      <c r="N21266" s="56"/>
    </row>
    <row r="21267" spans="1:14" x14ac:dyDescent="0.3">
      <c r="A21267" s="42"/>
      <c r="C21267" s="52"/>
      <c r="D21267"/>
      <c r="E21267"/>
      <c r="N21267" s="56"/>
    </row>
    <row r="21268" spans="1:14" x14ac:dyDescent="0.3">
      <c r="A21268" s="42"/>
      <c r="C21268" s="52"/>
      <c r="D21268"/>
      <c r="E21268"/>
      <c r="N21268" s="56"/>
    </row>
    <row r="21269" spans="1:14" x14ac:dyDescent="0.3">
      <c r="A21269" s="42"/>
      <c r="C21269" s="52"/>
      <c r="D21269"/>
      <c r="E21269"/>
      <c r="N21269" s="56"/>
    </row>
    <row r="21270" spans="1:14" x14ac:dyDescent="0.3">
      <c r="A21270" s="42"/>
      <c r="C21270" s="52"/>
      <c r="D21270"/>
      <c r="E21270"/>
      <c r="N21270" s="56"/>
    </row>
    <row r="21271" spans="1:14" x14ac:dyDescent="0.3">
      <c r="A21271" s="42"/>
      <c r="C21271" s="52"/>
      <c r="D21271"/>
      <c r="E21271"/>
      <c r="N21271" s="56"/>
    </row>
    <row r="21272" spans="1:14" x14ac:dyDescent="0.3">
      <c r="A21272" s="42"/>
      <c r="C21272" s="52"/>
      <c r="D21272"/>
      <c r="E21272"/>
      <c r="N21272" s="56"/>
    </row>
    <row r="21273" spans="1:14" x14ac:dyDescent="0.3">
      <c r="A21273" s="42"/>
      <c r="C21273" s="52"/>
      <c r="D21273"/>
      <c r="E21273"/>
      <c r="N21273" s="56"/>
    </row>
    <row r="21274" spans="1:14" x14ac:dyDescent="0.3">
      <c r="A21274" s="42"/>
      <c r="C21274" s="52"/>
      <c r="D21274"/>
      <c r="E21274"/>
      <c r="N21274" s="56"/>
    </row>
    <row r="21275" spans="1:14" x14ac:dyDescent="0.3">
      <c r="A21275" s="42"/>
      <c r="C21275" s="52"/>
      <c r="D21275"/>
      <c r="E21275"/>
      <c r="N21275" s="56"/>
    </row>
    <row r="21276" spans="1:14" x14ac:dyDescent="0.3">
      <c r="A21276" s="42"/>
      <c r="C21276" s="52"/>
      <c r="D21276"/>
      <c r="E21276"/>
      <c r="N21276" s="56"/>
    </row>
    <row r="21277" spans="1:14" x14ac:dyDescent="0.3">
      <c r="A21277" s="42"/>
      <c r="C21277" s="52"/>
      <c r="D21277"/>
      <c r="E21277"/>
      <c r="N21277" s="56"/>
    </row>
    <row r="21278" spans="1:14" x14ac:dyDescent="0.3">
      <c r="A21278" s="42"/>
      <c r="C21278" s="52"/>
      <c r="D21278"/>
      <c r="E21278"/>
      <c r="N21278" s="56"/>
    </row>
    <row r="21279" spans="1:14" x14ac:dyDescent="0.3">
      <c r="A21279" s="42"/>
      <c r="C21279" s="52"/>
      <c r="D21279"/>
      <c r="E21279"/>
      <c r="N21279" s="56"/>
    </row>
    <row r="21280" spans="1:14" x14ac:dyDescent="0.3">
      <c r="A21280" s="42"/>
      <c r="C21280" s="52"/>
      <c r="D21280"/>
      <c r="E21280"/>
      <c r="N21280" s="56"/>
    </row>
    <row r="21281" spans="1:14" x14ac:dyDescent="0.3">
      <c r="A21281" s="42"/>
      <c r="C21281" s="52"/>
      <c r="D21281"/>
      <c r="E21281"/>
      <c r="N21281" s="56"/>
    </row>
    <row r="21282" spans="1:14" x14ac:dyDescent="0.3">
      <c r="A21282" s="42"/>
      <c r="C21282" s="52"/>
      <c r="D21282"/>
      <c r="E21282"/>
      <c r="N21282" s="56"/>
    </row>
    <row r="21283" spans="1:14" x14ac:dyDescent="0.3">
      <c r="A21283" s="42"/>
      <c r="C21283" s="52"/>
      <c r="D21283"/>
      <c r="E21283"/>
      <c r="N21283" s="56"/>
    </row>
    <row r="21284" spans="1:14" x14ac:dyDescent="0.3">
      <c r="A21284" s="42"/>
      <c r="C21284" s="52"/>
      <c r="D21284"/>
      <c r="E21284"/>
      <c r="N21284" s="56"/>
    </row>
    <row r="21285" spans="1:14" x14ac:dyDescent="0.3">
      <c r="A21285" s="42"/>
      <c r="C21285" s="52"/>
      <c r="D21285"/>
      <c r="E21285"/>
      <c r="N21285" s="56"/>
    </row>
    <row r="21286" spans="1:14" x14ac:dyDescent="0.3">
      <c r="A21286" s="42"/>
      <c r="C21286" s="52"/>
      <c r="D21286"/>
      <c r="E21286"/>
      <c r="N21286" s="56"/>
    </row>
    <row r="21287" spans="1:14" x14ac:dyDescent="0.3">
      <c r="A21287" s="42"/>
      <c r="C21287" s="52"/>
      <c r="D21287"/>
      <c r="E21287"/>
      <c r="N21287" s="56"/>
    </row>
    <row r="21288" spans="1:14" x14ac:dyDescent="0.3">
      <c r="A21288" s="42"/>
      <c r="C21288" s="52"/>
      <c r="D21288"/>
      <c r="E21288"/>
      <c r="N21288" s="56"/>
    </row>
    <row r="21289" spans="1:14" x14ac:dyDescent="0.3">
      <c r="A21289" s="42"/>
      <c r="C21289" s="52"/>
      <c r="D21289"/>
      <c r="E21289"/>
      <c r="N21289" s="56"/>
    </row>
    <row r="21290" spans="1:14" x14ac:dyDescent="0.3">
      <c r="A21290" s="42"/>
      <c r="C21290" s="52"/>
      <c r="D21290"/>
      <c r="E21290"/>
      <c r="N21290" s="56"/>
    </row>
    <row r="21291" spans="1:14" x14ac:dyDescent="0.3">
      <c r="A21291" s="42"/>
      <c r="C21291" s="52"/>
      <c r="D21291"/>
      <c r="E21291"/>
      <c r="N21291" s="56"/>
    </row>
    <row r="21292" spans="1:14" x14ac:dyDescent="0.3">
      <c r="A21292" s="42"/>
      <c r="C21292" s="52"/>
      <c r="D21292"/>
      <c r="E21292"/>
      <c r="N21292" s="56"/>
    </row>
    <row r="21293" spans="1:14" x14ac:dyDescent="0.3">
      <c r="A21293" s="42"/>
      <c r="C21293" s="52"/>
      <c r="D21293"/>
      <c r="E21293"/>
      <c r="N21293" s="56"/>
    </row>
    <row r="21294" spans="1:14" x14ac:dyDescent="0.3">
      <c r="A21294" s="42"/>
      <c r="C21294" s="52"/>
      <c r="D21294"/>
      <c r="E21294"/>
      <c r="N21294" s="56"/>
    </row>
    <row r="21295" spans="1:14" x14ac:dyDescent="0.3">
      <c r="A21295" s="42"/>
      <c r="C21295" s="52"/>
      <c r="D21295"/>
      <c r="E21295"/>
      <c r="N21295" s="56"/>
    </row>
    <row r="21296" spans="1:14" x14ac:dyDescent="0.3">
      <c r="A21296" s="42"/>
      <c r="C21296" s="52"/>
      <c r="D21296"/>
      <c r="E21296"/>
      <c r="N21296" s="56"/>
    </row>
    <row r="21297" spans="1:14" x14ac:dyDescent="0.3">
      <c r="A21297" s="42"/>
      <c r="C21297" s="52"/>
      <c r="D21297"/>
      <c r="E21297"/>
      <c r="N21297" s="56"/>
    </row>
    <row r="21298" spans="1:14" x14ac:dyDescent="0.3">
      <c r="A21298" s="42"/>
      <c r="C21298" s="52"/>
      <c r="D21298"/>
      <c r="E21298"/>
      <c r="N21298" s="56"/>
    </row>
    <row r="21299" spans="1:14" x14ac:dyDescent="0.3">
      <c r="A21299" s="42"/>
      <c r="C21299" s="52"/>
      <c r="D21299"/>
      <c r="E21299"/>
      <c r="N21299" s="56"/>
    </row>
    <row r="21300" spans="1:14" x14ac:dyDescent="0.3">
      <c r="A21300" s="42"/>
      <c r="C21300" s="52"/>
      <c r="D21300"/>
      <c r="E21300"/>
      <c r="N21300" s="56"/>
    </row>
    <row r="21301" spans="1:14" x14ac:dyDescent="0.3">
      <c r="A21301" s="42"/>
      <c r="C21301" s="52"/>
      <c r="D21301"/>
      <c r="E21301"/>
      <c r="N21301" s="56"/>
    </row>
    <row r="21302" spans="1:14" x14ac:dyDescent="0.3">
      <c r="A21302" s="42"/>
      <c r="C21302" s="52"/>
      <c r="D21302"/>
      <c r="E21302"/>
      <c r="N21302" s="56"/>
    </row>
    <row r="21303" spans="1:14" x14ac:dyDescent="0.3">
      <c r="A21303" s="42"/>
      <c r="C21303" s="52"/>
      <c r="D21303"/>
      <c r="E21303"/>
      <c r="N21303" s="56"/>
    </row>
    <row r="21304" spans="1:14" x14ac:dyDescent="0.3">
      <c r="A21304" s="42"/>
      <c r="C21304" s="52"/>
      <c r="D21304"/>
      <c r="E21304"/>
      <c r="N21304" s="56"/>
    </row>
    <row r="21305" spans="1:14" x14ac:dyDescent="0.3">
      <c r="A21305" s="42"/>
      <c r="C21305" s="52"/>
      <c r="D21305"/>
      <c r="E21305"/>
      <c r="N21305" s="56"/>
    </row>
    <row r="21306" spans="1:14" x14ac:dyDescent="0.3">
      <c r="A21306" s="42"/>
      <c r="C21306" s="52"/>
      <c r="D21306"/>
      <c r="E21306"/>
      <c r="N21306" s="56"/>
    </row>
    <row r="21307" spans="1:14" x14ac:dyDescent="0.3">
      <c r="A21307" s="42"/>
      <c r="C21307" s="52"/>
      <c r="D21307"/>
      <c r="E21307"/>
      <c r="N21307" s="56"/>
    </row>
    <row r="21308" spans="1:14" x14ac:dyDescent="0.3">
      <c r="A21308" s="42"/>
      <c r="C21308" s="52"/>
      <c r="D21308"/>
      <c r="E21308"/>
      <c r="N21308" s="56"/>
    </row>
    <row r="21309" spans="1:14" x14ac:dyDescent="0.3">
      <c r="A21309" s="42"/>
      <c r="C21309" s="52"/>
      <c r="D21309"/>
      <c r="E21309"/>
      <c r="N21309" s="56"/>
    </row>
    <row r="21310" spans="1:14" x14ac:dyDescent="0.3">
      <c r="A21310" s="42"/>
      <c r="C21310" s="52"/>
      <c r="D21310"/>
      <c r="E21310"/>
      <c r="N21310" s="56"/>
    </row>
    <row r="21311" spans="1:14" x14ac:dyDescent="0.3">
      <c r="A21311" s="42"/>
      <c r="C21311" s="52"/>
      <c r="D21311"/>
      <c r="E21311"/>
      <c r="N21311" s="56"/>
    </row>
    <row r="21312" spans="1:14" x14ac:dyDescent="0.3">
      <c r="A21312" s="42"/>
      <c r="C21312" s="52"/>
      <c r="D21312"/>
      <c r="E21312"/>
      <c r="N21312" s="56"/>
    </row>
    <row r="21313" spans="1:14" x14ac:dyDescent="0.3">
      <c r="A21313" s="42"/>
      <c r="C21313" s="52"/>
      <c r="D21313"/>
      <c r="E21313"/>
      <c r="N21313" s="56"/>
    </row>
    <row r="21314" spans="1:14" x14ac:dyDescent="0.3">
      <c r="A21314" s="42"/>
      <c r="C21314" s="52"/>
      <c r="D21314"/>
      <c r="E21314"/>
      <c r="N21314" s="56"/>
    </row>
    <row r="21315" spans="1:14" x14ac:dyDescent="0.3">
      <c r="A21315" s="42"/>
      <c r="C21315" s="52"/>
      <c r="D21315"/>
      <c r="E21315"/>
      <c r="N21315" s="56"/>
    </row>
    <row r="21316" spans="1:14" x14ac:dyDescent="0.3">
      <c r="A21316" s="42"/>
      <c r="C21316" s="52"/>
      <c r="D21316"/>
      <c r="E21316"/>
      <c r="N21316" s="56"/>
    </row>
    <row r="21317" spans="1:14" x14ac:dyDescent="0.3">
      <c r="A21317" s="42"/>
      <c r="C21317" s="52"/>
      <c r="D21317"/>
      <c r="E21317"/>
      <c r="N21317" s="56"/>
    </row>
    <row r="21318" spans="1:14" x14ac:dyDescent="0.3">
      <c r="A21318" s="42"/>
      <c r="C21318" s="52"/>
      <c r="D21318"/>
      <c r="E21318"/>
      <c r="N21318" s="56"/>
    </row>
    <row r="21319" spans="1:14" x14ac:dyDescent="0.3">
      <c r="A21319" s="42"/>
      <c r="C21319" s="52"/>
      <c r="D21319"/>
      <c r="E21319"/>
      <c r="N21319" s="56"/>
    </row>
    <row r="21320" spans="1:14" x14ac:dyDescent="0.3">
      <c r="A21320" s="42"/>
      <c r="C21320" s="52"/>
      <c r="D21320"/>
      <c r="E21320"/>
      <c r="N21320" s="56"/>
    </row>
    <row r="21321" spans="1:14" x14ac:dyDescent="0.3">
      <c r="A21321" s="42"/>
      <c r="C21321" s="52"/>
      <c r="D21321"/>
      <c r="E21321"/>
      <c r="N21321" s="56"/>
    </row>
    <row r="21322" spans="1:14" x14ac:dyDescent="0.3">
      <c r="A21322" s="42"/>
      <c r="C21322" s="52"/>
      <c r="D21322"/>
      <c r="E21322"/>
      <c r="N21322" s="56"/>
    </row>
    <row r="21323" spans="1:14" x14ac:dyDescent="0.3">
      <c r="A21323" s="42"/>
      <c r="C21323" s="52"/>
      <c r="D21323"/>
      <c r="E21323"/>
      <c r="N21323" s="56"/>
    </row>
    <row r="21324" spans="1:14" x14ac:dyDescent="0.3">
      <c r="A21324" s="42"/>
      <c r="C21324" s="52"/>
      <c r="D21324"/>
      <c r="E21324"/>
      <c r="N21324" s="56"/>
    </row>
    <row r="21325" spans="1:14" x14ac:dyDescent="0.3">
      <c r="A21325" s="42"/>
      <c r="C21325" s="52"/>
      <c r="D21325"/>
      <c r="E21325"/>
      <c r="N21325" s="56"/>
    </row>
    <row r="21326" spans="1:14" x14ac:dyDescent="0.3">
      <c r="A21326" s="42"/>
      <c r="C21326" s="52"/>
      <c r="D21326"/>
      <c r="E21326"/>
      <c r="N21326" s="56"/>
    </row>
    <row r="21327" spans="1:14" x14ac:dyDescent="0.3">
      <c r="A21327" s="42"/>
      <c r="C21327" s="52"/>
      <c r="D21327"/>
      <c r="E21327"/>
      <c r="N21327" s="56"/>
    </row>
    <row r="21328" spans="1:14" x14ac:dyDescent="0.3">
      <c r="A21328" s="42"/>
      <c r="C21328" s="52"/>
      <c r="D21328"/>
      <c r="E21328"/>
      <c r="N21328" s="56"/>
    </row>
    <row r="21329" spans="1:14" x14ac:dyDescent="0.3">
      <c r="A21329" s="42"/>
      <c r="C21329" s="52"/>
      <c r="D21329"/>
      <c r="E21329"/>
      <c r="N21329" s="56"/>
    </row>
    <row r="21330" spans="1:14" x14ac:dyDescent="0.3">
      <c r="A21330" s="42"/>
      <c r="C21330" s="52"/>
      <c r="D21330"/>
      <c r="E21330"/>
      <c r="N21330" s="56"/>
    </row>
    <row r="21331" spans="1:14" x14ac:dyDescent="0.3">
      <c r="A21331" s="42"/>
      <c r="C21331" s="52"/>
      <c r="D21331"/>
      <c r="E21331"/>
      <c r="N21331" s="56"/>
    </row>
    <row r="21332" spans="1:14" x14ac:dyDescent="0.3">
      <c r="A21332" s="42"/>
      <c r="C21332" s="52"/>
      <c r="D21332"/>
      <c r="E21332"/>
      <c r="N21332" s="56"/>
    </row>
    <row r="21333" spans="1:14" x14ac:dyDescent="0.3">
      <c r="A21333" s="42"/>
      <c r="C21333" s="52"/>
      <c r="D21333"/>
      <c r="E21333"/>
      <c r="N21333" s="56"/>
    </row>
    <row r="21334" spans="1:14" x14ac:dyDescent="0.3">
      <c r="A21334" s="42"/>
      <c r="C21334" s="52"/>
      <c r="D21334"/>
      <c r="E21334"/>
      <c r="N21334" s="56"/>
    </row>
    <row r="21335" spans="1:14" x14ac:dyDescent="0.3">
      <c r="A21335" s="42"/>
      <c r="C21335" s="52"/>
      <c r="D21335"/>
      <c r="E21335"/>
      <c r="N21335" s="56"/>
    </row>
    <row r="21336" spans="1:14" x14ac:dyDescent="0.3">
      <c r="A21336" s="42"/>
      <c r="C21336" s="52"/>
      <c r="D21336"/>
      <c r="E21336"/>
      <c r="N21336" s="56"/>
    </row>
    <row r="21337" spans="1:14" x14ac:dyDescent="0.3">
      <c r="A21337" s="42"/>
      <c r="C21337" s="52"/>
      <c r="D21337"/>
      <c r="E21337"/>
      <c r="N21337" s="56"/>
    </row>
    <row r="21338" spans="1:14" x14ac:dyDescent="0.3">
      <c r="A21338" s="42"/>
      <c r="C21338" s="52"/>
      <c r="D21338"/>
      <c r="E21338"/>
      <c r="N21338" s="56"/>
    </row>
    <row r="21339" spans="1:14" x14ac:dyDescent="0.3">
      <c r="A21339" s="42"/>
      <c r="C21339" s="52"/>
      <c r="D21339"/>
      <c r="E21339"/>
      <c r="N21339" s="56"/>
    </row>
    <row r="21340" spans="1:14" x14ac:dyDescent="0.3">
      <c r="A21340" s="42"/>
      <c r="C21340" s="52"/>
      <c r="D21340"/>
      <c r="E21340"/>
      <c r="N21340" s="56"/>
    </row>
    <row r="21341" spans="1:14" x14ac:dyDescent="0.3">
      <c r="A21341" s="42"/>
      <c r="C21341" s="52"/>
      <c r="D21341"/>
      <c r="E21341"/>
      <c r="M21341" s="45"/>
      <c r="N21341" s="56"/>
    </row>
    <row r="21342" spans="1:14" x14ac:dyDescent="0.3">
      <c r="A21342" s="42"/>
      <c r="C21342" s="52"/>
      <c r="D21342"/>
      <c r="E21342"/>
      <c r="N21342" s="56"/>
    </row>
    <row r="21343" spans="1:14" x14ac:dyDescent="0.3">
      <c r="A21343" s="42"/>
      <c r="C21343" s="52"/>
      <c r="D21343"/>
      <c r="E21343"/>
      <c r="N21343" s="56"/>
    </row>
    <row r="21344" spans="1:14" x14ac:dyDescent="0.3">
      <c r="A21344" s="42"/>
      <c r="C21344" s="52"/>
      <c r="D21344"/>
      <c r="E21344"/>
      <c r="N21344" s="56"/>
    </row>
    <row r="21345" spans="1:14" x14ac:dyDescent="0.3">
      <c r="A21345" s="42"/>
      <c r="C21345" s="52"/>
      <c r="D21345"/>
      <c r="E21345"/>
      <c r="N21345" s="56"/>
    </row>
    <row r="21346" spans="1:14" x14ac:dyDescent="0.3">
      <c r="A21346" s="42"/>
      <c r="C21346" s="52"/>
      <c r="D21346"/>
      <c r="E21346"/>
      <c r="N21346" s="56"/>
    </row>
    <row r="21347" spans="1:14" x14ac:dyDescent="0.3">
      <c r="A21347" s="42"/>
      <c r="C21347" s="52"/>
      <c r="D21347"/>
      <c r="E21347"/>
      <c r="N21347" s="56"/>
    </row>
    <row r="21348" spans="1:14" x14ac:dyDescent="0.3">
      <c r="A21348" s="42"/>
      <c r="C21348" s="52"/>
      <c r="D21348"/>
      <c r="E21348"/>
      <c r="N21348" s="56"/>
    </row>
    <row r="21349" spans="1:14" x14ac:dyDescent="0.3">
      <c r="A21349" s="42"/>
      <c r="C21349" s="52"/>
      <c r="D21349"/>
      <c r="E21349"/>
      <c r="N21349" s="56"/>
    </row>
    <row r="21350" spans="1:14" x14ac:dyDescent="0.3">
      <c r="A21350" s="42"/>
      <c r="C21350" s="52"/>
      <c r="D21350"/>
      <c r="E21350"/>
      <c r="N21350" s="56"/>
    </row>
    <row r="21351" spans="1:14" x14ac:dyDescent="0.3">
      <c r="A21351" s="42"/>
      <c r="C21351" s="52"/>
      <c r="D21351"/>
      <c r="E21351"/>
      <c r="N21351" s="56"/>
    </row>
    <row r="21352" spans="1:14" x14ac:dyDescent="0.3">
      <c r="A21352" s="42"/>
      <c r="C21352" s="52"/>
      <c r="D21352"/>
      <c r="E21352"/>
      <c r="N21352" s="56"/>
    </row>
    <row r="21353" spans="1:14" x14ac:dyDescent="0.3">
      <c r="A21353" s="42"/>
      <c r="C21353" s="52"/>
      <c r="D21353"/>
      <c r="E21353"/>
      <c r="N21353" s="56"/>
    </row>
    <row r="21354" spans="1:14" x14ac:dyDescent="0.3">
      <c r="A21354" s="42"/>
      <c r="C21354" s="52"/>
      <c r="D21354"/>
      <c r="E21354"/>
      <c r="N21354" s="56"/>
    </row>
    <row r="21355" spans="1:14" x14ac:dyDescent="0.3">
      <c r="A21355" s="42"/>
      <c r="C21355" s="52"/>
      <c r="D21355"/>
      <c r="E21355"/>
      <c r="N21355" s="56"/>
    </row>
    <row r="21356" spans="1:14" x14ac:dyDescent="0.3">
      <c r="A21356" s="42"/>
      <c r="C21356" s="52"/>
      <c r="D21356"/>
      <c r="E21356"/>
      <c r="N21356" s="56"/>
    </row>
    <row r="21357" spans="1:14" x14ac:dyDescent="0.3">
      <c r="A21357" s="42"/>
      <c r="C21357" s="52"/>
      <c r="D21357"/>
      <c r="E21357"/>
      <c r="N21357" s="56"/>
    </row>
    <row r="21358" spans="1:14" x14ac:dyDescent="0.3">
      <c r="A21358" s="42"/>
      <c r="C21358" s="52"/>
      <c r="D21358"/>
      <c r="E21358"/>
      <c r="N21358" s="56"/>
    </row>
    <row r="21359" spans="1:14" x14ac:dyDescent="0.3">
      <c r="A21359" s="42"/>
      <c r="C21359" s="52"/>
      <c r="D21359"/>
      <c r="E21359"/>
      <c r="N21359" s="56"/>
    </row>
    <row r="21360" spans="1:14" x14ac:dyDescent="0.3">
      <c r="A21360" s="42"/>
      <c r="C21360" s="52"/>
      <c r="D21360"/>
      <c r="E21360"/>
      <c r="N21360" s="56"/>
    </row>
    <row r="21361" spans="1:14" x14ac:dyDescent="0.3">
      <c r="A21361" s="42"/>
      <c r="C21361" s="52"/>
      <c r="D21361"/>
      <c r="E21361"/>
      <c r="N21361" s="56"/>
    </row>
    <row r="21362" spans="1:14" x14ac:dyDescent="0.3">
      <c r="A21362" s="42"/>
      <c r="C21362" s="52"/>
      <c r="D21362"/>
      <c r="E21362"/>
      <c r="N21362" s="56"/>
    </row>
    <row r="21363" spans="1:14" x14ac:dyDescent="0.3">
      <c r="A21363" s="42"/>
      <c r="C21363" s="52"/>
      <c r="D21363"/>
      <c r="E21363"/>
      <c r="N21363" s="56"/>
    </row>
    <row r="21364" spans="1:14" x14ac:dyDescent="0.3">
      <c r="A21364" s="42"/>
      <c r="C21364" s="52"/>
      <c r="D21364"/>
      <c r="E21364"/>
      <c r="N21364" s="56"/>
    </row>
    <row r="21365" spans="1:14" x14ac:dyDescent="0.3">
      <c r="A21365" s="42"/>
      <c r="C21365" s="52"/>
      <c r="D21365"/>
      <c r="E21365"/>
      <c r="N21365" s="56"/>
    </row>
    <row r="21366" spans="1:14" x14ac:dyDescent="0.3">
      <c r="A21366" s="42"/>
      <c r="C21366" s="52"/>
      <c r="D21366"/>
      <c r="E21366"/>
      <c r="N21366" s="56"/>
    </row>
    <row r="21367" spans="1:14" x14ac:dyDescent="0.3">
      <c r="A21367" s="42"/>
      <c r="C21367" s="52"/>
      <c r="D21367"/>
      <c r="E21367"/>
      <c r="N21367" s="56"/>
    </row>
    <row r="21368" spans="1:14" x14ac:dyDescent="0.3">
      <c r="A21368" s="42"/>
      <c r="C21368" s="52"/>
      <c r="D21368"/>
      <c r="E21368"/>
      <c r="N21368" s="56"/>
    </row>
    <row r="21369" spans="1:14" x14ac:dyDescent="0.3">
      <c r="A21369" s="42"/>
      <c r="C21369" s="52"/>
      <c r="D21369"/>
      <c r="E21369"/>
      <c r="N21369" s="56"/>
    </row>
    <row r="21370" spans="1:14" x14ac:dyDescent="0.3">
      <c r="A21370" s="42"/>
      <c r="C21370" s="52"/>
      <c r="D21370"/>
      <c r="E21370"/>
      <c r="M21370" s="45"/>
      <c r="N21370" s="56"/>
    </row>
    <row r="21371" spans="1:14" x14ac:dyDescent="0.3">
      <c r="A21371" s="42"/>
      <c r="C21371" s="52"/>
      <c r="D21371"/>
      <c r="E21371"/>
      <c r="N21371" s="56"/>
    </row>
    <row r="21372" spans="1:14" x14ac:dyDescent="0.3">
      <c r="A21372" s="42"/>
      <c r="C21372" s="52"/>
      <c r="D21372"/>
      <c r="E21372"/>
      <c r="N21372" s="56"/>
    </row>
    <row r="21373" spans="1:14" x14ac:dyDescent="0.3">
      <c r="A21373" s="42"/>
      <c r="C21373" s="52"/>
      <c r="D21373"/>
      <c r="E21373"/>
      <c r="N21373" s="56"/>
    </row>
    <row r="21374" spans="1:14" x14ac:dyDescent="0.3">
      <c r="A21374" s="42"/>
      <c r="C21374" s="52"/>
      <c r="D21374"/>
      <c r="E21374"/>
      <c r="N21374" s="56"/>
    </row>
    <row r="21375" spans="1:14" x14ac:dyDescent="0.3">
      <c r="A21375" s="42"/>
      <c r="C21375" s="52"/>
      <c r="D21375"/>
      <c r="E21375"/>
      <c r="N21375" s="56"/>
    </row>
    <row r="21376" spans="1:14" x14ac:dyDescent="0.3">
      <c r="A21376" s="42"/>
      <c r="C21376" s="52"/>
      <c r="D21376"/>
      <c r="E21376"/>
      <c r="N21376" s="56"/>
    </row>
    <row r="21377" spans="1:14" x14ac:dyDescent="0.3">
      <c r="A21377" s="42"/>
      <c r="C21377" s="52"/>
      <c r="D21377"/>
      <c r="E21377"/>
      <c r="M21377" s="45"/>
      <c r="N21377" s="56"/>
    </row>
    <row r="21378" spans="1:14" x14ac:dyDescent="0.3">
      <c r="A21378" s="42"/>
      <c r="C21378" s="52"/>
      <c r="D21378"/>
      <c r="E21378"/>
      <c r="N21378" s="56"/>
    </row>
    <row r="21379" spans="1:14" x14ac:dyDescent="0.3">
      <c r="A21379" s="42"/>
      <c r="C21379" s="52"/>
      <c r="D21379"/>
      <c r="E21379"/>
      <c r="N21379" s="56"/>
    </row>
    <row r="21380" spans="1:14" x14ac:dyDescent="0.3">
      <c r="A21380" s="42"/>
      <c r="C21380" s="52"/>
      <c r="D21380"/>
      <c r="E21380"/>
      <c r="N21380" s="56"/>
    </row>
    <row r="21381" spans="1:14" x14ac:dyDescent="0.3">
      <c r="A21381" s="42"/>
      <c r="C21381" s="52"/>
      <c r="D21381"/>
      <c r="E21381"/>
      <c r="N21381" s="56"/>
    </row>
    <row r="21382" spans="1:14" x14ac:dyDescent="0.3">
      <c r="A21382" s="42"/>
      <c r="C21382" s="52"/>
      <c r="D21382"/>
      <c r="E21382"/>
      <c r="N21382" s="56"/>
    </row>
    <row r="21383" spans="1:14" x14ac:dyDescent="0.3">
      <c r="A21383" s="42"/>
      <c r="C21383" s="52"/>
      <c r="D21383"/>
      <c r="E21383"/>
      <c r="N21383" s="56"/>
    </row>
    <row r="21384" spans="1:14" x14ac:dyDescent="0.3">
      <c r="A21384" s="42"/>
      <c r="C21384" s="52"/>
      <c r="D21384"/>
      <c r="E21384"/>
      <c r="N21384" s="56"/>
    </row>
    <row r="21385" spans="1:14" x14ac:dyDescent="0.3">
      <c r="A21385" s="42"/>
      <c r="C21385" s="52"/>
      <c r="D21385"/>
      <c r="E21385"/>
      <c r="N21385" s="56"/>
    </row>
    <row r="21386" spans="1:14" x14ac:dyDescent="0.3">
      <c r="A21386" s="42"/>
      <c r="C21386" s="52"/>
      <c r="D21386"/>
      <c r="E21386"/>
      <c r="N21386" s="56"/>
    </row>
    <row r="21387" spans="1:14" x14ac:dyDescent="0.3">
      <c r="A21387" s="42"/>
      <c r="C21387" s="52"/>
      <c r="D21387"/>
      <c r="E21387"/>
      <c r="N21387" s="56"/>
    </row>
    <row r="21388" spans="1:14" x14ac:dyDescent="0.3">
      <c r="A21388" s="42"/>
      <c r="C21388" s="52"/>
      <c r="D21388"/>
      <c r="E21388"/>
      <c r="N21388" s="56"/>
    </row>
    <row r="21389" spans="1:14" x14ac:dyDescent="0.3">
      <c r="A21389" s="42"/>
      <c r="C21389" s="52"/>
      <c r="D21389"/>
      <c r="E21389"/>
      <c r="N21389" s="56"/>
    </row>
    <row r="21390" spans="1:14" x14ac:dyDescent="0.3">
      <c r="A21390" s="42"/>
      <c r="C21390" s="52"/>
      <c r="D21390"/>
      <c r="E21390"/>
      <c r="N21390" s="56"/>
    </row>
    <row r="21391" spans="1:14" x14ac:dyDescent="0.3">
      <c r="A21391" s="42"/>
      <c r="C21391" s="52"/>
      <c r="D21391"/>
      <c r="E21391"/>
      <c r="N21391" s="56"/>
    </row>
    <row r="21392" spans="1:14" x14ac:dyDescent="0.3">
      <c r="A21392" s="42"/>
      <c r="C21392" s="52"/>
      <c r="D21392"/>
      <c r="E21392"/>
      <c r="N21392" s="56"/>
    </row>
    <row r="21393" spans="1:14" x14ac:dyDescent="0.3">
      <c r="A21393" s="42"/>
      <c r="C21393" s="52"/>
      <c r="D21393"/>
      <c r="E21393"/>
      <c r="N21393" s="56"/>
    </row>
    <row r="21394" spans="1:14" x14ac:dyDescent="0.3">
      <c r="A21394" s="42"/>
      <c r="C21394" s="52"/>
      <c r="D21394"/>
      <c r="E21394"/>
      <c r="N21394" s="56"/>
    </row>
    <row r="21395" spans="1:14" x14ac:dyDescent="0.3">
      <c r="A21395" s="42"/>
      <c r="C21395" s="52"/>
      <c r="D21395"/>
      <c r="E21395"/>
      <c r="N21395" s="56"/>
    </row>
    <row r="21396" spans="1:14" x14ac:dyDescent="0.3">
      <c r="A21396" s="42"/>
      <c r="C21396" s="52"/>
      <c r="D21396"/>
      <c r="E21396"/>
      <c r="N21396" s="56"/>
    </row>
    <row r="21397" spans="1:14" x14ac:dyDescent="0.3">
      <c r="A21397" s="42"/>
      <c r="C21397" s="52"/>
      <c r="D21397"/>
      <c r="E21397"/>
      <c r="N21397" s="56"/>
    </row>
    <row r="21398" spans="1:14" x14ac:dyDescent="0.3">
      <c r="A21398" s="42"/>
      <c r="C21398" s="52"/>
      <c r="D21398"/>
      <c r="E21398"/>
      <c r="N21398" s="56"/>
    </row>
    <row r="21399" spans="1:14" x14ac:dyDescent="0.3">
      <c r="A21399" s="42"/>
      <c r="C21399" s="52"/>
      <c r="D21399"/>
      <c r="E21399"/>
      <c r="N21399" s="56"/>
    </row>
    <row r="21400" spans="1:14" x14ac:dyDescent="0.3">
      <c r="A21400" s="42"/>
      <c r="C21400" s="52"/>
      <c r="D21400"/>
      <c r="E21400"/>
      <c r="N21400" s="56"/>
    </row>
    <row r="21401" spans="1:14" x14ac:dyDescent="0.3">
      <c r="A21401" s="42"/>
      <c r="C21401" s="52"/>
      <c r="D21401"/>
      <c r="E21401"/>
      <c r="N21401" s="56"/>
    </row>
    <row r="21402" spans="1:14" x14ac:dyDescent="0.3">
      <c r="A21402" s="42"/>
      <c r="C21402" s="52"/>
      <c r="D21402"/>
      <c r="E21402"/>
      <c r="N21402" s="56"/>
    </row>
    <row r="21403" spans="1:14" x14ac:dyDescent="0.3">
      <c r="A21403" s="42"/>
      <c r="C21403" s="52"/>
      <c r="D21403"/>
      <c r="E21403"/>
      <c r="N21403" s="56"/>
    </row>
    <row r="21404" spans="1:14" x14ac:dyDescent="0.3">
      <c r="A21404" s="42"/>
      <c r="C21404" s="52"/>
      <c r="D21404"/>
      <c r="E21404"/>
      <c r="N21404" s="56"/>
    </row>
    <row r="21405" spans="1:14" x14ac:dyDescent="0.3">
      <c r="A21405" s="42"/>
      <c r="C21405" s="52"/>
      <c r="D21405"/>
      <c r="E21405"/>
      <c r="N21405" s="56"/>
    </row>
    <row r="21406" spans="1:14" x14ac:dyDescent="0.3">
      <c r="A21406" s="42"/>
      <c r="C21406" s="52"/>
      <c r="D21406"/>
      <c r="E21406"/>
      <c r="N21406" s="56"/>
    </row>
    <row r="21407" spans="1:14" x14ac:dyDescent="0.3">
      <c r="A21407" s="42"/>
      <c r="C21407" s="52"/>
      <c r="D21407"/>
      <c r="E21407"/>
      <c r="N21407" s="56"/>
    </row>
    <row r="21408" spans="1:14" x14ac:dyDescent="0.3">
      <c r="A21408" s="42"/>
      <c r="C21408" s="52"/>
      <c r="D21408"/>
      <c r="E21408"/>
      <c r="N21408" s="56"/>
    </row>
    <row r="21409" spans="1:14" x14ac:dyDescent="0.3">
      <c r="A21409" s="42"/>
      <c r="C21409" s="52"/>
      <c r="D21409"/>
      <c r="E21409"/>
      <c r="N21409" s="56"/>
    </row>
    <row r="21410" spans="1:14" x14ac:dyDescent="0.3">
      <c r="A21410" s="42"/>
      <c r="C21410" s="52"/>
      <c r="D21410"/>
      <c r="E21410"/>
      <c r="N21410" s="56"/>
    </row>
    <row r="21411" spans="1:14" x14ac:dyDescent="0.3">
      <c r="A21411" s="42"/>
      <c r="C21411" s="52"/>
      <c r="D21411"/>
      <c r="E21411"/>
      <c r="N21411" s="56"/>
    </row>
    <row r="21412" spans="1:14" x14ac:dyDescent="0.3">
      <c r="A21412" s="42"/>
      <c r="C21412" s="52"/>
      <c r="D21412"/>
      <c r="E21412"/>
      <c r="N21412" s="56"/>
    </row>
    <row r="21413" spans="1:14" x14ac:dyDescent="0.3">
      <c r="A21413" s="42"/>
      <c r="C21413" s="52"/>
      <c r="D21413"/>
      <c r="E21413"/>
      <c r="N21413" s="56"/>
    </row>
    <row r="21414" spans="1:14" x14ac:dyDescent="0.3">
      <c r="A21414" s="42"/>
      <c r="C21414" s="52"/>
      <c r="D21414"/>
      <c r="E21414"/>
      <c r="N21414" s="56"/>
    </row>
    <row r="21415" spans="1:14" x14ac:dyDescent="0.3">
      <c r="A21415" s="42"/>
      <c r="C21415" s="52"/>
      <c r="D21415"/>
      <c r="E21415"/>
      <c r="N21415" s="56"/>
    </row>
    <row r="21416" spans="1:14" x14ac:dyDescent="0.3">
      <c r="A21416" s="42"/>
      <c r="C21416" s="52"/>
      <c r="D21416"/>
      <c r="E21416"/>
      <c r="N21416" s="56"/>
    </row>
    <row r="21417" spans="1:14" x14ac:dyDescent="0.3">
      <c r="A21417" s="42"/>
      <c r="C21417" s="52"/>
      <c r="D21417"/>
      <c r="E21417"/>
      <c r="N21417" s="56"/>
    </row>
    <row r="21418" spans="1:14" x14ac:dyDescent="0.3">
      <c r="A21418" s="42"/>
      <c r="C21418" s="52"/>
      <c r="D21418"/>
      <c r="E21418"/>
      <c r="N21418" s="56"/>
    </row>
    <row r="21419" spans="1:14" x14ac:dyDescent="0.3">
      <c r="A21419" s="42"/>
      <c r="C21419" s="52"/>
      <c r="D21419"/>
      <c r="E21419"/>
      <c r="N21419" s="56"/>
    </row>
    <row r="21420" spans="1:14" x14ac:dyDescent="0.3">
      <c r="A21420" s="42"/>
      <c r="C21420" s="52"/>
      <c r="D21420"/>
      <c r="E21420"/>
      <c r="N21420" s="56"/>
    </row>
    <row r="21421" spans="1:14" x14ac:dyDescent="0.3">
      <c r="A21421" s="42"/>
      <c r="C21421" s="52"/>
      <c r="D21421"/>
      <c r="E21421"/>
      <c r="N21421" s="56"/>
    </row>
    <row r="21422" spans="1:14" x14ac:dyDescent="0.3">
      <c r="A21422" s="42"/>
      <c r="C21422" s="52"/>
      <c r="D21422"/>
      <c r="E21422"/>
      <c r="N21422" s="56"/>
    </row>
    <row r="21423" spans="1:14" x14ac:dyDescent="0.3">
      <c r="A21423" s="42"/>
      <c r="C21423" s="52"/>
      <c r="D21423"/>
      <c r="E21423"/>
      <c r="N21423" s="56"/>
    </row>
    <row r="21424" spans="1:14" x14ac:dyDescent="0.3">
      <c r="A21424" s="42"/>
      <c r="C21424" s="52"/>
      <c r="D21424"/>
      <c r="E21424"/>
      <c r="N21424" s="56"/>
    </row>
    <row r="21425" spans="1:14" x14ac:dyDescent="0.3">
      <c r="A21425" s="42"/>
      <c r="C21425" s="52"/>
      <c r="D21425"/>
      <c r="E21425"/>
      <c r="N21425" s="56"/>
    </row>
    <row r="21426" spans="1:14" x14ac:dyDescent="0.3">
      <c r="A21426" s="42"/>
      <c r="C21426" s="52"/>
      <c r="D21426"/>
      <c r="E21426"/>
      <c r="N21426" s="56"/>
    </row>
    <row r="21427" spans="1:14" x14ac:dyDescent="0.3">
      <c r="A21427" s="42"/>
      <c r="C21427" s="52"/>
      <c r="D21427"/>
      <c r="E21427"/>
      <c r="N21427" s="56"/>
    </row>
    <row r="21428" spans="1:14" x14ac:dyDescent="0.3">
      <c r="A21428" s="42"/>
      <c r="C21428" s="52"/>
      <c r="D21428"/>
      <c r="E21428"/>
      <c r="N21428" s="56"/>
    </row>
    <row r="21429" spans="1:14" x14ac:dyDescent="0.3">
      <c r="A21429" s="42"/>
      <c r="C21429" s="52"/>
      <c r="D21429"/>
      <c r="E21429"/>
      <c r="N21429" s="56"/>
    </row>
    <row r="21430" spans="1:14" x14ac:dyDescent="0.3">
      <c r="A21430" s="42"/>
      <c r="C21430" s="52"/>
      <c r="D21430"/>
      <c r="E21430"/>
      <c r="N21430" s="56"/>
    </row>
    <row r="21431" spans="1:14" x14ac:dyDescent="0.3">
      <c r="A21431" s="42"/>
      <c r="C21431" s="52"/>
      <c r="D21431"/>
      <c r="E21431"/>
      <c r="N21431" s="56"/>
    </row>
    <row r="21432" spans="1:14" x14ac:dyDescent="0.3">
      <c r="A21432" s="42"/>
      <c r="C21432" s="52"/>
      <c r="D21432"/>
      <c r="E21432"/>
      <c r="N21432" s="56"/>
    </row>
    <row r="21433" spans="1:14" x14ac:dyDescent="0.3">
      <c r="A21433" s="42"/>
      <c r="C21433" s="52"/>
      <c r="D21433"/>
      <c r="E21433"/>
      <c r="N21433" s="56"/>
    </row>
    <row r="21434" spans="1:14" x14ac:dyDescent="0.3">
      <c r="A21434" s="42"/>
      <c r="C21434" s="52"/>
      <c r="D21434"/>
      <c r="E21434"/>
      <c r="N21434" s="56"/>
    </row>
    <row r="21435" spans="1:14" x14ac:dyDescent="0.3">
      <c r="A21435" s="42"/>
      <c r="C21435" s="52"/>
      <c r="D21435"/>
      <c r="E21435"/>
      <c r="N21435" s="56"/>
    </row>
    <row r="21436" spans="1:14" x14ac:dyDescent="0.3">
      <c r="A21436" s="42"/>
      <c r="C21436" s="52"/>
      <c r="D21436"/>
      <c r="E21436"/>
      <c r="N21436" s="56"/>
    </row>
    <row r="21437" spans="1:14" x14ac:dyDescent="0.3">
      <c r="A21437" s="42"/>
      <c r="C21437" s="52"/>
      <c r="D21437"/>
      <c r="E21437"/>
      <c r="N21437" s="56"/>
    </row>
    <row r="21438" spans="1:14" x14ac:dyDescent="0.3">
      <c r="A21438" s="42"/>
      <c r="C21438" s="52"/>
      <c r="D21438"/>
      <c r="E21438"/>
      <c r="N21438" s="56"/>
    </row>
    <row r="21439" spans="1:14" x14ac:dyDescent="0.3">
      <c r="A21439" s="42"/>
      <c r="C21439" s="52"/>
      <c r="D21439"/>
      <c r="E21439"/>
      <c r="N21439" s="56"/>
    </row>
    <row r="21440" spans="1:14" x14ac:dyDescent="0.3">
      <c r="A21440" s="42"/>
      <c r="C21440" s="52"/>
      <c r="D21440"/>
      <c r="E21440"/>
      <c r="N21440" s="56"/>
    </row>
    <row r="21441" spans="1:14" x14ac:dyDescent="0.3">
      <c r="A21441" s="42"/>
      <c r="C21441" s="52"/>
      <c r="D21441"/>
      <c r="E21441"/>
      <c r="N21441" s="56"/>
    </row>
    <row r="21442" spans="1:14" x14ac:dyDescent="0.3">
      <c r="A21442" s="42"/>
      <c r="C21442" s="52"/>
      <c r="D21442"/>
      <c r="E21442"/>
      <c r="N21442" s="56"/>
    </row>
    <row r="21443" spans="1:14" x14ac:dyDescent="0.3">
      <c r="A21443" s="42"/>
      <c r="C21443" s="52"/>
      <c r="D21443"/>
      <c r="E21443"/>
      <c r="N21443" s="56"/>
    </row>
    <row r="21444" spans="1:14" x14ac:dyDescent="0.3">
      <c r="A21444" s="42"/>
      <c r="C21444" s="52"/>
      <c r="D21444"/>
      <c r="E21444"/>
      <c r="M21444" s="45"/>
      <c r="N21444" s="56"/>
    </row>
    <row r="21445" spans="1:14" x14ac:dyDescent="0.3">
      <c r="A21445" s="42"/>
      <c r="C21445" s="52"/>
      <c r="D21445"/>
      <c r="E21445"/>
      <c r="N21445" s="56"/>
    </row>
    <row r="21446" spans="1:14" x14ac:dyDescent="0.3">
      <c r="A21446" s="42"/>
      <c r="C21446" s="52"/>
      <c r="D21446"/>
      <c r="E21446"/>
      <c r="N21446" s="56"/>
    </row>
    <row r="21447" spans="1:14" x14ac:dyDescent="0.3">
      <c r="A21447" s="42"/>
      <c r="C21447" s="52"/>
      <c r="D21447"/>
      <c r="E21447"/>
      <c r="N21447" s="56"/>
    </row>
    <row r="21448" spans="1:14" x14ac:dyDescent="0.3">
      <c r="A21448" s="42"/>
      <c r="C21448" s="52"/>
      <c r="D21448"/>
      <c r="E21448"/>
      <c r="N21448" s="56"/>
    </row>
    <row r="21449" spans="1:14" x14ac:dyDescent="0.3">
      <c r="A21449" s="42"/>
      <c r="C21449" s="52"/>
      <c r="D21449"/>
      <c r="E21449"/>
      <c r="F21449"/>
      <c r="N21449" s="56"/>
    </row>
    <row r="21450" spans="1:14" x14ac:dyDescent="0.3">
      <c r="A21450" s="42"/>
      <c r="C21450" s="52"/>
      <c r="D21450"/>
      <c r="E21450"/>
      <c r="F21450"/>
      <c r="N21450" s="56"/>
    </row>
    <row r="21451" spans="1:14" x14ac:dyDescent="0.3">
      <c r="A21451" s="42"/>
      <c r="C21451" s="52"/>
      <c r="D21451"/>
      <c r="E21451"/>
      <c r="F21451"/>
      <c r="N21451" s="56"/>
    </row>
    <row r="21452" spans="1:14" x14ac:dyDescent="0.3">
      <c r="A21452" s="42"/>
      <c r="C21452" s="52"/>
      <c r="D21452"/>
      <c r="E21452"/>
      <c r="F21452"/>
      <c r="L21452" s="45"/>
      <c r="N21452" s="56"/>
    </row>
    <row r="21453" spans="1:14" x14ac:dyDescent="0.3">
      <c r="A21453" s="42"/>
      <c r="C21453" s="52"/>
      <c r="D21453"/>
      <c r="E21453"/>
      <c r="F21453"/>
      <c r="N21453" s="56"/>
    </row>
    <row r="21454" spans="1:14" x14ac:dyDescent="0.3">
      <c r="A21454" s="42"/>
      <c r="C21454" s="52"/>
      <c r="D21454"/>
      <c r="E21454"/>
      <c r="F21454"/>
      <c r="L21454" s="45"/>
      <c r="N21454" s="56"/>
    </row>
    <row r="21455" spans="1:14" x14ac:dyDescent="0.3">
      <c r="A21455" s="42"/>
      <c r="C21455" s="52"/>
      <c r="D21455"/>
      <c r="E21455"/>
      <c r="F21455"/>
      <c r="N21455" s="56"/>
    </row>
    <row r="21456" spans="1:14" x14ac:dyDescent="0.3">
      <c r="A21456" s="42"/>
      <c r="C21456" s="52"/>
      <c r="D21456"/>
      <c r="E21456"/>
      <c r="F21456"/>
      <c r="N21456" s="56"/>
    </row>
    <row r="21457" spans="1:14" x14ac:dyDescent="0.3">
      <c r="A21457" s="42"/>
      <c r="C21457" s="52"/>
      <c r="D21457"/>
      <c r="E21457"/>
      <c r="F21457"/>
      <c r="N21457" s="56"/>
    </row>
    <row r="21458" spans="1:14" x14ac:dyDescent="0.3">
      <c r="A21458" s="42"/>
      <c r="C21458" s="52"/>
      <c r="D21458"/>
      <c r="E21458"/>
      <c r="F21458"/>
      <c r="L21458" s="45"/>
      <c r="N21458" s="56"/>
    </row>
    <row r="21459" spans="1:14" x14ac:dyDescent="0.3">
      <c r="A21459" s="42"/>
      <c r="C21459" s="52"/>
      <c r="D21459"/>
      <c r="E21459"/>
      <c r="F21459"/>
      <c r="L21459" s="45"/>
      <c r="N21459" s="56"/>
    </row>
    <row r="21460" spans="1:14" x14ac:dyDescent="0.3">
      <c r="A21460" s="42"/>
      <c r="C21460" s="52"/>
      <c r="D21460"/>
      <c r="E21460"/>
      <c r="F21460"/>
      <c r="N21460" s="56"/>
    </row>
    <row r="21461" spans="1:14" x14ac:dyDescent="0.3">
      <c r="A21461" s="42"/>
      <c r="C21461" s="52"/>
      <c r="D21461"/>
      <c r="E21461"/>
      <c r="F21461"/>
      <c r="N21461" s="56"/>
    </row>
    <row r="21462" spans="1:14" x14ac:dyDescent="0.3">
      <c r="A21462" s="42"/>
      <c r="C21462" s="52"/>
      <c r="D21462"/>
      <c r="E21462"/>
      <c r="F21462"/>
      <c r="N21462" s="56"/>
    </row>
    <row r="21463" spans="1:14" x14ac:dyDescent="0.3">
      <c r="A21463" s="42"/>
      <c r="C21463" s="52"/>
      <c r="D21463"/>
      <c r="E21463"/>
      <c r="F21463"/>
      <c r="N21463" s="56"/>
    </row>
    <row r="21464" spans="1:14" x14ac:dyDescent="0.3">
      <c r="A21464" s="42"/>
      <c r="C21464" s="52"/>
      <c r="D21464"/>
      <c r="E21464"/>
      <c r="F21464"/>
      <c r="N21464" s="56"/>
    </row>
    <row r="21465" spans="1:14" x14ac:dyDescent="0.3">
      <c r="A21465" s="42"/>
      <c r="C21465" s="52"/>
      <c r="D21465"/>
      <c r="E21465"/>
      <c r="F21465"/>
      <c r="N21465" s="56"/>
    </row>
    <row r="21466" spans="1:14" x14ac:dyDescent="0.3">
      <c r="A21466" s="42"/>
      <c r="C21466" s="52"/>
      <c r="D21466"/>
      <c r="E21466"/>
      <c r="F21466"/>
      <c r="N21466" s="56"/>
    </row>
    <row r="21467" spans="1:14" x14ac:dyDescent="0.3">
      <c r="A21467" s="42"/>
      <c r="C21467" s="52"/>
      <c r="D21467"/>
      <c r="E21467"/>
      <c r="F21467"/>
      <c r="L21467" s="45"/>
      <c r="N21467" s="56"/>
    </row>
    <row r="21468" spans="1:14" x14ac:dyDescent="0.3">
      <c r="A21468" s="42"/>
      <c r="C21468" s="52"/>
      <c r="D21468"/>
      <c r="E21468"/>
      <c r="F21468"/>
      <c r="N21468" s="56"/>
    </row>
    <row r="21469" spans="1:14" x14ac:dyDescent="0.3">
      <c r="A21469" s="42"/>
      <c r="C21469" s="52"/>
      <c r="D21469"/>
      <c r="E21469"/>
      <c r="F21469"/>
      <c r="L21469" s="45"/>
      <c r="N21469" s="56"/>
    </row>
    <row r="21470" spans="1:14" x14ac:dyDescent="0.3">
      <c r="A21470" s="42"/>
      <c r="C21470" s="52"/>
      <c r="D21470"/>
      <c r="E21470"/>
      <c r="F21470"/>
      <c r="N21470" s="56"/>
    </row>
    <row r="21471" spans="1:14" x14ac:dyDescent="0.3">
      <c r="A21471" s="42"/>
      <c r="C21471" s="52"/>
      <c r="D21471"/>
      <c r="E21471"/>
      <c r="F21471"/>
      <c r="L21471" s="45"/>
      <c r="N21471" s="56"/>
    </row>
    <row r="21472" spans="1:14" x14ac:dyDescent="0.3">
      <c r="A21472" s="42"/>
      <c r="C21472" s="52"/>
      <c r="D21472"/>
      <c r="E21472"/>
      <c r="F21472"/>
      <c r="L21472" s="45"/>
      <c r="N21472" s="56"/>
    </row>
    <row r="21473" spans="1:14" x14ac:dyDescent="0.3">
      <c r="A21473" s="42"/>
      <c r="C21473" s="52"/>
      <c r="D21473"/>
      <c r="E21473"/>
      <c r="F21473"/>
      <c r="L21473" s="45"/>
      <c r="N21473" s="56"/>
    </row>
    <row r="21474" spans="1:14" x14ac:dyDescent="0.3">
      <c r="A21474" s="42"/>
      <c r="C21474" s="52"/>
      <c r="D21474"/>
      <c r="E21474"/>
      <c r="F21474"/>
      <c r="L21474" s="45"/>
      <c r="N21474" s="56"/>
    </row>
    <row r="21475" spans="1:14" x14ac:dyDescent="0.3">
      <c r="A21475" s="42"/>
      <c r="C21475" s="52"/>
      <c r="D21475"/>
      <c r="E21475"/>
      <c r="F21475"/>
      <c r="L21475" s="45"/>
      <c r="N21475" s="56"/>
    </row>
    <row r="21476" spans="1:14" x14ac:dyDescent="0.3">
      <c r="A21476" s="42"/>
      <c r="C21476" s="52"/>
      <c r="D21476"/>
      <c r="E21476"/>
      <c r="F21476"/>
      <c r="N21476" s="56"/>
    </row>
    <row r="21477" spans="1:14" x14ac:dyDescent="0.3">
      <c r="A21477" s="42"/>
      <c r="C21477" s="52"/>
      <c r="D21477"/>
      <c r="E21477"/>
      <c r="F21477"/>
      <c r="N21477" s="56"/>
    </row>
    <row r="21478" spans="1:14" x14ac:dyDescent="0.3">
      <c r="A21478" s="42"/>
      <c r="C21478" s="52"/>
      <c r="D21478"/>
      <c r="E21478"/>
      <c r="F21478"/>
      <c r="L21478" s="45"/>
      <c r="N21478" s="56"/>
    </row>
    <row r="21479" spans="1:14" x14ac:dyDescent="0.3">
      <c r="A21479" s="42"/>
      <c r="C21479" s="52"/>
      <c r="D21479"/>
      <c r="E21479"/>
      <c r="F21479"/>
      <c r="L21479" s="45"/>
      <c r="N21479" s="56"/>
    </row>
    <row r="21480" spans="1:14" x14ac:dyDescent="0.3">
      <c r="A21480" s="42"/>
      <c r="C21480" s="52"/>
      <c r="D21480"/>
      <c r="E21480"/>
      <c r="F21480"/>
      <c r="N21480" s="56"/>
    </row>
    <row r="21481" spans="1:14" x14ac:dyDescent="0.3">
      <c r="A21481" s="42"/>
      <c r="C21481" s="52"/>
      <c r="D21481"/>
      <c r="E21481"/>
      <c r="F21481"/>
      <c r="L21481" s="45"/>
      <c r="N21481" s="56"/>
    </row>
    <row r="21482" spans="1:14" x14ac:dyDescent="0.3">
      <c r="A21482" s="42"/>
      <c r="C21482" s="52"/>
      <c r="D21482"/>
      <c r="E21482"/>
      <c r="F21482"/>
      <c r="L21482" s="45"/>
      <c r="N21482" s="56"/>
    </row>
    <row r="21483" spans="1:14" x14ac:dyDescent="0.3">
      <c r="A21483" s="42"/>
      <c r="C21483" s="52"/>
      <c r="D21483"/>
      <c r="E21483"/>
      <c r="F21483"/>
      <c r="L21483" s="45"/>
      <c r="N21483" s="56"/>
    </row>
    <row r="21484" spans="1:14" x14ac:dyDescent="0.3">
      <c r="A21484" s="42"/>
      <c r="C21484" s="52"/>
      <c r="D21484"/>
      <c r="E21484"/>
      <c r="F21484"/>
      <c r="N21484" s="56"/>
    </row>
    <row r="21485" spans="1:14" x14ac:dyDescent="0.3">
      <c r="A21485" s="42"/>
      <c r="C21485" s="52"/>
      <c r="D21485"/>
      <c r="E21485"/>
      <c r="F21485"/>
      <c r="N21485" s="56"/>
    </row>
    <row r="21486" spans="1:14" x14ac:dyDescent="0.3">
      <c r="A21486" s="42"/>
      <c r="C21486" s="52"/>
      <c r="D21486"/>
      <c r="E21486"/>
      <c r="F21486"/>
      <c r="N21486" s="56"/>
    </row>
    <row r="21487" spans="1:14" x14ac:dyDescent="0.3">
      <c r="A21487" s="42"/>
      <c r="C21487" s="52"/>
      <c r="D21487"/>
      <c r="E21487"/>
      <c r="F21487"/>
      <c r="L21487" s="45"/>
      <c r="N21487" s="56"/>
    </row>
    <row r="21488" spans="1:14" x14ac:dyDescent="0.3">
      <c r="A21488" s="42"/>
      <c r="C21488" s="52"/>
      <c r="D21488"/>
      <c r="E21488"/>
      <c r="F21488"/>
      <c r="N21488" s="56"/>
    </row>
    <row r="21489" spans="1:14" x14ac:dyDescent="0.3">
      <c r="A21489" s="42"/>
      <c r="C21489" s="52"/>
      <c r="D21489"/>
      <c r="E21489"/>
      <c r="F21489"/>
      <c r="L21489" s="45"/>
      <c r="N21489" s="56"/>
    </row>
    <row r="21490" spans="1:14" x14ac:dyDescent="0.3">
      <c r="A21490" s="42"/>
      <c r="C21490" s="52"/>
      <c r="D21490"/>
      <c r="E21490"/>
      <c r="F21490"/>
      <c r="L21490" s="45"/>
      <c r="N21490" s="56"/>
    </row>
    <row r="21491" spans="1:14" x14ac:dyDescent="0.3">
      <c r="A21491" s="42"/>
      <c r="C21491" s="52"/>
      <c r="D21491"/>
      <c r="E21491"/>
      <c r="F21491"/>
      <c r="N21491" s="56"/>
    </row>
    <row r="21492" spans="1:14" x14ac:dyDescent="0.3">
      <c r="A21492" s="42"/>
      <c r="C21492" s="52"/>
      <c r="D21492"/>
      <c r="E21492"/>
      <c r="F21492"/>
      <c r="N21492" s="56"/>
    </row>
    <row r="21493" spans="1:14" x14ac:dyDescent="0.3">
      <c r="A21493" s="42"/>
      <c r="C21493" s="52"/>
      <c r="D21493"/>
      <c r="E21493"/>
      <c r="F21493"/>
      <c r="L21493" s="45"/>
      <c r="N21493" s="56"/>
    </row>
    <row r="21494" spans="1:14" x14ac:dyDescent="0.3">
      <c r="A21494" s="42"/>
      <c r="C21494" s="52"/>
      <c r="D21494"/>
      <c r="E21494"/>
      <c r="F21494"/>
      <c r="N21494" s="56"/>
    </row>
    <row r="21495" spans="1:14" x14ac:dyDescent="0.3">
      <c r="A21495" s="42"/>
      <c r="C21495" s="52"/>
      <c r="D21495"/>
      <c r="E21495"/>
      <c r="F21495"/>
      <c r="L21495" s="45"/>
      <c r="N21495" s="56"/>
    </row>
    <row r="21496" spans="1:14" x14ac:dyDescent="0.3">
      <c r="A21496" s="42"/>
      <c r="C21496" s="52"/>
      <c r="D21496"/>
      <c r="E21496"/>
      <c r="F21496"/>
      <c r="L21496" s="45"/>
      <c r="N21496" s="56"/>
    </row>
    <row r="21497" spans="1:14" x14ac:dyDescent="0.3">
      <c r="A21497" s="42"/>
      <c r="C21497" s="52"/>
      <c r="D21497"/>
      <c r="E21497"/>
      <c r="F21497"/>
      <c r="L21497" s="45"/>
      <c r="N21497" s="56"/>
    </row>
    <row r="21498" spans="1:14" x14ac:dyDescent="0.3">
      <c r="A21498" s="42"/>
      <c r="C21498" s="52"/>
      <c r="D21498"/>
      <c r="E21498"/>
      <c r="F21498"/>
      <c r="L21498" s="45"/>
      <c r="N21498" s="56"/>
    </row>
    <row r="21499" spans="1:14" x14ac:dyDescent="0.3">
      <c r="A21499" s="42"/>
      <c r="C21499" s="52"/>
      <c r="D21499"/>
      <c r="E21499"/>
      <c r="F21499"/>
      <c r="L21499" s="45"/>
      <c r="N21499" s="56"/>
    </row>
    <row r="21500" spans="1:14" x14ac:dyDescent="0.3">
      <c r="A21500" s="42"/>
      <c r="C21500" s="52"/>
      <c r="D21500"/>
      <c r="E21500"/>
      <c r="F21500"/>
      <c r="L21500" s="45"/>
      <c r="N21500" s="56"/>
    </row>
    <row r="21501" spans="1:14" x14ac:dyDescent="0.3">
      <c r="A21501" s="42"/>
      <c r="C21501" s="52"/>
      <c r="D21501"/>
      <c r="E21501"/>
      <c r="F21501"/>
      <c r="N21501" s="56"/>
    </row>
    <row r="21502" spans="1:14" x14ac:dyDescent="0.3">
      <c r="A21502" s="42"/>
      <c r="C21502" s="52"/>
      <c r="D21502"/>
      <c r="E21502"/>
      <c r="F21502"/>
      <c r="N21502" s="56"/>
    </row>
    <row r="21503" spans="1:14" x14ac:dyDescent="0.3">
      <c r="A21503" s="42"/>
      <c r="C21503" s="52"/>
      <c r="D21503"/>
      <c r="E21503"/>
      <c r="F21503"/>
      <c r="N21503" s="56"/>
    </row>
    <row r="21504" spans="1:14" x14ac:dyDescent="0.3">
      <c r="A21504" s="42"/>
      <c r="C21504" s="52"/>
      <c r="D21504"/>
      <c r="E21504"/>
      <c r="F21504"/>
      <c r="L21504" s="45"/>
      <c r="N21504" s="56"/>
    </row>
    <row r="21505" spans="1:14" x14ac:dyDescent="0.3">
      <c r="A21505" s="42"/>
      <c r="C21505" s="52"/>
      <c r="D21505"/>
      <c r="E21505"/>
      <c r="F21505"/>
      <c r="L21505" s="45"/>
      <c r="N21505" s="56"/>
    </row>
    <row r="21506" spans="1:14" x14ac:dyDescent="0.3">
      <c r="A21506" s="42"/>
      <c r="C21506" s="52"/>
      <c r="D21506"/>
      <c r="E21506"/>
      <c r="F21506"/>
      <c r="L21506" s="45"/>
      <c r="N21506" s="56"/>
    </row>
    <row r="21507" spans="1:14" x14ac:dyDescent="0.3">
      <c r="A21507" s="42"/>
      <c r="C21507" s="52"/>
      <c r="D21507"/>
      <c r="E21507"/>
      <c r="F21507"/>
      <c r="N21507" s="56"/>
    </row>
    <row r="21508" spans="1:14" x14ac:dyDescent="0.3">
      <c r="A21508" s="42"/>
      <c r="C21508" s="52"/>
      <c r="D21508"/>
      <c r="E21508"/>
      <c r="F21508"/>
      <c r="N21508" s="56"/>
    </row>
    <row r="21509" spans="1:14" x14ac:dyDescent="0.3">
      <c r="A21509" s="42"/>
      <c r="C21509" s="52"/>
      <c r="D21509"/>
      <c r="E21509"/>
      <c r="F21509"/>
      <c r="N21509" s="56"/>
    </row>
    <row r="21510" spans="1:14" x14ac:dyDescent="0.3">
      <c r="A21510" s="42"/>
      <c r="C21510" s="52"/>
      <c r="D21510"/>
      <c r="E21510"/>
      <c r="F21510"/>
      <c r="L21510" s="45"/>
      <c r="N21510" s="56"/>
    </row>
    <row r="21511" spans="1:14" x14ac:dyDescent="0.3">
      <c r="A21511" s="42"/>
      <c r="C21511" s="52"/>
      <c r="D21511"/>
      <c r="E21511"/>
      <c r="F21511"/>
      <c r="L21511" s="45"/>
      <c r="N21511" s="56"/>
    </row>
    <row r="21512" spans="1:14" x14ac:dyDescent="0.3">
      <c r="A21512" s="42"/>
      <c r="C21512" s="52"/>
      <c r="D21512"/>
      <c r="E21512"/>
      <c r="F21512"/>
      <c r="L21512" s="45"/>
      <c r="N21512" s="56"/>
    </row>
    <row r="21513" spans="1:14" x14ac:dyDescent="0.3">
      <c r="A21513" s="42"/>
      <c r="C21513" s="52"/>
      <c r="D21513"/>
      <c r="E21513"/>
      <c r="F21513"/>
      <c r="L21513" s="45"/>
      <c r="N21513" s="56"/>
    </row>
    <row r="21514" spans="1:14" x14ac:dyDescent="0.3">
      <c r="A21514" s="42"/>
      <c r="C21514" s="52"/>
      <c r="D21514"/>
      <c r="E21514"/>
      <c r="F21514"/>
      <c r="N21514" s="56"/>
    </row>
    <row r="21515" spans="1:14" x14ac:dyDescent="0.3">
      <c r="A21515" s="42"/>
      <c r="C21515" s="52"/>
      <c r="D21515"/>
      <c r="E21515"/>
      <c r="F21515"/>
      <c r="N21515" s="56"/>
    </row>
    <row r="21516" spans="1:14" x14ac:dyDescent="0.3">
      <c r="A21516" s="42"/>
      <c r="C21516" s="52"/>
      <c r="D21516"/>
      <c r="E21516"/>
      <c r="F21516"/>
      <c r="N21516" s="56"/>
    </row>
    <row r="21517" spans="1:14" x14ac:dyDescent="0.3">
      <c r="A21517" s="42"/>
      <c r="C21517" s="52"/>
      <c r="D21517"/>
      <c r="E21517"/>
      <c r="F21517"/>
      <c r="N21517" s="56"/>
    </row>
    <row r="21518" spans="1:14" x14ac:dyDescent="0.3">
      <c r="A21518" s="42"/>
      <c r="C21518" s="52"/>
      <c r="D21518"/>
      <c r="E21518"/>
      <c r="F21518"/>
      <c r="N21518" s="56"/>
    </row>
    <row r="21519" spans="1:14" x14ac:dyDescent="0.3">
      <c r="A21519" s="42"/>
      <c r="C21519" s="52"/>
      <c r="D21519"/>
      <c r="E21519"/>
      <c r="F21519"/>
      <c r="L21519" s="45"/>
      <c r="N21519" s="56"/>
    </row>
    <row r="21520" spans="1:14" x14ac:dyDescent="0.3">
      <c r="A21520" s="42"/>
      <c r="C21520" s="52"/>
      <c r="D21520"/>
      <c r="E21520"/>
      <c r="F21520"/>
      <c r="L21520" s="45"/>
      <c r="N21520" s="56"/>
    </row>
    <row r="21521" spans="1:14" x14ac:dyDescent="0.3">
      <c r="A21521" s="42"/>
      <c r="C21521" s="52"/>
      <c r="D21521"/>
      <c r="E21521"/>
      <c r="F21521"/>
      <c r="N21521" s="56"/>
    </row>
    <row r="21522" spans="1:14" x14ac:dyDescent="0.3">
      <c r="A21522" s="42"/>
      <c r="C21522" s="52"/>
      <c r="D21522"/>
      <c r="E21522"/>
      <c r="F21522"/>
      <c r="N21522" s="56"/>
    </row>
    <row r="21523" spans="1:14" x14ac:dyDescent="0.3">
      <c r="A21523" s="42"/>
      <c r="C21523" s="52"/>
      <c r="D21523"/>
      <c r="E21523"/>
      <c r="F21523"/>
      <c r="N21523" s="56"/>
    </row>
    <row r="21524" spans="1:14" x14ac:dyDescent="0.3">
      <c r="A21524" s="42"/>
      <c r="C21524" s="52"/>
      <c r="D21524"/>
      <c r="E21524"/>
      <c r="F21524"/>
      <c r="N21524" s="56"/>
    </row>
    <row r="21525" spans="1:14" x14ac:dyDescent="0.3">
      <c r="A21525" s="42"/>
      <c r="C21525" s="52"/>
      <c r="D21525"/>
      <c r="E21525"/>
      <c r="F21525"/>
      <c r="N21525" s="56"/>
    </row>
    <row r="21526" spans="1:14" x14ac:dyDescent="0.3">
      <c r="A21526" s="42"/>
      <c r="C21526" s="52"/>
      <c r="D21526"/>
      <c r="E21526"/>
      <c r="F21526"/>
      <c r="N21526" s="56"/>
    </row>
    <row r="21527" spans="1:14" x14ac:dyDescent="0.3">
      <c r="A21527" s="42"/>
      <c r="C21527" s="52"/>
      <c r="D21527"/>
      <c r="E21527"/>
      <c r="F21527"/>
      <c r="N21527" s="56"/>
    </row>
    <row r="21528" spans="1:14" x14ac:dyDescent="0.3">
      <c r="A21528" s="42"/>
      <c r="C21528" s="52"/>
      <c r="D21528"/>
      <c r="E21528"/>
      <c r="F21528"/>
      <c r="N21528" s="56"/>
    </row>
    <row r="21529" spans="1:14" x14ac:dyDescent="0.3">
      <c r="A21529" s="42"/>
      <c r="C21529" s="52"/>
      <c r="D21529"/>
      <c r="E21529"/>
      <c r="F21529"/>
      <c r="N21529" s="56"/>
    </row>
    <row r="21530" spans="1:14" x14ac:dyDescent="0.3">
      <c r="A21530" s="42"/>
      <c r="C21530" s="52"/>
      <c r="D21530"/>
      <c r="E21530"/>
      <c r="F21530"/>
      <c r="N21530" s="56"/>
    </row>
    <row r="21531" spans="1:14" x14ac:dyDescent="0.3">
      <c r="A21531" s="42"/>
      <c r="C21531" s="52"/>
      <c r="D21531"/>
      <c r="E21531"/>
      <c r="F21531"/>
      <c r="N21531" s="56"/>
    </row>
    <row r="21532" spans="1:14" x14ac:dyDescent="0.3">
      <c r="A21532" s="42"/>
      <c r="C21532" s="52"/>
      <c r="D21532"/>
      <c r="E21532"/>
      <c r="F21532"/>
      <c r="N21532" s="56"/>
    </row>
    <row r="21533" spans="1:14" x14ac:dyDescent="0.3">
      <c r="A21533" s="42"/>
      <c r="C21533" s="52"/>
      <c r="D21533"/>
      <c r="E21533"/>
      <c r="F21533"/>
      <c r="N21533" s="56"/>
    </row>
    <row r="21534" spans="1:14" x14ac:dyDescent="0.3">
      <c r="A21534" s="42"/>
      <c r="C21534" s="52"/>
      <c r="D21534"/>
      <c r="E21534"/>
      <c r="F21534"/>
      <c r="N21534" s="56"/>
    </row>
    <row r="21535" spans="1:14" x14ac:dyDescent="0.3">
      <c r="A21535" s="42"/>
      <c r="C21535" s="52"/>
      <c r="D21535"/>
      <c r="E21535"/>
      <c r="F21535"/>
      <c r="L21535" s="45"/>
      <c r="N21535" s="56"/>
    </row>
    <row r="21536" spans="1:14" x14ac:dyDescent="0.3">
      <c r="A21536" s="42"/>
      <c r="C21536" s="52"/>
      <c r="D21536"/>
      <c r="E21536"/>
      <c r="F21536"/>
      <c r="N21536" s="56"/>
    </row>
    <row r="21537" spans="1:14" x14ac:dyDescent="0.3">
      <c r="A21537" s="42"/>
      <c r="C21537" s="52"/>
      <c r="D21537"/>
      <c r="E21537"/>
      <c r="F21537"/>
      <c r="N21537" s="56"/>
    </row>
    <row r="21538" spans="1:14" x14ac:dyDescent="0.3">
      <c r="A21538" s="42"/>
      <c r="C21538" s="52"/>
      <c r="D21538"/>
      <c r="E21538"/>
      <c r="F21538"/>
      <c r="N21538" s="56"/>
    </row>
    <row r="21539" spans="1:14" x14ac:dyDescent="0.3">
      <c r="A21539" s="42"/>
      <c r="C21539" s="52"/>
      <c r="D21539"/>
      <c r="E21539"/>
      <c r="F21539"/>
      <c r="N21539" s="56"/>
    </row>
    <row r="21540" spans="1:14" x14ac:dyDescent="0.3">
      <c r="A21540" s="42"/>
      <c r="C21540" s="52"/>
      <c r="D21540"/>
      <c r="E21540"/>
      <c r="F21540"/>
      <c r="N21540" s="56"/>
    </row>
    <row r="21541" spans="1:14" x14ac:dyDescent="0.3">
      <c r="A21541" s="42"/>
      <c r="C21541" s="52"/>
      <c r="D21541"/>
      <c r="E21541"/>
      <c r="F21541"/>
      <c r="N21541" s="56"/>
    </row>
    <row r="21542" spans="1:14" x14ac:dyDescent="0.3">
      <c r="A21542" s="42"/>
      <c r="C21542" s="52"/>
      <c r="D21542"/>
      <c r="E21542"/>
      <c r="F21542"/>
      <c r="N21542" s="56"/>
    </row>
    <row r="21543" spans="1:14" x14ac:dyDescent="0.3">
      <c r="A21543" s="42"/>
      <c r="C21543" s="52"/>
      <c r="D21543"/>
      <c r="E21543"/>
      <c r="F21543"/>
      <c r="N21543" s="56"/>
    </row>
    <row r="21544" spans="1:14" x14ac:dyDescent="0.3">
      <c r="A21544" s="42"/>
      <c r="C21544" s="52"/>
      <c r="D21544"/>
      <c r="E21544"/>
      <c r="F21544"/>
      <c r="N21544" s="56"/>
    </row>
    <row r="21545" spans="1:14" x14ac:dyDescent="0.3">
      <c r="A21545" s="42"/>
      <c r="C21545" s="52"/>
      <c r="D21545"/>
      <c r="E21545"/>
      <c r="F21545"/>
      <c r="L21545" s="45"/>
      <c r="N21545" s="56"/>
    </row>
    <row r="21546" spans="1:14" x14ac:dyDescent="0.3">
      <c r="A21546" s="42"/>
      <c r="C21546" s="52"/>
      <c r="D21546"/>
      <c r="E21546"/>
      <c r="F21546"/>
      <c r="N21546" s="56"/>
    </row>
    <row r="21547" spans="1:14" x14ac:dyDescent="0.3">
      <c r="A21547" s="42"/>
      <c r="C21547" s="52"/>
      <c r="D21547"/>
      <c r="E21547"/>
      <c r="F21547"/>
      <c r="L21547" s="45"/>
      <c r="N21547" s="56"/>
    </row>
    <row r="21548" spans="1:14" x14ac:dyDescent="0.3">
      <c r="A21548" s="42"/>
      <c r="C21548" s="52"/>
      <c r="D21548"/>
      <c r="E21548"/>
      <c r="F21548"/>
      <c r="L21548" s="45"/>
      <c r="N21548" s="56"/>
    </row>
    <row r="21549" spans="1:14" x14ac:dyDescent="0.3">
      <c r="A21549" s="42"/>
      <c r="C21549" s="52"/>
      <c r="D21549"/>
      <c r="E21549"/>
      <c r="F21549"/>
      <c r="N21549" s="56"/>
    </row>
    <row r="21550" spans="1:14" x14ac:dyDescent="0.3">
      <c r="A21550" s="42"/>
      <c r="C21550" s="52"/>
      <c r="D21550"/>
      <c r="E21550"/>
      <c r="F21550"/>
      <c r="N21550" s="56"/>
    </row>
    <row r="21551" spans="1:14" x14ac:dyDescent="0.3">
      <c r="A21551" s="42"/>
      <c r="C21551" s="52"/>
      <c r="D21551"/>
      <c r="E21551"/>
      <c r="F21551"/>
      <c r="N21551" s="56"/>
    </row>
    <row r="21552" spans="1:14" x14ac:dyDescent="0.3">
      <c r="A21552" s="42"/>
      <c r="C21552" s="52"/>
      <c r="D21552"/>
      <c r="E21552"/>
      <c r="F21552"/>
      <c r="N21552" s="56"/>
    </row>
    <row r="21553" spans="1:14" x14ac:dyDescent="0.3">
      <c r="A21553" s="42"/>
      <c r="C21553" s="52"/>
      <c r="D21553"/>
      <c r="E21553"/>
      <c r="F21553"/>
      <c r="N21553" s="56"/>
    </row>
    <row r="21554" spans="1:14" x14ac:dyDescent="0.3">
      <c r="A21554" s="42"/>
      <c r="C21554" s="52"/>
      <c r="D21554"/>
      <c r="E21554"/>
      <c r="F21554"/>
      <c r="N21554" s="56"/>
    </row>
    <row r="21555" spans="1:14" x14ac:dyDescent="0.3">
      <c r="A21555" s="42"/>
      <c r="C21555" s="52"/>
      <c r="D21555"/>
      <c r="E21555"/>
      <c r="F21555"/>
      <c r="N21555" s="56"/>
    </row>
    <row r="21556" spans="1:14" x14ac:dyDescent="0.3">
      <c r="A21556" s="42"/>
      <c r="C21556" s="52"/>
      <c r="D21556"/>
      <c r="E21556"/>
      <c r="F21556"/>
      <c r="N21556" s="56"/>
    </row>
    <row r="21557" spans="1:14" x14ac:dyDescent="0.3">
      <c r="A21557" s="42"/>
      <c r="C21557" s="52"/>
      <c r="D21557"/>
      <c r="E21557"/>
      <c r="F21557"/>
      <c r="N21557" s="56"/>
    </row>
    <row r="21558" spans="1:14" x14ac:dyDescent="0.3">
      <c r="A21558" s="42"/>
      <c r="C21558" s="52"/>
      <c r="D21558"/>
      <c r="E21558"/>
      <c r="F21558"/>
      <c r="N21558" s="56"/>
    </row>
    <row r="21559" spans="1:14" x14ac:dyDescent="0.3">
      <c r="A21559" s="42"/>
      <c r="C21559" s="52"/>
      <c r="D21559"/>
      <c r="E21559"/>
      <c r="F21559"/>
      <c r="N21559" s="56"/>
    </row>
    <row r="21560" spans="1:14" x14ac:dyDescent="0.3">
      <c r="A21560" s="42"/>
      <c r="C21560" s="52"/>
      <c r="D21560"/>
      <c r="E21560"/>
      <c r="F21560"/>
      <c r="N21560" s="56"/>
    </row>
    <row r="21561" spans="1:14" x14ac:dyDescent="0.3">
      <c r="A21561" s="42"/>
      <c r="C21561" s="52"/>
      <c r="D21561"/>
      <c r="E21561"/>
      <c r="F21561"/>
      <c r="N21561" s="56"/>
    </row>
    <row r="21562" spans="1:14" x14ac:dyDescent="0.3">
      <c r="A21562" s="42"/>
      <c r="C21562" s="52"/>
      <c r="D21562"/>
      <c r="E21562"/>
      <c r="F21562"/>
      <c r="N21562" s="56"/>
    </row>
    <row r="21563" spans="1:14" x14ac:dyDescent="0.3">
      <c r="A21563" s="42"/>
      <c r="C21563" s="52"/>
      <c r="D21563"/>
      <c r="E21563"/>
      <c r="F21563"/>
      <c r="N21563" s="56"/>
    </row>
    <row r="21564" spans="1:14" x14ac:dyDescent="0.3">
      <c r="A21564" s="42"/>
      <c r="C21564" s="52"/>
      <c r="D21564"/>
      <c r="E21564"/>
      <c r="F21564"/>
      <c r="L21564" s="45"/>
      <c r="N21564" s="56"/>
    </row>
    <row r="21565" spans="1:14" x14ac:dyDescent="0.3">
      <c r="A21565" s="42"/>
      <c r="C21565" s="52"/>
      <c r="D21565"/>
      <c r="E21565"/>
      <c r="F21565"/>
      <c r="N21565" s="56"/>
    </row>
    <row r="21566" spans="1:14" x14ac:dyDescent="0.3">
      <c r="A21566" s="42"/>
      <c r="C21566" s="52"/>
      <c r="D21566"/>
      <c r="E21566"/>
      <c r="F21566"/>
      <c r="N21566" s="56"/>
    </row>
    <row r="21567" spans="1:14" x14ac:dyDescent="0.3">
      <c r="A21567" s="42"/>
      <c r="C21567" s="52"/>
      <c r="D21567"/>
      <c r="E21567"/>
      <c r="F21567"/>
      <c r="N21567" s="56"/>
    </row>
    <row r="21568" spans="1:14" x14ac:dyDescent="0.3">
      <c r="A21568" s="42"/>
      <c r="C21568" s="52"/>
      <c r="D21568"/>
      <c r="E21568"/>
      <c r="F21568"/>
      <c r="N21568" s="56"/>
    </row>
    <row r="21569" spans="1:14" x14ac:dyDescent="0.3">
      <c r="A21569" s="42"/>
      <c r="C21569" s="52"/>
      <c r="D21569"/>
      <c r="E21569"/>
      <c r="F21569"/>
      <c r="N21569" s="56"/>
    </row>
    <row r="21570" spans="1:14" x14ac:dyDescent="0.3">
      <c r="A21570" s="42"/>
      <c r="C21570" s="52"/>
      <c r="D21570"/>
      <c r="E21570"/>
      <c r="F21570"/>
      <c r="N21570" s="56"/>
    </row>
    <row r="21571" spans="1:14" x14ac:dyDescent="0.3">
      <c r="A21571" s="42"/>
      <c r="C21571" s="52"/>
      <c r="D21571"/>
      <c r="E21571"/>
      <c r="F21571"/>
      <c r="N21571" s="56"/>
    </row>
    <row r="21572" spans="1:14" x14ac:dyDescent="0.3">
      <c r="A21572" s="42"/>
      <c r="C21572" s="52"/>
      <c r="D21572"/>
      <c r="E21572"/>
      <c r="F21572"/>
      <c r="L21572" s="45"/>
      <c r="N21572" s="56"/>
    </row>
    <row r="21573" spans="1:14" x14ac:dyDescent="0.3">
      <c r="A21573" s="42"/>
      <c r="C21573" s="52"/>
      <c r="D21573"/>
      <c r="E21573"/>
      <c r="F21573"/>
      <c r="N21573" s="56"/>
    </row>
    <row r="21574" spans="1:14" x14ac:dyDescent="0.3">
      <c r="A21574" s="42"/>
      <c r="C21574" s="52"/>
      <c r="D21574"/>
      <c r="E21574"/>
      <c r="F21574"/>
      <c r="N21574" s="56"/>
    </row>
    <row r="21575" spans="1:14" x14ac:dyDescent="0.3">
      <c r="A21575" s="42"/>
      <c r="C21575" s="52"/>
      <c r="D21575"/>
      <c r="E21575"/>
      <c r="F21575"/>
      <c r="N21575" s="56"/>
    </row>
    <row r="21576" spans="1:14" x14ac:dyDescent="0.3">
      <c r="A21576" s="42"/>
      <c r="C21576" s="52"/>
      <c r="D21576"/>
      <c r="E21576"/>
      <c r="F21576"/>
      <c r="L21576" s="45"/>
      <c r="N21576" s="56"/>
    </row>
    <row r="21577" spans="1:14" x14ac:dyDescent="0.3">
      <c r="A21577" s="42"/>
      <c r="C21577" s="52"/>
      <c r="D21577"/>
      <c r="E21577"/>
      <c r="F21577"/>
      <c r="N21577" s="56"/>
    </row>
    <row r="21578" spans="1:14" x14ac:dyDescent="0.3">
      <c r="A21578" s="42"/>
      <c r="C21578" s="52"/>
      <c r="D21578"/>
      <c r="E21578"/>
      <c r="F21578"/>
      <c r="N21578" s="56"/>
    </row>
    <row r="21579" spans="1:14" x14ac:dyDescent="0.3">
      <c r="A21579" s="42"/>
      <c r="C21579" s="52"/>
      <c r="D21579"/>
      <c r="E21579"/>
      <c r="F21579"/>
      <c r="N21579" s="56"/>
    </row>
    <row r="21580" spans="1:14" x14ac:dyDescent="0.3">
      <c r="A21580" s="42"/>
      <c r="C21580" s="52"/>
      <c r="D21580"/>
      <c r="E21580"/>
      <c r="F21580"/>
      <c r="N21580" s="56"/>
    </row>
    <row r="21581" spans="1:14" x14ac:dyDescent="0.3">
      <c r="A21581" s="42"/>
      <c r="C21581" s="52"/>
      <c r="D21581"/>
      <c r="E21581"/>
      <c r="F21581"/>
      <c r="N21581" s="56"/>
    </row>
    <row r="21582" spans="1:14" x14ac:dyDescent="0.3">
      <c r="A21582" s="42"/>
      <c r="C21582" s="52"/>
      <c r="D21582"/>
      <c r="E21582"/>
      <c r="F21582"/>
      <c r="N21582" s="56"/>
    </row>
    <row r="21583" spans="1:14" x14ac:dyDescent="0.3">
      <c r="A21583" s="42"/>
      <c r="C21583" s="52"/>
      <c r="D21583"/>
      <c r="E21583"/>
      <c r="F21583"/>
      <c r="N21583" s="56"/>
    </row>
    <row r="21584" spans="1:14" x14ac:dyDescent="0.3">
      <c r="A21584" s="42"/>
      <c r="C21584" s="52"/>
      <c r="D21584"/>
      <c r="E21584"/>
      <c r="F21584"/>
      <c r="N21584" s="56"/>
    </row>
    <row r="21585" spans="1:14" x14ac:dyDescent="0.3">
      <c r="A21585" s="42"/>
      <c r="C21585" s="52"/>
      <c r="D21585"/>
      <c r="E21585"/>
      <c r="F21585"/>
      <c r="N21585" s="56"/>
    </row>
    <row r="21586" spans="1:14" x14ac:dyDescent="0.3">
      <c r="A21586" s="42"/>
      <c r="C21586" s="52"/>
      <c r="D21586"/>
      <c r="E21586"/>
      <c r="F21586"/>
      <c r="N21586" s="56"/>
    </row>
    <row r="21587" spans="1:14" x14ac:dyDescent="0.3">
      <c r="A21587" s="42"/>
      <c r="C21587" s="52"/>
      <c r="D21587"/>
      <c r="E21587"/>
      <c r="F21587"/>
      <c r="N21587" s="56"/>
    </row>
    <row r="21588" spans="1:14" x14ac:dyDescent="0.3">
      <c r="A21588" s="42"/>
      <c r="C21588" s="52"/>
      <c r="D21588"/>
      <c r="E21588"/>
      <c r="F21588"/>
      <c r="N21588" s="56"/>
    </row>
    <row r="21589" spans="1:14" x14ac:dyDescent="0.3">
      <c r="A21589" s="42"/>
      <c r="C21589" s="52"/>
      <c r="D21589"/>
      <c r="E21589"/>
      <c r="F21589"/>
      <c r="L21589" s="45"/>
      <c r="N21589" s="56"/>
    </row>
    <row r="21590" spans="1:14" x14ac:dyDescent="0.3">
      <c r="A21590" s="42"/>
      <c r="C21590" s="52"/>
      <c r="D21590"/>
      <c r="E21590"/>
      <c r="F21590"/>
      <c r="L21590" s="45"/>
      <c r="N21590" s="56"/>
    </row>
    <row r="21591" spans="1:14" x14ac:dyDescent="0.3">
      <c r="A21591" s="42"/>
      <c r="C21591" s="52"/>
      <c r="D21591"/>
      <c r="E21591"/>
      <c r="F21591"/>
      <c r="N21591" s="56"/>
    </row>
    <row r="21592" spans="1:14" x14ac:dyDescent="0.3">
      <c r="A21592" s="42"/>
      <c r="C21592" s="52"/>
      <c r="D21592"/>
      <c r="E21592"/>
      <c r="F21592"/>
      <c r="N21592" s="56"/>
    </row>
    <row r="21593" spans="1:14" x14ac:dyDescent="0.3">
      <c r="A21593" s="42"/>
      <c r="C21593" s="52"/>
      <c r="D21593"/>
      <c r="E21593"/>
      <c r="F21593"/>
      <c r="N21593" s="56"/>
    </row>
    <row r="21594" spans="1:14" x14ac:dyDescent="0.3">
      <c r="A21594" s="42"/>
      <c r="C21594" s="52"/>
      <c r="D21594"/>
      <c r="E21594"/>
      <c r="F21594"/>
      <c r="N21594" s="56"/>
    </row>
    <row r="21595" spans="1:14" x14ac:dyDescent="0.3">
      <c r="A21595" s="42"/>
      <c r="C21595" s="52"/>
      <c r="D21595"/>
      <c r="E21595"/>
      <c r="F21595"/>
      <c r="N21595" s="56"/>
    </row>
    <row r="21596" spans="1:14" x14ac:dyDescent="0.3">
      <c r="A21596" s="42"/>
      <c r="C21596" s="52"/>
      <c r="D21596"/>
      <c r="E21596"/>
      <c r="F21596"/>
      <c r="N21596" s="56"/>
    </row>
    <row r="21597" spans="1:14" x14ac:dyDescent="0.3">
      <c r="A21597" s="42"/>
      <c r="C21597" s="52"/>
      <c r="D21597"/>
      <c r="E21597"/>
      <c r="F21597"/>
      <c r="N21597" s="56"/>
    </row>
    <row r="21598" spans="1:14" x14ac:dyDescent="0.3">
      <c r="A21598" s="42"/>
      <c r="C21598" s="52"/>
      <c r="D21598"/>
      <c r="E21598"/>
      <c r="F21598"/>
      <c r="N21598" s="56"/>
    </row>
    <row r="21599" spans="1:14" x14ac:dyDescent="0.3">
      <c r="A21599" s="42"/>
      <c r="C21599" s="52"/>
      <c r="D21599"/>
      <c r="E21599"/>
      <c r="F21599"/>
      <c r="N21599" s="56"/>
    </row>
    <row r="21600" spans="1:14" x14ac:dyDescent="0.3">
      <c r="A21600" s="42"/>
      <c r="C21600" s="52"/>
      <c r="D21600"/>
      <c r="E21600"/>
      <c r="F21600"/>
      <c r="N21600" s="56"/>
    </row>
    <row r="21601" spans="1:14" x14ac:dyDescent="0.3">
      <c r="A21601" s="42"/>
      <c r="C21601" s="52"/>
      <c r="D21601"/>
      <c r="E21601"/>
      <c r="F21601"/>
      <c r="N21601" s="56"/>
    </row>
    <row r="21602" spans="1:14" x14ac:dyDescent="0.3">
      <c r="A21602" s="42"/>
      <c r="C21602" s="52"/>
      <c r="D21602"/>
      <c r="E21602"/>
      <c r="F21602"/>
      <c r="N21602" s="56"/>
    </row>
    <row r="21603" spans="1:14" x14ac:dyDescent="0.3">
      <c r="A21603" s="42"/>
      <c r="C21603" s="52"/>
      <c r="D21603"/>
      <c r="E21603"/>
      <c r="F21603"/>
      <c r="N21603" s="56"/>
    </row>
    <row r="21604" spans="1:14" x14ac:dyDescent="0.3">
      <c r="A21604" s="42"/>
      <c r="C21604" s="52"/>
      <c r="D21604"/>
      <c r="E21604"/>
      <c r="F21604"/>
      <c r="N21604" s="56"/>
    </row>
    <row r="21605" spans="1:14" x14ac:dyDescent="0.3">
      <c r="A21605" s="42"/>
      <c r="C21605" s="52"/>
      <c r="D21605"/>
      <c r="E21605"/>
      <c r="F21605"/>
      <c r="L21605" s="45"/>
      <c r="N21605" s="56"/>
    </row>
    <row r="21606" spans="1:14" x14ac:dyDescent="0.3">
      <c r="A21606" s="42"/>
      <c r="C21606" s="52"/>
      <c r="D21606"/>
      <c r="E21606"/>
      <c r="F21606"/>
      <c r="N21606" s="56"/>
    </row>
    <row r="21607" spans="1:14" x14ac:dyDescent="0.3">
      <c r="A21607" s="42"/>
      <c r="C21607" s="52"/>
      <c r="D21607"/>
      <c r="E21607"/>
      <c r="F21607"/>
      <c r="L21607" s="45"/>
      <c r="N21607" s="56"/>
    </row>
    <row r="21608" spans="1:14" x14ac:dyDescent="0.3">
      <c r="A21608" s="42"/>
      <c r="C21608" s="52"/>
      <c r="D21608"/>
      <c r="E21608"/>
      <c r="F21608"/>
      <c r="N21608" s="56"/>
    </row>
    <row r="21609" spans="1:14" x14ac:dyDescent="0.3">
      <c r="A21609" s="42"/>
      <c r="C21609" s="52"/>
      <c r="D21609"/>
      <c r="E21609"/>
      <c r="F21609"/>
      <c r="N21609" s="56"/>
    </row>
    <row r="21610" spans="1:14" x14ac:dyDescent="0.3">
      <c r="A21610" s="42"/>
      <c r="C21610" s="52"/>
      <c r="D21610"/>
      <c r="E21610"/>
      <c r="F21610"/>
      <c r="N21610" s="56"/>
    </row>
    <row r="21611" spans="1:14" x14ac:dyDescent="0.3">
      <c r="A21611" s="42"/>
      <c r="C21611" s="52"/>
      <c r="D21611"/>
      <c r="E21611"/>
      <c r="F21611"/>
      <c r="N21611" s="56"/>
    </row>
    <row r="21612" spans="1:14" x14ac:dyDescent="0.3">
      <c r="A21612" s="42"/>
      <c r="C21612" s="52"/>
      <c r="D21612"/>
      <c r="E21612"/>
      <c r="F21612"/>
      <c r="N21612" s="56"/>
    </row>
    <row r="21613" spans="1:14" x14ac:dyDescent="0.3">
      <c r="A21613" s="42"/>
      <c r="C21613" s="52"/>
      <c r="D21613"/>
      <c r="E21613"/>
      <c r="F21613"/>
      <c r="L21613" s="45"/>
      <c r="N21613" s="56"/>
    </row>
    <row r="21614" spans="1:14" x14ac:dyDescent="0.3">
      <c r="A21614" s="42"/>
      <c r="C21614" s="52"/>
      <c r="D21614"/>
      <c r="E21614"/>
      <c r="F21614"/>
      <c r="N21614" s="56"/>
    </row>
    <row r="21615" spans="1:14" x14ac:dyDescent="0.3">
      <c r="A21615" s="42"/>
      <c r="C21615" s="52"/>
      <c r="D21615"/>
      <c r="E21615"/>
      <c r="F21615"/>
      <c r="N21615" s="56"/>
    </row>
    <row r="21616" spans="1:14" x14ac:dyDescent="0.3">
      <c r="A21616" s="42"/>
      <c r="C21616" s="52"/>
      <c r="D21616"/>
      <c r="E21616"/>
      <c r="F21616"/>
      <c r="N21616" s="56"/>
    </row>
    <row r="21617" spans="1:14" x14ac:dyDescent="0.3">
      <c r="A21617" s="42"/>
      <c r="C21617" s="52"/>
      <c r="D21617"/>
      <c r="E21617"/>
      <c r="F21617"/>
      <c r="N21617" s="56"/>
    </row>
    <row r="21618" spans="1:14" x14ac:dyDescent="0.3">
      <c r="A21618" s="42"/>
      <c r="C21618" s="52"/>
      <c r="D21618"/>
      <c r="E21618"/>
      <c r="F21618"/>
      <c r="N21618" s="56"/>
    </row>
    <row r="21619" spans="1:14" x14ac:dyDescent="0.3">
      <c r="A21619" s="42"/>
      <c r="C21619" s="52"/>
      <c r="D21619"/>
      <c r="E21619"/>
      <c r="F21619"/>
      <c r="N21619" s="56"/>
    </row>
    <row r="21620" spans="1:14" x14ac:dyDescent="0.3">
      <c r="A21620" s="42"/>
      <c r="C21620" s="52"/>
      <c r="D21620"/>
      <c r="E21620"/>
      <c r="F21620"/>
      <c r="N21620" s="56"/>
    </row>
    <row r="21621" spans="1:14" x14ac:dyDescent="0.3">
      <c r="A21621" s="42"/>
      <c r="C21621" s="52"/>
      <c r="D21621"/>
      <c r="E21621"/>
      <c r="F21621"/>
      <c r="N21621" s="56"/>
    </row>
    <row r="21622" spans="1:14" x14ac:dyDescent="0.3">
      <c r="A21622" s="42"/>
      <c r="C21622" s="52"/>
      <c r="D21622"/>
      <c r="E21622"/>
      <c r="F21622"/>
      <c r="N21622" s="56"/>
    </row>
    <row r="21623" spans="1:14" x14ac:dyDescent="0.3">
      <c r="A21623" s="42"/>
      <c r="C21623" s="52"/>
      <c r="D21623"/>
      <c r="E21623"/>
      <c r="F21623"/>
      <c r="N21623" s="56"/>
    </row>
    <row r="21624" spans="1:14" x14ac:dyDescent="0.3">
      <c r="A21624" s="42"/>
      <c r="C21624" s="52"/>
      <c r="D21624"/>
      <c r="E21624"/>
      <c r="F21624"/>
      <c r="N21624" s="56"/>
    </row>
    <row r="21625" spans="1:14" x14ac:dyDescent="0.3">
      <c r="A21625" s="42"/>
      <c r="C21625" s="52"/>
      <c r="D21625"/>
      <c r="E21625"/>
      <c r="F21625"/>
      <c r="N21625" s="56"/>
    </row>
    <row r="21626" spans="1:14" x14ac:dyDescent="0.3">
      <c r="A21626" s="42"/>
      <c r="C21626" s="52"/>
      <c r="D21626"/>
      <c r="E21626"/>
      <c r="F21626"/>
      <c r="N21626" s="56"/>
    </row>
    <row r="21627" spans="1:14" x14ac:dyDescent="0.3">
      <c r="A21627" s="42"/>
      <c r="C21627" s="52"/>
      <c r="D21627"/>
      <c r="E21627"/>
      <c r="F21627"/>
      <c r="N21627" s="56"/>
    </row>
    <row r="21628" spans="1:14" x14ac:dyDescent="0.3">
      <c r="A21628" s="42"/>
      <c r="C21628" s="52"/>
      <c r="D21628"/>
      <c r="E21628"/>
      <c r="F21628"/>
      <c r="N21628" s="56"/>
    </row>
    <row r="21629" spans="1:14" x14ac:dyDescent="0.3">
      <c r="A21629" s="42"/>
      <c r="C21629" s="52"/>
      <c r="D21629"/>
      <c r="E21629"/>
      <c r="F21629"/>
      <c r="N21629" s="56"/>
    </row>
    <row r="21630" spans="1:14" x14ac:dyDescent="0.3">
      <c r="A21630" s="42"/>
      <c r="C21630" s="52"/>
      <c r="D21630"/>
      <c r="E21630"/>
      <c r="F21630"/>
      <c r="N21630" s="56"/>
    </row>
    <row r="21631" spans="1:14" x14ac:dyDescent="0.3">
      <c r="A21631" s="42"/>
      <c r="C21631" s="52"/>
      <c r="D21631"/>
      <c r="E21631"/>
      <c r="F21631"/>
      <c r="N21631" s="56"/>
    </row>
    <row r="21632" spans="1:14" x14ac:dyDescent="0.3">
      <c r="A21632" s="42"/>
      <c r="C21632" s="52"/>
      <c r="D21632"/>
      <c r="E21632"/>
      <c r="F21632"/>
      <c r="N21632" s="56"/>
    </row>
    <row r="21633" spans="1:14" x14ac:dyDescent="0.3">
      <c r="A21633" s="42"/>
      <c r="C21633" s="52"/>
      <c r="D21633"/>
      <c r="E21633"/>
      <c r="F21633"/>
      <c r="N21633" s="56"/>
    </row>
    <row r="21634" spans="1:14" x14ac:dyDescent="0.3">
      <c r="A21634" s="42"/>
      <c r="C21634" s="52"/>
      <c r="D21634"/>
      <c r="E21634"/>
      <c r="F21634"/>
      <c r="N21634" s="56"/>
    </row>
    <row r="21635" spans="1:14" x14ac:dyDescent="0.3">
      <c r="A21635" s="42"/>
      <c r="C21635" s="52"/>
      <c r="D21635"/>
      <c r="E21635"/>
      <c r="F21635"/>
      <c r="N21635" s="56"/>
    </row>
    <row r="21636" spans="1:14" x14ac:dyDescent="0.3">
      <c r="A21636" s="42"/>
      <c r="C21636" s="52"/>
      <c r="D21636"/>
      <c r="E21636"/>
      <c r="F21636"/>
      <c r="N21636" s="56"/>
    </row>
    <row r="21637" spans="1:14" x14ac:dyDescent="0.3">
      <c r="A21637" s="42"/>
      <c r="C21637" s="52"/>
      <c r="D21637"/>
      <c r="E21637"/>
      <c r="F21637"/>
      <c r="N21637" s="56"/>
    </row>
    <row r="21638" spans="1:14" x14ac:dyDescent="0.3">
      <c r="A21638" s="42"/>
      <c r="C21638" s="52"/>
      <c r="D21638"/>
      <c r="E21638"/>
      <c r="F21638"/>
      <c r="N21638" s="56"/>
    </row>
    <row r="21639" spans="1:14" x14ac:dyDescent="0.3">
      <c r="A21639" s="42"/>
      <c r="C21639" s="52"/>
      <c r="D21639"/>
      <c r="E21639"/>
      <c r="F21639"/>
      <c r="N21639" s="56"/>
    </row>
    <row r="21640" spans="1:14" x14ac:dyDescent="0.3">
      <c r="A21640" s="42"/>
      <c r="C21640" s="52"/>
      <c r="D21640"/>
      <c r="E21640"/>
      <c r="F21640"/>
      <c r="N21640" s="56"/>
    </row>
    <row r="21641" spans="1:14" x14ac:dyDescent="0.3">
      <c r="A21641" s="42"/>
      <c r="C21641" s="52"/>
      <c r="D21641"/>
      <c r="E21641"/>
      <c r="F21641"/>
      <c r="L21641" s="45"/>
      <c r="N21641" s="56"/>
    </row>
    <row r="21642" spans="1:14" x14ac:dyDescent="0.3">
      <c r="A21642" s="42"/>
      <c r="C21642" s="52"/>
      <c r="D21642"/>
      <c r="E21642"/>
      <c r="F21642"/>
      <c r="N21642" s="56"/>
    </row>
    <row r="21643" spans="1:14" x14ac:dyDescent="0.3">
      <c r="A21643" s="42"/>
      <c r="C21643" s="52"/>
      <c r="D21643"/>
      <c r="E21643"/>
      <c r="F21643"/>
      <c r="N21643" s="56"/>
    </row>
    <row r="21644" spans="1:14" x14ac:dyDescent="0.3">
      <c r="A21644" s="42"/>
      <c r="C21644" s="52"/>
      <c r="D21644"/>
      <c r="E21644"/>
      <c r="F21644"/>
      <c r="N21644" s="56"/>
    </row>
    <row r="21645" spans="1:14" x14ac:dyDescent="0.3">
      <c r="A21645" s="42"/>
      <c r="C21645" s="52"/>
      <c r="D21645"/>
      <c r="E21645"/>
      <c r="F21645"/>
      <c r="N21645" s="56"/>
    </row>
    <row r="21646" spans="1:14" x14ac:dyDescent="0.3">
      <c r="A21646" s="42"/>
      <c r="C21646" s="52"/>
      <c r="D21646"/>
      <c r="E21646"/>
      <c r="F21646"/>
      <c r="N21646" s="56"/>
    </row>
    <row r="21647" spans="1:14" x14ac:dyDescent="0.3">
      <c r="A21647" s="42"/>
      <c r="C21647" s="52"/>
      <c r="D21647"/>
      <c r="E21647"/>
      <c r="F21647"/>
      <c r="N21647" s="56"/>
    </row>
    <row r="21648" spans="1:14" x14ac:dyDescent="0.3">
      <c r="A21648" s="42"/>
      <c r="C21648" s="52"/>
      <c r="D21648"/>
      <c r="E21648"/>
      <c r="F21648"/>
      <c r="N21648" s="56"/>
    </row>
    <row r="21649" spans="1:14" x14ac:dyDescent="0.3">
      <c r="A21649" s="42"/>
      <c r="C21649" s="52"/>
      <c r="D21649"/>
      <c r="E21649"/>
      <c r="F21649"/>
      <c r="N21649" s="56"/>
    </row>
    <row r="21650" spans="1:14" x14ac:dyDescent="0.3">
      <c r="A21650" s="42"/>
      <c r="C21650" s="52"/>
      <c r="D21650"/>
      <c r="E21650"/>
      <c r="F21650"/>
      <c r="N21650" s="56"/>
    </row>
    <row r="21651" spans="1:14" x14ac:dyDescent="0.3">
      <c r="A21651" s="42"/>
      <c r="C21651" s="52"/>
      <c r="D21651"/>
      <c r="E21651"/>
      <c r="F21651"/>
      <c r="N21651" s="56"/>
    </row>
    <row r="21652" spans="1:14" x14ac:dyDescent="0.3">
      <c r="A21652" s="42"/>
      <c r="C21652" s="52"/>
      <c r="D21652"/>
      <c r="E21652"/>
      <c r="F21652"/>
      <c r="N21652" s="56"/>
    </row>
    <row r="21653" spans="1:14" x14ac:dyDescent="0.3">
      <c r="A21653" s="42"/>
      <c r="C21653" s="52"/>
      <c r="D21653"/>
      <c r="E21653"/>
      <c r="F21653"/>
      <c r="N21653" s="56"/>
    </row>
    <row r="21654" spans="1:14" x14ac:dyDescent="0.3">
      <c r="A21654" s="42"/>
      <c r="C21654" s="52"/>
      <c r="D21654"/>
      <c r="E21654"/>
      <c r="F21654"/>
      <c r="N21654" s="56"/>
    </row>
    <row r="21655" spans="1:14" x14ac:dyDescent="0.3">
      <c r="A21655" s="42"/>
      <c r="C21655" s="52"/>
      <c r="D21655"/>
      <c r="E21655"/>
      <c r="F21655"/>
      <c r="N21655" s="56"/>
    </row>
    <row r="21656" spans="1:14" x14ac:dyDescent="0.3">
      <c r="A21656" s="42"/>
      <c r="C21656" s="52"/>
      <c r="D21656"/>
      <c r="E21656"/>
      <c r="F21656"/>
      <c r="N21656" s="56"/>
    </row>
    <row r="21657" spans="1:14" x14ac:dyDescent="0.3">
      <c r="A21657" s="42"/>
      <c r="C21657" s="52"/>
      <c r="D21657"/>
      <c r="E21657"/>
      <c r="F21657"/>
      <c r="N21657" s="56"/>
    </row>
    <row r="21658" spans="1:14" x14ac:dyDescent="0.3">
      <c r="A21658" s="42"/>
      <c r="C21658" s="52"/>
      <c r="D21658"/>
      <c r="E21658"/>
      <c r="F21658"/>
      <c r="N21658" s="56"/>
    </row>
    <row r="21659" spans="1:14" x14ac:dyDescent="0.3">
      <c r="A21659" s="42"/>
      <c r="C21659" s="52"/>
      <c r="D21659"/>
      <c r="E21659"/>
      <c r="F21659"/>
      <c r="N21659" s="56"/>
    </row>
    <row r="21660" spans="1:14" x14ac:dyDescent="0.3">
      <c r="A21660" s="42"/>
      <c r="C21660" s="52"/>
      <c r="D21660"/>
      <c r="E21660"/>
      <c r="F21660"/>
      <c r="N21660" s="56"/>
    </row>
    <row r="21661" spans="1:14" x14ac:dyDescent="0.3">
      <c r="A21661" s="42"/>
      <c r="C21661" s="52"/>
      <c r="D21661"/>
      <c r="E21661"/>
      <c r="F21661"/>
      <c r="N21661" s="56"/>
    </row>
    <row r="21662" spans="1:14" x14ac:dyDescent="0.3">
      <c r="A21662" s="42"/>
      <c r="C21662" s="52"/>
      <c r="D21662"/>
      <c r="E21662"/>
      <c r="F21662"/>
      <c r="N21662" s="56"/>
    </row>
    <row r="21663" spans="1:14" x14ac:dyDescent="0.3">
      <c r="A21663" s="42"/>
      <c r="C21663" s="52"/>
      <c r="D21663"/>
      <c r="E21663"/>
      <c r="F21663"/>
      <c r="N21663" s="56"/>
    </row>
    <row r="21664" spans="1:14" x14ac:dyDescent="0.3">
      <c r="A21664" s="42"/>
      <c r="C21664" s="52"/>
      <c r="D21664"/>
      <c r="E21664"/>
      <c r="F21664"/>
      <c r="N21664" s="56"/>
    </row>
    <row r="21665" spans="1:14" x14ac:dyDescent="0.3">
      <c r="A21665" s="42"/>
      <c r="C21665" s="52"/>
      <c r="D21665"/>
      <c r="E21665"/>
      <c r="F21665"/>
      <c r="N21665" s="56"/>
    </row>
    <row r="21666" spans="1:14" x14ac:dyDescent="0.3">
      <c r="A21666" s="42"/>
      <c r="C21666" s="52"/>
      <c r="D21666"/>
      <c r="E21666"/>
      <c r="F21666"/>
      <c r="N21666" s="56"/>
    </row>
    <row r="21667" spans="1:14" x14ac:dyDescent="0.3">
      <c r="A21667" s="42"/>
      <c r="C21667" s="52"/>
      <c r="D21667"/>
      <c r="E21667"/>
      <c r="F21667"/>
      <c r="N21667" s="56"/>
    </row>
    <row r="21668" spans="1:14" x14ac:dyDescent="0.3">
      <c r="A21668" s="42"/>
      <c r="C21668" s="52"/>
      <c r="D21668"/>
      <c r="E21668"/>
      <c r="F21668"/>
      <c r="N21668" s="56"/>
    </row>
    <row r="21669" spans="1:14" x14ac:dyDescent="0.3">
      <c r="A21669" s="42"/>
      <c r="C21669" s="52"/>
      <c r="D21669"/>
      <c r="E21669"/>
      <c r="F21669"/>
      <c r="N21669" s="56"/>
    </row>
    <row r="21670" spans="1:14" x14ac:dyDescent="0.3">
      <c r="A21670" s="42"/>
      <c r="C21670" s="52"/>
      <c r="D21670"/>
      <c r="E21670"/>
      <c r="F21670"/>
      <c r="N21670" s="56"/>
    </row>
    <row r="21671" spans="1:14" x14ac:dyDescent="0.3">
      <c r="A21671" s="42"/>
      <c r="C21671" s="52"/>
      <c r="D21671"/>
      <c r="E21671"/>
      <c r="F21671"/>
      <c r="N21671" s="56"/>
    </row>
    <row r="21672" spans="1:14" x14ac:dyDescent="0.3">
      <c r="A21672" s="42"/>
      <c r="C21672" s="52"/>
      <c r="D21672"/>
      <c r="E21672"/>
      <c r="F21672"/>
      <c r="N21672" s="56"/>
    </row>
    <row r="21673" spans="1:14" x14ac:dyDescent="0.3">
      <c r="A21673" s="42"/>
      <c r="C21673" s="52"/>
      <c r="D21673"/>
      <c r="E21673"/>
      <c r="F21673"/>
      <c r="N21673" s="56"/>
    </row>
    <row r="21674" spans="1:14" x14ac:dyDescent="0.3">
      <c r="A21674" s="42"/>
      <c r="C21674" s="52"/>
      <c r="D21674"/>
      <c r="E21674"/>
      <c r="F21674"/>
      <c r="N21674" s="56"/>
    </row>
    <row r="21675" spans="1:14" x14ac:dyDescent="0.3">
      <c r="A21675" s="42"/>
      <c r="C21675" s="52"/>
      <c r="D21675"/>
      <c r="E21675"/>
      <c r="F21675"/>
      <c r="N21675" s="56"/>
    </row>
    <row r="21676" spans="1:14" x14ac:dyDescent="0.3">
      <c r="A21676" s="42"/>
      <c r="C21676" s="52"/>
      <c r="D21676"/>
      <c r="E21676"/>
      <c r="F21676"/>
      <c r="N21676" s="56"/>
    </row>
    <row r="21677" spans="1:14" x14ac:dyDescent="0.3">
      <c r="A21677" s="42"/>
      <c r="C21677" s="52"/>
      <c r="D21677"/>
      <c r="E21677"/>
      <c r="F21677"/>
      <c r="N21677" s="56"/>
    </row>
    <row r="21678" spans="1:14" x14ac:dyDescent="0.3">
      <c r="A21678" s="42"/>
      <c r="C21678" s="52"/>
      <c r="D21678"/>
      <c r="E21678"/>
      <c r="F21678"/>
      <c r="N21678" s="56"/>
    </row>
    <row r="21679" spans="1:14" x14ac:dyDescent="0.3">
      <c r="A21679" s="42"/>
      <c r="C21679" s="52"/>
      <c r="D21679"/>
      <c r="E21679"/>
      <c r="F21679"/>
      <c r="N21679" s="56"/>
    </row>
    <row r="21680" spans="1:14" x14ac:dyDescent="0.3">
      <c r="A21680" s="42"/>
      <c r="C21680" s="52"/>
      <c r="D21680"/>
      <c r="E21680"/>
      <c r="F21680"/>
      <c r="N21680" s="56"/>
    </row>
    <row r="21681" spans="1:14" x14ac:dyDescent="0.3">
      <c r="A21681" s="42"/>
      <c r="C21681" s="52"/>
      <c r="D21681"/>
      <c r="E21681"/>
      <c r="F21681"/>
      <c r="N21681" s="56"/>
    </row>
    <row r="21682" spans="1:14" x14ac:dyDescent="0.3">
      <c r="A21682" s="42"/>
      <c r="C21682" s="52"/>
      <c r="D21682"/>
      <c r="E21682"/>
      <c r="F21682"/>
      <c r="N21682" s="56"/>
    </row>
    <row r="21683" spans="1:14" x14ac:dyDescent="0.3">
      <c r="A21683" s="42"/>
      <c r="C21683" s="52"/>
      <c r="D21683"/>
      <c r="E21683"/>
      <c r="F21683"/>
      <c r="N21683" s="56"/>
    </row>
    <row r="21684" spans="1:14" x14ac:dyDescent="0.3">
      <c r="A21684" s="42"/>
      <c r="C21684" s="52"/>
      <c r="D21684"/>
      <c r="E21684"/>
      <c r="F21684"/>
      <c r="N21684" s="56"/>
    </row>
    <row r="21685" spans="1:14" x14ac:dyDescent="0.3">
      <c r="A21685" s="42"/>
      <c r="C21685" s="52"/>
      <c r="D21685"/>
      <c r="E21685"/>
      <c r="F21685"/>
      <c r="N21685" s="56"/>
    </row>
    <row r="21686" spans="1:14" x14ac:dyDescent="0.3">
      <c r="A21686" s="42"/>
      <c r="C21686" s="52"/>
      <c r="D21686"/>
      <c r="E21686"/>
      <c r="F21686"/>
      <c r="N21686" s="56"/>
    </row>
    <row r="21687" spans="1:14" x14ac:dyDescent="0.3">
      <c r="A21687" s="42"/>
      <c r="C21687" s="52"/>
      <c r="D21687"/>
      <c r="E21687"/>
      <c r="F21687"/>
      <c r="N21687" s="56"/>
    </row>
    <row r="21688" spans="1:14" x14ac:dyDescent="0.3">
      <c r="A21688" s="42"/>
      <c r="C21688" s="52"/>
      <c r="D21688"/>
      <c r="E21688"/>
      <c r="F21688"/>
      <c r="N21688" s="56"/>
    </row>
    <row r="21689" spans="1:14" x14ac:dyDescent="0.3">
      <c r="A21689" s="42"/>
      <c r="C21689" s="52"/>
      <c r="D21689"/>
      <c r="E21689"/>
      <c r="F21689"/>
      <c r="N21689" s="56"/>
    </row>
    <row r="21690" spans="1:14" x14ac:dyDescent="0.3">
      <c r="A21690" s="42"/>
      <c r="C21690" s="52"/>
      <c r="D21690"/>
      <c r="E21690"/>
      <c r="F21690"/>
      <c r="N21690" s="56"/>
    </row>
    <row r="21691" spans="1:14" x14ac:dyDescent="0.3">
      <c r="A21691" s="42"/>
      <c r="C21691" s="52"/>
      <c r="D21691"/>
      <c r="E21691"/>
      <c r="F21691"/>
      <c r="N21691" s="56"/>
    </row>
    <row r="21692" spans="1:14" x14ac:dyDescent="0.3">
      <c r="A21692" s="42"/>
      <c r="C21692" s="52"/>
      <c r="D21692"/>
      <c r="E21692"/>
      <c r="F21692"/>
      <c r="N21692" s="56"/>
    </row>
    <row r="21693" spans="1:14" x14ac:dyDescent="0.3">
      <c r="A21693" s="42"/>
      <c r="C21693" s="52"/>
      <c r="D21693"/>
      <c r="E21693"/>
      <c r="F21693"/>
      <c r="N21693" s="56"/>
    </row>
    <row r="21694" spans="1:14" x14ac:dyDescent="0.3">
      <c r="A21694" s="42"/>
      <c r="C21694" s="52"/>
      <c r="D21694"/>
      <c r="E21694"/>
      <c r="F21694"/>
      <c r="N21694" s="56"/>
    </row>
    <row r="21695" spans="1:14" x14ac:dyDescent="0.3">
      <c r="A21695" s="42"/>
      <c r="C21695" s="52"/>
      <c r="D21695"/>
      <c r="E21695"/>
      <c r="F21695"/>
      <c r="N21695" s="56"/>
    </row>
    <row r="21696" spans="1:14" x14ac:dyDescent="0.3">
      <c r="A21696" s="42"/>
      <c r="C21696" s="52"/>
      <c r="D21696"/>
      <c r="E21696"/>
      <c r="F21696"/>
      <c r="N21696" s="56"/>
    </row>
    <row r="21697" spans="1:14" x14ac:dyDescent="0.3">
      <c r="A21697" s="42"/>
      <c r="C21697" s="52"/>
      <c r="D21697"/>
      <c r="E21697"/>
      <c r="F21697"/>
      <c r="N21697" s="56"/>
    </row>
    <row r="21698" spans="1:14" x14ac:dyDescent="0.3">
      <c r="A21698" s="42"/>
      <c r="C21698" s="52"/>
      <c r="D21698"/>
      <c r="E21698"/>
      <c r="F21698"/>
      <c r="N21698" s="56"/>
    </row>
    <row r="21699" spans="1:14" x14ac:dyDescent="0.3">
      <c r="A21699" s="42"/>
      <c r="C21699" s="52"/>
      <c r="D21699"/>
      <c r="E21699"/>
      <c r="F21699"/>
      <c r="N21699" s="56"/>
    </row>
    <row r="21700" spans="1:14" x14ac:dyDescent="0.3">
      <c r="A21700" s="42"/>
      <c r="C21700" s="52"/>
      <c r="D21700"/>
      <c r="E21700"/>
      <c r="F21700"/>
      <c r="N21700" s="56"/>
    </row>
    <row r="21701" spans="1:14" x14ac:dyDescent="0.3">
      <c r="A21701" s="42"/>
      <c r="C21701" s="52"/>
      <c r="D21701"/>
      <c r="E21701"/>
      <c r="F21701"/>
      <c r="N21701" s="56"/>
    </row>
    <row r="21702" spans="1:14" x14ac:dyDescent="0.3">
      <c r="A21702" s="42"/>
      <c r="C21702" s="52"/>
      <c r="D21702"/>
      <c r="E21702"/>
      <c r="F21702"/>
      <c r="N21702" s="56"/>
    </row>
    <row r="21703" spans="1:14" x14ac:dyDescent="0.3">
      <c r="A21703" s="42"/>
      <c r="C21703" s="52"/>
      <c r="D21703"/>
      <c r="E21703"/>
      <c r="F21703"/>
      <c r="N21703" s="56"/>
    </row>
    <row r="21704" spans="1:14" x14ac:dyDescent="0.3">
      <c r="A21704" s="42"/>
      <c r="C21704" s="52"/>
      <c r="D21704"/>
      <c r="E21704"/>
      <c r="F21704"/>
      <c r="N21704" s="56"/>
    </row>
    <row r="21705" spans="1:14" x14ac:dyDescent="0.3">
      <c r="A21705" s="42"/>
      <c r="C21705" s="52"/>
      <c r="D21705"/>
      <c r="E21705"/>
      <c r="F21705"/>
      <c r="N21705" s="56"/>
    </row>
    <row r="21706" spans="1:14" x14ac:dyDescent="0.3">
      <c r="A21706" s="42"/>
      <c r="C21706" s="52"/>
      <c r="D21706"/>
      <c r="E21706"/>
      <c r="F21706"/>
      <c r="N21706" s="56"/>
    </row>
    <row r="21707" spans="1:14" x14ac:dyDescent="0.3">
      <c r="A21707" s="42"/>
      <c r="C21707" s="52"/>
      <c r="D21707"/>
      <c r="E21707"/>
      <c r="F21707"/>
      <c r="M21707" s="45"/>
      <c r="N21707" s="56"/>
    </row>
    <row r="21708" spans="1:14" x14ac:dyDescent="0.3">
      <c r="A21708" s="42"/>
      <c r="C21708" s="52"/>
      <c r="D21708"/>
      <c r="E21708"/>
      <c r="F21708"/>
      <c r="N21708" s="56"/>
    </row>
    <row r="21709" spans="1:14" x14ac:dyDescent="0.3">
      <c r="A21709" s="42"/>
      <c r="C21709" s="52"/>
      <c r="D21709"/>
      <c r="E21709"/>
      <c r="F21709"/>
      <c r="N21709" s="56"/>
    </row>
    <row r="21710" spans="1:14" x14ac:dyDescent="0.3">
      <c r="A21710" s="42"/>
      <c r="C21710" s="52"/>
      <c r="D21710"/>
      <c r="E21710"/>
      <c r="F21710"/>
      <c r="N21710" s="56"/>
    </row>
    <row r="21711" spans="1:14" x14ac:dyDescent="0.3">
      <c r="A21711" s="42"/>
      <c r="C21711" s="52"/>
      <c r="D21711"/>
      <c r="E21711"/>
      <c r="F21711"/>
      <c r="N21711" s="56"/>
    </row>
    <row r="21712" spans="1:14" x14ac:dyDescent="0.3">
      <c r="A21712" s="42"/>
      <c r="C21712" s="52"/>
      <c r="D21712"/>
      <c r="E21712"/>
      <c r="F21712"/>
      <c r="N21712" s="56"/>
    </row>
    <row r="21713" spans="1:14" x14ac:dyDescent="0.3">
      <c r="A21713" s="42"/>
      <c r="C21713" s="52"/>
      <c r="D21713"/>
      <c r="E21713"/>
      <c r="F21713"/>
      <c r="N21713" s="56"/>
    </row>
    <row r="21714" spans="1:14" x14ac:dyDescent="0.3">
      <c r="A21714" s="42"/>
      <c r="C21714" s="52"/>
      <c r="D21714"/>
      <c r="E21714"/>
      <c r="F21714"/>
      <c r="N21714" s="56"/>
    </row>
    <row r="21715" spans="1:14" x14ac:dyDescent="0.3">
      <c r="A21715" s="42"/>
      <c r="C21715" s="52"/>
      <c r="D21715"/>
      <c r="E21715"/>
      <c r="F21715"/>
      <c r="N21715" s="56"/>
    </row>
    <row r="21716" spans="1:14" x14ac:dyDescent="0.3">
      <c r="A21716" s="42"/>
      <c r="C21716" s="52"/>
      <c r="D21716"/>
      <c r="E21716"/>
      <c r="F21716"/>
      <c r="N21716" s="56"/>
    </row>
    <row r="21717" spans="1:14" x14ac:dyDescent="0.3">
      <c r="A21717" s="42"/>
      <c r="C21717" s="52"/>
      <c r="D21717"/>
      <c r="E21717"/>
      <c r="F21717"/>
      <c r="N21717" s="56"/>
    </row>
    <row r="21718" spans="1:14" x14ac:dyDescent="0.3">
      <c r="A21718" s="42"/>
      <c r="C21718" s="52"/>
      <c r="D21718"/>
      <c r="E21718"/>
      <c r="F21718"/>
      <c r="N21718" s="56"/>
    </row>
    <row r="21719" spans="1:14" x14ac:dyDescent="0.3">
      <c r="A21719" s="42"/>
      <c r="C21719" s="52"/>
      <c r="D21719"/>
      <c r="E21719"/>
      <c r="F21719"/>
      <c r="N21719" s="56"/>
    </row>
    <row r="21720" spans="1:14" x14ac:dyDescent="0.3">
      <c r="A21720" s="42"/>
      <c r="C21720" s="52"/>
      <c r="D21720"/>
      <c r="E21720"/>
      <c r="F21720"/>
      <c r="N21720" s="56"/>
    </row>
    <row r="21721" spans="1:14" x14ac:dyDescent="0.3">
      <c r="A21721" s="42"/>
      <c r="C21721" s="52"/>
      <c r="D21721"/>
      <c r="E21721"/>
      <c r="F21721"/>
      <c r="N21721" s="56"/>
    </row>
    <row r="21722" spans="1:14" x14ac:dyDescent="0.3">
      <c r="A21722" s="42"/>
      <c r="C21722" s="52"/>
      <c r="D21722"/>
      <c r="E21722"/>
      <c r="F21722"/>
      <c r="N21722" s="56"/>
    </row>
    <row r="21723" spans="1:14" x14ac:dyDescent="0.3">
      <c r="A21723" s="42"/>
      <c r="C21723" s="52"/>
      <c r="D21723"/>
      <c r="E21723"/>
      <c r="F21723"/>
      <c r="N21723" s="56"/>
    </row>
    <row r="21724" spans="1:14" x14ac:dyDescent="0.3">
      <c r="A21724" s="42"/>
      <c r="C21724" s="52"/>
      <c r="D21724"/>
      <c r="E21724"/>
      <c r="F21724"/>
      <c r="N21724" s="56"/>
    </row>
    <row r="21725" spans="1:14" x14ac:dyDescent="0.3">
      <c r="A21725" s="42"/>
      <c r="C21725" s="52"/>
      <c r="D21725"/>
      <c r="E21725"/>
      <c r="F21725"/>
      <c r="N21725" s="56"/>
    </row>
    <row r="21726" spans="1:14" x14ac:dyDescent="0.3">
      <c r="A21726" s="42"/>
      <c r="C21726" s="52"/>
      <c r="D21726"/>
      <c r="E21726"/>
      <c r="F21726"/>
      <c r="N21726" s="56"/>
    </row>
    <row r="21727" spans="1:14" x14ac:dyDescent="0.3">
      <c r="A21727" s="42"/>
      <c r="C21727" s="52"/>
      <c r="D21727"/>
      <c r="E21727"/>
      <c r="F21727"/>
      <c r="N21727" s="56"/>
    </row>
    <row r="21728" spans="1:14" x14ac:dyDescent="0.3">
      <c r="A21728" s="42"/>
      <c r="C21728" s="52"/>
      <c r="D21728"/>
      <c r="E21728"/>
      <c r="F21728"/>
      <c r="N21728" s="56"/>
    </row>
    <row r="21729" spans="1:14" x14ac:dyDescent="0.3">
      <c r="A21729" s="42"/>
      <c r="C21729" s="52"/>
      <c r="D21729"/>
      <c r="E21729"/>
      <c r="F21729"/>
      <c r="N21729" s="56"/>
    </row>
    <row r="21730" spans="1:14" x14ac:dyDescent="0.3">
      <c r="A21730" s="42"/>
      <c r="C21730" s="52"/>
      <c r="D21730"/>
      <c r="E21730"/>
      <c r="F21730"/>
      <c r="N21730" s="56"/>
    </row>
    <row r="21731" spans="1:14" x14ac:dyDescent="0.3">
      <c r="A21731" s="42"/>
      <c r="C21731" s="52"/>
      <c r="D21731"/>
      <c r="E21731"/>
      <c r="F21731"/>
      <c r="N21731" s="56"/>
    </row>
    <row r="21732" spans="1:14" x14ac:dyDescent="0.3">
      <c r="A21732" s="42"/>
      <c r="C21732" s="52"/>
      <c r="D21732"/>
      <c r="E21732"/>
      <c r="F21732"/>
      <c r="N21732" s="56"/>
    </row>
    <row r="21733" spans="1:14" x14ac:dyDescent="0.3">
      <c r="A21733" s="42"/>
      <c r="C21733" s="52"/>
      <c r="D21733"/>
      <c r="E21733"/>
      <c r="F21733"/>
      <c r="N21733" s="56"/>
    </row>
    <row r="21734" spans="1:14" x14ac:dyDescent="0.3">
      <c r="A21734" s="42"/>
      <c r="C21734" s="52"/>
      <c r="D21734"/>
      <c r="E21734"/>
      <c r="F21734"/>
      <c r="N21734" s="56"/>
    </row>
    <row r="21735" spans="1:14" x14ac:dyDescent="0.3">
      <c r="A21735" s="42"/>
      <c r="C21735" s="52"/>
      <c r="D21735"/>
      <c r="E21735"/>
      <c r="F21735"/>
      <c r="N21735" s="56"/>
    </row>
    <row r="21736" spans="1:14" x14ac:dyDescent="0.3">
      <c r="A21736" s="42"/>
      <c r="C21736" s="52"/>
      <c r="D21736"/>
      <c r="E21736"/>
      <c r="F21736"/>
      <c r="N21736" s="56"/>
    </row>
    <row r="21737" spans="1:14" x14ac:dyDescent="0.3">
      <c r="A21737" s="42"/>
      <c r="C21737" s="52"/>
      <c r="D21737"/>
      <c r="E21737"/>
      <c r="F21737"/>
      <c r="N21737" s="56"/>
    </row>
    <row r="21738" spans="1:14" x14ac:dyDescent="0.3">
      <c r="A21738" s="42"/>
      <c r="C21738" s="52"/>
      <c r="D21738"/>
      <c r="E21738"/>
      <c r="F21738"/>
      <c r="N21738" s="56"/>
    </row>
    <row r="21739" spans="1:14" x14ac:dyDescent="0.3">
      <c r="A21739" s="42"/>
      <c r="C21739" s="52"/>
      <c r="D21739"/>
      <c r="E21739"/>
      <c r="F21739"/>
      <c r="N21739" s="56"/>
    </row>
    <row r="21740" spans="1:14" x14ac:dyDescent="0.3">
      <c r="A21740" s="42"/>
      <c r="C21740" s="52"/>
      <c r="D21740"/>
      <c r="E21740"/>
      <c r="F21740"/>
      <c r="N21740" s="56"/>
    </row>
    <row r="21741" spans="1:14" x14ac:dyDescent="0.3">
      <c r="A21741" s="42"/>
      <c r="C21741" s="52"/>
      <c r="D21741"/>
      <c r="E21741"/>
      <c r="F21741"/>
      <c r="N21741" s="56"/>
    </row>
    <row r="21742" spans="1:14" x14ac:dyDescent="0.3">
      <c r="A21742" s="42"/>
      <c r="C21742" s="52"/>
      <c r="D21742"/>
      <c r="E21742"/>
      <c r="F21742"/>
      <c r="N21742" s="56"/>
    </row>
    <row r="21743" spans="1:14" x14ac:dyDescent="0.3">
      <c r="A21743" s="42"/>
      <c r="C21743" s="52"/>
      <c r="D21743"/>
      <c r="E21743"/>
      <c r="F21743"/>
      <c r="N21743" s="56"/>
    </row>
    <row r="21744" spans="1:14" x14ac:dyDescent="0.3">
      <c r="A21744" s="42"/>
      <c r="C21744" s="52"/>
      <c r="D21744"/>
      <c r="E21744"/>
      <c r="F21744"/>
      <c r="N21744" s="56"/>
    </row>
    <row r="21745" spans="1:14" x14ac:dyDescent="0.3">
      <c r="A21745" s="42"/>
      <c r="C21745" s="52"/>
      <c r="D21745"/>
      <c r="E21745"/>
      <c r="F21745"/>
      <c r="N21745" s="56"/>
    </row>
    <row r="21746" spans="1:14" x14ac:dyDescent="0.3">
      <c r="A21746" s="42"/>
      <c r="C21746" s="52"/>
      <c r="D21746"/>
      <c r="E21746"/>
      <c r="F21746"/>
      <c r="N21746" s="56"/>
    </row>
    <row r="21747" spans="1:14" x14ac:dyDescent="0.3">
      <c r="A21747" s="42"/>
      <c r="C21747" s="52"/>
      <c r="D21747"/>
      <c r="E21747"/>
      <c r="F21747"/>
      <c r="N21747" s="56"/>
    </row>
    <row r="21748" spans="1:14" x14ac:dyDescent="0.3">
      <c r="A21748" s="42"/>
      <c r="C21748" s="52"/>
      <c r="D21748"/>
      <c r="E21748"/>
      <c r="F21748"/>
      <c r="N21748" s="56"/>
    </row>
    <row r="21749" spans="1:14" x14ac:dyDescent="0.3">
      <c r="A21749" s="42"/>
      <c r="C21749" s="52"/>
      <c r="D21749"/>
      <c r="E21749"/>
      <c r="F21749"/>
      <c r="N21749" s="56"/>
    </row>
    <row r="21750" spans="1:14" x14ac:dyDescent="0.3">
      <c r="A21750" s="42"/>
      <c r="C21750" s="52"/>
      <c r="D21750"/>
      <c r="E21750"/>
      <c r="F21750"/>
      <c r="N21750" s="56"/>
    </row>
    <row r="21751" spans="1:14" x14ac:dyDescent="0.3">
      <c r="A21751" s="42"/>
      <c r="C21751" s="52"/>
      <c r="D21751"/>
      <c r="E21751"/>
      <c r="F21751"/>
      <c r="N21751" s="56"/>
    </row>
    <row r="21752" spans="1:14" x14ac:dyDescent="0.3">
      <c r="A21752" s="42"/>
      <c r="C21752" s="52"/>
      <c r="D21752"/>
      <c r="E21752"/>
      <c r="F21752"/>
      <c r="N21752" s="56"/>
    </row>
    <row r="21753" spans="1:14" x14ac:dyDescent="0.3">
      <c r="A21753" s="42"/>
      <c r="C21753" s="52"/>
      <c r="D21753"/>
      <c r="E21753"/>
      <c r="F21753"/>
      <c r="N21753" s="56"/>
    </row>
    <row r="21754" spans="1:14" x14ac:dyDescent="0.3">
      <c r="A21754" s="42"/>
      <c r="C21754" s="52"/>
      <c r="D21754"/>
      <c r="E21754"/>
      <c r="F21754"/>
      <c r="N21754" s="56"/>
    </row>
    <row r="21755" spans="1:14" x14ac:dyDescent="0.3">
      <c r="A21755" s="42"/>
      <c r="C21755" s="52"/>
      <c r="D21755"/>
      <c r="E21755"/>
      <c r="F21755"/>
      <c r="N21755" s="56"/>
    </row>
    <row r="21756" spans="1:14" x14ac:dyDescent="0.3">
      <c r="A21756" s="42"/>
      <c r="C21756" s="52"/>
      <c r="D21756"/>
      <c r="E21756"/>
      <c r="F21756"/>
      <c r="N21756" s="56"/>
    </row>
    <row r="21757" spans="1:14" x14ac:dyDescent="0.3">
      <c r="A21757" s="42"/>
      <c r="C21757" s="52"/>
      <c r="D21757"/>
      <c r="E21757"/>
      <c r="F21757"/>
      <c r="N21757" s="56"/>
    </row>
    <row r="21758" spans="1:14" x14ac:dyDescent="0.3">
      <c r="A21758" s="42"/>
      <c r="C21758" s="52"/>
      <c r="D21758"/>
      <c r="E21758"/>
      <c r="F21758"/>
      <c r="N21758" s="56"/>
    </row>
    <row r="21759" spans="1:14" x14ac:dyDescent="0.3">
      <c r="A21759" s="42"/>
      <c r="C21759" s="52"/>
      <c r="D21759"/>
      <c r="E21759"/>
      <c r="F21759"/>
      <c r="N21759" s="56"/>
    </row>
    <row r="21760" spans="1:14" x14ac:dyDescent="0.3">
      <c r="A21760" s="42"/>
      <c r="C21760" s="52"/>
      <c r="D21760"/>
      <c r="E21760"/>
      <c r="F21760"/>
      <c r="N21760" s="56"/>
    </row>
    <row r="21761" spans="1:14" x14ac:dyDescent="0.3">
      <c r="A21761" s="42"/>
      <c r="C21761" s="52"/>
      <c r="D21761"/>
      <c r="E21761"/>
      <c r="F21761"/>
      <c r="N21761" s="56"/>
    </row>
    <row r="21762" spans="1:14" x14ac:dyDescent="0.3">
      <c r="A21762" s="42"/>
      <c r="C21762" s="52"/>
      <c r="D21762"/>
      <c r="E21762"/>
      <c r="F21762"/>
      <c r="N21762" s="56"/>
    </row>
    <row r="21763" spans="1:14" x14ac:dyDescent="0.3">
      <c r="A21763" s="42"/>
      <c r="C21763" s="52"/>
      <c r="D21763"/>
      <c r="E21763"/>
      <c r="F21763"/>
      <c r="N21763" s="56"/>
    </row>
    <row r="21764" spans="1:14" x14ac:dyDescent="0.3">
      <c r="A21764" s="42"/>
      <c r="C21764" s="52"/>
      <c r="D21764"/>
      <c r="E21764"/>
      <c r="F21764"/>
      <c r="N21764" s="56"/>
    </row>
    <row r="21765" spans="1:14" x14ac:dyDescent="0.3">
      <c r="A21765" s="42"/>
      <c r="C21765" s="52"/>
      <c r="D21765"/>
      <c r="E21765"/>
      <c r="F21765"/>
      <c r="N21765" s="56"/>
    </row>
    <row r="21766" spans="1:14" x14ac:dyDescent="0.3">
      <c r="A21766" s="42"/>
      <c r="C21766" s="52"/>
      <c r="D21766"/>
      <c r="E21766"/>
      <c r="F21766"/>
      <c r="N21766" s="56"/>
    </row>
    <row r="21767" spans="1:14" x14ac:dyDescent="0.3">
      <c r="A21767" s="42"/>
      <c r="C21767" s="52"/>
      <c r="D21767"/>
      <c r="E21767"/>
      <c r="F21767"/>
      <c r="N21767" s="56"/>
    </row>
    <row r="21768" spans="1:14" x14ac:dyDescent="0.3">
      <c r="A21768" s="42"/>
      <c r="C21768" s="52"/>
      <c r="D21768"/>
      <c r="E21768"/>
      <c r="F21768"/>
      <c r="N21768" s="56"/>
    </row>
    <row r="21769" spans="1:14" x14ac:dyDescent="0.3">
      <c r="A21769" s="42"/>
      <c r="C21769" s="52"/>
      <c r="D21769"/>
      <c r="E21769"/>
      <c r="F21769"/>
      <c r="N21769" s="56"/>
    </row>
    <row r="21770" spans="1:14" x14ac:dyDescent="0.3">
      <c r="A21770" s="42"/>
      <c r="C21770" s="52"/>
      <c r="D21770"/>
      <c r="E21770"/>
      <c r="F21770"/>
      <c r="N21770" s="56"/>
    </row>
    <row r="21771" spans="1:14" x14ac:dyDescent="0.3">
      <c r="A21771" s="42"/>
      <c r="C21771" s="52"/>
      <c r="D21771"/>
      <c r="E21771"/>
      <c r="F21771"/>
      <c r="N21771" s="56"/>
    </row>
    <row r="21772" spans="1:14" x14ac:dyDescent="0.3">
      <c r="A21772" s="42"/>
      <c r="C21772" s="52"/>
      <c r="D21772"/>
      <c r="E21772"/>
      <c r="F21772"/>
      <c r="N21772" s="56"/>
    </row>
    <row r="21773" spans="1:14" x14ac:dyDescent="0.3">
      <c r="A21773" s="42"/>
      <c r="C21773" s="52"/>
      <c r="D21773"/>
      <c r="E21773"/>
      <c r="F21773"/>
      <c r="N21773" s="56"/>
    </row>
    <row r="21774" spans="1:14" x14ac:dyDescent="0.3">
      <c r="A21774" s="42"/>
      <c r="C21774" s="52"/>
      <c r="D21774"/>
      <c r="E21774"/>
      <c r="F21774"/>
      <c r="N21774" s="56"/>
    </row>
    <row r="21775" spans="1:14" x14ac:dyDescent="0.3">
      <c r="A21775" s="42"/>
      <c r="C21775" s="52"/>
      <c r="D21775"/>
      <c r="E21775"/>
      <c r="F21775"/>
      <c r="N21775" s="56"/>
    </row>
    <row r="21776" spans="1:14" x14ac:dyDescent="0.3">
      <c r="A21776" s="42"/>
      <c r="C21776" s="52"/>
      <c r="D21776"/>
      <c r="E21776"/>
      <c r="F21776"/>
      <c r="N21776" s="56"/>
    </row>
    <row r="21777" spans="1:14" x14ac:dyDescent="0.3">
      <c r="A21777" s="42"/>
      <c r="C21777" s="52"/>
      <c r="D21777"/>
      <c r="E21777"/>
      <c r="F21777"/>
      <c r="N21777" s="56"/>
    </row>
    <row r="21778" spans="1:14" x14ac:dyDescent="0.3">
      <c r="A21778" s="42"/>
      <c r="C21778" s="52"/>
      <c r="D21778"/>
      <c r="E21778"/>
      <c r="F21778"/>
      <c r="N21778" s="56"/>
    </row>
    <row r="21779" spans="1:14" x14ac:dyDescent="0.3">
      <c r="A21779" s="42"/>
      <c r="C21779" s="52"/>
      <c r="D21779"/>
      <c r="E21779"/>
      <c r="F21779"/>
      <c r="N21779" s="56"/>
    </row>
    <row r="21780" spans="1:14" x14ac:dyDescent="0.3">
      <c r="A21780" s="42"/>
      <c r="C21780" s="52"/>
      <c r="D21780"/>
      <c r="E21780"/>
      <c r="F21780"/>
      <c r="N21780" s="56"/>
    </row>
    <row r="21781" spans="1:14" x14ac:dyDescent="0.3">
      <c r="A21781" s="42"/>
      <c r="C21781" s="52"/>
      <c r="D21781"/>
      <c r="E21781"/>
      <c r="F21781"/>
      <c r="N21781" s="56"/>
    </row>
    <row r="21782" spans="1:14" x14ac:dyDescent="0.3">
      <c r="A21782" s="42"/>
      <c r="C21782" s="52"/>
      <c r="D21782"/>
      <c r="E21782"/>
      <c r="F21782"/>
      <c r="N21782" s="56"/>
    </row>
    <row r="21783" spans="1:14" x14ac:dyDescent="0.3">
      <c r="A21783" s="42"/>
      <c r="C21783" s="52"/>
      <c r="D21783"/>
      <c r="E21783"/>
      <c r="F21783"/>
      <c r="N21783" s="56"/>
    </row>
    <row r="21784" spans="1:14" x14ac:dyDescent="0.3">
      <c r="A21784" s="42"/>
      <c r="C21784" s="52"/>
      <c r="D21784"/>
      <c r="E21784"/>
      <c r="F21784"/>
      <c r="N21784" s="56"/>
    </row>
    <row r="21785" spans="1:14" x14ac:dyDescent="0.3">
      <c r="A21785" s="42"/>
      <c r="C21785" s="52"/>
      <c r="D21785"/>
      <c r="E21785"/>
      <c r="F21785"/>
      <c r="N21785" s="56"/>
    </row>
    <row r="21786" spans="1:14" x14ac:dyDescent="0.3">
      <c r="A21786" s="42"/>
      <c r="C21786" s="52"/>
      <c r="D21786"/>
      <c r="E21786"/>
      <c r="F21786"/>
      <c r="N21786" s="56"/>
    </row>
    <row r="21787" spans="1:14" x14ac:dyDescent="0.3">
      <c r="A21787" s="42"/>
      <c r="C21787" s="52"/>
      <c r="D21787"/>
      <c r="E21787"/>
      <c r="F21787"/>
      <c r="N21787" s="56"/>
    </row>
    <row r="21788" spans="1:14" x14ac:dyDescent="0.3">
      <c r="A21788" s="42"/>
      <c r="C21788" s="52"/>
      <c r="D21788"/>
      <c r="E21788"/>
      <c r="F21788"/>
      <c r="N21788" s="56"/>
    </row>
    <row r="21789" spans="1:14" x14ac:dyDescent="0.3">
      <c r="A21789" s="42"/>
      <c r="C21789" s="52"/>
      <c r="D21789"/>
      <c r="E21789"/>
      <c r="F21789"/>
      <c r="N21789" s="56"/>
    </row>
    <row r="21790" spans="1:14" x14ac:dyDescent="0.3">
      <c r="A21790" s="42"/>
      <c r="C21790" s="52"/>
      <c r="D21790"/>
      <c r="E21790"/>
      <c r="F21790"/>
      <c r="N21790" s="56"/>
    </row>
    <row r="21791" spans="1:14" x14ac:dyDescent="0.3">
      <c r="A21791" s="42"/>
      <c r="C21791" s="52"/>
      <c r="D21791"/>
      <c r="E21791"/>
      <c r="F21791"/>
      <c r="N21791" s="56"/>
    </row>
    <row r="21792" spans="1:14" x14ac:dyDescent="0.3">
      <c r="A21792" s="42"/>
      <c r="C21792" s="52"/>
      <c r="D21792"/>
      <c r="E21792"/>
      <c r="F21792"/>
      <c r="N21792" s="56"/>
    </row>
    <row r="21793" spans="1:14" x14ac:dyDescent="0.3">
      <c r="A21793" s="42"/>
      <c r="C21793" s="52"/>
      <c r="D21793"/>
      <c r="E21793"/>
      <c r="F21793"/>
      <c r="N21793" s="56"/>
    </row>
    <row r="21794" spans="1:14" x14ac:dyDescent="0.3">
      <c r="A21794" s="42"/>
      <c r="C21794" s="52"/>
      <c r="D21794"/>
      <c r="E21794"/>
      <c r="F21794"/>
      <c r="N21794" s="56"/>
    </row>
    <row r="21795" spans="1:14" x14ac:dyDescent="0.3">
      <c r="A21795" s="42"/>
      <c r="C21795" s="52"/>
      <c r="D21795"/>
      <c r="E21795"/>
      <c r="F21795"/>
      <c r="N21795" s="56"/>
    </row>
    <row r="21796" spans="1:14" x14ac:dyDescent="0.3">
      <c r="A21796" s="42"/>
      <c r="C21796" s="52"/>
      <c r="D21796"/>
      <c r="E21796"/>
      <c r="F21796"/>
      <c r="N21796" s="56"/>
    </row>
    <row r="21797" spans="1:14" x14ac:dyDescent="0.3">
      <c r="A21797" s="42"/>
      <c r="C21797" s="52"/>
      <c r="D21797"/>
      <c r="E21797"/>
      <c r="F21797"/>
      <c r="N21797" s="56"/>
    </row>
    <row r="21798" spans="1:14" x14ac:dyDescent="0.3">
      <c r="A21798" s="42"/>
      <c r="C21798" s="52"/>
      <c r="D21798"/>
      <c r="E21798"/>
      <c r="F21798"/>
      <c r="N21798" s="56"/>
    </row>
    <row r="21799" spans="1:14" x14ac:dyDescent="0.3">
      <c r="A21799" s="42"/>
      <c r="C21799" s="52"/>
      <c r="D21799"/>
      <c r="E21799"/>
      <c r="F21799"/>
      <c r="N21799" s="56"/>
    </row>
    <row r="21800" spans="1:14" x14ac:dyDescent="0.3">
      <c r="A21800" s="42"/>
      <c r="C21800" s="52"/>
      <c r="D21800"/>
      <c r="E21800"/>
      <c r="F21800"/>
      <c r="N21800" s="56"/>
    </row>
    <row r="21801" spans="1:14" x14ac:dyDescent="0.3">
      <c r="A21801" s="42"/>
      <c r="C21801" s="52"/>
      <c r="D21801"/>
      <c r="E21801"/>
      <c r="F21801"/>
      <c r="N21801" s="56"/>
    </row>
    <row r="21802" spans="1:14" x14ac:dyDescent="0.3">
      <c r="A21802" s="42"/>
      <c r="C21802" s="52"/>
      <c r="D21802"/>
      <c r="E21802"/>
      <c r="F21802"/>
      <c r="N21802" s="56"/>
    </row>
    <row r="21803" spans="1:14" x14ac:dyDescent="0.3">
      <c r="A21803" s="42"/>
      <c r="C21803" s="52"/>
      <c r="D21803"/>
      <c r="E21803"/>
      <c r="F21803"/>
      <c r="N21803" s="56"/>
    </row>
    <row r="21804" spans="1:14" x14ac:dyDescent="0.3">
      <c r="A21804" s="42"/>
      <c r="C21804" s="52"/>
      <c r="D21804"/>
      <c r="E21804"/>
      <c r="F21804"/>
      <c r="N21804" s="56"/>
    </row>
    <row r="21805" spans="1:14" x14ac:dyDescent="0.3">
      <c r="A21805" s="42"/>
      <c r="C21805" s="52"/>
      <c r="D21805"/>
      <c r="E21805"/>
      <c r="F21805"/>
      <c r="N21805" s="56"/>
    </row>
    <row r="21806" spans="1:14" x14ac:dyDescent="0.3">
      <c r="A21806" s="42"/>
      <c r="C21806" s="52"/>
      <c r="D21806"/>
      <c r="E21806"/>
      <c r="F21806"/>
      <c r="N21806" s="56"/>
    </row>
    <row r="21807" spans="1:14" x14ac:dyDescent="0.3">
      <c r="A21807" s="42"/>
      <c r="C21807" s="52"/>
      <c r="D21807"/>
      <c r="E21807"/>
      <c r="F21807"/>
      <c r="N21807" s="56"/>
    </row>
    <row r="21808" spans="1:14" x14ac:dyDescent="0.3">
      <c r="A21808" s="42"/>
      <c r="C21808" s="52"/>
      <c r="D21808"/>
      <c r="E21808"/>
      <c r="F21808"/>
      <c r="N21808" s="56"/>
    </row>
    <row r="21809" spans="1:14" x14ac:dyDescent="0.3">
      <c r="A21809" s="42"/>
      <c r="C21809" s="52"/>
      <c r="D21809"/>
      <c r="E21809"/>
      <c r="F21809"/>
      <c r="N21809" s="56"/>
    </row>
    <row r="21810" spans="1:14" x14ac:dyDescent="0.3">
      <c r="A21810" s="42"/>
      <c r="C21810" s="52"/>
      <c r="D21810"/>
      <c r="E21810"/>
      <c r="F21810"/>
      <c r="N21810" s="56"/>
    </row>
    <row r="21811" spans="1:14" x14ac:dyDescent="0.3">
      <c r="A21811" s="42"/>
      <c r="C21811" s="52"/>
      <c r="D21811"/>
      <c r="E21811"/>
      <c r="F21811"/>
      <c r="N21811" s="56"/>
    </row>
    <row r="21812" spans="1:14" x14ac:dyDescent="0.3">
      <c r="A21812" s="42"/>
      <c r="C21812" s="52"/>
      <c r="D21812"/>
      <c r="E21812"/>
      <c r="F21812"/>
      <c r="N21812" s="56"/>
    </row>
    <row r="21813" spans="1:14" x14ac:dyDescent="0.3">
      <c r="A21813" s="42"/>
      <c r="C21813" s="52"/>
      <c r="D21813"/>
      <c r="E21813"/>
      <c r="F21813"/>
      <c r="N21813" s="56"/>
    </row>
    <row r="21814" spans="1:14" x14ac:dyDescent="0.3">
      <c r="A21814" s="42"/>
      <c r="C21814" s="52"/>
      <c r="D21814"/>
      <c r="E21814"/>
      <c r="F21814"/>
      <c r="N21814" s="56"/>
    </row>
    <row r="21815" spans="1:14" x14ac:dyDescent="0.3">
      <c r="A21815" s="42"/>
      <c r="C21815" s="52"/>
      <c r="D21815"/>
      <c r="E21815"/>
      <c r="F21815"/>
      <c r="N21815" s="56"/>
    </row>
    <row r="21816" spans="1:14" x14ac:dyDescent="0.3">
      <c r="A21816" s="42"/>
      <c r="C21816" s="52"/>
      <c r="D21816"/>
      <c r="E21816"/>
      <c r="F21816"/>
      <c r="N21816" s="56"/>
    </row>
    <row r="21817" spans="1:14" x14ac:dyDescent="0.3">
      <c r="A21817" s="42"/>
      <c r="C21817" s="52"/>
      <c r="D21817"/>
      <c r="E21817"/>
      <c r="F21817"/>
      <c r="N21817" s="56"/>
    </row>
    <row r="21818" spans="1:14" x14ac:dyDescent="0.3">
      <c r="A21818" s="42"/>
      <c r="C21818" s="52"/>
      <c r="D21818"/>
      <c r="E21818"/>
      <c r="F21818"/>
      <c r="N21818" s="56"/>
    </row>
    <row r="21819" spans="1:14" x14ac:dyDescent="0.3">
      <c r="A21819" s="42"/>
      <c r="C21819" s="52"/>
      <c r="D21819"/>
      <c r="E21819"/>
      <c r="F21819"/>
      <c r="N21819" s="56"/>
    </row>
    <row r="21820" spans="1:14" x14ac:dyDescent="0.3">
      <c r="A21820" s="42"/>
      <c r="C21820" s="52"/>
      <c r="D21820"/>
      <c r="E21820"/>
      <c r="F21820"/>
      <c r="N21820" s="56"/>
    </row>
    <row r="21821" spans="1:14" x14ac:dyDescent="0.3">
      <c r="A21821" s="42"/>
      <c r="C21821" s="52"/>
      <c r="D21821"/>
      <c r="E21821"/>
      <c r="F21821"/>
      <c r="N21821" s="56"/>
    </row>
    <row r="21822" spans="1:14" x14ac:dyDescent="0.3">
      <c r="A21822" s="42"/>
      <c r="C21822" s="52"/>
      <c r="D21822"/>
      <c r="E21822"/>
      <c r="F21822"/>
      <c r="N21822" s="56"/>
    </row>
    <row r="21823" spans="1:14" x14ac:dyDescent="0.3">
      <c r="A21823" s="42"/>
      <c r="C21823" s="52"/>
      <c r="D21823"/>
      <c r="E21823"/>
      <c r="F21823"/>
      <c r="N21823" s="56"/>
    </row>
    <row r="21824" spans="1:14" x14ac:dyDescent="0.3">
      <c r="A21824" s="42"/>
      <c r="C21824" s="52"/>
      <c r="D21824"/>
      <c r="E21824"/>
      <c r="F21824"/>
      <c r="N21824" s="56"/>
    </row>
    <row r="21825" spans="1:14" x14ac:dyDescent="0.3">
      <c r="A21825" s="42"/>
      <c r="C21825" s="52"/>
      <c r="D21825"/>
      <c r="E21825"/>
      <c r="F21825"/>
      <c r="N21825" s="56"/>
    </row>
    <row r="21826" spans="1:14" x14ac:dyDescent="0.3">
      <c r="A21826" s="42"/>
      <c r="C21826" s="52"/>
      <c r="D21826"/>
      <c r="E21826"/>
      <c r="F21826"/>
      <c r="M21826" s="45"/>
      <c r="N21826" s="56"/>
    </row>
    <row r="21827" spans="1:14" x14ac:dyDescent="0.3">
      <c r="A21827" s="42"/>
      <c r="C21827" s="52"/>
      <c r="D21827"/>
      <c r="E21827"/>
      <c r="F21827"/>
      <c r="N21827" s="56"/>
    </row>
    <row r="21828" spans="1:14" x14ac:dyDescent="0.3">
      <c r="A21828" s="42"/>
      <c r="C21828" s="52"/>
      <c r="D21828"/>
      <c r="E21828"/>
      <c r="F21828"/>
      <c r="N21828" s="56"/>
    </row>
    <row r="21829" spans="1:14" x14ac:dyDescent="0.3">
      <c r="A21829" s="42"/>
      <c r="C21829" s="52"/>
      <c r="D21829"/>
      <c r="E21829"/>
      <c r="F21829"/>
      <c r="N21829" s="56"/>
    </row>
    <row r="21830" spans="1:14" x14ac:dyDescent="0.3">
      <c r="A21830" s="42"/>
      <c r="C21830" s="52"/>
      <c r="D21830"/>
      <c r="E21830"/>
      <c r="F21830"/>
      <c r="N21830" s="56"/>
    </row>
    <row r="21831" spans="1:14" x14ac:dyDescent="0.3">
      <c r="A21831" s="42"/>
      <c r="C21831" s="52"/>
      <c r="D21831"/>
      <c r="E21831"/>
      <c r="F21831"/>
      <c r="N21831" s="56"/>
    </row>
    <row r="21832" spans="1:14" x14ac:dyDescent="0.3">
      <c r="A21832" s="42"/>
      <c r="C21832" s="52"/>
      <c r="D21832"/>
      <c r="E21832"/>
      <c r="F21832"/>
      <c r="N21832" s="56"/>
    </row>
    <row r="21833" spans="1:14" x14ac:dyDescent="0.3">
      <c r="A21833" s="42"/>
      <c r="C21833" s="52"/>
      <c r="D21833"/>
      <c r="E21833"/>
      <c r="F21833"/>
      <c r="N21833" s="56"/>
    </row>
    <row r="21834" spans="1:14" x14ac:dyDescent="0.3">
      <c r="A21834" s="42"/>
      <c r="C21834" s="52"/>
      <c r="D21834"/>
      <c r="E21834"/>
      <c r="F21834"/>
      <c r="N21834" s="56"/>
    </row>
    <row r="21835" spans="1:14" x14ac:dyDescent="0.3">
      <c r="A21835" s="42"/>
      <c r="C21835" s="52"/>
      <c r="D21835"/>
      <c r="E21835"/>
      <c r="F21835"/>
      <c r="N21835" s="56"/>
    </row>
    <row r="21836" spans="1:14" x14ac:dyDescent="0.3">
      <c r="A21836" s="42"/>
      <c r="C21836" s="52"/>
      <c r="D21836"/>
      <c r="E21836"/>
      <c r="F21836"/>
      <c r="N21836" s="56"/>
    </row>
    <row r="21837" spans="1:14" x14ac:dyDescent="0.3">
      <c r="A21837" s="42"/>
      <c r="C21837" s="52"/>
      <c r="D21837"/>
      <c r="E21837"/>
      <c r="F21837"/>
      <c r="N21837" s="56"/>
    </row>
    <row r="21838" spans="1:14" x14ac:dyDescent="0.3">
      <c r="A21838" s="42"/>
      <c r="C21838" s="52"/>
      <c r="D21838"/>
      <c r="E21838"/>
      <c r="F21838"/>
      <c r="N21838" s="56"/>
    </row>
    <row r="21839" spans="1:14" x14ac:dyDescent="0.3">
      <c r="A21839" s="42"/>
      <c r="C21839" s="52"/>
      <c r="D21839"/>
      <c r="E21839"/>
      <c r="F21839"/>
      <c r="N21839" s="56"/>
    </row>
    <row r="21840" spans="1:14" x14ac:dyDescent="0.3">
      <c r="A21840" s="42"/>
      <c r="C21840" s="52"/>
      <c r="D21840"/>
      <c r="E21840"/>
      <c r="F21840"/>
      <c r="N21840" s="56"/>
    </row>
    <row r="21841" spans="1:14" x14ac:dyDescent="0.3">
      <c r="A21841" s="42"/>
      <c r="C21841" s="52"/>
      <c r="D21841"/>
      <c r="E21841"/>
      <c r="F21841"/>
      <c r="N21841" s="56"/>
    </row>
    <row r="21842" spans="1:14" x14ac:dyDescent="0.3">
      <c r="A21842" s="42"/>
      <c r="C21842" s="52"/>
      <c r="D21842"/>
      <c r="E21842"/>
      <c r="F21842"/>
      <c r="N21842" s="56"/>
    </row>
    <row r="21843" spans="1:14" x14ac:dyDescent="0.3">
      <c r="A21843" s="42"/>
      <c r="C21843" s="52"/>
      <c r="D21843"/>
      <c r="E21843"/>
      <c r="F21843"/>
      <c r="N21843" s="56"/>
    </row>
    <row r="21844" spans="1:14" x14ac:dyDescent="0.3">
      <c r="A21844" s="42"/>
      <c r="C21844" s="52"/>
      <c r="D21844"/>
      <c r="E21844"/>
      <c r="F21844"/>
      <c r="N21844" s="56"/>
    </row>
    <row r="21845" spans="1:14" x14ac:dyDescent="0.3">
      <c r="A21845" s="42"/>
      <c r="C21845" s="52"/>
      <c r="D21845"/>
      <c r="E21845"/>
      <c r="F21845"/>
      <c r="N21845" s="56"/>
    </row>
    <row r="21846" spans="1:14" x14ac:dyDescent="0.3">
      <c r="A21846" s="42"/>
      <c r="C21846" s="52"/>
      <c r="D21846"/>
      <c r="E21846"/>
      <c r="F21846"/>
      <c r="N21846" s="56"/>
    </row>
    <row r="21847" spans="1:14" x14ac:dyDescent="0.3">
      <c r="A21847" s="42"/>
      <c r="C21847" s="52"/>
      <c r="D21847"/>
      <c r="E21847"/>
      <c r="F21847"/>
      <c r="N21847" s="56"/>
    </row>
    <row r="21848" spans="1:14" x14ac:dyDescent="0.3">
      <c r="A21848" s="42"/>
      <c r="C21848" s="52"/>
      <c r="D21848"/>
      <c r="E21848"/>
      <c r="F21848"/>
      <c r="N21848" s="56"/>
    </row>
    <row r="21849" spans="1:14" x14ac:dyDescent="0.3">
      <c r="A21849" s="42"/>
      <c r="C21849" s="52"/>
      <c r="D21849"/>
      <c r="E21849"/>
      <c r="F21849"/>
      <c r="N21849" s="56"/>
    </row>
    <row r="21850" spans="1:14" x14ac:dyDescent="0.3">
      <c r="A21850" s="42"/>
      <c r="C21850" s="52"/>
      <c r="D21850"/>
      <c r="E21850"/>
      <c r="F21850"/>
      <c r="N21850" s="56"/>
    </row>
    <row r="21851" spans="1:14" x14ac:dyDescent="0.3">
      <c r="A21851" s="42"/>
      <c r="C21851" s="52"/>
      <c r="D21851"/>
      <c r="E21851"/>
      <c r="F21851"/>
      <c r="N21851" s="56"/>
    </row>
    <row r="21852" spans="1:14" x14ac:dyDescent="0.3">
      <c r="A21852" s="42"/>
      <c r="C21852" s="52"/>
      <c r="D21852"/>
      <c r="E21852"/>
      <c r="F21852"/>
      <c r="N21852" s="56"/>
    </row>
    <row r="21853" spans="1:14" x14ac:dyDescent="0.3">
      <c r="A21853" s="42"/>
      <c r="C21853" s="52"/>
      <c r="D21853"/>
      <c r="E21853"/>
      <c r="F21853"/>
      <c r="N21853" s="56"/>
    </row>
    <row r="21854" spans="1:14" x14ac:dyDescent="0.3">
      <c r="A21854" s="42"/>
      <c r="C21854" s="52"/>
      <c r="D21854"/>
      <c r="E21854"/>
      <c r="F21854"/>
      <c r="N21854" s="56"/>
    </row>
    <row r="21855" spans="1:14" x14ac:dyDescent="0.3">
      <c r="A21855" s="42"/>
      <c r="C21855" s="52"/>
      <c r="D21855"/>
      <c r="E21855"/>
      <c r="F21855"/>
      <c r="N21855" s="56"/>
    </row>
    <row r="21856" spans="1:14" x14ac:dyDescent="0.3">
      <c r="A21856" s="42"/>
      <c r="C21856" s="52"/>
      <c r="D21856"/>
      <c r="E21856"/>
      <c r="F21856"/>
      <c r="N21856" s="56"/>
    </row>
    <row r="21857" spans="1:14" x14ac:dyDescent="0.3">
      <c r="A21857" s="42"/>
      <c r="C21857" s="52"/>
      <c r="D21857"/>
      <c r="E21857"/>
      <c r="F21857"/>
      <c r="N21857" s="56"/>
    </row>
    <row r="21858" spans="1:14" x14ac:dyDescent="0.3">
      <c r="A21858" s="42"/>
      <c r="C21858" s="52"/>
      <c r="D21858"/>
      <c r="E21858"/>
      <c r="F21858"/>
      <c r="N21858" s="56"/>
    </row>
    <row r="21859" spans="1:14" x14ac:dyDescent="0.3">
      <c r="A21859" s="42"/>
      <c r="C21859" s="52"/>
      <c r="D21859"/>
      <c r="E21859"/>
      <c r="F21859"/>
      <c r="N21859" s="56"/>
    </row>
    <row r="21860" spans="1:14" x14ac:dyDescent="0.3">
      <c r="A21860" s="42"/>
      <c r="C21860" s="52"/>
      <c r="D21860"/>
      <c r="E21860"/>
      <c r="F21860"/>
      <c r="N21860" s="56"/>
    </row>
    <row r="21861" spans="1:14" x14ac:dyDescent="0.3">
      <c r="A21861" s="42"/>
      <c r="C21861" s="52"/>
      <c r="D21861"/>
      <c r="E21861"/>
      <c r="F21861"/>
      <c r="N21861" s="56"/>
    </row>
    <row r="21862" spans="1:14" x14ac:dyDescent="0.3">
      <c r="A21862" s="42"/>
      <c r="C21862" s="52"/>
      <c r="D21862"/>
      <c r="E21862"/>
      <c r="F21862"/>
      <c r="N21862" s="56"/>
    </row>
    <row r="21863" spans="1:14" x14ac:dyDescent="0.3">
      <c r="A21863" s="42"/>
      <c r="C21863" s="52"/>
      <c r="D21863"/>
      <c r="E21863"/>
      <c r="F21863"/>
      <c r="N21863" s="56"/>
    </row>
    <row r="21864" spans="1:14" x14ac:dyDescent="0.3">
      <c r="A21864" s="42"/>
      <c r="C21864" s="52"/>
      <c r="D21864"/>
      <c r="E21864"/>
      <c r="F21864"/>
      <c r="N21864" s="56"/>
    </row>
    <row r="21865" spans="1:14" x14ac:dyDescent="0.3">
      <c r="A21865" s="42"/>
      <c r="C21865" s="52"/>
      <c r="D21865"/>
      <c r="E21865"/>
      <c r="F21865"/>
      <c r="N21865" s="56"/>
    </row>
    <row r="21866" spans="1:14" x14ac:dyDescent="0.3">
      <c r="A21866" s="42"/>
      <c r="C21866" s="52"/>
      <c r="D21866"/>
      <c r="E21866"/>
      <c r="F21866"/>
      <c r="N21866" s="56"/>
    </row>
    <row r="21867" spans="1:14" x14ac:dyDescent="0.3">
      <c r="A21867" s="42"/>
      <c r="C21867" s="52"/>
      <c r="D21867"/>
      <c r="E21867"/>
      <c r="F21867"/>
      <c r="N21867" s="56"/>
    </row>
    <row r="21868" spans="1:14" x14ac:dyDescent="0.3">
      <c r="A21868" s="42"/>
      <c r="C21868" s="52"/>
      <c r="D21868"/>
      <c r="E21868"/>
      <c r="F21868"/>
      <c r="N21868" s="56"/>
    </row>
    <row r="21869" spans="1:14" x14ac:dyDescent="0.3">
      <c r="A21869" s="42"/>
      <c r="C21869" s="52"/>
      <c r="D21869"/>
      <c r="E21869"/>
      <c r="F21869"/>
      <c r="N21869" s="56"/>
    </row>
    <row r="21870" spans="1:14" x14ac:dyDescent="0.3">
      <c r="A21870" s="42"/>
      <c r="C21870" s="52"/>
      <c r="D21870"/>
      <c r="E21870"/>
      <c r="F21870"/>
      <c r="N21870" s="56"/>
    </row>
    <row r="21871" spans="1:14" x14ac:dyDescent="0.3">
      <c r="A21871" s="42"/>
      <c r="C21871" s="52"/>
      <c r="D21871"/>
      <c r="E21871"/>
      <c r="F21871"/>
      <c r="N21871" s="56"/>
    </row>
    <row r="21872" spans="1:14" x14ac:dyDescent="0.3">
      <c r="A21872" s="42"/>
      <c r="C21872" s="52"/>
      <c r="D21872"/>
      <c r="E21872"/>
      <c r="F21872"/>
      <c r="N21872" s="56"/>
    </row>
    <row r="21873" spans="1:14" x14ac:dyDescent="0.3">
      <c r="A21873" s="42"/>
      <c r="C21873" s="52"/>
      <c r="D21873"/>
      <c r="E21873"/>
      <c r="F21873"/>
      <c r="M21873" s="45"/>
      <c r="N21873" s="56"/>
    </row>
    <row r="21874" spans="1:14" x14ac:dyDescent="0.3">
      <c r="A21874" s="42"/>
      <c r="C21874" s="52"/>
      <c r="D21874"/>
      <c r="E21874"/>
      <c r="F21874"/>
      <c r="N21874" s="56"/>
    </row>
    <row r="21875" spans="1:14" x14ac:dyDescent="0.3">
      <c r="A21875" s="42"/>
      <c r="C21875" s="52"/>
      <c r="D21875"/>
      <c r="E21875"/>
      <c r="F21875"/>
      <c r="N21875" s="56"/>
    </row>
    <row r="21876" spans="1:14" x14ac:dyDescent="0.3">
      <c r="A21876" s="42"/>
      <c r="C21876" s="52"/>
      <c r="D21876"/>
      <c r="E21876"/>
      <c r="F21876"/>
      <c r="N21876" s="56"/>
    </row>
    <row r="21877" spans="1:14" x14ac:dyDescent="0.3">
      <c r="A21877" s="42"/>
      <c r="C21877" s="52"/>
      <c r="D21877"/>
      <c r="E21877"/>
      <c r="F21877"/>
      <c r="N21877" s="56"/>
    </row>
    <row r="21878" spans="1:14" x14ac:dyDescent="0.3">
      <c r="A21878" s="42"/>
      <c r="C21878" s="52"/>
      <c r="D21878"/>
      <c r="E21878"/>
      <c r="F21878"/>
      <c r="N21878" s="56"/>
    </row>
    <row r="21879" spans="1:14" x14ac:dyDescent="0.3">
      <c r="A21879" s="42"/>
      <c r="C21879" s="52"/>
      <c r="D21879"/>
      <c r="E21879"/>
      <c r="F21879"/>
      <c r="N21879" s="56"/>
    </row>
    <row r="21880" spans="1:14" x14ac:dyDescent="0.3">
      <c r="A21880" s="42"/>
      <c r="C21880" s="52"/>
      <c r="D21880"/>
      <c r="E21880"/>
      <c r="F21880"/>
      <c r="N21880" s="56"/>
    </row>
    <row r="21881" spans="1:14" x14ac:dyDescent="0.3">
      <c r="A21881" s="42"/>
      <c r="C21881" s="52"/>
      <c r="D21881"/>
      <c r="E21881"/>
      <c r="F21881"/>
      <c r="N21881" s="56"/>
    </row>
    <row r="21882" spans="1:14" x14ac:dyDescent="0.3">
      <c r="A21882" s="42"/>
      <c r="C21882" s="52"/>
      <c r="D21882"/>
      <c r="E21882"/>
      <c r="F21882"/>
      <c r="N21882" s="56"/>
    </row>
    <row r="21883" spans="1:14" x14ac:dyDescent="0.3">
      <c r="A21883" s="42"/>
      <c r="C21883" s="52"/>
      <c r="D21883"/>
      <c r="E21883"/>
      <c r="F21883"/>
      <c r="N21883" s="56"/>
    </row>
    <row r="21884" spans="1:14" x14ac:dyDescent="0.3">
      <c r="A21884" s="42"/>
      <c r="C21884" s="52"/>
      <c r="D21884"/>
      <c r="E21884"/>
      <c r="F21884"/>
      <c r="N21884" s="56"/>
    </row>
    <row r="21885" spans="1:14" x14ac:dyDescent="0.3">
      <c r="A21885" s="42"/>
      <c r="C21885" s="52"/>
      <c r="D21885"/>
      <c r="E21885"/>
      <c r="F21885"/>
      <c r="N21885" s="56"/>
    </row>
    <row r="21886" spans="1:14" x14ac:dyDescent="0.3">
      <c r="A21886" s="42"/>
      <c r="C21886" s="52"/>
      <c r="D21886"/>
      <c r="E21886"/>
      <c r="F21886"/>
      <c r="N21886" s="56"/>
    </row>
    <row r="21887" spans="1:14" x14ac:dyDescent="0.3">
      <c r="A21887" s="42"/>
      <c r="C21887" s="52"/>
      <c r="D21887"/>
      <c r="E21887"/>
      <c r="F21887"/>
      <c r="N21887" s="56"/>
    </row>
    <row r="21888" spans="1:14" x14ac:dyDescent="0.3">
      <c r="A21888" s="42"/>
      <c r="C21888" s="52"/>
      <c r="D21888"/>
      <c r="E21888"/>
      <c r="F21888"/>
      <c r="N21888" s="56"/>
    </row>
    <row r="21889" spans="1:14" x14ac:dyDescent="0.3">
      <c r="A21889" s="42"/>
      <c r="C21889" s="52"/>
      <c r="D21889"/>
      <c r="E21889"/>
      <c r="F21889"/>
      <c r="N21889" s="56"/>
    </row>
    <row r="21890" spans="1:14" x14ac:dyDescent="0.3">
      <c r="A21890" s="42"/>
      <c r="C21890" s="52"/>
      <c r="D21890"/>
      <c r="E21890"/>
      <c r="F21890"/>
      <c r="N21890" s="56"/>
    </row>
    <row r="21891" spans="1:14" x14ac:dyDescent="0.3">
      <c r="A21891" s="42"/>
      <c r="C21891" s="52"/>
      <c r="D21891"/>
      <c r="E21891"/>
      <c r="F21891"/>
      <c r="N21891" s="56"/>
    </row>
    <row r="21892" spans="1:14" x14ac:dyDescent="0.3">
      <c r="A21892" s="42"/>
      <c r="C21892" s="52"/>
      <c r="D21892"/>
      <c r="E21892"/>
      <c r="F21892"/>
      <c r="N21892" s="56"/>
    </row>
    <row r="21893" spans="1:14" x14ac:dyDescent="0.3">
      <c r="A21893" s="42"/>
      <c r="C21893" s="52"/>
      <c r="D21893"/>
      <c r="E21893"/>
      <c r="F21893"/>
      <c r="N21893" s="56"/>
    </row>
    <row r="21894" spans="1:14" x14ac:dyDescent="0.3">
      <c r="A21894" s="42"/>
      <c r="C21894" s="52"/>
      <c r="D21894"/>
      <c r="E21894"/>
      <c r="F21894"/>
      <c r="N21894" s="56"/>
    </row>
    <row r="21895" spans="1:14" x14ac:dyDescent="0.3">
      <c r="A21895" s="42"/>
      <c r="C21895" s="52"/>
      <c r="D21895"/>
      <c r="E21895"/>
      <c r="F21895"/>
      <c r="N21895" s="56"/>
    </row>
    <row r="21896" spans="1:14" x14ac:dyDescent="0.3">
      <c r="A21896" s="42"/>
      <c r="C21896" s="52"/>
      <c r="D21896"/>
      <c r="E21896"/>
      <c r="F21896"/>
      <c r="N21896" s="56"/>
    </row>
    <row r="21897" spans="1:14" x14ac:dyDescent="0.3">
      <c r="A21897" s="42"/>
      <c r="C21897" s="52"/>
      <c r="D21897"/>
      <c r="E21897"/>
      <c r="F21897"/>
      <c r="N21897" s="56"/>
    </row>
    <row r="21898" spans="1:14" x14ac:dyDescent="0.3">
      <c r="A21898" s="42"/>
      <c r="C21898" s="52"/>
      <c r="D21898"/>
      <c r="E21898"/>
      <c r="F21898"/>
      <c r="N21898" s="56"/>
    </row>
    <row r="21899" spans="1:14" x14ac:dyDescent="0.3">
      <c r="A21899" s="42"/>
      <c r="C21899" s="52"/>
      <c r="D21899"/>
      <c r="E21899"/>
      <c r="F21899"/>
      <c r="N21899" s="56"/>
    </row>
    <row r="21900" spans="1:14" x14ac:dyDescent="0.3">
      <c r="A21900" s="42"/>
      <c r="C21900" s="52"/>
      <c r="D21900"/>
      <c r="E21900"/>
      <c r="F21900"/>
      <c r="N21900" s="56"/>
    </row>
    <row r="21901" spans="1:14" x14ac:dyDescent="0.3">
      <c r="A21901" s="42"/>
      <c r="C21901" s="52"/>
      <c r="D21901"/>
      <c r="E21901"/>
      <c r="F21901"/>
      <c r="N21901" s="56"/>
    </row>
    <row r="21902" spans="1:14" x14ac:dyDescent="0.3">
      <c r="A21902" s="42"/>
      <c r="C21902" s="52"/>
      <c r="D21902"/>
      <c r="E21902"/>
      <c r="F21902"/>
      <c r="N21902" s="56"/>
    </row>
    <row r="21903" spans="1:14" x14ac:dyDescent="0.3">
      <c r="A21903" s="42"/>
      <c r="C21903" s="52"/>
      <c r="D21903"/>
      <c r="E21903"/>
      <c r="F21903"/>
      <c r="N21903" s="56"/>
    </row>
    <row r="21904" spans="1:14" x14ac:dyDescent="0.3">
      <c r="A21904" s="42"/>
      <c r="C21904" s="52"/>
      <c r="D21904"/>
      <c r="E21904"/>
      <c r="F21904"/>
      <c r="N21904" s="56"/>
    </row>
    <row r="21905" spans="1:14" x14ac:dyDescent="0.3">
      <c r="A21905" s="42"/>
      <c r="C21905" s="52"/>
      <c r="D21905"/>
      <c r="E21905"/>
      <c r="F21905"/>
      <c r="N21905" s="56"/>
    </row>
    <row r="21906" spans="1:14" x14ac:dyDescent="0.3">
      <c r="A21906" s="42"/>
      <c r="C21906" s="52"/>
      <c r="D21906"/>
      <c r="E21906"/>
      <c r="F21906"/>
      <c r="N21906" s="56"/>
    </row>
    <row r="21907" spans="1:14" x14ac:dyDescent="0.3">
      <c r="A21907" s="42"/>
      <c r="C21907" s="52"/>
      <c r="D21907"/>
      <c r="E21907"/>
      <c r="F21907"/>
      <c r="N21907" s="56"/>
    </row>
    <row r="21908" spans="1:14" x14ac:dyDescent="0.3">
      <c r="A21908" s="42"/>
      <c r="C21908" s="52"/>
      <c r="D21908"/>
      <c r="E21908"/>
      <c r="F21908"/>
      <c r="N21908" s="56"/>
    </row>
    <row r="21909" spans="1:14" x14ac:dyDescent="0.3">
      <c r="A21909" s="42"/>
      <c r="C21909" s="52"/>
      <c r="D21909"/>
      <c r="E21909"/>
      <c r="F21909"/>
      <c r="N21909" s="56"/>
    </row>
    <row r="21910" spans="1:14" x14ac:dyDescent="0.3">
      <c r="A21910" s="42"/>
      <c r="C21910" s="52"/>
      <c r="D21910"/>
      <c r="E21910"/>
      <c r="F21910"/>
      <c r="N21910" s="56"/>
    </row>
    <row r="21911" spans="1:14" x14ac:dyDescent="0.3">
      <c r="A21911" s="42"/>
      <c r="C21911" s="52"/>
      <c r="D21911"/>
      <c r="E21911"/>
      <c r="F21911"/>
      <c r="N21911" s="56"/>
    </row>
    <row r="21912" spans="1:14" x14ac:dyDescent="0.3">
      <c r="A21912" s="42"/>
      <c r="C21912" s="52"/>
      <c r="D21912"/>
      <c r="E21912"/>
      <c r="F21912"/>
      <c r="N21912" s="56"/>
    </row>
    <row r="21913" spans="1:14" x14ac:dyDescent="0.3">
      <c r="A21913" s="42"/>
      <c r="C21913" s="52"/>
      <c r="D21913"/>
      <c r="E21913"/>
      <c r="F21913"/>
      <c r="M21913" s="45"/>
      <c r="N21913" s="56"/>
    </row>
    <row r="21914" spans="1:14" x14ac:dyDescent="0.3">
      <c r="A21914" s="42"/>
      <c r="C21914" s="52"/>
      <c r="D21914"/>
      <c r="E21914"/>
      <c r="F21914"/>
      <c r="N21914" s="56"/>
    </row>
    <row r="21915" spans="1:14" x14ac:dyDescent="0.3">
      <c r="A21915" s="42"/>
      <c r="C21915" s="52"/>
      <c r="D21915"/>
      <c r="E21915"/>
      <c r="F21915"/>
      <c r="N21915" s="56"/>
    </row>
    <row r="21916" spans="1:14" x14ac:dyDescent="0.3">
      <c r="A21916" s="42"/>
      <c r="C21916" s="52"/>
      <c r="D21916"/>
      <c r="E21916"/>
      <c r="F21916"/>
      <c r="N21916" s="56"/>
    </row>
    <row r="21917" spans="1:14" x14ac:dyDescent="0.3">
      <c r="A21917" s="42"/>
      <c r="C21917" s="52"/>
      <c r="D21917"/>
      <c r="E21917"/>
      <c r="F21917"/>
      <c r="N21917" s="56"/>
    </row>
    <row r="21918" spans="1:14" x14ac:dyDescent="0.3">
      <c r="A21918" s="42"/>
      <c r="C21918" s="52"/>
      <c r="D21918"/>
      <c r="E21918"/>
      <c r="F21918"/>
      <c r="N21918" s="56"/>
    </row>
    <row r="21919" spans="1:14" x14ac:dyDescent="0.3">
      <c r="A21919" s="42"/>
      <c r="C21919" s="52"/>
      <c r="D21919"/>
      <c r="E21919"/>
      <c r="F21919"/>
      <c r="N21919" s="56"/>
    </row>
    <row r="21920" spans="1:14" x14ac:dyDescent="0.3">
      <c r="A21920" s="42"/>
      <c r="C21920" s="52"/>
      <c r="D21920"/>
      <c r="E21920"/>
      <c r="F21920"/>
      <c r="N21920" s="56"/>
    </row>
    <row r="21921" spans="1:14" x14ac:dyDescent="0.3">
      <c r="A21921" s="42"/>
      <c r="C21921" s="52"/>
      <c r="D21921"/>
      <c r="E21921"/>
      <c r="F21921"/>
      <c r="N21921" s="56"/>
    </row>
    <row r="21922" spans="1:14" x14ac:dyDescent="0.3">
      <c r="A21922" s="42"/>
      <c r="C21922" s="52"/>
      <c r="D21922"/>
      <c r="E21922"/>
      <c r="F21922"/>
      <c r="N21922" s="56"/>
    </row>
    <row r="21923" spans="1:14" x14ac:dyDescent="0.3">
      <c r="A21923" s="42"/>
      <c r="C21923" s="52"/>
      <c r="D21923"/>
      <c r="E21923"/>
      <c r="F21923"/>
      <c r="N21923" s="56"/>
    </row>
    <row r="21924" spans="1:14" x14ac:dyDescent="0.3">
      <c r="A21924" s="42"/>
      <c r="C21924" s="52"/>
      <c r="D21924"/>
      <c r="E21924"/>
      <c r="F21924"/>
      <c r="N21924" s="56"/>
    </row>
    <row r="21925" spans="1:14" x14ac:dyDescent="0.3">
      <c r="A21925" s="42"/>
      <c r="C21925" s="52"/>
      <c r="D21925"/>
      <c r="E21925"/>
      <c r="F21925"/>
      <c r="N21925" s="56"/>
    </row>
    <row r="21926" spans="1:14" x14ac:dyDescent="0.3">
      <c r="A21926" s="42"/>
      <c r="C21926" s="52"/>
      <c r="D21926"/>
      <c r="E21926"/>
      <c r="F21926"/>
      <c r="N21926" s="56"/>
    </row>
    <row r="21927" spans="1:14" x14ac:dyDescent="0.3">
      <c r="A21927" s="42"/>
      <c r="C21927" s="52"/>
      <c r="D21927"/>
      <c r="E21927"/>
      <c r="F21927"/>
      <c r="N21927" s="56"/>
    </row>
    <row r="21928" spans="1:14" x14ac:dyDescent="0.3">
      <c r="A21928" s="42"/>
      <c r="C21928" s="52"/>
      <c r="D21928"/>
      <c r="E21928"/>
      <c r="F21928"/>
      <c r="N21928" s="56"/>
    </row>
    <row r="21929" spans="1:14" x14ac:dyDescent="0.3">
      <c r="A21929" s="42"/>
      <c r="C21929" s="52"/>
      <c r="D21929"/>
      <c r="E21929"/>
      <c r="F21929"/>
      <c r="N21929" s="56"/>
    </row>
    <row r="21930" spans="1:14" x14ac:dyDescent="0.3">
      <c r="A21930" s="42"/>
      <c r="C21930" s="52"/>
      <c r="D21930"/>
      <c r="E21930"/>
      <c r="F21930"/>
      <c r="N21930" s="56"/>
    </row>
    <row r="21931" spans="1:14" x14ac:dyDescent="0.3">
      <c r="A21931" s="42"/>
      <c r="C21931" s="52"/>
      <c r="D21931"/>
      <c r="E21931"/>
      <c r="F21931"/>
      <c r="N21931" s="56"/>
    </row>
    <row r="21932" spans="1:14" x14ac:dyDescent="0.3">
      <c r="A21932" s="42"/>
      <c r="C21932" s="52"/>
      <c r="D21932"/>
      <c r="E21932"/>
      <c r="F21932"/>
      <c r="N21932" s="56"/>
    </row>
    <row r="21933" spans="1:14" x14ac:dyDescent="0.3">
      <c r="A21933" s="42"/>
      <c r="C21933" s="52"/>
      <c r="D21933"/>
      <c r="E21933"/>
      <c r="F21933"/>
      <c r="N21933" s="56"/>
    </row>
    <row r="21934" spans="1:14" x14ac:dyDescent="0.3">
      <c r="A21934" s="42"/>
      <c r="C21934" s="52"/>
      <c r="D21934"/>
      <c r="E21934"/>
      <c r="F21934"/>
      <c r="N21934" s="56"/>
    </row>
    <row r="21935" spans="1:14" x14ac:dyDescent="0.3">
      <c r="A21935" s="42"/>
      <c r="C21935" s="52"/>
      <c r="D21935"/>
      <c r="E21935"/>
      <c r="F21935"/>
      <c r="N21935" s="56"/>
    </row>
    <row r="21936" spans="1:14" x14ac:dyDescent="0.3">
      <c r="A21936" s="42"/>
      <c r="C21936" s="52"/>
      <c r="D21936"/>
      <c r="E21936"/>
      <c r="F21936"/>
      <c r="N21936" s="56"/>
    </row>
    <row r="21937" spans="1:14" x14ac:dyDescent="0.3">
      <c r="A21937" s="42"/>
      <c r="C21937" s="52"/>
      <c r="D21937"/>
      <c r="E21937"/>
      <c r="F21937"/>
      <c r="N21937" s="56"/>
    </row>
    <row r="21938" spans="1:14" x14ac:dyDescent="0.3">
      <c r="A21938" s="42"/>
      <c r="C21938" s="52"/>
      <c r="D21938"/>
      <c r="E21938"/>
      <c r="F21938"/>
      <c r="N21938" s="56"/>
    </row>
    <row r="21939" spans="1:14" x14ac:dyDescent="0.3">
      <c r="A21939" s="42"/>
      <c r="C21939" s="52"/>
      <c r="D21939"/>
      <c r="E21939"/>
      <c r="F21939"/>
      <c r="N21939" s="56"/>
    </row>
    <row r="21940" spans="1:14" x14ac:dyDescent="0.3">
      <c r="A21940" s="42"/>
      <c r="C21940" s="52"/>
      <c r="D21940"/>
      <c r="E21940"/>
      <c r="F21940"/>
      <c r="N21940" s="56"/>
    </row>
    <row r="21941" spans="1:14" x14ac:dyDescent="0.3">
      <c r="A21941" s="42"/>
      <c r="C21941" s="52"/>
      <c r="D21941"/>
      <c r="E21941"/>
      <c r="F21941"/>
      <c r="N21941" s="56"/>
    </row>
    <row r="21942" spans="1:14" x14ac:dyDescent="0.3">
      <c r="A21942" s="42"/>
      <c r="C21942" s="52"/>
      <c r="D21942"/>
      <c r="E21942"/>
      <c r="F21942"/>
      <c r="N21942" s="56"/>
    </row>
    <row r="21943" spans="1:14" x14ac:dyDescent="0.3">
      <c r="A21943" s="42"/>
      <c r="C21943" s="52"/>
      <c r="D21943"/>
      <c r="E21943"/>
      <c r="F21943"/>
      <c r="M21943" s="45"/>
      <c r="N21943" s="56"/>
    </row>
    <row r="21944" spans="1:14" x14ac:dyDescent="0.3">
      <c r="A21944" s="42"/>
      <c r="C21944" s="52"/>
      <c r="D21944"/>
      <c r="E21944"/>
      <c r="F21944"/>
      <c r="N21944" s="56"/>
    </row>
    <row r="21945" spans="1:14" x14ac:dyDescent="0.3">
      <c r="A21945" s="42"/>
      <c r="C21945" s="52"/>
      <c r="D21945"/>
      <c r="E21945"/>
      <c r="F21945"/>
      <c r="N21945" s="56"/>
    </row>
    <row r="21946" spans="1:14" x14ac:dyDescent="0.3">
      <c r="A21946" s="42"/>
      <c r="C21946" s="52"/>
      <c r="D21946"/>
      <c r="E21946"/>
      <c r="F21946"/>
      <c r="N21946" s="56"/>
    </row>
    <row r="21947" spans="1:14" x14ac:dyDescent="0.3">
      <c r="A21947" s="42"/>
      <c r="C21947" s="52"/>
      <c r="D21947"/>
      <c r="E21947"/>
      <c r="F21947"/>
      <c r="N21947" s="56"/>
    </row>
    <row r="21948" spans="1:14" x14ac:dyDescent="0.3">
      <c r="A21948" s="42"/>
      <c r="C21948" s="52"/>
      <c r="D21948"/>
      <c r="E21948"/>
      <c r="F21948"/>
      <c r="N21948" s="56"/>
    </row>
    <row r="21949" spans="1:14" x14ac:dyDescent="0.3">
      <c r="A21949" s="42"/>
      <c r="C21949" s="52"/>
      <c r="D21949"/>
      <c r="E21949"/>
      <c r="F21949"/>
      <c r="N21949" s="56"/>
    </row>
    <row r="21950" spans="1:14" x14ac:dyDescent="0.3">
      <c r="A21950" s="42"/>
      <c r="C21950" s="52"/>
      <c r="D21950"/>
      <c r="E21950"/>
      <c r="F21950"/>
      <c r="N21950" s="56"/>
    </row>
    <row r="21951" spans="1:14" x14ac:dyDescent="0.3">
      <c r="A21951" s="42"/>
      <c r="C21951" s="52"/>
      <c r="D21951"/>
      <c r="E21951"/>
      <c r="F21951"/>
      <c r="N21951" s="56"/>
    </row>
    <row r="21952" spans="1:14" x14ac:dyDescent="0.3">
      <c r="A21952" s="42"/>
      <c r="C21952" s="52"/>
      <c r="D21952"/>
      <c r="E21952"/>
      <c r="F21952"/>
      <c r="N21952" s="56"/>
    </row>
    <row r="21953" spans="1:14" x14ac:dyDescent="0.3">
      <c r="A21953" s="42"/>
      <c r="C21953" s="52"/>
      <c r="D21953"/>
      <c r="E21953"/>
      <c r="F21953"/>
      <c r="N21953" s="56"/>
    </row>
    <row r="21954" spans="1:14" x14ac:dyDescent="0.3">
      <c r="A21954" s="42"/>
      <c r="C21954" s="52"/>
      <c r="D21954"/>
      <c r="E21954"/>
      <c r="F21954"/>
      <c r="N21954" s="56"/>
    </row>
    <row r="21955" spans="1:14" x14ac:dyDescent="0.3">
      <c r="A21955" s="42"/>
      <c r="C21955" s="52"/>
      <c r="D21955"/>
      <c r="E21955"/>
      <c r="F21955"/>
      <c r="N21955" s="56"/>
    </row>
    <row r="21956" spans="1:14" x14ac:dyDescent="0.3">
      <c r="A21956" s="42"/>
      <c r="C21956" s="52"/>
      <c r="D21956"/>
      <c r="E21956"/>
      <c r="F21956"/>
      <c r="N21956" s="56"/>
    </row>
    <row r="21957" spans="1:14" x14ac:dyDescent="0.3">
      <c r="A21957" s="42"/>
      <c r="C21957" s="52"/>
      <c r="D21957"/>
      <c r="E21957"/>
      <c r="F21957"/>
      <c r="N21957" s="56"/>
    </row>
    <row r="21958" spans="1:14" x14ac:dyDescent="0.3">
      <c r="A21958" s="42"/>
      <c r="C21958" s="52"/>
      <c r="D21958"/>
      <c r="E21958"/>
      <c r="F21958"/>
      <c r="N21958" s="56"/>
    </row>
    <row r="21959" spans="1:14" x14ac:dyDescent="0.3">
      <c r="A21959" s="42"/>
      <c r="C21959" s="52"/>
      <c r="D21959"/>
      <c r="E21959"/>
      <c r="F21959"/>
      <c r="N21959" s="56"/>
    </row>
    <row r="21960" spans="1:14" x14ac:dyDescent="0.3">
      <c r="A21960" s="42"/>
      <c r="C21960" s="52"/>
      <c r="D21960"/>
      <c r="E21960"/>
      <c r="F21960"/>
      <c r="N21960" s="56"/>
    </row>
    <row r="21961" spans="1:14" x14ac:dyDescent="0.3">
      <c r="A21961" s="42"/>
      <c r="C21961" s="52"/>
      <c r="D21961"/>
      <c r="E21961"/>
      <c r="F21961"/>
      <c r="N21961" s="56"/>
    </row>
    <row r="21962" spans="1:14" x14ac:dyDescent="0.3">
      <c r="A21962" s="42"/>
      <c r="C21962" s="52"/>
      <c r="D21962"/>
      <c r="E21962"/>
      <c r="F21962"/>
      <c r="N21962" s="56"/>
    </row>
    <row r="21963" spans="1:14" x14ac:dyDescent="0.3">
      <c r="A21963" s="42"/>
      <c r="C21963" s="52"/>
      <c r="D21963"/>
      <c r="E21963"/>
      <c r="F21963"/>
      <c r="N21963" s="56"/>
    </row>
    <row r="21964" spans="1:14" x14ac:dyDescent="0.3">
      <c r="A21964" s="42"/>
      <c r="C21964" s="52"/>
      <c r="D21964"/>
      <c r="E21964"/>
      <c r="F21964"/>
      <c r="N21964" s="56"/>
    </row>
    <row r="21965" spans="1:14" x14ac:dyDescent="0.3">
      <c r="A21965" s="42"/>
      <c r="C21965" s="52"/>
      <c r="D21965"/>
      <c r="E21965"/>
      <c r="F21965"/>
      <c r="N21965" s="56"/>
    </row>
    <row r="21966" spans="1:14" x14ac:dyDescent="0.3">
      <c r="A21966" s="42"/>
      <c r="C21966" s="52"/>
      <c r="D21966"/>
      <c r="E21966"/>
      <c r="F21966"/>
      <c r="N21966" s="56"/>
    </row>
    <row r="21967" spans="1:14" x14ac:dyDescent="0.3">
      <c r="A21967" s="42"/>
      <c r="C21967" s="52"/>
      <c r="D21967"/>
      <c r="E21967"/>
      <c r="F21967"/>
      <c r="N21967" s="56"/>
    </row>
    <row r="21968" spans="1:14" x14ac:dyDescent="0.3">
      <c r="A21968" s="42"/>
      <c r="C21968" s="52"/>
      <c r="D21968"/>
      <c r="E21968"/>
      <c r="F21968"/>
      <c r="N21968" s="56"/>
    </row>
    <row r="21969" spans="1:14" x14ac:dyDescent="0.3">
      <c r="A21969" s="42"/>
      <c r="C21969" s="52"/>
      <c r="D21969"/>
      <c r="E21969"/>
      <c r="F21969"/>
      <c r="N21969" s="56"/>
    </row>
    <row r="21970" spans="1:14" x14ac:dyDescent="0.3">
      <c r="A21970" s="42"/>
      <c r="C21970" s="52"/>
      <c r="D21970"/>
      <c r="E21970"/>
      <c r="F21970"/>
      <c r="N21970" s="56"/>
    </row>
    <row r="21971" spans="1:14" x14ac:dyDescent="0.3">
      <c r="A21971" s="42"/>
      <c r="C21971" s="52"/>
      <c r="D21971"/>
      <c r="E21971"/>
      <c r="F21971"/>
      <c r="N21971" s="56"/>
    </row>
    <row r="21972" spans="1:14" x14ac:dyDescent="0.3">
      <c r="A21972" s="42"/>
      <c r="C21972" s="52"/>
      <c r="D21972"/>
      <c r="E21972"/>
      <c r="F21972"/>
      <c r="N21972" s="56"/>
    </row>
    <row r="21973" spans="1:14" x14ac:dyDescent="0.3">
      <c r="A21973" s="42"/>
      <c r="C21973" s="52"/>
      <c r="D21973"/>
      <c r="E21973"/>
      <c r="F21973"/>
      <c r="N21973" s="56"/>
    </row>
    <row r="21974" spans="1:14" x14ac:dyDescent="0.3">
      <c r="A21974" s="42"/>
      <c r="C21974" s="52"/>
      <c r="D21974"/>
      <c r="E21974"/>
      <c r="F21974"/>
      <c r="N21974" s="56"/>
    </row>
    <row r="21975" spans="1:14" x14ac:dyDescent="0.3">
      <c r="A21975" s="42"/>
      <c r="C21975" s="52"/>
      <c r="D21975"/>
      <c r="E21975"/>
      <c r="F21975"/>
      <c r="N21975" s="56"/>
    </row>
    <row r="21976" spans="1:14" x14ac:dyDescent="0.3">
      <c r="A21976" s="42"/>
      <c r="C21976" s="52"/>
      <c r="D21976"/>
      <c r="E21976"/>
      <c r="F21976"/>
      <c r="N21976" s="56"/>
    </row>
    <row r="21977" spans="1:14" x14ac:dyDescent="0.3">
      <c r="A21977" s="42"/>
      <c r="C21977" s="52"/>
      <c r="D21977"/>
      <c r="E21977"/>
      <c r="F21977"/>
      <c r="N21977" s="56"/>
    </row>
    <row r="21978" spans="1:14" x14ac:dyDescent="0.3">
      <c r="A21978" s="42"/>
      <c r="C21978" s="52"/>
      <c r="D21978"/>
      <c r="E21978"/>
      <c r="F21978"/>
      <c r="N21978" s="56"/>
    </row>
    <row r="21979" spans="1:14" x14ac:dyDescent="0.3">
      <c r="A21979" s="42"/>
      <c r="C21979" s="52"/>
      <c r="D21979"/>
      <c r="E21979"/>
      <c r="F21979"/>
      <c r="N21979" s="56"/>
    </row>
    <row r="21980" spans="1:14" x14ac:dyDescent="0.3">
      <c r="A21980" s="42"/>
      <c r="C21980" s="52"/>
      <c r="D21980"/>
      <c r="E21980"/>
      <c r="F21980"/>
      <c r="N21980" s="56"/>
    </row>
    <row r="21981" spans="1:14" x14ac:dyDescent="0.3">
      <c r="A21981" s="42"/>
      <c r="C21981" s="52"/>
      <c r="D21981"/>
      <c r="E21981"/>
      <c r="F21981"/>
      <c r="N21981" s="56"/>
    </row>
    <row r="21982" spans="1:14" x14ac:dyDescent="0.3">
      <c r="A21982" s="42"/>
      <c r="C21982" s="52"/>
      <c r="D21982"/>
      <c r="E21982"/>
      <c r="F21982"/>
      <c r="N21982" s="56"/>
    </row>
    <row r="21983" spans="1:14" x14ac:dyDescent="0.3">
      <c r="A21983" s="42"/>
      <c r="C21983" s="52"/>
      <c r="D21983"/>
      <c r="E21983"/>
      <c r="F21983"/>
      <c r="N21983" s="56"/>
    </row>
    <row r="21984" spans="1:14" x14ac:dyDescent="0.3">
      <c r="A21984" s="42"/>
      <c r="C21984" s="52"/>
      <c r="D21984"/>
      <c r="E21984"/>
      <c r="F21984"/>
      <c r="N21984" s="56"/>
    </row>
    <row r="21985" spans="1:14" x14ac:dyDescent="0.3">
      <c r="A21985" s="42"/>
      <c r="C21985" s="52"/>
      <c r="D21985"/>
      <c r="E21985"/>
      <c r="F21985"/>
      <c r="N21985" s="56"/>
    </row>
    <row r="21986" spans="1:14" x14ac:dyDescent="0.3">
      <c r="A21986" s="42"/>
      <c r="C21986" s="52"/>
      <c r="D21986"/>
      <c r="E21986"/>
      <c r="F21986"/>
      <c r="N21986" s="56"/>
    </row>
    <row r="21987" spans="1:14" x14ac:dyDescent="0.3">
      <c r="A21987" s="42"/>
      <c r="C21987" s="52"/>
      <c r="D21987"/>
      <c r="E21987"/>
      <c r="F21987"/>
      <c r="N21987" s="56"/>
    </row>
    <row r="21988" spans="1:14" x14ac:dyDescent="0.3">
      <c r="A21988" s="42"/>
      <c r="C21988" s="52"/>
      <c r="D21988"/>
      <c r="E21988"/>
      <c r="F21988"/>
      <c r="N21988" s="56"/>
    </row>
    <row r="21989" spans="1:14" x14ac:dyDescent="0.3">
      <c r="A21989" s="42"/>
      <c r="C21989" s="52"/>
      <c r="D21989"/>
      <c r="E21989"/>
      <c r="F21989"/>
      <c r="N21989" s="56"/>
    </row>
    <row r="21990" spans="1:14" x14ac:dyDescent="0.3">
      <c r="A21990" s="42"/>
      <c r="C21990" s="52"/>
      <c r="D21990"/>
      <c r="E21990"/>
      <c r="F21990"/>
      <c r="N21990" s="56"/>
    </row>
    <row r="21991" spans="1:14" x14ac:dyDescent="0.3">
      <c r="A21991" s="42"/>
      <c r="C21991" s="52"/>
      <c r="D21991"/>
      <c r="E21991"/>
      <c r="F21991"/>
      <c r="N21991" s="56"/>
    </row>
    <row r="21992" spans="1:14" x14ac:dyDescent="0.3">
      <c r="A21992" s="42"/>
      <c r="C21992" s="52"/>
      <c r="D21992"/>
      <c r="E21992"/>
      <c r="F21992"/>
      <c r="N21992" s="56"/>
    </row>
    <row r="21993" spans="1:14" x14ac:dyDescent="0.3">
      <c r="A21993" s="42"/>
      <c r="C21993" s="52"/>
      <c r="D21993"/>
      <c r="E21993"/>
      <c r="F21993"/>
      <c r="N21993" s="56"/>
    </row>
    <row r="21994" spans="1:14" x14ac:dyDescent="0.3">
      <c r="A21994" s="42"/>
      <c r="C21994" s="52"/>
      <c r="D21994"/>
      <c r="E21994"/>
      <c r="F21994"/>
      <c r="N21994" s="56"/>
    </row>
    <row r="21995" spans="1:14" x14ac:dyDescent="0.3">
      <c r="A21995" s="42"/>
      <c r="C21995" s="52"/>
      <c r="D21995"/>
      <c r="E21995"/>
      <c r="F21995"/>
      <c r="N21995" s="56"/>
    </row>
    <row r="21996" spans="1:14" x14ac:dyDescent="0.3">
      <c r="A21996" s="42"/>
      <c r="C21996" s="52"/>
      <c r="D21996"/>
      <c r="E21996"/>
      <c r="F21996"/>
      <c r="N21996" s="56"/>
    </row>
    <row r="21997" spans="1:14" x14ac:dyDescent="0.3">
      <c r="A21997" s="42"/>
      <c r="C21997" s="52"/>
      <c r="D21997"/>
      <c r="E21997"/>
      <c r="F21997"/>
      <c r="N21997" s="56"/>
    </row>
    <row r="21998" spans="1:14" x14ac:dyDescent="0.3">
      <c r="A21998" s="42"/>
      <c r="C21998" s="52"/>
      <c r="D21998"/>
      <c r="E21998"/>
      <c r="F21998"/>
      <c r="N21998" s="56"/>
    </row>
    <row r="21999" spans="1:14" x14ac:dyDescent="0.3">
      <c r="A21999" s="42"/>
      <c r="C21999" s="52"/>
      <c r="D21999"/>
      <c r="E21999"/>
      <c r="F21999"/>
      <c r="N21999" s="56"/>
    </row>
    <row r="22000" spans="1:14" x14ac:dyDescent="0.3">
      <c r="A22000" s="42"/>
      <c r="C22000" s="52"/>
      <c r="D22000"/>
      <c r="E22000"/>
      <c r="F22000"/>
      <c r="N22000" s="56"/>
    </row>
    <row r="22001" spans="1:14" x14ac:dyDescent="0.3">
      <c r="A22001" s="42"/>
      <c r="C22001" s="52"/>
      <c r="D22001"/>
      <c r="E22001"/>
      <c r="F22001"/>
      <c r="N22001" s="56"/>
    </row>
    <row r="22002" spans="1:14" x14ac:dyDescent="0.3">
      <c r="A22002" s="42"/>
      <c r="C22002" s="52"/>
      <c r="D22002"/>
      <c r="E22002"/>
      <c r="F22002"/>
      <c r="N22002" s="56"/>
    </row>
    <row r="22003" spans="1:14" x14ac:dyDescent="0.3">
      <c r="A22003" s="42"/>
      <c r="C22003" s="52"/>
      <c r="D22003"/>
      <c r="E22003"/>
      <c r="F22003"/>
      <c r="N22003" s="56"/>
    </row>
    <row r="22004" spans="1:14" x14ac:dyDescent="0.3">
      <c r="A22004" s="42"/>
      <c r="C22004" s="52"/>
      <c r="D22004"/>
      <c r="E22004"/>
      <c r="F22004"/>
      <c r="N22004" s="56"/>
    </row>
    <row r="22005" spans="1:14" x14ac:dyDescent="0.3">
      <c r="A22005" s="42"/>
      <c r="C22005" s="52"/>
      <c r="D22005"/>
      <c r="E22005"/>
      <c r="F22005"/>
      <c r="N22005" s="56"/>
    </row>
    <row r="22006" spans="1:14" x14ac:dyDescent="0.3">
      <c r="A22006" s="42"/>
      <c r="C22006" s="52"/>
      <c r="D22006"/>
      <c r="E22006"/>
      <c r="F22006"/>
      <c r="N22006" s="56"/>
    </row>
    <row r="22007" spans="1:14" x14ac:dyDescent="0.3">
      <c r="A22007" s="42"/>
      <c r="C22007" s="52"/>
      <c r="D22007"/>
      <c r="E22007"/>
      <c r="F22007"/>
      <c r="N22007" s="56"/>
    </row>
    <row r="22008" spans="1:14" x14ac:dyDescent="0.3">
      <c r="A22008" s="42"/>
      <c r="C22008" s="52"/>
      <c r="D22008"/>
      <c r="E22008"/>
      <c r="F22008"/>
      <c r="N22008" s="56"/>
    </row>
    <row r="22009" spans="1:14" x14ac:dyDescent="0.3">
      <c r="A22009" s="42"/>
      <c r="C22009" s="52"/>
      <c r="D22009"/>
      <c r="E22009"/>
      <c r="F22009"/>
      <c r="N22009" s="56"/>
    </row>
    <row r="22010" spans="1:14" x14ac:dyDescent="0.3">
      <c r="A22010" s="42"/>
      <c r="C22010" s="52"/>
      <c r="D22010"/>
      <c r="E22010"/>
      <c r="F22010"/>
      <c r="N22010" s="56"/>
    </row>
    <row r="22011" spans="1:14" x14ac:dyDescent="0.3">
      <c r="A22011" s="42"/>
      <c r="C22011" s="52"/>
      <c r="D22011"/>
      <c r="E22011"/>
      <c r="F22011"/>
      <c r="N22011" s="56"/>
    </row>
    <row r="22012" spans="1:14" x14ac:dyDescent="0.3">
      <c r="A22012" s="42"/>
      <c r="C22012" s="52"/>
      <c r="D22012"/>
      <c r="E22012"/>
      <c r="F22012"/>
      <c r="N22012" s="56"/>
    </row>
    <row r="22013" spans="1:14" x14ac:dyDescent="0.3">
      <c r="A22013" s="42"/>
      <c r="C22013" s="52"/>
      <c r="D22013"/>
      <c r="E22013"/>
      <c r="F22013"/>
      <c r="N22013" s="56"/>
    </row>
    <row r="22014" spans="1:14" x14ac:dyDescent="0.3">
      <c r="A22014" s="42"/>
      <c r="C22014" s="52"/>
      <c r="D22014"/>
      <c r="E22014"/>
      <c r="F22014"/>
      <c r="N22014" s="56"/>
    </row>
    <row r="22015" spans="1:14" x14ac:dyDescent="0.3">
      <c r="A22015" s="42"/>
      <c r="C22015" s="52"/>
      <c r="D22015"/>
      <c r="E22015"/>
      <c r="F22015"/>
      <c r="N22015" s="56"/>
    </row>
    <row r="22016" spans="1:14" x14ac:dyDescent="0.3">
      <c r="A22016" s="42"/>
      <c r="C22016" s="52"/>
      <c r="D22016"/>
      <c r="E22016"/>
      <c r="F22016"/>
      <c r="N22016" s="56"/>
    </row>
    <row r="22017" spans="1:14" x14ac:dyDescent="0.3">
      <c r="A22017" s="42"/>
      <c r="C22017" s="52"/>
      <c r="D22017"/>
      <c r="E22017"/>
      <c r="F22017"/>
      <c r="N22017" s="56"/>
    </row>
    <row r="22018" spans="1:14" x14ac:dyDescent="0.3">
      <c r="A22018" s="42"/>
      <c r="C22018" s="52"/>
      <c r="D22018"/>
      <c r="E22018"/>
      <c r="F22018"/>
      <c r="N22018" s="56"/>
    </row>
    <row r="22019" spans="1:14" x14ac:dyDescent="0.3">
      <c r="A22019" s="42"/>
      <c r="C22019" s="52"/>
      <c r="D22019"/>
      <c r="E22019"/>
      <c r="F22019"/>
      <c r="N22019" s="56"/>
    </row>
    <row r="22020" spans="1:14" x14ac:dyDescent="0.3">
      <c r="A22020" s="42"/>
      <c r="C22020" s="52"/>
      <c r="D22020"/>
      <c r="E22020"/>
      <c r="F22020"/>
      <c r="N22020" s="56"/>
    </row>
    <row r="22021" spans="1:14" x14ac:dyDescent="0.3">
      <c r="A22021" s="42"/>
      <c r="C22021" s="52"/>
      <c r="D22021"/>
      <c r="E22021"/>
      <c r="F22021"/>
      <c r="N22021" s="56"/>
    </row>
    <row r="22022" spans="1:14" x14ac:dyDescent="0.3">
      <c r="A22022" s="42"/>
      <c r="C22022" s="52"/>
      <c r="D22022"/>
      <c r="E22022"/>
      <c r="F22022"/>
      <c r="N22022" s="56"/>
    </row>
    <row r="22023" spans="1:14" x14ac:dyDescent="0.3">
      <c r="A22023" s="42"/>
      <c r="C22023" s="52"/>
      <c r="D22023"/>
      <c r="E22023"/>
      <c r="F22023"/>
      <c r="N22023" s="56"/>
    </row>
    <row r="22024" spans="1:14" x14ac:dyDescent="0.3">
      <c r="A22024" s="42"/>
      <c r="C22024" s="52"/>
      <c r="D22024"/>
      <c r="E22024"/>
      <c r="F22024"/>
      <c r="N22024" s="56"/>
    </row>
    <row r="22025" spans="1:14" x14ac:dyDescent="0.3">
      <c r="A22025" s="42"/>
      <c r="C22025" s="52"/>
      <c r="D22025"/>
      <c r="E22025"/>
      <c r="F22025"/>
      <c r="M22025" s="45"/>
      <c r="N22025" s="56"/>
    </row>
    <row r="22026" spans="1:14" x14ac:dyDescent="0.3">
      <c r="A22026" s="42"/>
      <c r="C22026" s="52"/>
      <c r="D22026"/>
      <c r="E22026"/>
      <c r="F22026"/>
      <c r="N22026" s="56"/>
    </row>
    <row r="22027" spans="1:14" x14ac:dyDescent="0.3">
      <c r="A22027" s="42"/>
      <c r="C22027" s="52"/>
      <c r="D22027"/>
      <c r="E22027"/>
      <c r="F22027"/>
      <c r="N22027" s="56"/>
    </row>
    <row r="22028" spans="1:14" x14ac:dyDescent="0.3">
      <c r="A22028" s="42"/>
      <c r="C22028" s="52"/>
      <c r="D22028"/>
      <c r="E22028"/>
      <c r="F22028"/>
      <c r="N22028" s="56"/>
    </row>
    <row r="22029" spans="1:14" x14ac:dyDescent="0.3">
      <c r="A22029" s="42"/>
      <c r="C22029" s="52"/>
      <c r="D22029"/>
      <c r="E22029"/>
      <c r="F22029"/>
      <c r="N22029" s="56"/>
    </row>
    <row r="22030" spans="1:14" x14ac:dyDescent="0.3">
      <c r="A22030" s="42"/>
      <c r="C22030" s="52"/>
      <c r="D22030"/>
      <c r="E22030"/>
      <c r="F22030"/>
      <c r="N22030" s="56"/>
    </row>
    <row r="22031" spans="1:14" x14ac:dyDescent="0.3">
      <c r="A22031" s="42"/>
      <c r="C22031" s="52"/>
      <c r="D22031"/>
      <c r="E22031"/>
      <c r="F22031"/>
      <c r="N22031" s="56"/>
    </row>
    <row r="22032" spans="1:14" x14ac:dyDescent="0.3">
      <c r="A22032" s="42"/>
      <c r="C22032" s="52"/>
      <c r="D22032"/>
      <c r="E22032"/>
      <c r="F22032"/>
      <c r="N22032" s="56"/>
    </row>
    <row r="22033" spans="1:14" x14ac:dyDescent="0.3">
      <c r="A22033" s="42"/>
      <c r="C22033" s="52"/>
      <c r="D22033"/>
      <c r="E22033"/>
      <c r="F22033"/>
      <c r="N22033" s="56"/>
    </row>
    <row r="22034" spans="1:14" x14ac:dyDescent="0.3">
      <c r="A22034" s="42"/>
      <c r="C22034" s="52"/>
      <c r="D22034"/>
      <c r="E22034"/>
      <c r="F22034"/>
      <c r="N22034" s="56"/>
    </row>
    <row r="22035" spans="1:14" x14ac:dyDescent="0.3">
      <c r="A22035" s="42"/>
      <c r="C22035" s="52"/>
      <c r="D22035"/>
      <c r="E22035"/>
      <c r="F22035"/>
      <c r="N22035" s="56"/>
    </row>
    <row r="22036" spans="1:14" x14ac:dyDescent="0.3">
      <c r="A22036" s="42"/>
      <c r="C22036" s="52"/>
      <c r="D22036"/>
      <c r="E22036"/>
      <c r="F22036"/>
      <c r="N22036" s="56"/>
    </row>
    <row r="22037" spans="1:14" x14ac:dyDescent="0.3">
      <c r="A22037" s="42"/>
      <c r="C22037" s="52"/>
      <c r="D22037"/>
      <c r="E22037"/>
      <c r="F22037"/>
      <c r="N22037" s="56"/>
    </row>
    <row r="22038" spans="1:14" x14ac:dyDescent="0.3">
      <c r="A22038" s="42"/>
      <c r="C22038" s="52"/>
      <c r="D22038"/>
      <c r="E22038"/>
      <c r="F22038"/>
      <c r="N22038" s="56"/>
    </row>
    <row r="22039" spans="1:14" x14ac:dyDescent="0.3">
      <c r="A22039" s="42"/>
      <c r="C22039" s="52"/>
      <c r="D22039"/>
      <c r="E22039"/>
      <c r="F22039"/>
      <c r="N22039" s="56"/>
    </row>
    <row r="22040" spans="1:14" x14ac:dyDescent="0.3">
      <c r="A22040" s="42"/>
      <c r="C22040" s="52"/>
      <c r="D22040"/>
      <c r="E22040"/>
      <c r="F22040"/>
      <c r="N22040" s="56"/>
    </row>
    <row r="22041" spans="1:14" x14ac:dyDescent="0.3">
      <c r="A22041" s="42"/>
      <c r="C22041" s="52"/>
      <c r="D22041"/>
      <c r="E22041"/>
      <c r="F22041"/>
      <c r="N22041" s="56"/>
    </row>
    <row r="22042" spans="1:14" x14ac:dyDescent="0.3">
      <c r="A22042" s="42"/>
      <c r="C22042" s="52"/>
      <c r="D22042"/>
      <c r="E22042"/>
      <c r="F22042"/>
      <c r="N22042" s="56"/>
    </row>
    <row r="22043" spans="1:14" x14ac:dyDescent="0.3">
      <c r="A22043" s="42"/>
      <c r="C22043" s="52"/>
      <c r="D22043"/>
      <c r="E22043"/>
      <c r="F22043"/>
      <c r="N22043" s="56"/>
    </row>
    <row r="22044" spans="1:14" x14ac:dyDescent="0.3">
      <c r="A22044" s="42"/>
      <c r="C22044" s="52"/>
      <c r="D22044"/>
      <c r="E22044"/>
      <c r="F22044"/>
      <c r="N22044" s="56"/>
    </row>
    <row r="22045" spans="1:14" x14ac:dyDescent="0.3">
      <c r="A22045" s="42"/>
      <c r="C22045" s="52"/>
      <c r="D22045"/>
      <c r="E22045"/>
      <c r="F22045"/>
      <c r="N22045" s="56"/>
    </row>
    <row r="22046" spans="1:14" x14ac:dyDescent="0.3">
      <c r="A22046" s="42"/>
      <c r="C22046" s="52"/>
      <c r="D22046"/>
      <c r="E22046"/>
      <c r="F22046"/>
      <c r="N22046" s="56"/>
    </row>
    <row r="22047" spans="1:14" x14ac:dyDescent="0.3">
      <c r="A22047" s="42"/>
      <c r="C22047" s="52"/>
      <c r="D22047"/>
      <c r="E22047"/>
      <c r="F22047"/>
      <c r="N22047" s="56"/>
    </row>
    <row r="22048" spans="1:14" x14ac:dyDescent="0.3">
      <c r="A22048" s="42"/>
      <c r="C22048" s="52"/>
      <c r="D22048"/>
      <c r="E22048"/>
      <c r="F22048"/>
      <c r="N22048" s="56"/>
    </row>
    <row r="22049" spans="1:14" x14ac:dyDescent="0.3">
      <c r="A22049" s="42"/>
      <c r="C22049" s="52"/>
      <c r="D22049"/>
      <c r="E22049"/>
      <c r="F22049"/>
      <c r="N22049" s="56"/>
    </row>
    <row r="22050" spans="1:14" x14ac:dyDescent="0.3">
      <c r="A22050" s="42"/>
      <c r="C22050" s="52"/>
      <c r="D22050"/>
      <c r="E22050"/>
      <c r="F22050"/>
      <c r="N22050" s="56"/>
    </row>
    <row r="22051" spans="1:14" x14ac:dyDescent="0.3">
      <c r="A22051" s="42"/>
      <c r="C22051" s="52"/>
      <c r="D22051"/>
      <c r="E22051"/>
      <c r="F22051"/>
      <c r="N22051" s="56"/>
    </row>
    <row r="22052" spans="1:14" x14ac:dyDescent="0.3">
      <c r="A22052" s="42"/>
      <c r="C22052" s="52"/>
      <c r="D22052"/>
      <c r="E22052"/>
      <c r="F22052"/>
      <c r="N22052" s="56"/>
    </row>
    <row r="22053" spans="1:14" x14ac:dyDescent="0.3">
      <c r="A22053" s="42"/>
      <c r="C22053" s="52"/>
      <c r="D22053"/>
      <c r="E22053"/>
      <c r="F22053"/>
      <c r="N22053" s="56"/>
    </row>
    <row r="22054" spans="1:14" x14ac:dyDescent="0.3">
      <c r="A22054" s="42"/>
      <c r="C22054" s="52"/>
      <c r="D22054"/>
      <c r="E22054"/>
      <c r="F22054"/>
      <c r="N22054" s="56"/>
    </row>
    <row r="22055" spans="1:14" x14ac:dyDescent="0.3">
      <c r="A22055" s="42"/>
      <c r="C22055" s="52"/>
      <c r="D22055"/>
      <c r="E22055"/>
      <c r="F22055"/>
      <c r="N22055" s="56"/>
    </row>
    <row r="22056" spans="1:14" x14ac:dyDescent="0.3">
      <c r="A22056" s="42"/>
      <c r="C22056" s="52"/>
      <c r="D22056"/>
      <c r="E22056"/>
      <c r="F22056"/>
      <c r="N22056" s="56"/>
    </row>
    <row r="22057" spans="1:14" x14ac:dyDescent="0.3">
      <c r="A22057" s="42"/>
      <c r="C22057" s="52"/>
      <c r="D22057"/>
      <c r="E22057"/>
      <c r="F22057"/>
      <c r="N22057" s="56"/>
    </row>
    <row r="22058" spans="1:14" x14ac:dyDescent="0.3">
      <c r="A22058" s="42"/>
      <c r="C22058" s="52"/>
      <c r="D22058"/>
      <c r="E22058"/>
      <c r="F22058"/>
      <c r="N22058" s="56"/>
    </row>
    <row r="22059" spans="1:14" x14ac:dyDescent="0.3">
      <c r="A22059" s="42"/>
      <c r="C22059" s="52"/>
      <c r="D22059"/>
      <c r="E22059"/>
      <c r="F22059"/>
      <c r="N22059" s="56"/>
    </row>
    <row r="22060" spans="1:14" x14ac:dyDescent="0.3">
      <c r="A22060" s="42"/>
      <c r="C22060" s="52"/>
      <c r="D22060"/>
      <c r="E22060"/>
      <c r="F22060"/>
      <c r="N22060" s="56"/>
    </row>
    <row r="22061" spans="1:14" x14ac:dyDescent="0.3">
      <c r="A22061" s="42"/>
      <c r="C22061" s="52"/>
      <c r="D22061"/>
      <c r="E22061"/>
      <c r="F22061"/>
      <c r="N22061" s="56"/>
    </row>
    <row r="22062" spans="1:14" x14ac:dyDescent="0.3">
      <c r="A22062" s="42"/>
      <c r="C22062" s="52"/>
      <c r="D22062"/>
      <c r="E22062"/>
      <c r="F22062"/>
      <c r="N22062" s="56"/>
    </row>
    <row r="22063" spans="1:14" x14ac:dyDescent="0.3">
      <c r="A22063" s="42"/>
      <c r="C22063" s="52"/>
      <c r="D22063"/>
      <c r="E22063"/>
      <c r="F22063"/>
      <c r="N22063" s="56"/>
    </row>
    <row r="22064" spans="1:14" x14ac:dyDescent="0.3">
      <c r="A22064" s="42"/>
      <c r="C22064" s="52"/>
      <c r="D22064"/>
      <c r="E22064"/>
      <c r="F22064"/>
      <c r="N22064" s="56"/>
    </row>
    <row r="22065" spans="1:14" x14ac:dyDescent="0.3">
      <c r="A22065" s="42"/>
      <c r="C22065" s="52"/>
      <c r="D22065"/>
      <c r="E22065"/>
      <c r="F22065"/>
      <c r="N22065" s="56"/>
    </row>
    <row r="22066" spans="1:14" x14ac:dyDescent="0.3">
      <c r="A22066" s="42"/>
      <c r="C22066" s="52"/>
      <c r="D22066"/>
      <c r="E22066"/>
      <c r="F22066"/>
      <c r="N22066" s="56"/>
    </row>
    <row r="22067" spans="1:14" x14ac:dyDescent="0.3">
      <c r="A22067" s="42"/>
      <c r="C22067" s="52"/>
      <c r="D22067"/>
      <c r="E22067"/>
      <c r="F22067"/>
      <c r="N22067" s="56"/>
    </row>
    <row r="22068" spans="1:14" x14ac:dyDescent="0.3">
      <c r="A22068" s="42"/>
      <c r="C22068" s="52"/>
      <c r="D22068"/>
      <c r="E22068"/>
      <c r="F22068"/>
      <c r="N22068" s="56"/>
    </row>
    <row r="22069" spans="1:14" x14ac:dyDescent="0.3">
      <c r="A22069" s="42"/>
      <c r="C22069" s="52"/>
      <c r="D22069"/>
      <c r="E22069"/>
      <c r="F22069"/>
      <c r="N22069" s="56"/>
    </row>
    <row r="22070" spans="1:14" x14ac:dyDescent="0.3">
      <c r="A22070" s="42"/>
      <c r="C22070" s="52"/>
      <c r="D22070"/>
      <c r="E22070"/>
      <c r="F22070"/>
      <c r="N22070" s="56"/>
    </row>
    <row r="22071" spans="1:14" x14ac:dyDescent="0.3">
      <c r="A22071" s="42"/>
      <c r="C22071" s="52"/>
      <c r="D22071"/>
      <c r="E22071"/>
      <c r="F22071"/>
      <c r="N22071" s="56"/>
    </row>
    <row r="22072" spans="1:14" x14ac:dyDescent="0.3">
      <c r="A22072" s="42"/>
      <c r="C22072" s="52"/>
      <c r="D22072"/>
      <c r="E22072"/>
      <c r="F22072"/>
      <c r="N22072" s="56"/>
    </row>
    <row r="22073" spans="1:14" x14ac:dyDescent="0.3">
      <c r="A22073" s="42"/>
      <c r="C22073" s="52"/>
      <c r="D22073"/>
      <c r="E22073"/>
      <c r="F22073"/>
      <c r="N22073" s="56"/>
    </row>
    <row r="22074" spans="1:14" x14ac:dyDescent="0.3">
      <c r="A22074" s="42"/>
      <c r="C22074" s="52"/>
      <c r="D22074"/>
      <c r="E22074"/>
      <c r="F22074"/>
      <c r="N22074" s="56"/>
    </row>
    <row r="22075" spans="1:14" x14ac:dyDescent="0.3">
      <c r="A22075" s="42"/>
      <c r="C22075" s="52"/>
      <c r="D22075"/>
      <c r="E22075"/>
      <c r="F22075"/>
      <c r="N22075" s="56"/>
    </row>
    <row r="22076" spans="1:14" x14ac:dyDescent="0.3">
      <c r="A22076" s="42"/>
      <c r="C22076" s="52"/>
      <c r="D22076"/>
      <c r="E22076"/>
      <c r="F22076"/>
      <c r="N22076" s="56"/>
    </row>
    <row r="22077" spans="1:14" x14ac:dyDescent="0.3">
      <c r="A22077" s="42"/>
      <c r="C22077" s="52"/>
      <c r="D22077"/>
      <c r="E22077"/>
      <c r="F22077"/>
      <c r="N22077" s="56"/>
    </row>
    <row r="22078" spans="1:14" x14ac:dyDescent="0.3">
      <c r="A22078" s="42"/>
      <c r="C22078" s="52"/>
      <c r="D22078"/>
      <c r="E22078"/>
      <c r="F22078"/>
      <c r="N22078" s="56"/>
    </row>
    <row r="22079" spans="1:14" x14ac:dyDescent="0.3">
      <c r="A22079" s="42"/>
      <c r="C22079" s="52"/>
      <c r="D22079"/>
      <c r="E22079"/>
      <c r="F22079"/>
      <c r="N22079" s="56"/>
    </row>
    <row r="22080" spans="1:14" x14ac:dyDescent="0.3">
      <c r="A22080" s="42"/>
      <c r="C22080" s="52"/>
      <c r="D22080"/>
      <c r="E22080"/>
      <c r="F22080"/>
      <c r="N22080" s="56"/>
    </row>
    <row r="22081" spans="1:14" x14ac:dyDescent="0.3">
      <c r="A22081" s="42"/>
      <c r="C22081" s="52"/>
      <c r="D22081"/>
      <c r="E22081"/>
      <c r="F22081"/>
      <c r="N22081" s="56"/>
    </row>
    <row r="22082" spans="1:14" x14ac:dyDescent="0.3">
      <c r="A22082" s="42"/>
      <c r="C22082" s="52"/>
      <c r="D22082"/>
      <c r="E22082"/>
      <c r="F22082"/>
      <c r="N22082" s="56"/>
    </row>
    <row r="22083" spans="1:14" x14ac:dyDescent="0.3">
      <c r="A22083" s="42"/>
      <c r="C22083" s="52"/>
      <c r="D22083"/>
      <c r="E22083"/>
      <c r="F22083"/>
      <c r="N22083" s="56"/>
    </row>
    <row r="22084" spans="1:14" x14ac:dyDescent="0.3">
      <c r="A22084" s="42"/>
      <c r="C22084" s="52"/>
      <c r="D22084"/>
      <c r="E22084"/>
      <c r="F22084"/>
      <c r="N22084" s="56"/>
    </row>
    <row r="22085" spans="1:14" x14ac:dyDescent="0.3">
      <c r="A22085" s="42"/>
      <c r="C22085" s="52"/>
      <c r="D22085"/>
      <c r="E22085"/>
      <c r="F22085"/>
      <c r="N22085" s="56"/>
    </row>
    <row r="22086" spans="1:14" x14ac:dyDescent="0.3">
      <c r="A22086" s="42"/>
      <c r="C22086" s="52"/>
      <c r="D22086"/>
      <c r="E22086"/>
      <c r="F22086"/>
      <c r="N22086" s="56"/>
    </row>
    <row r="22087" spans="1:14" x14ac:dyDescent="0.3">
      <c r="A22087" s="42"/>
      <c r="C22087" s="52"/>
      <c r="D22087"/>
      <c r="E22087"/>
      <c r="F22087"/>
      <c r="N22087" s="56"/>
    </row>
    <row r="22088" spans="1:14" x14ac:dyDescent="0.3">
      <c r="A22088" s="42"/>
      <c r="C22088" s="52"/>
      <c r="D22088"/>
      <c r="E22088"/>
      <c r="F22088"/>
      <c r="N22088" s="56"/>
    </row>
    <row r="22089" spans="1:14" x14ac:dyDescent="0.3">
      <c r="A22089" s="42"/>
      <c r="C22089" s="52"/>
      <c r="D22089"/>
      <c r="E22089"/>
      <c r="F22089"/>
      <c r="N22089" s="56"/>
    </row>
    <row r="22090" spans="1:14" x14ac:dyDescent="0.3">
      <c r="A22090" s="42"/>
      <c r="C22090" s="52"/>
      <c r="D22090"/>
      <c r="E22090"/>
      <c r="F22090"/>
      <c r="N22090" s="56"/>
    </row>
    <row r="22091" spans="1:14" x14ac:dyDescent="0.3">
      <c r="A22091" s="42"/>
      <c r="C22091" s="52"/>
      <c r="D22091"/>
      <c r="E22091"/>
      <c r="F22091"/>
      <c r="N22091" s="56"/>
    </row>
    <row r="22092" spans="1:14" x14ac:dyDescent="0.3">
      <c r="A22092" s="42"/>
      <c r="C22092" s="52"/>
      <c r="D22092"/>
      <c r="E22092"/>
      <c r="F22092"/>
      <c r="N22092" s="56"/>
    </row>
    <row r="22093" spans="1:14" x14ac:dyDescent="0.3">
      <c r="A22093" s="42"/>
      <c r="C22093" s="52"/>
      <c r="D22093"/>
      <c r="E22093"/>
      <c r="F22093"/>
      <c r="N22093" s="56"/>
    </row>
    <row r="22094" spans="1:14" x14ac:dyDescent="0.3">
      <c r="A22094" s="42"/>
      <c r="C22094" s="52"/>
      <c r="D22094"/>
      <c r="E22094"/>
      <c r="F22094"/>
      <c r="N22094" s="56"/>
    </row>
    <row r="22095" spans="1:14" x14ac:dyDescent="0.3">
      <c r="A22095" s="42"/>
      <c r="C22095" s="52"/>
      <c r="D22095"/>
      <c r="E22095"/>
      <c r="F22095"/>
      <c r="N22095" s="56"/>
    </row>
    <row r="22096" spans="1:14" x14ac:dyDescent="0.3">
      <c r="A22096" s="42"/>
      <c r="C22096" s="52"/>
      <c r="D22096"/>
      <c r="E22096"/>
      <c r="F22096"/>
      <c r="N22096" s="56"/>
    </row>
    <row r="22097" spans="1:14" x14ac:dyDescent="0.3">
      <c r="A22097" s="42"/>
      <c r="C22097" s="52"/>
      <c r="D22097"/>
      <c r="E22097"/>
      <c r="F22097"/>
      <c r="N22097" s="56"/>
    </row>
    <row r="22098" spans="1:14" x14ac:dyDescent="0.3">
      <c r="A22098" s="42"/>
      <c r="C22098" s="52"/>
      <c r="D22098"/>
      <c r="E22098"/>
      <c r="F22098"/>
      <c r="N22098" s="56"/>
    </row>
    <row r="22099" spans="1:14" x14ac:dyDescent="0.3">
      <c r="A22099" s="42"/>
      <c r="C22099" s="52"/>
      <c r="D22099"/>
      <c r="E22099"/>
      <c r="F22099"/>
      <c r="N22099" s="56"/>
    </row>
    <row r="22100" spans="1:14" x14ac:dyDescent="0.3">
      <c r="A22100" s="42"/>
      <c r="C22100" s="52"/>
      <c r="D22100"/>
      <c r="E22100"/>
      <c r="F22100"/>
      <c r="N22100" s="56"/>
    </row>
    <row r="22101" spans="1:14" x14ac:dyDescent="0.3">
      <c r="A22101" s="42"/>
      <c r="C22101" s="52"/>
      <c r="D22101"/>
      <c r="E22101"/>
      <c r="F22101"/>
      <c r="N22101" s="56"/>
    </row>
    <row r="22102" spans="1:14" x14ac:dyDescent="0.3">
      <c r="A22102" s="42"/>
      <c r="C22102" s="52"/>
      <c r="D22102"/>
      <c r="E22102"/>
      <c r="F22102"/>
      <c r="N22102" s="56"/>
    </row>
    <row r="22103" spans="1:14" x14ac:dyDescent="0.3">
      <c r="A22103" s="42"/>
      <c r="C22103" s="52"/>
      <c r="D22103"/>
      <c r="E22103"/>
      <c r="F22103"/>
      <c r="N22103" s="56"/>
    </row>
    <row r="22104" spans="1:14" x14ac:dyDescent="0.3">
      <c r="A22104" s="42"/>
      <c r="C22104" s="52"/>
      <c r="D22104"/>
      <c r="E22104"/>
      <c r="F22104"/>
      <c r="N22104" s="56"/>
    </row>
    <row r="22105" spans="1:14" x14ac:dyDescent="0.3">
      <c r="A22105" s="42"/>
      <c r="C22105" s="52"/>
      <c r="D22105"/>
      <c r="E22105"/>
      <c r="F22105"/>
      <c r="N22105" s="56"/>
    </row>
    <row r="22106" spans="1:14" x14ac:dyDescent="0.3">
      <c r="A22106" s="42"/>
      <c r="C22106" s="52"/>
      <c r="D22106"/>
      <c r="E22106"/>
      <c r="F22106"/>
      <c r="N22106" s="56"/>
    </row>
    <row r="22107" spans="1:14" x14ac:dyDescent="0.3">
      <c r="A22107" s="42"/>
      <c r="C22107" s="52"/>
      <c r="D22107"/>
      <c r="E22107"/>
      <c r="F22107"/>
      <c r="N22107" s="56"/>
    </row>
    <row r="22108" spans="1:14" x14ac:dyDescent="0.3">
      <c r="A22108" s="42"/>
      <c r="C22108" s="52"/>
      <c r="D22108"/>
      <c r="E22108"/>
      <c r="F22108"/>
      <c r="N22108" s="56"/>
    </row>
    <row r="22109" spans="1:14" x14ac:dyDescent="0.3">
      <c r="A22109" s="42"/>
      <c r="C22109" s="52"/>
      <c r="D22109"/>
      <c r="E22109"/>
      <c r="F22109"/>
      <c r="N22109" s="56"/>
    </row>
    <row r="22110" spans="1:14" x14ac:dyDescent="0.3">
      <c r="A22110" s="42"/>
      <c r="C22110" s="52"/>
      <c r="D22110"/>
      <c r="E22110"/>
      <c r="F22110"/>
      <c r="N22110" s="56"/>
    </row>
    <row r="22111" spans="1:14" x14ac:dyDescent="0.3">
      <c r="A22111" s="42"/>
      <c r="C22111" s="52"/>
      <c r="D22111"/>
      <c r="E22111"/>
      <c r="F22111"/>
      <c r="N22111" s="56"/>
    </row>
    <row r="22112" spans="1:14" x14ac:dyDescent="0.3">
      <c r="A22112" s="42"/>
      <c r="C22112" s="52"/>
      <c r="D22112"/>
      <c r="E22112"/>
      <c r="F22112"/>
      <c r="N22112" s="56"/>
    </row>
    <row r="22113" spans="1:14" x14ac:dyDescent="0.3">
      <c r="A22113" s="42"/>
      <c r="C22113" s="52"/>
      <c r="D22113"/>
      <c r="E22113"/>
      <c r="F22113"/>
      <c r="N22113" s="56"/>
    </row>
    <row r="22114" spans="1:14" x14ac:dyDescent="0.3">
      <c r="A22114" s="42"/>
      <c r="C22114" s="52"/>
      <c r="D22114"/>
      <c r="E22114"/>
      <c r="F22114"/>
      <c r="N22114" s="56"/>
    </row>
    <row r="22115" spans="1:14" x14ac:dyDescent="0.3">
      <c r="A22115" s="42"/>
      <c r="C22115" s="52"/>
      <c r="D22115"/>
      <c r="E22115"/>
      <c r="F22115"/>
      <c r="N22115" s="56"/>
    </row>
    <row r="22116" spans="1:14" x14ac:dyDescent="0.3">
      <c r="A22116" s="42"/>
      <c r="C22116" s="52"/>
      <c r="D22116"/>
      <c r="E22116"/>
      <c r="F22116"/>
      <c r="N22116" s="56"/>
    </row>
    <row r="22117" spans="1:14" x14ac:dyDescent="0.3">
      <c r="A22117" s="42"/>
      <c r="C22117" s="52"/>
      <c r="D22117"/>
      <c r="E22117"/>
      <c r="F22117"/>
      <c r="N22117" s="56"/>
    </row>
    <row r="22118" spans="1:14" x14ac:dyDescent="0.3">
      <c r="A22118" s="42"/>
      <c r="C22118" s="52"/>
      <c r="D22118"/>
      <c r="E22118"/>
      <c r="F22118"/>
      <c r="N22118" s="56"/>
    </row>
    <row r="22119" spans="1:14" x14ac:dyDescent="0.3">
      <c r="A22119" s="42"/>
      <c r="C22119" s="52"/>
      <c r="D22119"/>
      <c r="E22119"/>
      <c r="F22119"/>
      <c r="N22119" s="56"/>
    </row>
    <row r="22120" spans="1:14" x14ac:dyDescent="0.3">
      <c r="A22120" s="42"/>
      <c r="C22120" s="52"/>
      <c r="D22120"/>
      <c r="E22120"/>
      <c r="F22120"/>
      <c r="N22120" s="56"/>
    </row>
    <row r="22121" spans="1:14" x14ac:dyDescent="0.3">
      <c r="A22121" s="42"/>
      <c r="C22121" s="52"/>
      <c r="D22121"/>
      <c r="E22121"/>
      <c r="F22121"/>
      <c r="N22121" s="56"/>
    </row>
    <row r="22122" spans="1:14" x14ac:dyDescent="0.3">
      <c r="A22122" s="42"/>
      <c r="C22122" s="52"/>
      <c r="D22122"/>
      <c r="E22122"/>
      <c r="F22122"/>
      <c r="N22122" s="56"/>
    </row>
    <row r="22123" spans="1:14" x14ac:dyDescent="0.3">
      <c r="A22123" s="42"/>
      <c r="C22123" s="52"/>
      <c r="D22123"/>
      <c r="E22123"/>
      <c r="F22123"/>
      <c r="N22123" s="56"/>
    </row>
    <row r="22124" spans="1:14" x14ac:dyDescent="0.3">
      <c r="A22124" s="42"/>
      <c r="C22124" s="52"/>
      <c r="D22124"/>
      <c r="E22124"/>
      <c r="F22124"/>
      <c r="N22124" s="56"/>
    </row>
    <row r="22125" spans="1:14" x14ac:dyDescent="0.3">
      <c r="A22125" s="42"/>
      <c r="C22125" s="52"/>
      <c r="D22125"/>
      <c r="E22125"/>
      <c r="F22125"/>
      <c r="N22125" s="56"/>
    </row>
    <row r="22126" spans="1:14" x14ac:dyDescent="0.3">
      <c r="A22126" s="42"/>
      <c r="C22126" s="52"/>
      <c r="D22126"/>
      <c r="E22126"/>
      <c r="F22126"/>
      <c r="N22126" s="56"/>
    </row>
    <row r="22127" spans="1:14" x14ac:dyDescent="0.3">
      <c r="A22127" s="42"/>
      <c r="C22127" s="52"/>
      <c r="D22127"/>
      <c r="E22127"/>
      <c r="F22127"/>
      <c r="N22127" s="56"/>
    </row>
    <row r="22128" spans="1:14" x14ac:dyDescent="0.3">
      <c r="A22128" s="42"/>
      <c r="C22128" s="52"/>
      <c r="D22128"/>
      <c r="E22128"/>
      <c r="F22128"/>
      <c r="N22128" s="56"/>
    </row>
    <row r="22129" spans="1:14" x14ac:dyDescent="0.3">
      <c r="A22129" s="42"/>
      <c r="C22129" s="52"/>
      <c r="D22129"/>
      <c r="E22129"/>
      <c r="F22129"/>
      <c r="N22129" s="56"/>
    </row>
    <row r="22130" spans="1:14" x14ac:dyDescent="0.3">
      <c r="A22130" s="42"/>
      <c r="C22130" s="52"/>
      <c r="D22130"/>
      <c r="E22130"/>
      <c r="F22130"/>
      <c r="N22130" s="56"/>
    </row>
    <row r="22131" spans="1:14" x14ac:dyDescent="0.3">
      <c r="A22131" s="42"/>
      <c r="C22131" s="52"/>
      <c r="D22131"/>
      <c r="E22131"/>
      <c r="F22131"/>
      <c r="N22131" s="56"/>
    </row>
    <row r="22132" spans="1:14" x14ac:dyDescent="0.3">
      <c r="A22132" s="42"/>
      <c r="C22132" s="52"/>
      <c r="D22132"/>
      <c r="E22132"/>
      <c r="F22132"/>
      <c r="N22132" s="56"/>
    </row>
    <row r="22133" spans="1:14" x14ac:dyDescent="0.3">
      <c r="A22133" s="42"/>
      <c r="C22133" s="52"/>
      <c r="D22133"/>
      <c r="E22133"/>
      <c r="F22133"/>
      <c r="N22133" s="56"/>
    </row>
    <row r="22134" spans="1:14" x14ac:dyDescent="0.3">
      <c r="A22134" s="42"/>
      <c r="C22134" s="52"/>
      <c r="D22134"/>
      <c r="E22134"/>
      <c r="F22134"/>
      <c r="N22134" s="56"/>
    </row>
    <row r="22135" spans="1:14" x14ac:dyDescent="0.3">
      <c r="A22135" s="42"/>
      <c r="C22135" s="52"/>
      <c r="D22135"/>
      <c r="E22135"/>
      <c r="F22135"/>
      <c r="N22135" s="56"/>
    </row>
    <row r="22136" spans="1:14" x14ac:dyDescent="0.3">
      <c r="A22136" s="42"/>
      <c r="C22136" s="52"/>
      <c r="D22136"/>
      <c r="E22136"/>
      <c r="F22136"/>
      <c r="N22136" s="56"/>
    </row>
    <row r="22137" spans="1:14" x14ac:dyDescent="0.3">
      <c r="A22137" s="42"/>
      <c r="C22137" s="52"/>
      <c r="D22137"/>
      <c r="E22137"/>
      <c r="F22137"/>
      <c r="N22137" s="56"/>
    </row>
    <row r="22138" spans="1:14" x14ac:dyDescent="0.3">
      <c r="A22138" s="42"/>
      <c r="C22138" s="52"/>
      <c r="D22138"/>
      <c r="E22138"/>
      <c r="F22138"/>
      <c r="N22138" s="56"/>
    </row>
    <row r="22139" spans="1:14" x14ac:dyDescent="0.3">
      <c r="A22139" s="42"/>
      <c r="C22139" s="52"/>
      <c r="D22139"/>
      <c r="E22139"/>
      <c r="F22139"/>
      <c r="N22139" s="56"/>
    </row>
    <row r="22140" spans="1:14" x14ac:dyDescent="0.3">
      <c r="A22140" s="42"/>
      <c r="C22140" s="52"/>
      <c r="D22140"/>
      <c r="E22140"/>
      <c r="F22140"/>
      <c r="N22140" s="56"/>
    </row>
    <row r="22141" spans="1:14" x14ac:dyDescent="0.3">
      <c r="A22141" s="42"/>
      <c r="C22141" s="52"/>
      <c r="D22141"/>
      <c r="E22141"/>
      <c r="F22141"/>
      <c r="N22141" s="56"/>
    </row>
    <row r="22142" spans="1:14" x14ac:dyDescent="0.3">
      <c r="A22142" s="42"/>
      <c r="C22142" s="52"/>
      <c r="D22142"/>
      <c r="E22142"/>
      <c r="F22142"/>
      <c r="N22142" s="56"/>
    </row>
    <row r="22143" spans="1:14" x14ac:dyDescent="0.3">
      <c r="A22143" s="42"/>
      <c r="C22143" s="52"/>
      <c r="D22143"/>
      <c r="E22143"/>
      <c r="F22143"/>
      <c r="N22143" s="56"/>
    </row>
    <row r="22144" spans="1:14" x14ac:dyDescent="0.3">
      <c r="A22144" s="42"/>
      <c r="C22144" s="52"/>
      <c r="D22144"/>
      <c r="E22144"/>
      <c r="F22144"/>
      <c r="N22144" s="56"/>
    </row>
    <row r="22145" spans="1:14" x14ac:dyDescent="0.3">
      <c r="A22145" s="42"/>
      <c r="C22145" s="52"/>
      <c r="D22145"/>
      <c r="E22145"/>
      <c r="F22145"/>
      <c r="N22145" s="56"/>
    </row>
    <row r="22146" spans="1:14" x14ac:dyDescent="0.3">
      <c r="A22146" s="42"/>
      <c r="C22146" s="52"/>
      <c r="D22146"/>
      <c r="E22146"/>
      <c r="F22146"/>
      <c r="N22146" s="56"/>
    </row>
    <row r="22147" spans="1:14" x14ac:dyDescent="0.3">
      <c r="A22147" s="42"/>
      <c r="C22147" s="52"/>
      <c r="D22147"/>
      <c r="E22147"/>
      <c r="F22147"/>
      <c r="N22147" s="56"/>
    </row>
    <row r="22148" spans="1:14" x14ac:dyDescent="0.3">
      <c r="A22148" s="42"/>
      <c r="C22148" s="52"/>
      <c r="D22148"/>
      <c r="E22148"/>
      <c r="F22148"/>
      <c r="N22148" s="56"/>
    </row>
    <row r="22149" spans="1:14" x14ac:dyDescent="0.3">
      <c r="A22149" s="42"/>
      <c r="C22149" s="52"/>
      <c r="D22149"/>
      <c r="E22149"/>
      <c r="F22149"/>
      <c r="N22149" s="56"/>
    </row>
    <row r="22150" spans="1:14" x14ac:dyDescent="0.3">
      <c r="A22150" s="42"/>
      <c r="C22150" s="52"/>
      <c r="D22150"/>
      <c r="E22150"/>
      <c r="F22150"/>
      <c r="N22150" s="56"/>
    </row>
    <row r="22151" spans="1:14" x14ac:dyDescent="0.3">
      <c r="A22151" s="42"/>
      <c r="C22151" s="52"/>
      <c r="D22151"/>
      <c r="E22151"/>
      <c r="F22151"/>
      <c r="N22151" s="56"/>
    </row>
    <row r="22152" spans="1:14" x14ac:dyDescent="0.3">
      <c r="A22152" s="42"/>
      <c r="C22152" s="52"/>
      <c r="D22152"/>
      <c r="E22152"/>
      <c r="F22152"/>
      <c r="N22152" s="56"/>
    </row>
    <row r="22153" spans="1:14" x14ac:dyDescent="0.3">
      <c r="A22153" s="42"/>
      <c r="C22153" s="52"/>
      <c r="D22153"/>
      <c r="E22153"/>
      <c r="F22153"/>
      <c r="N22153" s="56"/>
    </row>
    <row r="22154" spans="1:14" x14ac:dyDescent="0.3">
      <c r="A22154" s="42"/>
      <c r="C22154" s="52"/>
      <c r="D22154"/>
      <c r="E22154"/>
      <c r="F22154"/>
      <c r="N22154" s="56"/>
    </row>
    <row r="22155" spans="1:14" x14ac:dyDescent="0.3">
      <c r="A22155" s="42"/>
      <c r="C22155" s="52"/>
      <c r="D22155"/>
      <c r="E22155"/>
      <c r="F22155"/>
      <c r="N22155" s="56"/>
    </row>
    <row r="22156" spans="1:14" x14ac:dyDescent="0.3">
      <c r="A22156" s="42"/>
      <c r="C22156" s="52"/>
      <c r="D22156"/>
      <c r="E22156"/>
      <c r="F22156"/>
      <c r="N22156" s="56"/>
    </row>
    <row r="22157" spans="1:14" x14ac:dyDescent="0.3">
      <c r="A22157" s="42"/>
      <c r="C22157" s="52"/>
      <c r="D22157"/>
      <c r="E22157"/>
      <c r="F22157"/>
      <c r="N22157" s="56"/>
    </row>
    <row r="22158" spans="1:14" x14ac:dyDescent="0.3">
      <c r="A22158" s="42"/>
      <c r="C22158" s="52"/>
      <c r="D22158"/>
      <c r="E22158"/>
      <c r="F22158"/>
      <c r="N22158" s="56"/>
    </row>
    <row r="22159" spans="1:14" x14ac:dyDescent="0.3">
      <c r="A22159" s="42"/>
      <c r="C22159" s="52"/>
      <c r="D22159"/>
      <c r="E22159"/>
      <c r="F22159"/>
      <c r="N22159" s="56"/>
    </row>
    <row r="22160" spans="1:14" x14ac:dyDescent="0.3">
      <c r="A22160" s="42"/>
      <c r="C22160" s="52"/>
      <c r="D22160"/>
      <c r="E22160"/>
      <c r="F22160"/>
      <c r="N22160" s="56"/>
    </row>
    <row r="22161" spans="1:14" x14ac:dyDescent="0.3">
      <c r="A22161" s="42"/>
      <c r="C22161" s="52"/>
      <c r="D22161"/>
      <c r="E22161"/>
      <c r="F22161"/>
      <c r="N22161" s="56"/>
    </row>
    <row r="22162" spans="1:14" x14ac:dyDescent="0.3">
      <c r="A22162" s="42"/>
      <c r="C22162" s="52"/>
      <c r="D22162"/>
      <c r="E22162"/>
      <c r="F22162"/>
      <c r="N22162" s="56"/>
    </row>
    <row r="22163" spans="1:14" x14ac:dyDescent="0.3">
      <c r="A22163" s="42"/>
      <c r="C22163" s="52"/>
      <c r="D22163"/>
      <c r="E22163"/>
      <c r="F22163"/>
      <c r="N22163" s="56"/>
    </row>
    <row r="22164" spans="1:14" x14ac:dyDescent="0.3">
      <c r="A22164" s="42"/>
      <c r="C22164" s="52"/>
      <c r="D22164"/>
      <c r="E22164"/>
      <c r="F22164"/>
      <c r="N22164" s="56"/>
    </row>
    <row r="22165" spans="1:14" x14ac:dyDescent="0.3">
      <c r="A22165" s="42"/>
      <c r="C22165" s="52"/>
      <c r="D22165"/>
      <c r="E22165"/>
      <c r="F22165"/>
      <c r="N22165" s="56"/>
    </row>
    <row r="22166" spans="1:14" x14ac:dyDescent="0.3">
      <c r="A22166" s="42"/>
      <c r="C22166" s="52"/>
      <c r="D22166"/>
      <c r="E22166"/>
      <c r="F22166"/>
      <c r="N22166" s="56"/>
    </row>
    <row r="22167" spans="1:14" x14ac:dyDescent="0.3">
      <c r="A22167" s="42"/>
      <c r="C22167" s="52"/>
      <c r="D22167"/>
      <c r="E22167"/>
      <c r="F22167"/>
      <c r="N22167" s="56"/>
    </row>
    <row r="22168" spans="1:14" x14ac:dyDescent="0.3">
      <c r="A22168" s="42"/>
      <c r="C22168" s="52"/>
      <c r="D22168"/>
      <c r="E22168"/>
      <c r="F22168"/>
      <c r="N22168" s="56"/>
    </row>
    <row r="22169" spans="1:14" x14ac:dyDescent="0.3">
      <c r="A22169" s="42"/>
      <c r="C22169" s="52"/>
      <c r="D22169"/>
      <c r="E22169"/>
      <c r="F22169"/>
      <c r="N22169" s="56"/>
    </row>
    <row r="22170" spans="1:14" x14ac:dyDescent="0.3">
      <c r="A22170" s="42"/>
      <c r="C22170" s="52"/>
      <c r="D22170"/>
      <c r="E22170"/>
      <c r="F22170"/>
      <c r="N22170" s="56"/>
    </row>
    <row r="22171" spans="1:14" x14ac:dyDescent="0.3">
      <c r="A22171" s="42"/>
      <c r="C22171" s="52"/>
      <c r="D22171"/>
      <c r="E22171"/>
      <c r="F22171"/>
      <c r="N22171" s="56"/>
    </row>
    <row r="22172" spans="1:14" x14ac:dyDescent="0.3">
      <c r="A22172" s="42"/>
      <c r="C22172" s="52"/>
      <c r="D22172"/>
      <c r="E22172"/>
      <c r="F22172"/>
      <c r="N22172" s="56"/>
    </row>
    <row r="22173" spans="1:14" x14ac:dyDescent="0.3">
      <c r="A22173" s="42"/>
      <c r="C22173" s="52"/>
      <c r="D22173"/>
      <c r="E22173"/>
      <c r="F22173"/>
      <c r="N22173" s="56"/>
    </row>
    <row r="22174" spans="1:14" x14ac:dyDescent="0.3">
      <c r="A22174" s="42"/>
      <c r="C22174" s="52"/>
      <c r="D22174"/>
      <c r="E22174"/>
      <c r="F22174"/>
      <c r="N22174" s="56"/>
    </row>
    <row r="22175" spans="1:14" x14ac:dyDescent="0.3">
      <c r="A22175" s="42"/>
      <c r="C22175" s="52"/>
      <c r="D22175"/>
      <c r="E22175"/>
      <c r="F22175"/>
      <c r="N22175" s="56"/>
    </row>
    <row r="22176" spans="1:14" x14ac:dyDescent="0.3">
      <c r="A22176" s="42"/>
      <c r="C22176" s="52"/>
      <c r="D22176"/>
      <c r="E22176"/>
      <c r="F22176"/>
      <c r="N22176" s="56"/>
    </row>
    <row r="22177" spans="1:14" x14ac:dyDescent="0.3">
      <c r="A22177" s="42"/>
      <c r="C22177" s="52"/>
      <c r="D22177"/>
      <c r="E22177"/>
      <c r="F22177"/>
      <c r="N22177" s="56"/>
    </row>
    <row r="22178" spans="1:14" x14ac:dyDescent="0.3">
      <c r="A22178" s="42"/>
      <c r="C22178" s="52"/>
      <c r="D22178"/>
      <c r="E22178"/>
      <c r="F22178"/>
      <c r="N22178" s="56"/>
    </row>
    <row r="22179" spans="1:14" x14ac:dyDescent="0.3">
      <c r="A22179" s="42"/>
      <c r="C22179" s="52"/>
      <c r="D22179"/>
      <c r="E22179"/>
      <c r="F22179"/>
      <c r="N22179" s="56"/>
    </row>
    <row r="22180" spans="1:14" x14ac:dyDescent="0.3">
      <c r="A22180" s="42"/>
      <c r="C22180" s="52"/>
      <c r="D22180"/>
      <c r="E22180"/>
      <c r="F22180"/>
      <c r="N22180" s="56"/>
    </row>
    <row r="22181" spans="1:14" x14ac:dyDescent="0.3">
      <c r="A22181" s="42"/>
      <c r="C22181" s="52"/>
      <c r="D22181"/>
      <c r="E22181"/>
      <c r="F22181"/>
      <c r="N22181" s="56"/>
    </row>
    <row r="22182" spans="1:14" x14ac:dyDescent="0.3">
      <c r="A22182" s="42"/>
      <c r="C22182" s="52"/>
      <c r="D22182"/>
      <c r="E22182"/>
      <c r="F22182"/>
      <c r="N22182" s="56"/>
    </row>
    <row r="22183" spans="1:14" x14ac:dyDescent="0.3">
      <c r="A22183" s="42"/>
      <c r="C22183" s="52"/>
      <c r="D22183"/>
      <c r="E22183"/>
      <c r="F22183"/>
      <c r="N22183" s="56"/>
    </row>
    <row r="22184" spans="1:14" x14ac:dyDescent="0.3">
      <c r="A22184" s="42"/>
      <c r="C22184" s="52"/>
      <c r="D22184"/>
      <c r="E22184"/>
      <c r="F22184"/>
      <c r="N22184" s="56"/>
    </row>
    <row r="22185" spans="1:14" x14ac:dyDescent="0.3">
      <c r="A22185" s="42"/>
      <c r="C22185" s="52"/>
      <c r="D22185"/>
      <c r="E22185"/>
      <c r="F22185"/>
      <c r="N22185" s="56"/>
    </row>
    <row r="22186" spans="1:14" x14ac:dyDescent="0.3">
      <c r="A22186" s="42"/>
      <c r="C22186" s="52"/>
      <c r="D22186"/>
      <c r="E22186"/>
      <c r="F22186"/>
      <c r="N22186" s="56"/>
    </row>
    <row r="22187" spans="1:14" x14ac:dyDescent="0.3">
      <c r="A22187" s="42"/>
      <c r="C22187" s="52"/>
      <c r="D22187"/>
      <c r="E22187"/>
      <c r="F22187"/>
      <c r="N22187" s="56"/>
    </row>
    <row r="22188" spans="1:14" x14ac:dyDescent="0.3">
      <c r="A22188" s="42"/>
      <c r="C22188" s="52"/>
      <c r="D22188"/>
      <c r="E22188"/>
      <c r="F22188"/>
      <c r="N22188" s="56"/>
    </row>
    <row r="22189" spans="1:14" x14ac:dyDescent="0.3">
      <c r="A22189" s="42"/>
      <c r="C22189" s="52"/>
      <c r="D22189"/>
      <c r="E22189"/>
      <c r="F22189"/>
      <c r="N22189" s="56"/>
    </row>
    <row r="22190" spans="1:14" x14ac:dyDescent="0.3">
      <c r="A22190" s="42"/>
      <c r="C22190" s="52"/>
      <c r="D22190"/>
      <c r="E22190"/>
      <c r="F22190"/>
      <c r="M22190" s="45"/>
      <c r="N22190" s="56"/>
    </row>
    <row r="22191" spans="1:14" x14ac:dyDescent="0.3">
      <c r="A22191" s="42"/>
      <c r="C22191" s="52"/>
      <c r="D22191"/>
      <c r="E22191"/>
      <c r="F22191"/>
      <c r="M22191" s="45"/>
      <c r="N22191" s="56"/>
    </row>
    <row r="22192" spans="1:14" x14ac:dyDescent="0.3">
      <c r="A22192" s="42"/>
      <c r="C22192" s="52"/>
      <c r="D22192"/>
      <c r="E22192"/>
      <c r="F22192"/>
      <c r="N22192" s="56"/>
    </row>
    <row r="22193" spans="1:14" x14ac:dyDescent="0.3">
      <c r="A22193" s="42"/>
      <c r="C22193" s="52"/>
      <c r="D22193"/>
      <c r="E22193"/>
      <c r="F22193"/>
      <c r="N22193" s="56"/>
    </row>
    <row r="22194" spans="1:14" x14ac:dyDescent="0.3">
      <c r="A22194" s="42"/>
      <c r="C22194" s="52"/>
      <c r="D22194"/>
      <c r="E22194"/>
      <c r="F22194"/>
      <c r="N22194" s="56"/>
    </row>
    <row r="22195" spans="1:14" x14ac:dyDescent="0.3">
      <c r="A22195" s="42"/>
      <c r="C22195" s="52"/>
      <c r="D22195"/>
      <c r="E22195"/>
      <c r="F22195"/>
      <c r="N22195" s="56"/>
    </row>
    <row r="22196" spans="1:14" x14ac:dyDescent="0.3">
      <c r="A22196" s="42"/>
      <c r="C22196" s="52"/>
      <c r="D22196"/>
      <c r="E22196"/>
      <c r="F22196"/>
      <c r="N22196" s="56"/>
    </row>
    <row r="22197" spans="1:14" x14ac:dyDescent="0.3">
      <c r="A22197" s="42"/>
      <c r="C22197" s="52"/>
      <c r="D22197"/>
      <c r="E22197"/>
      <c r="F22197"/>
      <c r="N22197" s="56"/>
    </row>
    <row r="22198" spans="1:14" x14ac:dyDescent="0.3">
      <c r="A22198" s="42"/>
      <c r="C22198" s="52"/>
      <c r="D22198"/>
      <c r="E22198"/>
      <c r="F22198"/>
      <c r="N22198" s="56"/>
    </row>
    <row r="22199" spans="1:14" x14ac:dyDescent="0.3">
      <c r="A22199" s="42"/>
      <c r="C22199" s="52"/>
      <c r="D22199"/>
      <c r="E22199"/>
      <c r="F22199"/>
      <c r="N22199" s="56"/>
    </row>
    <row r="22200" spans="1:14" x14ac:dyDescent="0.3">
      <c r="A22200" s="42"/>
      <c r="C22200" s="52"/>
      <c r="D22200"/>
      <c r="E22200"/>
      <c r="F22200"/>
      <c r="N22200" s="56"/>
    </row>
    <row r="22201" spans="1:14" x14ac:dyDescent="0.3">
      <c r="A22201" s="42"/>
      <c r="C22201" s="52"/>
      <c r="D22201"/>
      <c r="E22201"/>
      <c r="F22201"/>
      <c r="N22201" s="56"/>
    </row>
    <row r="22202" spans="1:14" x14ac:dyDescent="0.3">
      <c r="A22202" s="42"/>
      <c r="C22202" s="52"/>
      <c r="D22202"/>
      <c r="E22202"/>
      <c r="F22202"/>
      <c r="N22202" s="56"/>
    </row>
    <row r="22203" spans="1:14" x14ac:dyDescent="0.3">
      <c r="A22203" s="42"/>
      <c r="C22203" s="52"/>
      <c r="D22203"/>
      <c r="E22203"/>
      <c r="F22203"/>
      <c r="N22203" s="56"/>
    </row>
    <row r="22204" spans="1:14" x14ac:dyDescent="0.3">
      <c r="A22204" s="42"/>
      <c r="C22204" s="52"/>
      <c r="D22204"/>
      <c r="E22204"/>
      <c r="F22204"/>
      <c r="N22204" s="56"/>
    </row>
    <row r="22205" spans="1:14" x14ac:dyDescent="0.3">
      <c r="A22205" s="42"/>
      <c r="C22205" s="52"/>
      <c r="D22205"/>
      <c r="E22205"/>
      <c r="F22205"/>
      <c r="N22205" s="56"/>
    </row>
    <row r="22206" spans="1:14" x14ac:dyDescent="0.3">
      <c r="A22206" s="42"/>
      <c r="C22206" s="52"/>
      <c r="D22206"/>
      <c r="E22206"/>
      <c r="F22206"/>
      <c r="N22206" s="56"/>
    </row>
    <row r="22207" spans="1:14" x14ac:dyDescent="0.3">
      <c r="A22207" s="42"/>
      <c r="C22207" s="52"/>
      <c r="D22207"/>
      <c r="E22207"/>
      <c r="F22207"/>
      <c r="N22207" s="56"/>
    </row>
    <row r="22208" spans="1:14" x14ac:dyDescent="0.3">
      <c r="A22208" s="42"/>
      <c r="C22208" s="52"/>
      <c r="D22208"/>
      <c r="E22208"/>
      <c r="F22208"/>
      <c r="N22208" s="56"/>
    </row>
    <row r="22209" spans="1:14" x14ac:dyDescent="0.3">
      <c r="A22209" s="42"/>
      <c r="C22209" s="52"/>
      <c r="D22209"/>
      <c r="E22209"/>
      <c r="F22209"/>
      <c r="N22209" s="56"/>
    </row>
    <row r="22210" spans="1:14" x14ac:dyDescent="0.3">
      <c r="A22210" s="42"/>
      <c r="C22210" s="52"/>
      <c r="D22210"/>
      <c r="E22210"/>
      <c r="F22210"/>
      <c r="N22210" s="56"/>
    </row>
    <row r="22211" spans="1:14" x14ac:dyDescent="0.3">
      <c r="A22211" s="42"/>
      <c r="C22211" s="52"/>
      <c r="D22211"/>
      <c r="E22211"/>
      <c r="F22211"/>
      <c r="N22211" s="56"/>
    </row>
    <row r="22212" spans="1:14" x14ac:dyDescent="0.3">
      <c r="A22212" s="42"/>
      <c r="C22212" s="52"/>
      <c r="D22212"/>
      <c r="E22212"/>
      <c r="F22212"/>
      <c r="N22212" s="56"/>
    </row>
    <row r="22213" spans="1:14" x14ac:dyDescent="0.3">
      <c r="A22213" s="42"/>
      <c r="C22213" s="52"/>
      <c r="D22213"/>
      <c r="E22213"/>
      <c r="F22213"/>
      <c r="N22213" s="56"/>
    </row>
    <row r="22214" spans="1:14" x14ac:dyDescent="0.3">
      <c r="A22214" s="42"/>
      <c r="C22214" s="52"/>
      <c r="D22214"/>
      <c r="E22214"/>
      <c r="F22214"/>
      <c r="N22214" s="56"/>
    </row>
    <row r="22215" spans="1:14" x14ac:dyDescent="0.3">
      <c r="A22215" s="42"/>
      <c r="C22215" s="52"/>
      <c r="D22215"/>
      <c r="E22215"/>
      <c r="F22215"/>
      <c r="N22215" s="56"/>
    </row>
    <row r="22216" spans="1:14" x14ac:dyDescent="0.3">
      <c r="A22216" s="42"/>
      <c r="C22216" s="52"/>
      <c r="D22216"/>
      <c r="E22216"/>
      <c r="F22216"/>
      <c r="N22216" s="56"/>
    </row>
    <row r="22217" spans="1:14" x14ac:dyDescent="0.3">
      <c r="A22217" s="42"/>
      <c r="C22217" s="52"/>
      <c r="D22217"/>
      <c r="E22217"/>
      <c r="F22217"/>
      <c r="N22217" s="56"/>
    </row>
    <row r="22218" spans="1:14" x14ac:dyDescent="0.3">
      <c r="A22218" s="42"/>
      <c r="C22218" s="52"/>
      <c r="D22218"/>
      <c r="E22218"/>
      <c r="F22218"/>
      <c r="N22218" s="56"/>
    </row>
    <row r="22219" spans="1:14" x14ac:dyDescent="0.3">
      <c r="A22219" s="42"/>
      <c r="C22219" s="52"/>
      <c r="D22219"/>
      <c r="E22219"/>
      <c r="F22219"/>
      <c r="N22219" s="56"/>
    </row>
    <row r="22220" spans="1:14" x14ac:dyDescent="0.3">
      <c r="A22220" s="42"/>
      <c r="C22220" s="52"/>
      <c r="D22220"/>
      <c r="E22220"/>
      <c r="F22220"/>
      <c r="N22220" s="56"/>
    </row>
    <row r="22221" spans="1:14" x14ac:dyDescent="0.3">
      <c r="A22221" s="42"/>
      <c r="C22221" s="52"/>
      <c r="D22221"/>
      <c r="E22221"/>
      <c r="F22221"/>
      <c r="N22221" s="56"/>
    </row>
    <row r="22222" spans="1:14" x14ac:dyDescent="0.3">
      <c r="A22222" s="42"/>
      <c r="C22222" s="52"/>
      <c r="D22222"/>
      <c r="E22222"/>
      <c r="F22222"/>
      <c r="N22222" s="56"/>
    </row>
    <row r="22223" spans="1:14" x14ac:dyDescent="0.3">
      <c r="A22223" s="42"/>
      <c r="C22223" s="52"/>
      <c r="D22223"/>
      <c r="E22223"/>
      <c r="F22223"/>
      <c r="N22223" s="56"/>
    </row>
    <row r="22224" spans="1:14" x14ac:dyDescent="0.3">
      <c r="A22224" s="42"/>
      <c r="C22224" s="52"/>
      <c r="D22224"/>
      <c r="E22224"/>
      <c r="F22224"/>
      <c r="N22224" s="56"/>
    </row>
    <row r="22225" spans="1:14" x14ac:dyDescent="0.3">
      <c r="A22225" s="42"/>
      <c r="C22225" s="52"/>
      <c r="D22225"/>
      <c r="E22225"/>
      <c r="F22225"/>
      <c r="N22225" s="56"/>
    </row>
    <row r="22226" spans="1:14" x14ac:dyDescent="0.3">
      <c r="A22226" s="42"/>
      <c r="C22226" s="52"/>
      <c r="D22226"/>
      <c r="E22226"/>
      <c r="F22226"/>
      <c r="N22226" s="56"/>
    </row>
    <row r="22227" spans="1:14" x14ac:dyDescent="0.3">
      <c r="A22227" s="42"/>
      <c r="C22227" s="52"/>
      <c r="D22227"/>
      <c r="E22227"/>
      <c r="F22227"/>
      <c r="N22227" s="56"/>
    </row>
    <row r="22228" spans="1:14" x14ac:dyDescent="0.3">
      <c r="A22228" s="42"/>
      <c r="C22228" s="52"/>
      <c r="D22228"/>
      <c r="E22228"/>
      <c r="F22228"/>
      <c r="N22228" s="56"/>
    </row>
    <row r="22229" spans="1:14" x14ac:dyDescent="0.3">
      <c r="A22229" s="42"/>
      <c r="C22229" s="52"/>
      <c r="D22229"/>
      <c r="E22229"/>
      <c r="F22229"/>
      <c r="N22229" s="56"/>
    </row>
    <row r="22230" spans="1:14" x14ac:dyDescent="0.3">
      <c r="A22230" s="42"/>
      <c r="C22230" s="52"/>
      <c r="D22230"/>
      <c r="E22230"/>
      <c r="F22230"/>
      <c r="N22230" s="56"/>
    </row>
    <row r="22231" spans="1:14" x14ac:dyDescent="0.3">
      <c r="A22231" s="42"/>
      <c r="C22231" s="52"/>
      <c r="D22231"/>
      <c r="E22231"/>
      <c r="F22231"/>
      <c r="N22231" s="56"/>
    </row>
    <row r="22232" spans="1:14" x14ac:dyDescent="0.3">
      <c r="A22232" s="42"/>
      <c r="C22232" s="52"/>
      <c r="D22232"/>
      <c r="E22232"/>
      <c r="F22232"/>
      <c r="N22232" s="56"/>
    </row>
    <row r="22233" spans="1:14" x14ac:dyDescent="0.3">
      <c r="A22233" s="42"/>
      <c r="C22233" s="52"/>
      <c r="D22233"/>
      <c r="E22233"/>
      <c r="F22233"/>
      <c r="N22233" s="56"/>
    </row>
    <row r="22234" spans="1:14" x14ac:dyDescent="0.3">
      <c r="A22234" s="42"/>
      <c r="C22234" s="52"/>
      <c r="D22234"/>
      <c r="E22234"/>
      <c r="F22234"/>
      <c r="N22234" s="56"/>
    </row>
    <row r="22235" spans="1:14" x14ac:dyDescent="0.3">
      <c r="A22235" s="42"/>
      <c r="C22235" s="52"/>
      <c r="D22235"/>
      <c r="E22235"/>
      <c r="F22235"/>
      <c r="N22235" s="56"/>
    </row>
    <row r="22236" spans="1:14" x14ac:dyDescent="0.3">
      <c r="A22236" s="42"/>
      <c r="C22236" s="52"/>
      <c r="D22236"/>
      <c r="E22236"/>
      <c r="F22236"/>
      <c r="N22236" s="56"/>
    </row>
    <row r="22237" spans="1:14" x14ac:dyDescent="0.3">
      <c r="A22237" s="42"/>
      <c r="C22237" s="52"/>
      <c r="D22237"/>
      <c r="E22237"/>
      <c r="F22237"/>
      <c r="N22237" s="56"/>
    </row>
    <row r="22238" spans="1:14" x14ac:dyDescent="0.3">
      <c r="A22238" s="42"/>
      <c r="C22238" s="52"/>
      <c r="D22238"/>
      <c r="E22238"/>
      <c r="F22238"/>
      <c r="N22238" s="56"/>
    </row>
    <row r="22239" spans="1:14" x14ac:dyDescent="0.3">
      <c r="A22239" s="42"/>
      <c r="C22239" s="52"/>
      <c r="D22239"/>
      <c r="E22239"/>
      <c r="F22239"/>
      <c r="N22239" s="56"/>
    </row>
    <row r="22240" spans="1:14" x14ac:dyDescent="0.3">
      <c r="A22240" s="42"/>
      <c r="C22240" s="52"/>
      <c r="D22240"/>
      <c r="E22240"/>
      <c r="F22240"/>
      <c r="N22240" s="56"/>
    </row>
    <row r="22241" spans="1:14" x14ac:dyDescent="0.3">
      <c r="A22241" s="42"/>
      <c r="C22241" s="52"/>
      <c r="D22241"/>
      <c r="E22241"/>
      <c r="F22241"/>
      <c r="N22241" s="56"/>
    </row>
    <row r="22242" spans="1:14" x14ac:dyDescent="0.3">
      <c r="A22242" s="42"/>
      <c r="C22242" s="52"/>
      <c r="D22242"/>
      <c r="E22242"/>
      <c r="F22242"/>
      <c r="N22242" s="56"/>
    </row>
    <row r="22243" spans="1:14" x14ac:dyDescent="0.3">
      <c r="A22243" s="42"/>
      <c r="C22243" s="52"/>
      <c r="D22243"/>
      <c r="E22243"/>
      <c r="F22243"/>
      <c r="N22243" s="56"/>
    </row>
    <row r="22244" spans="1:14" x14ac:dyDescent="0.3">
      <c r="A22244" s="42"/>
      <c r="C22244" s="52"/>
      <c r="D22244"/>
      <c r="E22244"/>
      <c r="F22244"/>
      <c r="N22244" s="56"/>
    </row>
    <row r="22245" spans="1:14" x14ac:dyDescent="0.3">
      <c r="A22245" s="42"/>
      <c r="C22245" s="52"/>
      <c r="D22245"/>
      <c r="E22245"/>
      <c r="F22245"/>
      <c r="N22245" s="56"/>
    </row>
    <row r="22246" spans="1:14" x14ac:dyDescent="0.3">
      <c r="A22246" s="42"/>
      <c r="C22246" s="52"/>
      <c r="D22246"/>
      <c r="E22246"/>
      <c r="F22246"/>
      <c r="N22246" s="56"/>
    </row>
    <row r="22247" spans="1:14" x14ac:dyDescent="0.3">
      <c r="A22247" s="42"/>
      <c r="C22247" s="52"/>
      <c r="D22247"/>
      <c r="E22247"/>
      <c r="F22247"/>
      <c r="N22247" s="56"/>
    </row>
    <row r="22248" spans="1:14" x14ac:dyDescent="0.3">
      <c r="A22248" s="42"/>
      <c r="C22248" s="52"/>
      <c r="D22248"/>
      <c r="E22248"/>
      <c r="F22248"/>
      <c r="N22248" s="56"/>
    </row>
    <row r="22249" spans="1:14" x14ac:dyDescent="0.3">
      <c r="A22249" s="42"/>
      <c r="C22249" s="52"/>
      <c r="D22249"/>
      <c r="E22249"/>
      <c r="F22249"/>
      <c r="N22249" s="56"/>
    </row>
    <row r="22250" spans="1:14" x14ac:dyDescent="0.3">
      <c r="A22250" s="42"/>
      <c r="C22250" s="52"/>
      <c r="D22250"/>
      <c r="E22250"/>
      <c r="F22250"/>
      <c r="N22250" s="56"/>
    </row>
    <row r="22251" spans="1:14" x14ac:dyDescent="0.3">
      <c r="A22251" s="42"/>
      <c r="C22251" s="52"/>
      <c r="D22251"/>
      <c r="E22251"/>
      <c r="F22251"/>
      <c r="N22251" s="56"/>
    </row>
    <row r="22252" spans="1:14" x14ac:dyDescent="0.3">
      <c r="A22252" s="42"/>
      <c r="C22252" s="52"/>
      <c r="D22252"/>
      <c r="E22252"/>
      <c r="F22252"/>
      <c r="N22252" s="56"/>
    </row>
    <row r="22253" spans="1:14" x14ac:dyDescent="0.3">
      <c r="A22253" s="42"/>
      <c r="C22253" s="52"/>
      <c r="D22253"/>
      <c r="E22253"/>
      <c r="F22253"/>
      <c r="N22253" s="56"/>
    </row>
    <row r="22254" spans="1:14" x14ac:dyDescent="0.3">
      <c r="A22254" s="42"/>
      <c r="C22254" s="52"/>
      <c r="D22254"/>
      <c r="E22254"/>
      <c r="F22254"/>
      <c r="N22254" s="56"/>
    </row>
    <row r="22255" spans="1:14" x14ac:dyDescent="0.3">
      <c r="A22255" s="42"/>
      <c r="C22255" s="52"/>
      <c r="D22255"/>
      <c r="E22255"/>
      <c r="F22255"/>
      <c r="N22255" s="56"/>
    </row>
    <row r="22256" spans="1:14" x14ac:dyDescent="0.3">
      <c r="A22256" s="42"/>
      <c r="C22256" s="52"/>
      <c r="D22256"/>
      <c r="E22256"/>
      <c r="F22256"/>
      <c r="N22256" s="56"/>
    </row>
    <row r="22257" spans="1:14" x14ac:dyDescent="0.3">
      <c r="A22257" s="42"/>
      <c r="C22257" s="52"/>
      <c r="D22257"/>
      <c r="E22257"/>
      <c r="F22257"/>
      <c r="N22257" s="56"/>
    </row>
    <row r="22258" spans="1:14" x14ac:dyDescent="0.3">
      <c r="A22258" s="42"/>
      <c r="C22258" s="52"/>
      <c r="D22258"/>
      <c r="E22258"/>
      <c r="F22258"/>
      <c r="N22258" s="56"/>
    </row>
    <row r="22259" spans="1:14" x14ac:dyDescent="0.3">
      <c r="A22259" s="42"/>
      <c r="C22259" s="52"/>
      <c r="D22259"/>
      <c r="E22259"/>
      <c r="F22259"/>
      <c r="N22259" s="56"/>
    </row>
    <row r="22260" spans="1:14" x14ac:dyDescent="0.3">
      <c r="A22260" s="42"/>
      <c r="C22260" s="52"/>
      <c r="D22260"/>
      <c r="E22260"/>
      <c r="F22260"/>
      <c r="N22260" s="56"/>
    </row>
    <row r="22261" spans="1:14" x14ac:dyDescent="0.3">
      <c r="A22261" s="42"/>
      <c r="C22261" s="52"/>
      <c r="D22261"/>
      <c r="E22261"/>
      <c r="F22261"/>
      <c r="N22261" s="56"/>
    </row>
    <row r="22262" spans="1:14" x14ac:dyDescent="0.3">
      <c r="A22262" s="42"/>
      <c r="C22262" s="52"/>
      <c r="D22262"/>
      <c r="E22262"/>
      <c r="F22262"/>
      <c r="N22262" s="56"/>
    </row>
    <row r="22263" spans="1:14" x14ac:dyDescent="0.3">
      <c r="A22263" s="42"/>
      <c r="C22263" s="52"/>
      <c r="D22263"/>
      <c r="E22263"/>
      <c r="F22263"/>
      <c r="N22263" s="56"/>
    </row>
    <row r="22264" spans="1:14" x14ac:dyDescent="0.3">
      <c r="A22264" s="42"/>
      <c r="C22264" s="52"/>
      <c r="D22264"/>
      <c r="E22264"/>
      <c r="F22264"/>
      <c r="N22264" s="56"/>
    </row>
    <row r="22265" spans="1:14" x14ac:dyDescent="0.3">
      <c r="A22265" s="42"/>
      <c r="C22265" s="52"/>
      <c r="D22265"/>
      <c r="E22265"/>
      <c r="F22265"/>
      <c r="N22265" s="56"/>
    </row>
    <row r="22266" spans="1:14" x14ac:dyDescent="0.3">
      <c r="A22266" s="42"/>
      <c r="C22266" s="52"/>
      <c r="D22266"/>
      <c r="E22266"/>
      <c r="F22266"/>
      <c r="N22266" s="56"/>
    </row>
    <row r="22267" spans="1:14" x14ac:dyDescent="0.3">
      <c r="A22267" s="42"/>
      <c r="C22267" s="52"/>
      <c r="D22267"/>
      <c r="E22267"/>
      <c r="F22267"/>
      <c r="N22267" s="56"/>
    </row>
    <row r="22268" spans="1:14" x14ac:dyDescent="0.3">
      <c r="A22268" s="42"/>
      <c r="C22268" s="52"/>
      <c r="D22268"/>
      <c r="E22268"/>
      <c r="F22268"/>
      <c r="N22268" s="56"/>
    </row>
    <row r="22269" spans="1:14" x14ac:dyDescent="0.3">
      <c r="A22269" s="42"/>
      <c r="C22269" s="52"/>
      <c r="D22269"/>
      <c r="E22269"/>
      <c r="F22269"/>
      <c r="N22269" s="56"/>
    </row>
    <row r="22270" spans="1:14" x14ac:dyDescent="0.3">
      <c r="A22270" s="42"/>
      <c r="C22270" s="52"/>
      <c r="D22270"/>
      <c r="E22270"/>
      <c r="F22270"/>
      <c r="N22270" s="56"/>
    </row>
    <row r="22271" spans="1:14" x14ac:dyDescent="0.3">
      <c r="A22271" s="42"/>
      <c r="C22271" s="52"/>
      <c r="D22271"/>
      <c r="E22271"/>
      <c r="F22271"/>
      <c r="N22271" s="56"/>
    </row>
    <row r="22272" spans="1:14" x14ac:dyDescent="0.3">
      <c r="A22272" s="42"/>
      <c r="C22272" s="52"/>
      <c r="D22272"/>
      <c r="E22272"/>
      <c r="F22272"/>
      <c r="N22272" s="56"/>
    </row>
    <row r="22273" spans="1:14" x14ac:dyDescent="0.3">
      <c r="A22273" s="42"/>
      <c r="C22273" s="52"/>
      <c r="D22273"/>
      <c r="E22273"/>
      <c r="F22273"/>
      <c r="N22273" s="56"/>
    </row>
    <row r="22274" spans="1:14" x14ac:dyDescent="0.3">
      <c r="A22274" s="42"/>
      <c r="C22274" s="52"/>
      <c r="D22274"/>
      <c r="E22274"/>
      <c r="F22274"/>
      <c r="N22274" s="56"/>
    </row>
    <row r="22275" spans="1:14" x14ac:dyDescent="0.3">
      <c r="A22275" s="42"/>
      <c r="C22275" s="52"/>
      <c r="D22275"/>
      <c r="E22275"/>
      <c r="F22275"/>
      <c r="N22275" s="56"/>
    </row>
    <row r="22276" spans="1:14" x14ac:dyDescent="0.3">
      <c r="A22276" s="42"/>
      <c r="C22276" s="52"/>
      <c r="D22276"/>
      <c r="E22276"/>
      <c r="F22276"/>
      <c r="N22276" s="56"/>
    </row>
    <row r="22277" spans="1:14" x14ac:dyDescent="0.3">
      <c r="A22277" s="42"/>
      <c r="C22277" s="52"/>
      <c r="D22277"/>
      <c r="E22277"/>
      <c r="F22277"/>
      <c r="N22277" s="56"/>
    </row>
    <row r="22278" spans="1:14" x14ac:dyDescent="0.3">
      <c r="A22278" s="42"/>
      <c r="C22278" s="52"/>
      <c r="D22278"/>
      <c r="E22278"/>
      <c r="F22278"/>
      <c r="N22278" s="56"/>
    </row>
    <row r="22279" spans="1:14" x14ac:dyDescent="0.3">
      <c r="A22279" s="42"/>
      <c r="C22279" s="52"/>
      <c r="D22279"/>
      <c r="E22279"/>
      <c r="F22279"/>
      <c r="N22279" s="56"/>
    </row>
    <row r="22280" spans="1:14" x14ac:dyDescent="0.3">
      <c r="A22280" s="42"/>
      <c r="C22280" s="52"/>
      <c r="D22280"/>
      <c r="E22280"/>
      <c r="F22280"/>
      <c r="N22280" s="56"/>
    </row>
    <row r="22281" spans="1:14" x14ac:dyDescent="0.3">
      <c r="A22281" s="42"/>
      <c r="C22281" s="52"/>
      <c r="D22281"/>
      <c r="E22281"/>
      <c r="F22281"/>
      <c r="N22281" s="56"/>
    </row>
    <row r="22282" spans="1:14" x14ac:dyDescent="0.3">
      <c r="A22282" s="42"/>
      <c r="C22282" s="52"/>
      <c r="D22282"/>
      <c r="E22282"/>
      <c r="F22282"/>
      <c r="N22282" s="56"/>
    </row>
    <row r="22283" spans="1:14" x14ac:dyDescent="0.3">
      <c r="A22283" s="42"/>
      <c r="C22283" s="52"/>
      <c r="D22283"/>
      <c r="E22283"/>
      <c r="F22283"/>
      <c r="N22283" s="56"/>
    </row>
    <row r="22284" spans="1:14" x14ac:dyDescent="0.3">
      <c r="A22284" s="42"/>
      <c r="C22284" s="52"/>
      <c r="D22284"/>
      <c r="E22284"/>
      <c r="F22284"/>
      <c r="N22284" s="56"/>
    </row>
    <row r="22285" spans="1:14" x14ac:dyDescent="0.3">
      <c r="A22285" s="42"/>
      <c r="C22285" s="52"/>
      <c r="D22285"/>
      <c r="E22285"/>
      <c r="F22285"/>
      <c r="N22285" s="56"/>
    </row>
    <row r="22286" spans="1:14" x14ac:dyDescent="0.3">
      <c r="A22286" s="42"/>
      <c r="C22286" s="52"/>
      <c r="D22286"/>
      <c r="E22286"/>
      <c r="F22286"/>
      <c r="N22286" s="56"/>
    </row>
    <row r="22287" spans="1:14" x14ac:dyDescent="0.3">
      <c r="A22287" s="42"/>
      <c r="C22287" s="52"/>
      <c r="D22287"/>
      <c r="E22287"/>
      <c r="F22287"/>
      <c r="N22287" s="56"/>
    </row>
    <row r="22288" spans="1:14" x14ac:dyDescent="0.3">
      <c r="A22288" s="42"/>
      <c r="C22288" s="52"/>
      <c r="D22288"/>
      <c r="E22288"/>
      <c r="F22288"/>
      <c r="N22288" s="56"/>
    </row>
    <row r="22289" spans="1:14" x14ac:dyDescent="0.3">
      <c r="A22289" s="42"/>
      <c r="C22289" s="52"/>
      <c r="D22289"/>
      <c r="E22289"/>
      <c r="F22289"/>
      <c r="N22289" s="56"/>
    </row>
    <row r="22290" spans="1:14" x14ac:dyDescent="0.3">
      <c r="A22290" s="42"/>
      <c r="C22290" s="52"/>
      <c r="D22290"/>
      <c r="E22290"/>
      <c r="F22290"/>
      <c r="N22290" s="56"/>
    </row>
    <row r="22291" spans="1:14" x14ac:dyDescent="0.3">
      <c r="A22291" s="42"/>
      <c r="C22291" s="52"/>
      <c r="D22291"/>
      <c r="E22291"/>
      <c r="F22291"/>
      <c r="N22291" s="56"/>
    </row>
    <row r="22292" spans="1:14" x14ac:dyDescent="0.3">
      <c r="A22292" s="42"/>
      <c r="C22292" s="52"/>
      <c r="D22292"/>
      <c r="E22292"/>
      <c r="F22292"/>
      <c r="N22292" s="56"/>
    </row>
    <row r="22293" spans="1:14" x14ac:dyDescent="0.3">
      <c r="A22293" s="42"/>
      <c r="C22293" s="52"/>
      <c r="D22293"/>
      <c r="E22293"/>
      <c r="F22293"/>
      <c r="N22293" s="56"/>
    </row>
    <row r="22294" spans="1:14" x14ac:dyDescent="0.3">
      <c r="A22294" s="42"/>
      <c r="C22294" s="52"/>
      <c r="D22294"/>
      <c r="E22294"/>
      <c r="F22294"/>
      <c r="N22294" s="56"/>
    </row>
    <row r="22295" spans="1:14" x14ac:dyDescent="0.3">
      <c r="A22295" s="42"/>
      <c r="C22295" s="52"/>
      <c r="D22295"/>
      <c r="E22295"/>
      <c r="F22295"/>
      <c r="N22295" s="56"/>
    </row>
    <row r="22296" spans="1:14" x14ac:dyDescent="0.3">
      <c r="A22296" s="42"/>
      <c r="C22296" s="52"/>
      <c r="D22296"/>
      <c r="E22296"/>
      <c r="F22296"/>
      <c r="N22296" s="56"/>
    </row>
    <row r="22297" spans="1:14" x14ac:dyDescent="0.3">
      <c r="A22297" s="42"/>
      <c r="C22297" s="52"/>
      <c r="D22297"/>
      <c r="E22297"/>
      <c r="F22297"/>
      <c r="N22297" s="56"/>
    </row>
    <row r="22298" spans="1:14" x14ac:dyDescent="0.3">
      <c r="A22298" s="42"/>
      <c r="C22298" s="52"/>
      <c r="D22298"/>
      <c r="E22298"/>
      <c r="F22298"/>
      <c r="N22298" s="56"/>
    </row>
    <row r="22299" spans="1:14" x14ac:dyDescent="0.3">
      <c r="A22299" s="42"/>
      <c r="C22299" s="52"/>
      <c r="D22299"/>
      <c r="E22299"/>
      <c r="F22299"/>
      <c r="N22299" s="56"/>
    </row>
    <row r="22300" spans="1:14" x14ac:dyDescent="0.3">
      <c r="A22300" s="42"/>
      <c r="C22300" s="52"/>
      <c r="D22300"/>
      <c r="E22300"/>
      <c r="F22300"/>
      <c r="N22300" s="56"/>
    </row>
    <row r="22301" spans="1:14" x14ac:dyDescent="0.3">
      <c r="A22301" s="42"/>
      <c r="C22301" s="52"/>
      <c r="D22301"/>
      <c r="E22301"/>
      <c r="F22301"/>
      <c r="N22301" s="56"/>
    </row>
    <row r="22302" spans="1:14" x14ac:dyDescent="0.3">
      <c r="A22302" s="42"/>
      <c r="C22302" s="52"/>
      <c r="D22302"/>
      <c r="E22302"/>
      <c r="F22302"/>
      <c r="N22302" s="56"/>
    </row>
    <row r="22303" spans="1:14" x14ac:dyDescent="0.3">
      <c r="A22303" s="42"/>
      <c r="C22303" s="52"/>
      <c r="D22303"/>
      <c r="E22303"/>
      <c r="F22303"/>
      <c r="N22303" s="56"/>
    </row>
    <row r="22304" spans="1:14" x14ac:dyDescent="0.3">
      <c r="A22304" s="42"/>
      <c r="C22304" s="52"/>
      <c r="D22304"/>
      <c r="E22304"/>
      <c r="F22304"/>
      <c r="N22304" s="56"/>
    </row>
    <row r="22305" spans="1:14" x14ac:dyDescent="0.3">
      <c r="A22305" s="42"/>
      <c r="C22305" s="52"/>
      <c r="D22305"/>
      <c r="E22305"/>
      <c r="F22305"/>
      <c r="N22305" s="56"/>
    </row>
    <row r="22306" spans="1:14" x14ac:dyDescent="0.3">
      <c r="A22306" s="42"/>
      <c r="C22306" s="52"/>
      <c r="D22306"/>
      <c r="E22306"/>
      <c r="F22306"/>
      <c r="N22306" s="56"/>
    </row>
    <row r="22307" spans="1:14" x14ac:dyDescent="0.3">
      <c r="A22307" s="42"/>
      <c r="C22307" s="52"/>
      <c r="D22307"/>
      <c r="E22307"/>
      <c r="F22307"/>
      <c r="N22307" s="56"/>
    </row>
    <row r="22308" spans="1:14" x14ac:dyDescent="0.3">
      <c r="A22308" s="42"/>
      <c r="C22308" s="52"/>
      <c r="D22308"/>
      <c r="E22308"/>
      <c r="F22308"/>
      <c r="N22308" s="56"/>
    </row>
    <row r="22309" spans="1:14" x14ac:dyDescent="0.3">
      <c r="A22309" s="42"/>
      <c r="C22309" s="52"/>
      <c r="D22309"/>
      <c r="E22309"/>
      <c r="F22309"/>
      <c r="N22309" s="56"/>
    </row>
    <row r="22310" spans="1:14" x14ac:dyDescent="0.3">
      <c r="A22310" s="42"/>
      <c r="C22310" s="52"/>
      <c r="D22310"/>
      <c r="E22310"/>
      <c r="F22310"/>
      <c r="N22310" s="56"/>
    </row>
    <row r="22311" spans="1:14" x14ac:dyDescent="0.3">
      <c r="A22311" s="42"/>
      <c r="C22311" s="52"/>
      <c r="D22311"/>
      <c r="E22311"/>
      <c r="F22311"/>
      <c r="N22311" s="56"/>
    </row>
    <row r="22312" spans="1:14" x14ac:dyDescent="0.3">
      <c r="A22312" s="42"/>
      <c r="C22312" s="52"/>
      <c r="D22312"/>
      <c r="E22312"/>
      <c r="F22312"/>
      <c r="N22312" s="56"/>
    </row>
    <row r="22313" spans="1:14" x14ac:dyDescent="0.3">
      <c r="A22313" s="42"/>
      <c r="C22313" s="52"/>
      <c r="D22313"/>
      <c r="E22313"/>
      <c r="F22313"/>
      <c r="N22313" s="56"/>
    </row>
    <row r="22314" spans="1:14" x14ac:dyDescent="0.3">
      <c r="A22314" s="42"/>
      <c r="C22314" s="52"/>
      <c r="D22314"/>
      <c r="E22314"/>
      <c r="F22314"/>
      <c r="N22314" s="56"/>
    </row>
    <row r="22315" spans="1:14" x14ac:dyDescent="0.3">
      <c r="A22315" s="42"/>
      <c r="C22315" s="52"/>
      <c r="D22315"/>
      <c r="E22315"/>
      <c r="F22315"/>
      <c r="N22315" s="56"/>
    </row>
    <row r="22316" spans="1:14" x14ac:dyDescent="0.3">
      <c r="A22316" s="42"/>
      <c r="C22316" s="52"/>
      <c r="D22316"/>
      <c r="E22316"/>
      <c r="F22316"/>
      <c r="N22316" s="56"/>
    </row>
    <row r="22317" spans="1:14" x14ac:dyDescent="0.3">
      <c r="A22317" s="42"/>
      <c r="C22317" s="52"/>
      <c r="D22317"/>
      <c r="E22317"/>
      <c r="F22317"/>
      <c r="N22317" s="56"/>
    </row>
    <row r="22318" spans="1:14" x14ac:dyDescent="0.3">
      <c r="A22318" s="42"/>
      <c r="C22318" s="52"/>
      <c r="D22318"/>
      <c r="E22318"/>
      <c r="F22318"/>
      <c r="N22318" s="56"/>
    </row>
    <row r="22319" spans="1:14" x14ac:dyDescent="0.3">
      <c r="A22319" s="42"/>
      <c r="C22319" s="52"/>
      <c r="D22319"/>
      <c r="E22319"/>
      <c r="F22319"/>
      <c r="N22319" s="56"/>
    </row>
    <row r="22320" spans="1:14" x14ac:dyDescent="0.3">
      <c r="A22320" s="42"/>
      <c r="C22320" s="52"/>
      <c r="D22320"/>
      <c r="E22320"/>
      <c r="F22320"/>
      <c r="N22320" s="56"/>
    </row>
    <row r="22321" spans="1:14" x14ac:dyDescent="0.3">
      <c r="A22321" s="42"/>
      <c r="C22321" s="52"/>
      <c r="D22321"/>
      <c r="E22321"/>
      <c r="F22321"/>
      <c r="N22321" s="56"/>
    </row>
    <row r="22322" spans="1:14" x14ac:dyDescent="0.3">
      <c r="A22322" s="42"/>
      <c r="C22322" s="52"/>
      <c r="D22322"/>
      <c r="E22322"/>
      <c r="F22322"/>
      <c r="N22322" s="56"/>
    </row>
    <row r="22323" spans="1:14" x14ac:dyDescent="0.3">
      <c r="A22323" s="42"/>
      <c r="C22323" s="52"/>
      <c r="D22323"/>
      <c r="E22323"/>
      <c r="F22323"/>
      <c r="N22323" s="56"/>
    </row>
    <row r="22324" spans="1:14" x14ac:dyDescent="0.3">
      <c r="A22324" s="42"/>
      <c r="C22324" s="52"/>
      <c r="D22324"/>
      <c r="E22324"/>
      <c r="F22324"/>
      <c r="N22324" s="56"/>
    </row>
    <row r="22325" spans="1:14" x14ac:dyDescent="0.3">
      <c r="A22325" s="42"/>
      <c r="C22325" s="52"/>
      <c r="D22325"/>
      <c r="E22325"/>
      <c r="F22325"/>
      <c r="N22325" s="56"/>
    </row>
    <row r="22326" spans="1:14" x14ac:dyDescent="0.3">
      <c r="A22326" s="42"/>
      <c r="C22326" s="52"/>
      <c r="D22326"/>
      <c r="E22326"/>
      <c r="F22326"/>
      <c r="N22326" s="56"/>
    </row>
    <row r="22327" spans="1:14" x14ac:dyDescent="0.3">
      <c r="A22327" s="42"/>
      <c r="C22327" s="52"/>
      <c r="D22327"/>
      <c r="E22327"/>
      <c r="F22327"/>
      <c r="N22327" s="56"/>
    </row>
    <row r="22328" spans="1:14" x14ac:dyDescent="0.3">
      <c r="A22328" s="42"/>
      <c r="C22328" s="52"/>
      <c r="D22328"/>
      <c r="E22328"/>
      <c r="F22328"/>
      <c r="N22328" s="56"/>
    </row>
    <row r="22329" spans="1:14" x14ac:dyDescent="0.3">
      <c r="A22329" s="42"/>
      <c r="C22329" s="52"/>
      <c r="D22329"/>
      <c r="E22329"/>
      <c r="F22329"/>
      <c r="N22329" s="56"/>
    </row>
    <row r="22330" spans="1:14" x14ac:dyDescent="0.3">
      <c r="A22330" s="42"/>
      <c r="C22330" s="52"/>
      <c r="D22330"/>
      <c r="E22330"/>
      <c r="F22330"/>
      <c r="N22330" s="56"/>
    </row>
    <row r="22331" spans="1:14" x14ac:dyDescent="0.3">
      <c r="A22331" s="42"/>
      <c r="C22331" s="52"/>
      <c r="D22331"/>
      <c r="E22331"/>
      <c r="F22331"/>
      <c r="N22331" s="56"/>
    </row>
    <row r="22332" spans="1:14" x14ac:dyDescent="0.3">
      <c r="A22332" s="42"/>
      <c r="C22332" s="52"/>
      <c r="D22332"/>
      <c r="E22332"/>
      <c r="F22332"/>
      <c r="N22332" s="56"/>
    </row>
    <row r="22333" spans="1:14" x14ac:dyDescent="0.3">
      <c r="A22333" s="42"/>
      <c r="C22333" s="52"/>
      <c r="D22333"/>
      <c r="E22333"/>
      <c r="F22333"/>
      <c r="N22333" s="56"/>
    </row>
    <row r="22334" spans="1:14" x14ac:dyDescent="0.3">
      <c r="A22334" s="42"/>
      <c r="C22334" s="52"/>
      <c r="D22334"/>
      <c r="E22334"/>
      <c r="F22334"/>
      <c r="N22334" s="56"/>
    </row>
    <row r="22335" spans="1:14" x14ac:dyDescent="0.3">
      <c r="A22335" s="42"/>
      <c r="C22335" s="52"/>
      <c r="D22335"/>
      <c r="E22335"/>
      <c r="F22335"/>
      <c r="N22335" s="56"/>
    </row>
    <row r="22336" spans="1:14" x14ac:dyDescent="0.3">
      <c r="A22336" s="42"/>
      <c r="C22336" s="52"/>
      <c r="D22336"/>
      <c r="E22336"/>
      <c r="F22336"/>
      <c r="N22336" s="56"/>
    </row>
    <row r="22337" spans="1:14" x14ac:dyDescent="0.3">
      <c r="A22337" s="42"/>
      <c r="C22337" s="52"/>
      <c r="D22337"/>
      <c r="E22337"/>
      <c r="F22337"/>
      <c r="N22337" s="56"/>
    </row>
    <row r="22338" spans="1:14" x14ac:dyDescent="0.3">
      <c r="A22338" s="42"/>
      <c r="C22338" s="52"/>
      <c r="D22338"/>
      <c r="E22338"/>
      <c r="F22338"/>
      <c r="N22338" s="56"/>
    </row>
    <row r="22339" spans="1:14" x14ac:dyDescent="0.3">
      <c r="A22339" s="42"/>
      <c r="C22339" s="52"/>
      <c r="D22339"/>
      <c r="E22339"/>
      <c r="F22339"/>
      <c r="N22339" s="56"/>
    </row>
    <row r="22340" spans="1:14" x14ac:dyDescent="0.3">
      <c r="A22340" s="42"/>
      <c r="C22340" s="52"/>
      <c r="D22340"/>
      <c r="E22340"/>
      <c r="F22340"/>
      <c r="M22340" s="45"/>
      <c r="N22340" s="56"/>
    </row>
    <row r="22341" spans="1:14" x14ac:dyDescent="0.3">
      <c r="A22341" s="42"/>
      <c r="C22341" s="52"/>
      <c r="D22341"/>
      <c r="E22341"/>
      <c r="F22341"/>
      <c r="N22341" s="56"/>
    </row>
    <row r="22342" spans="1:14" x14ac:dyDescent="0.3">
      <c r="A22342" s="42"/>
      <c r="C22342" s="52"/>
      <c r="D22342"/>
      <c r="E22342"/>
      <c r="F22342"/>
      <c r="N22342" s="56"/>
    </row>
    <row r="22343" spans="1:14" x14ac:dyDescent="0.3">
      <c r="A22343" s="42"/>
      <c r="C22343" s="52"/>
      <c r="D22343"/>
      <c r="E22343"/>
      <c r="F22343"/>
      <c r="N22343" s="56"/>
    </row>
    <row r="22344" spans="1:14" x14ac:dyDescent="0.3">
      <c r="A22344" s="42"/>
      <c r="C22344" s="52"/>
      <c r="D22344"/>
      <c r="E22344"/>
      <c r="F22344"/>
      <c r="N22344" s="56"/>
    </row>
    <row r="22345" spans="1:14" x14ac:dyDescent="0.3">
      <c r="A22345" s="42"/>
      <c r="C22345" s="52"/>
      <c r="D22345"/>
      <c r="E22345"/>
      <c r="F22345"/>
      <c r="N22345" s="56"/>
    </row>
    <row r="22346" spans="1:14" x14ac:dyDescent="0.3">
      <c r="A22346" s="42"/>
      <c r="C22346" s="52"/>
      <c r="D22346"/>
      <c r="E22346"/>
      <c r="F22346"/>
      <c r="N22346" s="56"/>
    </row>
    <row r="22347" spans="1:14" x14ac:dyDescent="0.3">
      <c r="A22347" s="42"/>
      <c r="C22347" s="52"/>
      <c r="D22347"/>
      <c r="E22347"/>
      <c r="F22347"/>
      <c r="N22347" s="56"/>
    </row>
    <row r="22348" spans="1:14" x14ac:dyDescent="0.3">
      <c r="A22348" s="42"/>
      <c r="C22348" s="52"/>
      <c r="D22348"/>
      <c r="E22348"/>
      <c r="F22348"/>
      <c r="N22348" s="56"/>
    </row>
    <row r="22349" spans="1:14" x14ac:dyDescent="0.3">
      <c r="A22349" s="42"/>
      <c r="C22349" s="52"/>
      <c r="D22349"/>
      <c r="E22349"/>
      <c r="F22349"/>
      <c r="N22349" s="56"/>
    </row>
    <row r="22350" spans="1:14" x14ac:dyDescent="0.3">
      <c r="A22350" s="42"/>
      <c r="C22350" s="52"/>
      <c r="D22350"/>
      <c r="E22350"/>
      <c r="F22350"/>
      <c r="N22350" s="56"/>
    </row>
    <row r="22351" spans="1:14" x14ac:dyDescent="0.3">
      <c r="A22351" s="42"/>
      <c r="C22351" s="52"/>
      <c r="D22351"/>
      <c r="E22351"/>
      <c r="F22351"/>
      <c r="N22351" s="56"/>
    </row>
    <row r="22352" spans="1:14" x14ac:dyDescent="0.3">
      <c r="A22352" s="42"/>
      <c r="C22352" s="52"/>
      <c r="D22352"/>
      <c r="E22352"/>
      <c r="F22352"/>
      <c r="N22352" s="56"/>
    </row>
    <row r="22353" spans="1:14" x14ac:dyDescent="0.3">
      <c r="A22353" s="42"/>
      <c r="C22353" s="52"/>
      <c r="D22353"/>
      <c r="E22353"/>
      <c r="F22353"/>
      <c r="N22353" s="56"/>
    </row>
    <row r="22354" spans="1:14" x14ac:dyDescent="0.3">
      <c r="A22354" s="42"/>
      <c r="C22354" s="52"/>
      <c r="D22354"/>
      <c r="E22354"/>
      <c r="F22354"/>
      <c r="N22354" s="56"/>
    </row>
    <row r="22355" spans="1:14" x14ac:dyDescent="0.3">
      <c r="A22355" s="42"/>
      <c r="C22355" s="52"/>
      <c r="D22355"/>
      <c r="E22355"/>
      <c r="F22355"/>
      <c r="N22355" s="56"/>
    </row>
    <row r="22356" spans="1:14" x14ac:dyDescent="0.3">
      <c r="A22356" s="42"/>
      <c r="C22356" s="52"/>
      <c r="D22356"/>
      <c r="E22356"/>
      <c r="F22356"/>
      <c r="N22356" s="56"/>
    </row>
    <row r="22357" spans="1:14" x14ac:dyDescent="0.3">
      <c r="A22357" s="42"/>
      <c r="C22357" s="52"/>
      <c r="D22357"/>
      <c r="E22357"/>
      <c r="F22357"/>
      <c r="N22357" s="56"/>
    </row>
    <row r="22358" spans="1:14" x14ac:dyDescent="0.3">
      <c r="A22358" s="42"/>
      <c r="C22358" s="52"/>
      <c r="D22358"/>
      <c r="E22358"/>
      <c r="F22358"/>
      <c r="N22358" s="56"/>
    </row>
    <row r="22359" spans="1:14" x14ac:dyDescent="0.3">
      <c r="A22359" s="42"/>
      <c r="C22359" s="52"/>
      <c r="D22359"/>
      <c r="E22359"/>
      <c r="F22359"/>
      <c r="N22359" s="56"/>
    </row>
    <row r="22360" spans="1:14" x14ac:dyDescent="0.3">
      <c r="A22360" s="42"/>
      <c r="C22360" s="52"/>
      <c r="D22360"/>
      <c r="E22360"/>
      <c r="F22360"/>
      <c r="N22360" s="56"/>
    </row>
    <row r="22361" spans="1:14" x14ac:dyDescent="0.3">
      <c r="A22361" s="42"/>
      <c r="C22361" s="52"/>
      <c r="D22361"/>
      <c r="E22361"/>
      <c r="F22361"/>
      <c r="N22361" s="56"/>
    </row>
    <row r="22362" spans="1:14" x14ac:dyDescent="0.3">
      <c r="A22362" s="42"/>
      <c r="C22362" s="52"/>
      <c r="D22362"/>
      <c r="E22362"/>
      <c r="F22362"/>
      <c r="N22362" s="56"/>
    </row>
    <row r="22363" spans="1:14" x14ac:dyDescent="0.3">
      <c r="A22363" s="42"/>
      <c r="C22363" s="52"/>
      <c r="D22363"/>
      <c r="E22363"/>
      <c r="F22363"/>
      <c r="N22363" s="56"/>
    </row>
    <row r="22364" spans="1:14" x14ac:dyDescent="0.3">
      <c r="A22364" s="42"/>
      <c r="C22364" s="52"/>
      <c r="D22364"/>
      <c r="E22364"/>
      <c r="F22364"/>
      <c r="N22364" s="56"/>
    </row>
    <row r="22365" spans="1:14" x14ac:dyDescent="0.3">
      <c r="A22365" s="42"/>
      <c r="C22365" s="52"/>
      <c r="D22365"/>
      <c r="E22365"/>
      <c r="F22365"/>
      <c r="N22365" s="56"/>
    </row>
    <row r="22366" spans="1:14" x14ac:dyDescent="0.3">
      <c r="A22366" s="42"/>
      <c r="C22366" s="52"/>
      <c r="D22366"/>
      <c r="E22366"/>
      <c r="F22366"/>
      <c r="N22366" s="56"/>
    </row>
    <row r="22367" spans="1:14" x14ac:dyDescent="0.3">
      <c r="A22367" s="42"/>
      <c r="C22367" s="52"/>
      <c r="D22367"/>
      <c r="E22367"/>
      <c r="F22367"/>
      <c r="N22367" s="56"/>
    </row>
    <row r="22368" spans="1:14" x14ac:dyDescent="0.3">
      <c r="A22368" s="42"/>
      <c r="C22368" s="52"/>
      <c r="D22368"/>
      <c r="E22368"/>
      <c r="F22368"/>
      <c r="N22368" s="56"/>
    </row>
    <row r="22369" spans="1:14" x14ac:dyDescent="0.3">
      <c r="A22369" s="42"/>
      <c r="C22369" s="52"/>
      <c r="D22369"/>
      <c r="E22369"/>
      <c r="F22369"/>
      <c r="N22369" s="56"/>
    </row>
    <row r="22370" spans="1:14" x14ac:dyDescent="0.3">
      <c r="A22370" s="42"/>
      <c r="C22370" s="52"/>
      <c r="D22370"/>
      <c r="E22370"/>
      <c r="F22370"/>
      <c r="N22370" s="56"/>
    </row>
    <row r="22371" spans="1:14" x14ac:dyDescent="0.3">
      <c r="A22371" s="42"/>
      <c r="C22371" s="52"/>
      <c r="D22371"/>
      <c r="E22371"/>
      <c r="F22371"/>
      <c r="N22371" s="56"/>
    </row>
    <row r="22372" spans="1:14" x14ac:dyDescent="0.3">
      <c r="A22372" s="42"/>
      <c r="C22372" s="52"/>
      <c r="D22372"/>
      <c r="E22372"/>
      <c r="F22372"/>
      <c r="N22372" s="56"/>
    </row>
    <row r="22373" spans="1:14" x14ac:dyDescent="0.3">
      <c r="A22373" s="42"/>
      <c r="C22373" s="52"/>
      <c r="D22373"/>
      <c r="E22373"/>
      <c r="F22373"/>
      <c r="N22373" s="56"/>
    </row>
    <row r="22374" spans="1:14" x14ac:dyDescent="0.3">
      <c r="A22374" s="42"/>
      <c r="C22374" s="52"/>
      <c r="D22374"/>
      <c r="E22374"/>
      <c r="F22374"/>
      <c r="N22374" s="56"/>
    </row>
    <row r="22375" spans="1:14" x14ac:dyDescent="0.3">
      <c r="A22375" s="42"/>
      <c r="C22375" s="52"/>
      <c r="D22375"/>
      <c r="E22375"/>
      <c r="F22375"/>
      <c r="N22375" s="56"/>
    </row>
    <row r="22376" spans="1:14" x14ac:dyDescent="0.3">
      <c r="A22376" s="42"/>
      <c r="C22376" s="52"/>
      <c r="D22376"/>
      <c r="E22376"/>
      <c r="F22376"/>
      <c r="N22376" s="56"/>
    </row>
    <row r="22377" spans="1:14" x14ac:dyDescent="0.3">
      <c r="A22377" s="42"/>
      <c r="C22377" s="52"/>
      <c r="D22377"/>
      <c r="E22377"/>
      <c r="F22377"/>
      <c r="N22377" s="56"/>
    </row>
    <row r="22378" spans="1:14" x14ac:dyDescent="0.3">
      <c r="A22378" s="42"/>
      <c r="C22378" s="52"/>
      <c r="D22378"/>
      <c r="E22378"/>
      <c r="F22378"/>
      <c r="N22378" s="56"/>
    </row>
    <row r="22379" spans="1:14" x14ac:dyDescent="0.3">
      <c r="A22379" s="42"/>
      <c r="C22379" s="52"/>
      <c r="D22379"/>
      <c r="E22379"/>
      <c r="F22379"/>
      <c r="N22379" s="56"/>
    </row>
    <row r="22380" spans="1:14" x14ac:dyDescent="0.3">
      <c r="A22380" s="42"/>
      <c r="C22380" s="52"/>
      <c r="D22380"/>
      <c r="E22380"/>
      <c r="F22380"/>
      <c r="N22380" s="56"/>
    </row>
    <row r="22381" spans="1:14" x14ac:dyDescent="0.3">
      <c r="A22381" s="42"/>
      <c r="C22381" s="52"/>
      <c r="D22381"/>
      <c r="E22381"/>
      <c r="F22381"/>
      <c r="N22381" s="56"/>
    </row>
    <row r="22382" spans="1:14" x14ac:dyDescent="0.3">
      <c r="A22382" s="42"/>
      <c r="C22382" s="52"/>
      <c r="D22382"/>
      <c r="E22382"/>
      <c r="F22382"/>
      <c r="N22382" s="56"/>
    </row>
    <row r="22383" spans="1:14" x14ac:dyDescent="0.3">
      <c r="A22383" s="42"/>
      <c r="C22383" s="52"/>
      <c r="D22383"/>
      <c r="E22383"/>
      <c r="F22383"/>
      <c r="N22383" s="56"/>
    </row>
    <row r="22384" spans="1:14" x14ac:dyDescent="0.3">
      <c r="A22384" s="42"/>
      <c r="C22384" s="52"/>
      <c r="D22384"/>
      <c r="E22384"/>
      <c r="F22384"/>
      <c r="N22384" s="56"/>
    </row>
    <row r="22385" spans="1:14" x14ac:dyDescent="0.3">
      <c r="A22385" s="42"/>
      <c r="C22385" s="52"/>
      <c r="D22385"/>
      <c r="E22385"/>
      <c r="F22385"/>
      <c r="N22385" s="56"/>
    </row>
    <row r="22386" spans="1:14" x14ac:dyDescent="0.3">
      <c r="A22386" s="42"/>
      <c r="C22386" s="52"/>
      <c r="D22386"/>
      <c r="E22386"/>
      <c r="F22386"/>
      <c r="N22386" s="56"/>
    </row>
    <row r="22387" spans="1:14" x14ac:dyDescent="0.3">
      <c r="A22387" s="42"/>
      <c r="C22387" s="52"/>
      <c r="D22387"/>
      <c r="E22387"/>
      <c r="F22387"/>
      <c r="N22387" s="56"/>
    </row>
    <row r="22388" spans="1:14" x14ac:dyDescent="0.3">
      <c r="A22388" s="42"/>
      <c r="C22388" s="52"/>
      <c r="D22388"/>
      <c r="E22388"/>
      <c r="F22388"/>
      <c r="N22388" s="56"/>
    </row>
    <row r="22389" spans="1:14" x14ac:dyDescent="0.3">
      <c r="A22389" s="42"/>
      <c r="C22389" s="52"/>
      <c r="D22389"/>
      <c r="E22389"/>
      <c r="F22389"/>
      <c r="N22389" s="56"/>
    </row>
    <row r="22390" spans="1:14" x14ac:dyDescent="0.3">
      <c r="A22390" s="42"/>
      <c r="C22390" s="52"/>
      <c r="D22390"/>
      <c r="E22390"/>
      <c r="F22390"/>
      <c r="N22390" s="56"/>
    </row>
    <row r="22391" spans="1:14" x14ac:dyDescent="0.3">
      <c r="A22391" s="42"/>
      <c r="C22391" s="52"/>
      <c r="D22391"/>
      <c r="E22391"/>
      <c r="F22391"/>
      <c r="N22391" s="56"/>
    </row>
    <row r="22392" spans="1:14" x14ac:dyDescent="0.3">
      <c r="A22392" s="42"/>
      <c r="C22392" s="52"/>
      <c r="D22392"/>
      <c r="E22392"/>
      <c r="F22392"/>
      <c r="N22392" s="56"/>
    </row>
    <row r="22393" spans="1:14" x14ac:dyDescent="0.3">
      <c r="A22393" s="42"/>
      <c r="C22393" s="52"/>
      <c r="D22393"/>
      <c r="E22393"/>
      <c r="F22393"/>
      <c r="N22393" s="56"/>
    </row>
    <row r="22394" spans="1:14" x14ac:dyDescent="0.3">
      <c r="A22394" s="42"/>
      <c r="C22394" s="52"/>
      <c r="D22394"/>
      <c r="E22394"/>
      <c r="F22394"/>
      <c r="N22394" s="56"/>
    </row>
    <row r="22395" spans="1:14" x14ac:dyDescent="0.3">
      <c r="A22395" s="42"/>
      <c r="C22395" s="52"/>
      <c r="D22395"/>
      <c r="E22395"/>
      <c r="F22395"/>
      <c r="N22395" s="56"/>
    </row>
    <row r="22396" spans="1:14" x14ac:dyDescent="0.3">
      <c r="A22396" s="42"/>
      <c r="C22396" s="52"/>
      <c r="D22396"/>
      <c r="E22396"/>
      <c r="F22396"/>
      <c r="N22396" s="56"/>
    </row>
    <row r="22397" spans="1:14" x14ac:dyDescent="0.3">
      <c r="A22397" s="42"/>
      <c r="C22397" s="52"/>
      <c r="D22397"/>
      <c r="E22397"/>
      <c r="F22397"/>
      <c r="N22397" s="56"/>
    </row>
    <row r="22398" spans="1:14" x14ac:dyDescent="0.3">
      <c r="A22398" s="42"/>
      <c r="C22398" s="52"/>
      <c r="D22398"/>
      <c r="E22398"/>
      <c r="F22398"/>
      <c r="N22398" s="56"/>
    </row>
    <row r="22399" spans="1:14" x14ac:dyDescent="0.3">
      <c r="A22399" s="42"/>
      <c r="C22399" s="52"/>
      <c r="D22399"/>
      <c r="E22399"/>
      <c r="F22399"/>
      <c r="N22399" s="56"/>
    </row>
    <row r="22400" spans="1:14" x14ac:dyDescent="0.3">
      <c r="A22400" s="42"/>
      <c r="C22400" s="52"/>
      <c r="D22400"/>
      <c r="E22400"/>
      <c r="F22400"/>
      <c r="N22400" s="56"/>
    </row>
    <row r="22401" spans="1:14" x14ac:dyDescent="0.3">
      <c r="A22401" s="42"/>
      <c r="C22401" s="52"/>
      <c r="D22401"/>
      <c r="E22401"/>
      <c r="F22401"/>
      <c r="N22401" s="56"/>
    </row>
    <row r="22402" spans="1:14" x14ac:dyDescent="0.3">
      <c r="A22402" s="42"/>
      <c r="C22402" s="52"/>
      <c r="D22402"/>
      <c r="E22402"/>
      <c r="F22402"/>
      <c r="N22402" s="56"/>
    </row>
    <row r="22403" spans="1:14" x14ac:dyDescent="0.3">
      <c r="A22403" s="42"/>
      <c r="C22403" s="52"/>
      <c r="D22403"/>
      <c r="E22403"/>
      <c r="F22403"/>
      <c r="N22403" s="56"/>
    </row>
    <row r="22404" spans="1:14" x14ac:dyDescent="0.3">
      <c r="A22404" s="42"/>
      <c r="C22404" s="52"/>
      <c r="D22404"/>
      <c r="E22404"/>
      <c r="F22404"/>
      <c r="N22404" s="56"/>
    </row>
    <row r="22405" spans="1:14" x14ac:dyDescent="0.3">
      <c r="A22405" s="42"/>
      <c r="C22405" s="52"/>
      <c r="D22405"/>
      <c r="E22405"/>
      <c r="F22405"/>
      <c r="N22405" s="56"/>
    </row>
    <row r="22406" spans="1:14" x14ac:dyDescent="0.3">
      <c r="A22406" s="42"/>
      <c r="C22406" s="52"/>
      <c r="D22406"/>
      <c r="E22406"/>
      <c r="F22406"/>
      <c r="N22406" s="56"/>
    </row>
    <row r="22407" spans="1:14" x14ac:dyDescent="0.3">
      <c r="A22407" s="42"/>
      <c r="C22407" s="52"/>
      <c r="D22407"/>
      <c r="E22407"/>
      <c r="F22407"/>
      <c r="N22407" s="56"/>
    </row>
    <row r="22408" spans="1:14" x14ac:dyDescent="0.3">
      <c r="A22408" s="42"/>
      <c r="C22408" s="52"/>
      <c r="D22408"/>
      <c r="E22408"/>
      <c r="F22408"/>
      <c r="N22408" s="56"/>
    </row>
    <row r="22409" spans="1:14" x14ac:dyDescent="0.3">
      <c r="A22409" s="42"/>
      <c r="C22409" s="52"/>
      <c r="D22409"/>
      <c r="E22409"/>
      <c r="F22409"/>
      <c r="N22409" s="56"/>
    </row>
    <row r="22410" spans="1:14" x14ac:dyDescent="0.3">
      <c r="A22410" s="42"/>
      <c r="C22410" s="52"/>
      <c r="D22410"/>
      <c r="E22410"/>
      <c r="F22410"/>
      <c r="N22410" s="56"/>
    </row>
    <row r="22411" spans="1:14" x14ac:dyDescent="0.3">
      <c r="A22411" s="42"/>
      <c r="C22411" s="52"/>
      <c r="D22411"/>
      <c r="E22411"/>
      <c r="F22411"/>
      <c r="N22411" s="56"/>
    </row>
    <row r="22412" spans="1:14" x14ac:dyDescent="0.3">
      <c r="A22412" s="42"/>
      <c r="C22412" s="52"/>
      <c r="D22412"/>
      <c r="E22412"/>
      <c r="F22412"/>
      <c r="N22412" s="56"/>
    </row>
    <row r="22413" spans="1:14" x14ac:dyDescent="0.3">
      <c r="A22413" s="42"/>
      <c r="C22413" s="52"/>
      <c r="D22413"/>
      <c r="E22413"/>
      <c r="F22413"/>
      <c r="N22413" s="56"/>
    </row>
    <row r="22414" spans="1:14" x14ac:dyDescent="0.3">
      <c r="A22414" s="42"/>
      <c r="C22414" s="52"/>
      <c r="D22414"/>
      <c r="E22414"/>
      <c r="F22414"/>
      <c r="N22414" s="56"/>
    </row>
    <row r="22415" spans="1:14" x14ac:dyDescent="0.3">
      <c r="A22415" s="42"/>
      <c r="C22415" s="52"/>
      <c r="D22415"/>
      <c r="E22415"/>
      <c r="F22415"/>
      <c r="N22415" s="56"/>
    </row>
    <row r="22416" spans="1:14" x14ac:dyDescent="0.3">
      <c r="A22416" s="42"/>
      <c r="C22416" s="52"/>
      <c r="D22416"/>
      <c r="E22416"/>
      <c r="F22416"/>
      <c r="N22416" s="56"/>
    </row>
    <row r="22417" spans="1:14" x14ac:dyDescent="0.3">
      <c r="A22417" s="42"/>
      <c r="C22417" s="52"/>
      <c r="D22417"/>
      <c r="E22417"/>
      <c r="F22417"/>
      <c r="N22417" s="56"/>
    </row>
    <row r="22418" spans="1:14" x14ac:dyDescent="0.3">
      <c r="A22418" s="42"/>
      <c r="C22418" s="52"/>
      <c r="D22418"/>
      <c r="E22418"/>
      <c r="F22418"/>
      <c r="N22418" s="56"/>
    </row>
    <row r="22419" spans="1:14" x14ac:dyDescent="0.3">
      <c r="A22419" s="42"/>
      <c r="C22419" s="52"/>
      <c r="D22419"/>
      <c r="E22419"/>
      <c r="F22419"/>
      <c r="N22419" s="56"/>
    </row>
    <row r="22420" spans="1:14" x14ac:dyDescent="0.3">
      <c r="A22420" s="42"/>
      <c r="C22420" s="52"/>
      <c r="D22420"/>
      <c r="E22420"/>
      <c r="F22420"/>
      <c r="N22420" s="56"/>
    </row>
    <row r="22421" spans="1:14" x14ac:dyDescent="0.3">
      <c r="A22421" s="42"/>
      <c r="C22421" s="52"/>
      <c r="D22421"/>
      <c r="E22421"/>
      <c r="F22421"/>
      <c r="N22421" s="56"/>
    </row>
    <row r="22422" spans="1:14" x14ac:dyDescent="0.3">
      <c r="A22422" s="42"/>
      <c r="C22422" s="52"/>
      <c r="D22422"/>
      <c r="E22422"/>
      <c r="F22422"/>
      <c r="N22422" s="56"/>
    </row>
    <row r="22423" spans="1:14" x14ac:dyDescent="0.3">
      <c r="A22423" s="42"/>
      <c r="C22423" s="52"/>
      <c r="D22423"/>
      <c r="E22423"/>
      <c r="F22423"/>
      <c r="N22423" s="56"/>
    </row>
    <row r="22424" spans="1:14" x14ac:dyDescent="0.3">
      <c r="A22424" s="42"/>
      <c r="C22424" s="52"/>
      <c r="D22424"/>
      <c r="E22424"/>
      <c r="F22424"/>
      <c r="N22424" s="56"/>
    </row>
    <row r="22425" spans="1:14" x14ac:dyDescent="0.3">
      <c r="A22425" s="42"/>
      <c r="C22425" s="52"/>
      <c r="D22425"/>
      <c r="E22425"/>
      <c r="F22425"/>
      <c r="N22425" s="56"/>
    </row>
    <row r="22426" spans="1:14" x14ac:dyDescent="0.3">
      <c r="A22426" s="42"/>
      <c r="C22426" s="52"/>
      <c r="D22426"/>
      <c r="E22426"/>
      <c r="F22426"/>
      <c r="N22426" s="56"/>
    </row>
    <row r="22427" spans="1:14" x14ac:dyDescent="0.3">
      <c r="A22427" s="42"/>
      <c r="C22427" s="52"/>
      <c r="D22427"/>
      <c r="E22427"/>
      <c r="F22427"/>
      <c r="N22427" s="56"/>
    </row>
    <row r="22428" spans="1:14" x14ac:dyDescent="0.3">
      <c r="A22428" s="42"/>
      <c r="C22428" s="52"/>
      <c r="D22428"/>
      <c r="E22428"/>
      <c r="F22428"/>
      <c r="N22428" s="56"/>
    </row>
    <row r="22429" spans="1:14" x14ac:dyDescent="0.3">
      <c r="A22429" s="42"/>
      <c r="C22429" s="52"/>
      <c r="D22429"/>
      <c r="E22429"/>
      <c r="F22429"/>
      <c r="N22429" s="56"/>
    </row>
    <row r="22430" spans="1:14" x14ac:dyDescent="0.3">
      <c r="A22430" s="42"/>
      <c r="C22430" s="52"/>
      <c r="D22430"/>
      <c r="E22430"/>
      <c r="F22430"/>
      <c r="N22430" s="56"/>
    </row>
    <row r="22431" spans="1:14" x14ac:dyDescent="0.3">
      <c r="A22431" s="42"/>
      <c r="C22431" s="52"/>
      <c r="D22431"/>
      <c r="E22431"/>
      <c r="F22431"/>
      <c r="N22431" s="56"/>
    </row>
    <row r="22432" spans="1:14" x14ac:dyDescent="0.3">
      <c r="A22432" s="42"/>
      <c r="C22432" s="52"/>
      <c r="D22432"/>
      <c r="E22432"/>
      <c r="F22432"/>
      <c r="N22432" s="56"/>
    </row>
    <row r="22433" spans="1:14" x14ac:dyDescent="0.3">
      <c r="A22433" s="42"/>
      <c r="C22433" s="52"/>
      <c r="D22433"/>
      <c r="E22433"/>
      <c r="F22433"/>
      <c r="N22433" s="56"/>
    </row>
    <row r="22434" spans="1:14" x14ac:dyDescent="0.3">
      <c r="A22434" s="42"/>
      <c r="C22434" s="52"/>
      <c r="D22434"/>
      <c r="E22434"/>
      <c r="F22434"/>
      <c r="N22434" s="56"/>
    </row>
    <row r="22435" spans="1:14" x14ac:dyDescent="0.3">
      <c r="A22435" s="42"/>
      <c r="C22435" s="52"/>
      <c r="D22435"/>
      <c r="E22435"/>
      <c r="F22435"/>
      <c r="N22435" s="56"/>
    </row>
    <row r="22436" spans="1:14" x14ac:dyDescent="0.3">
      <c r="A22436" s="42"/>
      <c r="C22436" s="52"/>
      <c r="D22436"/>
      <c r="E22436"/>
      <c r="F22436"/>
      <c r="N22436" s="56"/>
    </row>
    <row r="22437" spans="1:14" x14ac:dyDescent="0.3">
      <c r="A22437" s="42"/>
      <c r="C22437" s="52"/>
      <c r="D22437"/>
      <c r="E22437"/>
      <c r="F22437"/>
      <c r="N22437" s="56"/>
    </row>
    <row r="22438" spans="1:14" x14ac:dyDescent="0.3">
      <c r="A22438" s="42"/>
      <c r="C22438" s="52"/>
      <c r="D22438"/>
      <c r="E22438"/>
      <c r="F22438"/>
      <c r="N22438" s="56"/>
    </row>
    <row r="22439" spans="1:14" x14ac:dyDescent="0.3">
      <c r="A22439" s="42"/>
      <c r="C22439" s="52"/>
      <c r="D22439"/>
      <c r="E22439"/>
      <c r="F22439"/>
      <c r="N22439" s="56"/>
    </row>
    <row r="22440" spans="1:14" x14ac:dyDescent="0.3">
      <c r="A22440" s="42"/>
      <c r="C22440" s="52"/>
      <c r="D22440"/>
      <c r="E22440"/>
      <c r="F22440"/>
      <c r="N22440" s="56"/>
    </row>
    <row r="22441" spans="1:14" x14ac:dyDescent="0.3">
      <c r="A22441" s="42"/>
      <c r="C22441" s="52"/>
      <c r="D22441"/>
      <c r="E22441"/>
      <c r="F22441"/>
      <c r="N22441" s="56"/>
    </row>
    <row r="22442" spans="1:14" x14ac:dyDescent="0.3">
      <c r="A22442" s="42"/>
      <c r="C22442" s="52"/>
      <c r="D22442"/>
      <c r="E22442"/>
      <c r="F22442"/>
      <c r="N22442" s="56"/>
    </row>
    <row r="22443" spans="1:14" x14ac:dyDescent="0.3">
      <c r="A22443" s="42"/>
      <c r="C22443" s="52"/>
      <c r="D22443"/>
      <c r="E22443"/>
      <c r="F22443"/>
      <c r="N22443" s="56"/>
    </row>
    <row r="22444" spans="1:14" x14ac:dyDescent="0.3">
      <c r="A22444" s="42"/>
      <c r="C22444" s="52"/>
      <c r="D22444"/>
      <c r="E22444"/>
      <c r="F22444"/>
      <c r="N22444" s="56"/>
    </row>
    <row r="22445" spans="1:14" x14ac:dyDescent="0.3">
      <c r="A22445" s="42"/>
      <c r="C22445" s="52"/>
      <c r="D22445"/>
      <c r="E22445"/>
      <c r="F22445"/>
      <c r="N22445" s="56"/>
    </row>
    <row r="22446" spans="1:14" x14ac:dyDescent="0.3">
      <c r="A22446" s="42"/>
      <c r="C22446" s="52"/>
      <c r="D22446"/>
      <c r="E22446"/>
      <c r="F22446"/>
      <c r="N22446" s="56"/>
    </row>
    <row r="22447" spans="1:14" x14ac:dyDescent="0.3">
      <c r="A22447" s="42"/>
      <c r="C22447" s="52"/>
      <c r="D22447"/>
      <c r="E22447"/>
      <c r="F22447"/>
      <c r="N22447" s="56"/>
    </row>
    <row r="22448" spans="1:14" x14ac:dyDescent="0.3">
      <c r="A22448" s="42"/>
      <c r="C22448" s="52"/>
      <c r="D22448"/>
      <c r="E22448"/>
      <c r="F22448"/>
      <c r="N22448" s="56"/>
    </row>
    <row r="22449" spans="1:14" x14ac:dyDescent="0.3">
      <c r="A22449" s="42"/>
      <c r="C22449" s="52"/>
      <c r="D22449"/>
      <c r="E22449"/>
      <c r="F22449"/>
      <c r="N22449" s="56"/>
    </row>
    <row r="22450" spans="1:14" x14ac:dyDescent="0.3">
      <c r="A22450" s="42"/>
      <c r="C22450" s="52"/>
      <c r="D22450"/>
      <c r="E22450"/>
      <c r="F22450"/>
      <c r="N22450" s="56"/>
    </row>
    <row r="22451" spans="1:14" x14ac:dyDescent="0.3">
      <c r="A22451" s="42"/>
      <c r="C22451" s="52"/>
      <c r="D22451"/>
      <c r="E22451"/>
      <c r="F22451"/>
      <c r="N22451" s="56"/>
    </row>
    <row r="22452" spans="1:14" x14ac:dyDescent="0.3">
      <c r="A22452" s="42"/>
      <c r="C22452" s="52"/>
      <c r="D22452"/>
      <c r="E22452"/>
      <c r="F22452"/>
      <c r="N22452" s="56"/>
    </row>
    <row r="22453" spans="1:14" x14ac:dyDescent="0.3">
      <c r="A22453" s="42"/>
      <c r="C22453" s="52"/>
      <c r="D22453"/>
      <c r="E22453"/>
      <c r="F22453"/>
      <c r="N22453" s="56"/>
    </row>
    <row r="22454" spans="1:14" x14ac:dyDescent="0.3">
      <c r="A22454" s="42"/>
      <c r="C22454" s="52"/>
      <c r="D22454"/>
      <c r="E22454"/>
      <c r="F22454"/>
      <c r="M22454" s="45"/>
      <c r="N22454" s="56"/>
    </row>
    <row r="22455" spans="1:14" x14ac:dyDescent="0.3">
      <c r="A22455" s="42"/>
      <c r="C22455" s="52"/>
      <c r="D22455"/>
      <c r="E22455"/>
      <c r="F22455"/>
      <c r="N22455" s="56"/>
    </row>
    <row r="22456" spans="1:14" x14ac:dyDescent="0.3">
      <c r="A22456" s="42"/>
      <c r="C22456" s="52"/>
      <c r="D22456"/>
      <c r="E22456"/>
      <c r="F22456"/>
      <c r="N22456" s="56"/>
    </row>
    <row r="22457" spans="1:14" x14ac:dyDescent="0.3">
      <c r="A22457" s="42"/>
      <c r="C22457" s="52"/>
      <c r="D22457"/>
      <c r="E22457"/>
      <c r="F22457"/>
      <c r="N22457" s="56"/>
    </row>
    <row r="22458" spans="1:14" x14ac:dyDescent="0.3">
      <c r="A22458" s="42"/>
      <c r="C22458" s="52"/>
      <c r="D22458"/>
      <c r="E22458"/>
      <c r="F22458"/>
      <c r="N22458" s="56"/>
    </row>
    <row r="22459" spans="1:14" x14ac:dyDescent="0.3">
      <c r="A22459" s="42"/>
      <c r="C22459" s="52"/>
      <c r="D22459"/>
      <c r="E22459"/>
      <c r="F22459"/>
      <c r="N22459" s="56"/>
    </row>
    <row r="22460" spans="1:14" x14ac:dyDescent="0.3">
      <c r="A22460" s="42"/>
      <c r="C22460" s="52"/>
      <c r="D22460"/>
      <c r="E22460"/>
      <c r="F22460"/>
      <c r="N22460" s="56"/>
    </row>
    <row r="22461" spans="1:14" x14ac:dyDescent="0.3">
      <c r="A22461" s="42"/>
      <c r="C22461" s="52"/>
      <c r="D22461"/>
      <c r="E22461"/>
      <c r="F22461"/>
      <c r="N22461" s="56"/>
    </row>
    <row r="22462" spans="1:14" x14ac:dyDescent="0.3">
      <c r="A22462" s="42"/>
      <c r="C22462" s="52"/>
      <c r="D22462"/>
      <c r="E22462"/>
      <c r="F22462"/>
      <c r="N22462" s="56"/>
    </row>
    <row r="22463" spans="1:14" x14ac:dyDescent="0.3">
      <c r="A22463" s="42"/>
      <c r="C22463" s="52"/>
      <c r="D22463"/>
      <c r="E22463"/>
      <c r="F22463"/>
      <c r="N22463" s="56"/>
    </row>
    <row r="22464" spans="1:14" x14ac:dyDescent="0.3">
      <c r="A22464" s="42"/>
      <c r="C22464" s="52"/>
      <c r="D22464"/>
      <c r="E22464"/>
      <c r="F22464"/>
      <c r="N22464" s="56"/>
    </row>
    <row r="22465" spans="1:14" x14ac:dyDescent="0.3">
      <c r="A22465" s="42"/>
      <c r="C22465" s="52"/>
      <c r="D22465"/>
      <c r="E22465"/>
      <c r="F22465"/>
      <c r="N22465" s="56"/>
    </row>
    <row r="22466" spans="1:14" x14ac:dyDescent="0.3">
      <c r="A22466" s="42"/>
      <c r="C22466" s="52"/>
      <c r="D22466"/>
      <c r="E22466"/>
      <c r="F22466"/>
      <c r="N22466" s="56"/>
    </row>
    <row r="22467" spans="1:14" x14ac:dyDescent="0.3">
      <c r="A22467" s="42"/>
      <c r="C22467" s="52"/>
      <c r="D22467"/>
      <c r="E22467"/>
      <c r="F22467"/>
      <c r="N22467" s="56"/>
    </row>
    <row r="22468" spans="1:14" x14ac:dyDescent="0.3">
      <c r="A22468" s="42"/>
      <c r="C22468" s="52"/>
      <c r="D22468"/>
      <c r="E22468"/>
      <c r="F22468"/>
      <c r="N22468" s="56"/>
    </row>
    <row r="22469" spans="1:14" x14ac:dyDescent="0.3">
      <c r="A22469" s="42"/>
      <c r="C22469" s="52"/>
      <c r="D22469"/>
      <c r="E22469"/>
      <c r="F22469"/>
      <c r="N22469" s="56"/>
    </row>
    <row r="22470" spans="1:14" x14ac:dyDescent="0.3">
      <c r="A22470" s="42"/>
      <c r="C22470" s="52"/>
      <c r="D22470"/>
      <c r="E22470"/>
      <c r="F22470"/>
      <c r="N22470" s="56"/>
    </row>
    <row r="22471" spans="1:14" x14ac:dyDescent="0.3">
      <c r="A22471" s="42"/>
      <c r="C22471" s="52"/>
      <c r="D22471"/>
      <c r="E22471"/>
      <c r="F22471"/>
      <c r="N22471" s="56"/>
    </row>
    <row r="22472" spans="1:14" x14ac:dyDescent="0.3">
      <c r="A22472" s="42"/>
      <c r="C22472" s="52"/>
      <c r="D22472"/>
      <c r="E22472"/>
      <c r="F22472"/>
      <c r="N22472" s="56"/>
    </row>
    <row r="22473" spans="1:14" x14ac:dyDescent="0.3">
      <c r="A22473" s="42"/>
      <c r="C22473" s="52"/>
      <c r="D22473"/>
      <c r="E22473"/>
      <c r="F22473"/>
      <c r="N22473" s="56"/>
    </row>
    <row r="22474" spans="1:14" x14ac:dyDescent="0.3">
      <c r="A22474" s="42"/>
      <c r="C22474" s="52"/>
      <c r="D22474"/>
      <c r="E22474"/>
      <c r="F22474"/>
      <c r="N22474" s="56"/>
    </row>
    <row r="22475" spans="1:14" x14ac:dyDescent="0.3">
      <c r="A22475" s="42"/>
      <c r="C22475" s="52"/>
      <c r="D22475"/>
      <c r="E22475"/>
      <c r="F22475"/>
      <c r="N22475" s="56"/>
    </row>
    <row r="22476" spans="1:14" x14ac:dyDescent="0.3">
      <c r="A22476" s="42"/>
      <c r="C22476" s="52"/>
      <c r="D22476"/>
      <c r="E22476"/>
      <c r="F22476"/>
      <c r="N22476" s="56"/>
    </row>
    <row r="22477" spans="1:14" x14ac:dyDescent="0.3">
      <c r="A22477" s="42"/>
      <c r="C22477" s="52"/>
      <c r="D22477"/>
      <c r="E22477"/>
      <c r="F22477"/>
      <c r="N22477" s="56"/>
    </row>
    <row r="22478" spans="1:14" x14ac:dyDescent="0.3">
      <c r="A22478" s="42"/>
      <c r="C22478" s="52"/>
      <c r="D22478"/>
      <c r="E22478"/>
      <c r="F22478"/>
      <c r="N22478" s="56"/>
    </row>
    <row r="22479" spans="1:14" x14ac:dyDescent="0.3">
      <c r="A22479" s="42"/>
      <c r="C22479" s="52"/>
      <c r="D22479"/>
      <c r="E22479"/>
      <c r="F22479"/>
      <c r="N22479" s="56"/>
    </row>
    <row r="22480" spans="1:14" x14ac:dyDescent="0.3">
      <c r="A22480" s="42"/>
      <c r="C22480" s="52"/>
      <c r="D22480"/>
      <c r="E22480"/>
      <c r="F22480"/>
      <c r="N22480" s="56"/>
    </row>
    <row r="22481" spans="1:14" x14ac:dyDescent="0.3">
      <c r="A22481" s="42"/>
      <c r="C22481" s="52"/>
      <c r="D22481"/>
      <c r="E22481"/>
      <c r="F22481"/>
      <c r="N22481" s="56"/>
    </row>
    <row r="22482" spans="1:14" x14ac:dyDescent="0.3">
      <c r="A22482" s="42"/>
      <c r="C22482" s="52"/>
      <c r="D22482"/>
      <c r="E22482"/>
      <c r="F22482"/>
      <c r="N22482" s="56"/>
    </row>
    <row r="22483" spans="1:14" x14ac:dyDescent="0.3">
      <c r="A22483" s="42"/>
      <c r="C22483" s="52"/>
      <c r="D22483"/>
      <c r="E22483"/>
      <c r="F22483"/>
      <c r="N22483" s="56"/>
    </row>
    <row r="22484" spans="1:14" x14ac:dyDescent="0.3">
      <c r="A22484" s="42"/>
      <c r="C22484" s="52"/>
      <c r="D22484"/>
      <c r="E22484"/>
      <c r="F22484"/>
      <c r="N22484" s="56"/>
    </row>
    <row r="22485" spans="1:14" x14ac:dyDescent="0.3">
      <c r="A22485" s="42"/>
      <c r="C22485" s="52"/>
      <c r="D22485"/>
      <c r="E22485"/>
      <c r="F22485"/>
      <c r="N22485" s="56"/>
    </row>
    <row r="22486" spans="1:14" x14ac:dyDescent="0.3">
      <c r="A22486" s="42"/>
      <c r="C22486" s="52"/>
      <c r="D22486"/>
      <c r="E22486"/>
      <c r="F22486"/>
      <c r="N22486" s="56"/>
    </row>
    <row r="22487" spans="1:14" x14ac:dyDescent="0.3">
      <c r="A22487" s="42"/>
      <c r="C22487" s="52"/>
      <c r="D22487"/>
      <c r="E22487"/>
      <c r="F22487"/>
      <c r="N22487" s="56"/>
    </row>
    <row r="22488" spans="1:14" x14ac:dyDescent="0.3">
      <c r="A22488" s="42"/>
      <c r="C22488" s="52"/>
      <c r="D22488"/>
      <c r="E22488"/>
      <c r="F22488"/>
      <c r="N22488" s="56"/>
    </row>
    <row r="22489" spans="1:14" x14ac:dyDescent="0.3">
      <c r="A22489" s="42"/>
      <c r="C22489" s="52"/>
      <c r="D22489"/>
      <c r="E22489"/>
      <c r="F22489"/>
      <c r="N22489" s="56"/>
    </row>
    <row r="22490" spans="1:14" x14ac:dyDescent="0.3">
      <c r="A22490" s="42"/>
      <c r="C22490" s="52"/>
      <c r="D22490"/>
      <c r="E22490"/>
      <c r="F22490"/>
      <c r="M22490" s="45"/>
      <c r="N22490" s="56"/>
    </row>
    <row r="22491" spans="1:14" x14ac:dyDescent="0.3">
      <c r="A22491" s="42"/>
      <c r="C22491" s="52"/>
      <c r="D22491"/>
      <c r="E22491"/>
      <c r="F22491"/>
      <c r="N22491" s="56"/>
    </row>
    <row r="22492" spans="1:14" x14ac:dyDescent="0.3">
      <c r="A22492" s="42"/>
      <c r="C22492" s="52"/>
      <c r="D22492"/>
      <c r="E22492"/>
      <c r="F22492"/>
      <c r="N22492" s="56"/>
    </row>
    <row r="22493" spans="1:14" x14ac:dyDescent="0.3">
      <c r="A22493" s="42"/>
      <c r="C22493" s="52"/>
      <c r="D22493"/>
      <c r="E22493"/>
      <c r="F22493"/>
      <c r="N22493" s="56"/>
    </row>
    <row r="22494" spans="1:14" x14ac:dyDescent="0.3">
      <c r="A22494" s="42"/>
      <c r="C22494" s="52"/>
      <c r="D22494"/>
      <c r="E22494"/>
      <c r="F22494"/>
      <c r="N22494" s="56"/>
    </row>
    <row r="22495" spans="1:14" x14ac:dyDescent="0.3">
      <c r="A22495" s="42"/>
      <c r="C22495" s="52"/>
      <c r="D22495"/>
      <c r="E22495"/>
      <c r="F22495"/>
      <c r="N22495" s="56"/>
    </row>
    <row r="22496" spans="1:14" x14ac:dyDescent="0.3">
      <c r="A22496" s="42"/>
      <c r="C22496" s="52"/>
      <c r="D22496"/>
      <c r="E22496"/>
      <c r="F22496"/>
      <c r="N22496" s="56"/>
    </row>
    <row r="22497" spans="1:14" x14ac:dyDescent="0.3">
      <c r="A22497" s="42"/>
      <c r="C22497" s="52"/>
      <c r="D22497"/>
      <c r="E22497"/>
      <c r="F22497"/>
      <c r="N22497" s="56"/>
    </row>
    <row r="22498" spans="1:14" x14ac:dyDescent="0.3">
      <c r="A22498" s="42"/>
      <c r="C22498" s="52"/>
      <c r="D22498"/>
      <c r="E22498"/>
      <c r="F22498"/>
      <c r="N22498" s="56"/>
    </row>
    <row r="22499" spans="1:14" x14ac:dyDescent="0.3">
      <c r="A22499" s="42"/>
      <c r="C22499" s="52"/>
      <c r="D22499"/>
      <c r="E22499"/>
      <c r="F22499"/>
      <c r="N22499" s="56"/>
    </row>
    <row r="22500" spans="1:14" x14ac:dyDescent="0.3">
      <c r="A22500" s="42"/>
      <c r="C22500" s="52"/>
      <c r="D22500"/>
      <c r="E22500"/>
      <c r="F22500"/>
      <c r="N22500" s="56"/>
    </row>
    <row r="22501" spans="1:14" x14ac:dyDescent="0.3">
      <c r="A22501" s="42"/>
      <c r="C22501" s="52"/>
      <c r="D22501"/>
      <c r="E22501"/>
      <c r="F22501"/>
      <c r="N22501" s="56"/>
    </row>
    <row r="22502" spans="1:14" x14ac:dyDescent="0.3">
      <c r="A22502" s="42"/>
      <c r="C22502" s="52"/>
      <c r="D22502"/>
      <c r="E22502"/>
      <c r="F22502"/>
      <c r="N22502" s="56"/>
    </row>
    <row r="22503" spans="1:14" x14ac:dyDescent="0.3">
      <c r="A22503" s="42"/>
      <c r="C22503" s="52"/>
      <c r="D22503"/>
      <c r="E22503"/>
      <c r="F22503"/>
      <c r="N22503" s="56"/>
    </row>
    <row r="22504" spans="1:14" x14ac:dyDescent="0.3">
      <c r="A22504" s="42"/>
      <c r="C22504" s="52"/>
      <c r="D22504"/>
      <c r="E22504"/>
      <c r="F22504"/>
      <c r="N22504" s="56"/>
    </row>
    <row r="22505" spans="1:14" x14ac:dyDescent="0.3">
      <c r="A22505" s="42"/>
      <c r="C22505" s="52"/>
      <c r="D22505"/>
      <c r="E22505"/>
      <c r="F22505"/>
      <c r="M22505" s="45"/>
      <c r="N22505" s="56"/>
    </row>
    <row r="22506" spans="1:14" x14ac:dyDescent="0.3">
      <c r="A22506" s="42"/>
      <c r="C22506" s="52"/>
      <c r="D22506"/>
      <c r="E22506"/>
      <c r="F22506"/>
      <c r="N22506" s="56"/>
    </row>
    <row r="22507" spans="1:14" x14ac:dyDescent="0.3">
      <c r="A22507" s="42"/>
      <c r="C22507" s="52"/>
      <c r="D22507"/>
      <c r="E22507"/>
      <c r="F22507"/>
      <c r="N22507" s="56"/>
    </row>
    <row r="22508" spans="1:14" x14ac:dyDescent="0.3">
      <c r="A22508" s="42"/>
      <c r="C22508" s="52"/>
      <c r="D22508"/>
      <c r="E22508"/>
      <c r="F22508"/>
      <c r="N22508" s="56"/>
    </row>
    <row r="22509" spans="1:14" x14ac:dyDescent="0.3">
      <c r="A22509" s="42"/>
      <c r="C22509" s="52"/>
      <c r="D22509"/>
      <c r="E22509"/>
      <c r="F22509"/>
      <c r="N22509" s="56"/>
    </row>
    <row r="22510" spans="1:14" x14ac:dyDescent="0.3">
      <c r="A22510" s="42"/>
      <c r="C22510" s="52"/>
      <c r="D22510"/>
      <c r="E22510"/>
      <c r="F22510"/>
      <c r="N22510" s="56"/>
    </row>
    <row r="22511" spans="1:14" x14ac:dyDescent="0.3">
      <c r="A22511" s="42"/>
      <c r="C22511" s="52"/>
      <c r="D22511"/>
      <c r="E22511"/>
      <c r="F22511"/>
      <c r="N22511" s="56"/>
    </row>
    <row r="22512" spans="1:14" x14ac:dyDescent="0.3">
      <c r="A22512" s="42"/>
      <c r="C22512" s="52"/>
      <c r="D22512"/>
      <c r="E22512"/>
      <c r="F22512"/>
      <c r="N22512" s="56"/>
    </row>
    <row r="22513" spans="1:14" x14ac:dyDescent="0.3">
      <c r="A22513" s="42"/>
      <c r="C22513" s="52"/>
      <c r="D22513"/>
      <c r="E22513"/>
      <c r="F22513"/>
      <c r="N22513" s="56"/>
    </row>
    <row r="22514" spans="1:14" x14ac:dyDescent="0.3">
      <c r="A22514" s="42"/>
      <c r="C22514" s="52"/>
      <c r="D22514"/>
      <c r="E22514"/>
      <c r="F22514"/>
      <c r="N22514" s="56"/>
    </row>
    <row r="22515" spans="1:14" x14ac:dyDescent="0.3">
      <c r="A22515" s="42"/>
      <c r="C22515" s="52"/>
      <c r="D22515"/>
      <c r="E22515"/>
      <c r="F22515"/>
      <c r="N22515" s="56"/>
    </row>
    <row r="22516" spans="1:14" x14ac:dyDescent="0.3">
      <c r="A22516" s="42"/>
      <c r="C22516" s="52"/>
      <c r="D22516"/>
      <c r="E22516"/>
      <c r="F22516"/>
      <c r="N22516" s="56"/>
    </row>
    <row r="22517" spans="1:14" x14ac:dyDescent="0.3">
      <c r="A22517" s="42"/>
      <c r="C22517" s="52"/>
      <c r="D22517"/>
      <c r="E22517"/>
      <c r="F22517"/>
      <c r="N22517" s="56"/>
    </row>
    <row r="22518" spans="1:14" x14ac:dyDescent="0.3">
      <c r="A22518" s="42"/>
      <c r="C22518" s="52"/>
      <c r="D22518"/>
      <c r="E22518"/>
      <c r="F22518"/>
      <c r="N22518" s="56"/>
    </row>
    <row r="22519" spans="1:14" x14ac:dyDescent="0.3">
      <c r="A22519" s="42"/>
      <c r="C22519" s="52"/>
      <c r="D22519"/>
      <c r="E22519"/>
      <c r="F22519"/>
      <c r="N22519" s="56"/>
    </row>
    <row r="22520" spans="1:14" x14ac:dyDescent="0.3">
      <c r="A22520" s="42"/>
      <c r="C22520" s="52"/>
      <c r="D22520"/>
      <c r="E22520"/>
      <c r="F22520"/>
      <c r="N22520" s="56"/>
    </row>
    <row r="22521" spans="1:14" x14ac:dyDescent="0.3">
      <c r="A22521" s="42"/>
      <c r="C22521" s="52"/>
      <c r="D22521"/>
      <c r="E22521"/>
      <c r="F22521"/>
      <c r="N22521" s="56"/>
    </row>
    <row r="22522" spans="1:14" x14ac:dyDescent="0.3">
      <c r="A22522" s="42"/>
      <c r="C22522" s="52"/>
      <c r="D22522"/>
      <c r="E22522"/>
      <c r="F22522"/>
      <c r="N22522" s="56"/>
    </row>
    <row r="22523" spans="1:14" x14ac:dyDescent="0.3">
      <c r="A22523" s="42"/>
      <c r="C22523" s="52"/>
      <c r="D22523"/>
      <c r="E22523"/>
      <c r="F22523"/>
      <c r="N22523" s="56"/>
    </row>
    <row r="22524" spans="1:14" x14ac:dyDescent="0.3">
      <c r="A22524" s="42"/>
      <c r="C22524" s="52"/>
      <c r="D22524"/>
      <c r="E22524"/>
      <c r="F22524"/>
      <c r="N22524" s="56"/>
    </row>
    <row r="22525" spans="1:14" x14ac:dyDescent="0.3">
      <c r="A22525" s="42"/>
      <c r="C22525" s="52"/>
      <c r="D22525"/>
      <c r="E22525"/>
      <c r="F22525"/>
      <c r="N22525" s="56"/>
    </row>
    <row r="22526" spans="1:14" x14ac:dyDescent="0.3">
      <c r="A22526" s="42"/>
      <c r="C22526" s="52"/>
      <c r="D22526"/>
      <c r="E22526"/>
      <c r="F22526"/>
      <c r="N22526" s="56"/>
    </row>
    <row r="22527" spans="1:14" x14ac:dyDescent="0.3">
      <c r="A22527" s="42"/>
      <c r="C22527" s="52"/>
      <c r="D22527"/>
      <c r="E22527"/>
      <c r="F22527"/>
      <c r="N22527" s="56"/>
    </row>
    <row r="22528" spans="1:14" x14ac:dyDescent="0.3">
      <c r="A22528" s="42"/>
      <c r="C22528" s="52"/>
      <c r="D22528"/>
      <c r="E22528"/>
      <c r="F22528"/>
      <c r="N22528" s="56"/>
    </row>
    <row r="22529" spans="1:14" x14ac:dyDescent="0.3">
      <c r="A22529" s="42"/>
      <c r="C22529" s="52"/>
      <c r="D22529"/>
      <c r="E22529"/>
      <c r="F22529"/>
      <c r="N22529" s="56"/>
    </row>
    <row r="22530" spans="1:14" x14ac:dyDescent="0.3">
      <c r="A22530" s="42"/>
      <c r="C22530" s="52"/>
      <c r="D22530"/>
      <c r="E22530"/>
      <c r="F22530"/>
      <c r="N22530" s="56"/>
    </row>
    <row r="22531" spans="1:14" x14ac:dyDescent="0.3">
      <c r="A22531" s="42"/>
      <c r="C22531" s="52"/>
      <c r="D22531"/>
      <c r="E22531"/>
      <c r="F22531"/>
      <c r="N22531" s="56"/>
    </row>
    <row r="22532" spans="1:14" x14ac:dyDescent="0.3">
      <c r="A22532" s="42"/>
      <c r="C22532" s="52"/>
      <c r="D22532"/>
      <c r="E22532"/>
      <c r="F22532"/>
      <c r="N22532" s="56"/>
    </row>
    <row r="22533" spans="1:14" x14ac:dyDescent="0.3">
      <c r="A22533" s="42"/>
      <c r="C22533" s="52"/>
      <c r="D22533"/>
      <c r="E22533"/>
      <c r="F22533"/>
      <c r="N22533" s="56"/>
    </row>
    <row r="22534" spans="1:14" x14ac:dyDescent="0.3">
      <c r="A22534" s="42"/>
      <c r="C22534" s="52"/>
      <c r="D22534"/>
      <c r="E22534"/>
      <c r="F22534"/>
      <c r="N22534" s="56"/>
    </row>
    <row r="22535" spans="1:14" x14ac:dyDescent="0.3">
      <c r="A22535" s="42"/>
      <c r="C22535" s="52"/>
      <c r="D22535"/>
      <c r="E22535"/>
      <c r="F22535"/>
      <c r="N22535" s="56"/>
    </row>
    <row r="22536" spans="1:14" x14ac:dyDescent="0.3">
      <c r="A22536" s="42"/>
      <c r="C22536" s="52"/>
      <c r="D22536"/>
      <c r="E22536"/>
      <c r="F22536"/>
      <c r="N22536" s="56"/>
    </row>
    <row r="22537" spans="1:14" x14ac:dyDescent="0.3">
      <c r="A22537" s="42"/>
      <c r="C22537" s="52"/>
      <c r="D22537"/>
      <c r="E22537"/>
      <c r="F22537"/>
      <c r="N22537" s="56"/>
    </row>
    <row r="22538" spans="1:14" x14ac:dyDescent="0.3">
      <c r="A22538" s="42"/>
      <c r="C22538" s="52"/>
      <c r="D22538"/>
      <c r="E22538"/>
      <c r="F22538"/>
      <c r="N22538" s="56"/>
    </row>
    <row r="22539" spans="1:14" x14ac:dyDescent="0.3">
      <c r="A22539" s="42"/>
      <c r="C22539" s="52"/>
      <c r="D22539"/>
      <c r="E22539"/>
      <c r="F22539"/>
      <c r="N22539" s="56"/>
    </row>
    <row r="22540" spans="1:14" x14ac:dyDescent="0.3">
      <c r="A22540" s="42"/>
      <c r="C22540" s="52"/>
      <c r="D22540"/>
      <c r="E22540"/>
      <c r="F22540"/>
      <c r="N22540" s="56"/>
    </row>
    <row r="22541" spans="1:14" x14ac:dyDescent="0.3">
      <c r="A22541" s="42"/>
      <c r="C22541" s="52"/>
      <c r="D22541"/>
      <c r="E22541"/>
      <c r="F22541"/>
      <c r="N22541" s="56"/>
    </row>
    <row r="22542" spans="1:14" x14ac:dyDescent="0.3">
      <c r="A22542" s="42"/>
      <c r="C22542" s="52"/>
      <c r="D22542"/>
      <c r="E22542"/>
      <c r="F22542"/>
      <c r="N22542" s="56"/>
    </row>
    <row r="22543" spans="1:14" x14ac:dyDescent="0.3">
      <c r="A22543" s="42"/>
      <c r="C22543" s="52"/>
      <c r="D22543"/>
      <c r="E22543"/>
      <c r="F22543"/>
      <c r="N22543" s="56"/>
    </row>
    <row r="22544" spans="1:14" x14ac:dyDescent="0.3">
      <c r="A22544" s="42"/>
      <c r="C22544" s="52"/>
      <c r="D22544"/>
      <c r="E22544"/>
      <c r="F22544"/>
      <c r="N22544" s="56"/>
    </row>
    <row r="22545" spans="1:14" x14ac:dyDescent="0.3">
      <c r="A22545" s="42"/>
      <c r="C22545" s="52"/>
      <c r="D22545"/>
      <c r="E22545"/>
      <c r="F22545"/>
      <c r="N22545" s="56"/>
    </row>
    <row r="22546" spans="1:14" x14ac:dyDescent="0.3">
      <c r="A22546" s="42"/>
      <c r="C22546" s="52"/>
      <c r="D22546"/>
      <c r="E22546"/>
      <c r="F22546"/>
      <c r="N22546" s="56"/>
    </row>
    <row r="22547" spans="1:14" x14ac:dyDescent="0.3">
      <c r="A22547" s="42"/>
      <c r="C22547" s="52"/>
      <c r="D22547"/>
      <c r="E22547"/>
      <c r="F22547"/>
      <c r="M22547" s="45"/>
      <c r="N22547" s="56"/>
    </row>
    <row r="22548" spans="1:14" x14ac:dyDescent="0.3">
      <c r="A22548" s="42"/>
      <c r="C22548" s="52"/>
      <c r="D22548"/>
      <c r="E22548"/>
      <c r="F22548"/>
      <c r="N22548" s="56"/>
    </row>
    <row r="22549" spans="1:14" x14ac:dyDescent="0.3">
      <c r="A22549" s="42"/>
      <c r="C22549" s="52"/>
      <c r="D22549"/>
      <c r="E22549"/>
      <c r="F22549"/>
      <c r="N22549" s="56"/>
    </row>
    <row r="22550" spans="1:14" x14ac:dyDescent="0.3">
      <c r="A22550" s="42"/>
      <c r="C22550" s="52"/>
      <c r="D22550"/>
      <c r="E22550"/>
      <c r="F22550"/>
      <c r="N22550" s="56"/>
    </row>
    <row r="22551" spans="1:14" x14ac:dyDescent="0.3">
      <c r="A22551" s="42"/>
      <c r="C22551" s="52"/>
      <c r="D22551"/>
      <c r="E22551"/>
      <c r="F22551"/>
      <c r="N22551" s="56"/>
    </row>
    <row r="22552" spans="1:14" x14ac:dyDescent="0.3">
      <c r="A22552" s="42"/>
      <c r="C22552" s="52"/>
      <c r="D22552"/>
      <c r="E22552"/>
      <c r="F22552"/>
      <c r="N22552" s="56"/>
    </row>
    <row r="22553" spans="1:14" x14ac:dyDescent="0.3">
      <c r="A22553" s="42"/>
      <c r="C22553" s="52"/>
      <c r="D22553"/>
      <c r="E22553"/>
      <c r="F22553"/>
      <c r="N22553" s="56"/>
    </row>
    <row r="22554" spans="1:14" x14ac:dyDescent="0.3">
      <c r="A22554" s="42"/>
      <c r="C22554" s="52"/>
      <c r="D22554"/>
      <c r="E22554"/>
      <c r="F22554"/>
      <c r="N22554" s="56"/>
    </row>
    <row r="22555" spans="1:14" x14ac:dyDescent="0.3">
      <c r="A22555" s="42"/>
      <c r="C22555" s="52"/>
      <c r="D22555"/>
      <c r="E22555"/>
      <c r="F22555"/>
      <c r="N22555" s="56"/>
    </row>
    <row r="22556" spans="1:14" x14ac:dyDescent="0.3">
      <c r="A22556" s="42"/>
      <c r="C22556" s="52"/>
      <c r="D22556"/>
      <c r="E22556"/>
      <c r="F22556"/>
      <c r="N22556" s="56"/>
    </row>
    <row r="22557" spans="1:14" x14ac:dyDescent="0.3">
      <c r="A22557" s="42"/>
      <c r="C22557" s="52"/>
      <c r="D22557"/>
      <c r="E22557"/>
      <c r="F22557"/>
      <c r="N22557" s="56"/>
    </row>
    <row r="22558" spans="1:14" x14ac:dyDescent="0.3">
      <c r="A22558" s="42"/>
      <c r="C22558" s="52"/>
      <c r="D22558"/>
      <c r="E22558"/>
      <c r="F22558"/>
      <c r="N22558" s="56"/>
    </row>
    <row r="22559" spans="1:14" x14ac:dyDescent="0.3">
      <c r="A22559" s="42"/>
      <c r="C22559" s="52"/>
      <c r="D22559"/>
      <c r="E22559"/>
      <c r="F22559"/>
      <c r="N22559" s="56"/>
    </row>
    <row r="22560" spans="1:14" x14ac:dyDescent="0.3">
      <c r="A22560" s="42"/>
      <c r="C22560" s="52"/>
      <c r="D22560"/>
      <c r="E22560"/>
      <c r="F22560"/>
      <c r="N22560" s="56"/>
    </row>
    <row r="22561" spans="1:14" x14ac:dyDescent="0.3">
      <c r="A22561" s="42"/>
      <c r="C22561" s="52"/>
      <c r="D22561"/>
      <c r="E22561"/>
      <c r="F22561"/>
      <c r="N22561" s="56"/>
    </row>
    <row r="22562" spans="1:14" x14ac:dyDescent="0.3">
      <c r="A22562" s="42"/>
      <c r="C22562" s="52"/>
      <c r="D22562"/>
      <c r="E22562"/>
      <c r="F22562"/>
      <c r="N22562" s="56"/>
    </row>
    <row r="22563" spans="1:14" x14ac:dyDescent="0.3">
      <c r="A22563" s="42"/>
      <c r="C22563" s="52"/>
      <c r="D22563"/>
      <c r="E22563"/>
      <c r="F22563"/>
      <c r="N22563" s="56"/>
    </row>
    <row r="22564" spans="1:14" x14ac:dyDescent="0.3">
      <c r="A22564" s="42"/>
      <c r="C22564" s="52"/>
      <c r="D22564"/>
      <c r="E22564"/>
      <c r="F22564"/>
      <c r="N22564" s="56"/>
    </row>
    <row r="22565" spans="1:14" x14ac:dyDescent="0.3">
      <c r="A22565" s="42"/>
      <c r="C22565" s="52"/>
      <c r="D22565"/>
      <c r="E22565"/>
      <c r="F22565"/>
      <c r="N22565" s="56"/>
    </row>
    <row r="22566" spans="1:14" x14ac:dyDescent="0.3">
      <c r="A22566" s="42"/>
      <c r="C22566" s="52"/>
      <c r="D22566"/>
      <c r="E22566"/>
      <c r="F22566"/>
      <c r="N22566" s="56"/>
    </row>
    <row r="22567" spans="1:14" x14ac:dyDescent="0.3">
      <c r="A22567" s="42"/>
      <c r="C22567" s="52"/>
      <c r="D22567"/>
      <c r="E22567"/>
      <c r="F22567"/>
      <c r="N22567" s="56"/>
    </row>
    <row r="22568" spans="1:14" x14ac:dyDescent="0.3">
      <c r="A22568" s="42"/>
      <c r="C22568" s="52"/>
      <c r="D22568"/>
      <c r="E22568"/>
      <c r="F22568"/>
      <c r="N22568" s="56"/>
    </row>
    <row r="22569" spans="1:14" x14ac:dyDescent="0.3">
      <c r="A22569" s="42"/>
      <c r="C22569" s="52"/>
      <c r="D22569"/>
      <c r="E22569"/>
      <c r="F22569"/>
      <c r="N22569" s="56"/>
    </row>
    <row r="22570" spans="1:14" x14ac:dyDescent="0.3">
      <c r="A22570" s="42"/>
      <c r="C22570" s="52"/>
      <c r="D22570"/>
      <c r="E22570"/>
      <c r="F22570"/>
      <c r="N22570" s="56"/>
    </row>
    <row r="22571" spans="1:14" x14ac:dyDescent="0.3">
      <c r="A22571" s="42"/>
      <c r="C22571" s="52"/>
      <c r="D22571"/>
      <c r="E22571"/>
      <c r="F22571"/>
      <c r="N22571" s="56"/>
    </row>
    <row r="22572" spans="1:14" x14ac:dyDescent="0.3">
      <c r="A22572" s="42"/>
      <c r="C22572" s="52"/>
      <c r="D22572"/>
      <c r="E22572"/>
      <c r="F22572"/>
      <c r="N22572" s="56"/>
    </row>
    <row r="22573" spans="1:14" x14ac:dyDescent="0.3">
      <c r="A22573" s="42"/>
      <c r="C22573" s="52"/>
      <c r="D22573"/>
      <c r="E22573"/>
      <c r="F22573"/>
      <c r="N22573" s="56"/>
    </row>
    <row r="22574" spans="1:14" x14ac:dyDescent="0.3">
      <c r="A22574" s="42"/>
      <c r="C22574" s="52"/>
      <c r="D22574"/>
      <c r="E22574"/>
      <c r="F22574"/>
      <c r="N22574" s="56"/>
    </row>
    <row r="22575" spans="1:14" x14ac:dyDescent="0.3">
      <c r="A22575" s="42"/>
      <c r="C22575" s="52"/>
      <c r="D22575"/>
      <c r="E22575"/>
      <c r="F22575"/>
      <c r="N22575" s="56"/>
    </row>
    <row r="22576" spans="1:14" x14ac:dyDescent="0.3">
      <c r="A22576" s="42"/>
      <c r="C22576" s="52"/>
      <c r="D22576"/>
      <c r="E22576"/>
      <c r="F22576"/>
      <c r="N22576" s="56"/>
    </row>
    <row r="22577" spans="1:14" x14ac:dyDescent="0.3">
      <c r="A22577" s="42"/>
      <c r="C22577" s="52"/>
      <c r="D22577"/>
      <c r="E22577"/>
      <c r="F22577"/>
      <c r="N22577" s="56"/>
    </row>
    <row r="22578" spans="1:14" x14ac:dyDescent="0.3">
      <c r="A22578" s="42"/>
      <c r="C22578" s="52"/>
      <c r="D22578"/>
      <c r="E22578"/>
      <c r="F22578"/>
      <c r="N22578" s="56"/>
    </row>
    <row r="22579" spans="1:14" x14ac:dyDescent="0.3">
      <c r="A22579" s="42"/>
      <c r="C22579" s="52"/>
      <c r="D22579"/>
      <c r="E22579"/>
      <c r="F22579"/>
      <c r="N22579" s="56"/>
    </row>
    <row r="22580" spans="1:14" x14ac:dyDescent="0.3">
      <c r="A22580" s="42"/>
      <c r="C22580" s="52"/>
      <c r="D22580"/>
      <c r="E22580"/>
      <c r="F22580"/>
      <c r="N22580" s="56"/>
    </row>
    <row r="22581" spans="1:14" x14ac:dyDescent="0.3">
      <c r="A22581" s="42"/>
      <c r="C22581" s="52"/>
      <c r="D22581"/>
      <c r="E22581"/>
      <c r="F22581"/>
      <c r="N22581" s="56"/>
    </row>
    <row r="22582" spans="1:14" x14ac:dyDescent="0.3">
      <c r="A22582" s="42"/>
      <c r="C22582" s="52"/>
      <c r="D22582"/>
      <c r="E22582"/>
      <c r="F22582"/>
      <c r="N22582" s="56"/>
    </row>
    <row r="22583" spans="1:14" x14ac:dyDescent="0.3">
      <c r="A22583" s="42"/>
      <c r="C22583" s="52"/>
      <c r="D22583"/>
      <c r="E22583"/>
      <c r="F22583"/>
      <c r="N22583" s="56"/>
    </row>
    <row r="22584" spans="1:14" x14ac:dyDescent="0.3">
      <c r="A22584" s="42"/>
      <c r="C22584" s="52"/>
      <c r="D22584"/>
      <c r="E22584"/>
      <c r="F22584"/>
      <c r="N22584" s="56"/>
    </row>
    <row r="22585" spans="1:14" x14ac:dyDescent="0.3">
      <c r="A22585" s="42"/>
      <c r="C22585" s="52"/>
      <c r="D22585"/>
      <c r="E22585"/>
      <c r="F22585"/>
      <c r="N22585" s="56"/>
    </row>
    <row r="22586" spans="1:14" x14ac:dyDescent="0.3">
      <c r="A22586" s="42"/>
      <c r="C22586" s="52"/>
      <c r="D22586"/>
      <c r="E22586"/>
      <c r="F22586"/>
      <c r="N22586" s="56"/>
    </row>
    <row r="22587" spans="1:14" x14ac:dyDescent="0.3">
      <c r="A22587" s="42"/>
      <c r="C22587" s="52"/>
      <c r="D22587"/>
      <c r="E22587"/>
      <c r="F22587"/>
      <c r="N22587" s="56"/>
    </row>
    <row r="22588" spans="1:14" x14ac:dyDescent="0.3">
      <c r="A22588" s="42"/>
      <c r="C22588" s="52"/>
      <c r="D22588"/>
      <c r="E22588"/>
      <c r="F22588"/>
      <c r="N22588" s="56"/>
    </row>
    <row r="22589" spans="1:14" x14ac:dyDescent="0.3">
      <c r="A22589" s="42"/>
      <c r="C22589" s="52"/>
      <c r="D22589"/>
      <c r="E22589"/>
      <c r="F22589"/>
      <c r="N22589" s="56"/>
    </row>
    <row r="22590" spans="1:14" x14ac:dyDescent="0.3">
      <c r="A22590" s="42"/>
      <c r="C22590" s="52"/>
      <c r="D22590"/>
      <c r="E22590"/>
      <c r="F22590"/>
      <c r="N22590" s="56"/>
    </row>
    <row r="22591" spans="1:14" x14ac:dyDescent="0.3">
      <c r="A22591" s="42"/>
      <c r="C22591" s="52"/>
      <c r="D22591"/>
      <c r="E22591"/>
      <c r="F22591"/>
      <c r="N22591" s="56"/>
    </row>
    <row r="22592" spans="1:14" x14ac:dyDescent="0.3">
      <c r="A22592" s="42"/>
      <c r="C22592" s="52"/>
      <c r="D22592"/>
      <c r="E22592"/>
      <c r="F22592"/>
      <c r="N22592" s="56"/>
    </row>
    <row r="22593" spans="1:14" x14ac:dyDescent="0.3">
      <c r="A22593" s="42"/>
      <c r="C22593" s="52"/>
      <c r="D22593"/>
      <c r="E22593"/>
      <c r="F22593"/>
      <c r="N22593" s="56"/>
    </row>
    <row r="22594" spans="1:14" x14ac:dyDescent="0.3">
      <c r="A22594" s="42"/>
      <c r="C22594" s="52"/>
      <c r="D22594"/>
      <c r="E22594"/>
      <c r="F22594"/>
      <c r="N22594" s="56"/>
    </row>
    <row r="22595" spans="1:14" x14ac:dyDescent="0.3">
      <c r="A22595" s="42"/>
      <c r="C22595" s="52"/>
      <c r="D22595"/>
      <c r="E22595"/>
      <c r="F22595"/>
      <c r="N22595" s="56"/>
    </row>
    <row r="22596" spans="1:14" x14ac:dyDescent="0.3">
      <c r="A22596" s="42"/>
      <c r="C22596" s="52"/>
      <c r="D22596"/>
      <c r="E22596"/>
      <c r="F22596"/>
      <c r="N22596" s="56"/>
    </row>
    <row r="22597" spans="1:14" x14ac:dyDescent="0.3">
      <c r="A22597" s="42"/>
      <c r="C22597" s="52"/>
      <c r="D22597"/>
      <c r="E22597"/>
      <c r="F22597"/>
      <c r="N22597" s="56"/>
    </row>
    <row r="22598" spans="1:14" x14ac:dyDescent="0.3">
      <c r="A22598" s="42"/>
      <c r="C22598" s="52"/>
      <c r="D22598"/>
      <c r="E22598"/>
      <c r="F22598"/>
      <c r="N22598" s="56"/>
    </row>
    <row r="22599" spans="1:14" x14ac:dyDescent="0.3">
      <c r="A22599" s="42"/>
      <c r="C22599" s="52"/>
      <c r="D22599"/>
      <c r="E22599"/>
      <c r="F22599"/>
      <c r="M22599" s="45"/>
      <c r="N22599" s="56"/>
    </row>
    <row r="22600" spans="1:14" x14ac:dyDescent="0.3">
      <c r="A22600" s="42"/>
      <c r="C22600" s="52"/>
      <c r="D22600"/>
      <c r="E22600"/>
      <c r="F22600"/>
      <c r="N22600" s="56"/>
    </row>
    <row r="22601" spans="1:14" x14ac:dyDescent="0.3">
      <c r="A22601" s="42"/>
      <c r="C22601" s="52"/>
      <c r="D22601"/>
      <c r="E22601"/>
      <c r="F22601"/>
      <c r="N22601" s="56"/>
    </row>
    <row r="22602" spans="1:14" x14ac:dyDescent="0.3">
      <c r="A22602" s="42"/>
      <c r="C22602" s="52"/>
      <c r="D22602"/>
      <c r="E22602"/>
      <c r="F22602"/>
      <c r="M22602" s="45"/>
      <c r="N22602" s="56"/>
    </row>
    <row r="22603" spans="1:14" x14ac:dyDescent="0.3">
      <c r="A22603" s="42"/>
      <c r="C22603" s="52"/>
      <c r="D22603"/>
      <c r="E22603"/>
      <c r="F22603"/>
      <c r="N22603" s="56"/>
    </row>
    <row r="22604" spans="1:14" x14ac:dyDescent="0.3">
      <c r="A22604" s="42"/>
      <c r="C22604" s="52"/>
      <c r="D22604"/>
      <c r="E22604"/>
      <c r="F22604"/>
      <c r="N22604" s="56"/>
    </row>
    <row r="22605" spans="1:14" x14ac:dyDescent="0.3">
      <c r="A22605" s="42"/>
      <c r="C22605" s="52"/>
      <c r="D22605"/>
      <c r="E22605"/>
      <c r="F22605"/>
      <c r="N22605" s="56"/>
    </row>
    <row r="22606" spans="1:14" x14ac:dyDescent="0.3">
      <c r="A22606" s="42"/>
      <c r="C22606" s="52"/>
      <c r="D22606"/>
      <c r="E22606"/>
      <c r="F22606"/>
      <c r="N22606" s="56"/>
    </row>
    <row r="22607" spans="1:14" x14ac:dyDescent="0.3">
      <c r="A22607" s="42"/>
      <c r="C22607" s="52"/>
      <c r="D22607"/>
      <c r="E22607"/>
      <c r="F22607"/>
      <c r="N22607" s="56"/>
    </row>
    <row r="22608" spans="1:14" x14ac:dyDescent="0.3">
      <c r="A22608" s="42"/>
      <c r="C22608" s="52"/>
      <c r="D22608"/>
      <c r="E22608"/>
      <c r="F22608"/>
      <c r="N22608" s="56"/>
    </row>
    <row r="22609" spans="1:14" x14ac:dyDescent="0.3">
      <c r="A22609" s="42"/>
      <c r="C22609" s="52"/>
      <c r="D22609"/>
      <c r="E22609"/>
      <c r="F22609"/>
      <c r="N22609" s="56"/>
    </row>
    <row r="22610" spans="1:14" x14ac:dyDescent="0.3">
      <c r="A22610" s="42"/>
      <c r="C22610" s="52"/>
      <c r="D22610"/>
      <c r="E22610"/>
      <c r="F22610"/>
      <c r="N22610" s="56"/>
    </row>
    <row r="22611" spans="1:14" x14ac:dyDescent="0.3">
      <c r="A22611" s="42"/>
      <c r="C22611" s="52"/>
      <c r="D22611"/>
      <c r="E22611"/>
      <c r="F22611"/>
      <c r="N22611" s="56"/>
    </row>
    <row r="22612" spans="1:14" x14ac:dyDescent="0.3">
      <c r="A22612" s="42"/>
      <c r="C22612" s="52"/>
      <c r="D22612"/>
      <c r="E22612"/>
      <c r="F22612"/>
      <c r="N22612" s="56"/>
    </row>
    <row r="22613" spans="1:14" x14ac:dyDescent="0.3">
      <c r="A22613" s="42"/>
      <c r="C22613" s="52"/>
      <c r="D22613"/>
      <c r="E22613"/>
      <c r="F22613"/>
      <c r="N22613" s="56"/>
    </row>
    <row r="22614" spans="1:14" x14ac:dyDescent="0.3">
      <c r="A22614" s="42"/>
      <c r="C22614" s="52"/>
      <c r="D22614"/>
      <c r="E22614"/>
      <c r="F22614"/>
      <c r="N22614" s="56"/>
    </row>
    <row r="22615" spans="1:14" x14ac:dyDescent="0.3">
      <c r="A22615" s="42"/>
      <c r="C22615" s="52"/>
      <c r="D22615"/>
      <c r="E22615"/>
      <c r="F22615"/>
      <c r="N22615" s="56"/>
    </row>
    <row r="22616" spans="1:14" x14ac:dyDescent="0.3">
      <c r="A22616" s="42"/>
      <c r="C22616" s="52"/>
      <c r="D22616"/>
      <c r="E22616"/>
      <c r="F22616"/>
      <c r="N22616" s="56"/>
    </row>
    <row r="22617" spans="1:14" x14ac:dyDescent="0.3">
      <c r="A22617" s="42"/>
      <c r="C22617" s="52"/>
      <c r="D22617"/>
      <c r="E22617"/>
      <c r="F22617"/>
      <c r="N22617" s="56"/>
    </row>
    <row r="22618" spans="1:14" x14ac:dyDescent="0.3">
      <c r="A22618" s="42"/>
      <c r="C22618" s="52"/>
      <c r="D22618"/>
      <c r="E22618"/>
      <c r="F22618"/>
      <c r="N22618" s="56"/>
    </row>
    <row r="22619" spans="1:14" x14ac:dyDescent="0.3">
      <c r="A22619" s="42"/>
      <c r="C22619" s="52"/>
      <c r="D22619"/>
      <c r="E22619"/>
      <c r="F22619"/>
      <c r="N22619" s="56"/>
    </row>
    <row r="22620" spans="1:14" x14ac:dyDescent="0.3">
      <c r="A22620" s="42"/>
      <c r="C22620" s="52"/>
      <c r="D22620"/>
      <c r="E22620"/>
      <c r="F22620"/>
      <c r="N22620" s="56"/>
    </row>
    <row r="22621" spans="1:14" x14ac:dyDescent="0.3">
      <c r="A22621" s="42"/>
      <c r="C22621" s="52"/>
      <c r="D22621"/>
      <c r="E22621"/>
      <c r="F22621"/>
      <c r="N22621" s="56"/>
    </row>
    <row r="22622" spans="1:14" x14ac:dyDescent="0.3">
      <c r="A22622" s="42"/>
      <c r="C22622" s="52"/>
      <c r="D22622"/>
      <c r="E22622"/>
      <c r="F22622"/>
      <c r="N22622" s="56"/>
    </row>
    <row r="22623" spans="1:14" x14ac:dyDescent="0.3">
      <c r="A22623" s="42"/>
      <c r="C22623" s="52"/>
      <c r="D22623"/>
      <c r="E22623"/>
      <c r="F22623"/>
      <c r="N22623" s="56"/>
    </row>
    <row r="22624" spans="1:14" x14ac:dyDescent="0.3">
      <c r="A22624" s="42"/>
      <c r="C22624" s="52"/>
      <c r="D22624"/>
      <c r="E22624"/>
      <c r="F22624"/>
      <c r="N22624" s="56"/>
    </row>
    <row r="22625" spans="1:14" x14ac:dyDescent="0.3">
      <c r="A22625" s="42"/>
      <c r="C22625" s="52"/>
      <c r="D22625"/>
      <c r="E22625"/>
      <c r="F22625"/>
      <c r="N22625" s="56"/>
    </row>
    <row r="22626" spans="1:14" x14ac:dyDescent="0.3">
      <c r="A22626" s="42"/>
      <c r="C22626" s="52"/>
      <c r="D22626"/>
      <c r="E22626"/>
      <c r="F22626"/>
      <c r="N22626" s="56"/>
    </row>
    <row r="22627" spans="1:14" x14ac:dyDescent="0.3">
      <c r="A22627" s="42"/>
      <c r="C22627" s="52"/>
      <c r="D22627"/>
      <c r="E22627"/>
      <c r="F22627"/>
      <c r="N22627" s="56"/>
    </row>
    <row r="22628" spans="1:14" x14ac:dyDescent="0.3">
      <c r="A22628" s="42"/>
      <c r="C22628" s="52"/>
      <c r="D22628"/>
      <c r="E22628"/>
      <c r="F22628"/>
      <c r="N22628" s="56"/>
    </row>
    <row r="22629" spans="1:14" x14ac:dyDescent="0.3">
      <c r="A22629" s="42"/>
      <c r="C22629" s="52"/>
      <c r="D22629"/>
      <c r="E22629"/>
      <c r="F22629"/>
      <c r="N22629" s="56"/>
    </row>
    <row r="22630" spans="1:14" x14ac:dyDescent="0.3">
      <c r="A22630" s="42"/>
      <c r="C22630" s="52"/>
      <c r="D22630"/>
      <c r="E22630"/>
      <c r="F22630"/>
      <c r="N22630" s="56"/>
    </row>
    <row r="22631" spans="1:14" x14ac:dyDescent="0.3">
      <c r="A22631" s="42"/>
      <c r="C22631" s="52"/>
      <c r="D22631"/>
      <c r="E22631"/>
      <c r="F22631"/>
      <c r="N22631" s="56"/>
    </row>
    <row r="22632" spans="1:14" x14ac:dyDescent="0.3">
      <c r="A22632" s="42"/>
      <c r="C22632" s="52"/>
      <c r="D22632"/>
      <c r="E22632"/>
      <c r="F22632"/>
      <c r="N22632" s="56"/>
    </row>
    <row r="22633" spans="1:14" x14ac:dyDescent="0.3">
      <c r="A22633" s="42"/>
      <c r="C22633" s="52"/>
      <c r="D22633"/>
      <c r="E22633"/>
      <c r="F22633"/>
      <c r="N22633" s="56"/>
    </row>
    <row r="22634" spans="1:14" x14ac:dyDescent="0.3">
      <c r="A22634" s="42"/>
      <c r="C22634" s="52"/>
      <c r="D22634"/>
      <c r="E22634"/>
      <c r="F22634"/>
      <c r="N22634" s="56"/>
    </row>
    <row r="22635" spans="1:14" x14ac:dyDescent="0.3">
      <c r="A22635" s="42"/>
      <c r="C22635" s="52"/>
      <c r="D22635"/>
      <c r="E22635"/>
      <c r="F22635"/>
      <c r="M22635" s="45"/>
      <c r="N22635" s="56"/>
    </row>
    <row r="22636" spans="1:14" x14ac:dyDescent="0.3">
      <c r="A22636" s="42"/>
      <c r="C22636" s="52"/>
      <c r="D22636"/>
      <c r="E22636"/>
      <c r="F22636"/>
      <c r="N22636" s="56"/>
    </row>
    <row r="22637" spans="1:14" x14ac:dyDescent="0.3">
      <c r="A22637" s="42"/>
      <c r="C22637" s="52"/>
      <c r="D22637"/>
      <c r="E22637"/>
      <c r="F22637"/>
      <c r="N22637" s="56"/>
    </row>
    <row r="22638" spans="1:14" x14ac:dyDescent="0.3">
      <c r="A22638" s="42"/>
      <c r="C22638" s="52"/>
      <c r="D22638"/>
      <c r="E22638"/>
      <c r="F22638"/>
      <c r="N22638" s="56"/>
    </row>
    <row r="22639" spans="1:14" x14ac:dyDescent="0.3">
      <c r="A22639" s="42"/>
      <c r="C22639" s="52"/>
      <c r="D22639"/>
      <c r="E22639"/>
      <c r="F22639"/>
      <c r="N22639" s="56"/>
    </row>
    <row r="22640" spans="1:14" x14ac:dyDescent="0.3">
      <c r="A22640" s="42"/>
      <c r="C22640" s="52"/>
      <c r="D22640"/>
      <c r="E22640"/>
      <c r="F22640"/>
      <c r="N22640" s="56"/>
    </row>
    <row r="22641" spans="1:14" x14ac:dyDescent="0.3">
      <c r="A22641" s="42"/>
      <c r="C22641" s="52"/>
      <c r="D22641"/>
      <c r="E22641"/>
      <c r="F22641"/>
      <c r="N22641" s="56"/>
    </row>
    <row r="22642" spans="1:14" x14ac:dyDescent="0.3">
      <c r="A22642" s="42"/>
      <c r="C22642" s="52"/>
      <c r="D22642"/>
      <c r="E22642"/>
      <c r="F22642"/>
      <c r="N22642" s="56"/>
    </row>
    <row r="22643" spans="1:14" x14ac:dyDescent="0.3">
      <c r="A22643" s="42"/>
      <c r="C22643" s="52"/>
      <c r="D22643"/>
      <c r="E22643"/>
      <c r="F22643"/>
      <c r="N22643" s="56"/>
    </row>
    <row r="22644" spans="1:14" x14ac:dyDescent="0.3">
      <c r="A22644" s="42"/>
      <c r="C22644" s="52"/>
      <c r="D22644"/>
      <c r="E22644"/>
      <c r="F22644"/>
      <c r="N22644" s="56"/>
    </row>
    <row r="22645" spans="1:14" x14ac:dyDescent="0.3">
      <c r="A22645" s="42"/>
      <c r="C22645" s="52"/>
      <c r="D22645"/>
      <c r="E22645"/>
      <c r="F22645"/>
      <c r="N22645" s="56"/>
    </row>
    <row r="22646" spans="1:14" x14ac:dyDescent="0.3">
      <c r="A22646" s="42"/>
      <c r="C22646" s="52"/>
      <c r="D22646"/>
      <c r="E22646"/>
      <c r="F22646"/>
      <c r="N22646" s="56"/>
    </row>
    <row r="22647" spans="1:14" x14ac:dyDescent="0.3">
      <c r="A22647" s="42"/>
      <c r="C22647" s="52"/>
      <c r="D22647"/>
      <c r="E22647"/>
      <c r="F22647"/>
      <c r="N22647" s="56"/>
    </row>
    <row r="22648" spans="1:14" x14ac:dyDescent="0.3">
      <c r="A22648" s="42"/>
      <c r="C22648" s="52"/>
      <c r="D22648"/>
      <c r="E22648"/>
      <c r="F22648"/>
      <c r="N22648" s="56"/>
    </row>
    <row r="22649" spans="1:14" x14ac:dyDescent="0.3">
      <c r="A22649" s="42"/>
      <c r="C22649" s="52"/>
      <c r="D22649"/>
      <c r="E22649"/>
      <c r="F22649"/>
      <c r="N22649" s="56"/>
    </row>
    <row r="22650" spans="1:14" x14ac:dyDescent="0.3">
      <c r="A22650" s="42"/>
      <c r="C22650" s="52"/>
      <c r="D22650"/>
      <c r="E22650"/>
      <c r="F22650"/>
      <c r="N22650" s="56"/>
    </row>
    <row r="22651" spans="1:14" x14ac:dyDescent="0.3">
      <c r="A22651" s="42"/>
      <c r="C22651" s="52"/>
      <c r="D22651"/>
      <c r="E22651"/>
      <c r="F22651"/>
      <c r="N22651" s="56"/>
    </row>
    <row r="22652" spans="1:14" x14ac:dyDescent="0.3">
      <c r="A22652" s="42"/>
      <c r="C22652" s="52"/>
      <c r="D22652"/>
      <c r="E22652"/>
      <c r="F22652"/>
      <c r="N22652" s="56"/>
    </row>
    <row r="22653" spans="1:14" x14ac:dyDescent="0.3">
      <c r="A22653" s="42"/>
      <c r="C22653" s="52"/>
      <c r="D22653"/>
      <c r="E22653"/>
      <c r="F22653"/>
      <c r="N22653" s="56"/>
    </row>
    <row r="22654" spans="1:14" x14ac:dyDescent="0.3">
      <c r="A22654" s="42"/>
      <c r="C22654" s="52"/>
      <c r="D22654"/>
      <c r="E22654"/>
      <c r="F22654"/>
      <c r="N22654" s="56"/>
    </row>
    <row r="22655" spans="1:14" x14ac:dyDescent="0.3">
      <c r="A22655" s="42"/>
      <c r="C22655" s="52"/>
      <c r="D22655"/>
      <c r="E22655"/>
      <c r="F22655"/>
      <c r="N22655" s="56"/>
    </row>
    <row r="22656" spans="1:14" x14ac:dyDescent="0.3">
      <c r="A22656" s="42"/>
      <c r="C22656" s="52"/>
      <c r="D22656"/>
      <c r="E22656"/>
      <c r="F22656"/>
      <c r="N22656" s="56"/>
    </row>
    <row r="22657" spans="1:14" x14ac:dyDescent="0.3">
      <c r="A22657" s="42"/>
      <c r="C22657" s="52"/>
      <c r="D22657"/>
      <c r="E22657"/>
      <c r="F22657"/>
      <c r="N22657" s="56"/>
    </row>
    <row r="22658" spans="1:14" x14ac:dyDescent="0.3">
      <c r="A22658" s="42"/>
      <c r="C22658" s="52"/>
      <c r="D22658"/>
      <c r="E22658"/>
      <c r="F22658"/>
      <c r="N22658" s="56"/>
    </row>
    <row r="22659" spans="1:14" x14ac:dyDescent="0.3">
      <c r="A22659" s="42"/>
      <c r="C22659" s="52"/>
      <c r="D22659"/>
      <c r="E22659"/>
      <c r="F22659"/>
      <c r="N22659" s="56"/>
    </row>
    <row r="22660" spans="1:14" x14ac:dyDescent="0.3">
      <c r="A22660" s="42"/>
      <c r="C22660" s="52"/>
      <c r="D22660"/>
      <c r="E22660"/>
      <c r="F22660"/>
      <c r="N22660" s="56"/>
    </row>
    <row r="22661" spans="1:14" x14ac:dyDescent="0.3">
      <c r="A22661" s="42"/>
      <c r="C22661" s="52"/>
      <c r="D22661"/>
      <c r="E22661"/>
      <c r="F22661"/>
      <c r="N22661" s="56"/>
    </row>
    <row r="22662" spans="1:14" x14ac:dyDescent="0.3">
      <c r="A22662" s="42"/>
      <c r="C22662" s="52"/>
      <c r="D22662"/>
      <c r="E22662"/>
      <c r="F22662"/>
      <c r="N22662" s="56"/>
    </row>
    <row r="22663" spans="1:14" x14ac:dyDescent="0.3">
      <c r="A22663" s="42"/>
      <c r="C22663" s="52"/>
      <c r="D22663"/>
      <c r="E22663"/>
      <c r="F22663"/>
      <c r="N22663" s="56"/>
    </row>
    <row r="22664" spans="1:14" x14ac:dyDescent="0.3">
      <c r="A22664" s="42"/>
      <c r="C22664" s="52"/>
      <c r="D22664"/>
      <c r="E22664"/>
      <c r="F22664"/>
      <c r="N22664" s="56"/>
    </row>
    <row r="22665" spans="1:14" x14ac:dyDescent="0.3">
      <c r="A22665" s="42"/>
      <c r="C22665" s="52"/>
      <c r="D22665"/>
      <c r="E22665"/>
      <c r="F22665"/>
      <c r="N22665" s="56"/>
    </row>
    <row r="22666" spans="1:14" x14ac:dyDescent="0.3">
      <c r="A22666" s="42"/>
      <c r="C22666" s="52"/>
      <c r="D22666"/>
      <c r="E22666"/>
      <c r="F22666"/>
      <c r="N22666" s="56"/>
    </row>
    <row r="22667" spans="1:14" x14ac:dyDescent="0.3">
      <c r="A22667" s="42"/>
      <c r="C22667" s="52"/>
      <c r="D22667"/>
      <c r="E22667"/>
      <c r="F22667"/>
      <c r="N22667" s="56"/>
    </row>
    <row r="22668" spans="1:14" x14ac:dyDescent="0.3">
      <c r="A22668" s="42"/>
      <c r="C22668" s="52"/>
      <c r="D22668"/>
      <c r="E22668"/>
      <c r="F22668"/>
      <c r="N22668" s="56"/>
    </row>
    <row r="22669" spans="1:14" x14ac:dyDescent="0.3">
      <c r="A22669" s="42"/>
      <c r="C22669" s="52"/>
      <c r="D22669"/>
      <c r="E22669"/>
      <c r="F22669"/>
      <c r="N22669" s="56"/>
    </row>
    <row r="22670" spans="1:14" x14ac:dyDescent="0.3">
      <c r="A22670" s="42"/>
      <c r="C22670" s="52"/>
      <c r="D22670"/>
      <c r="E22670"/>
      <c r="F22670"/>
      <c r="N22670" s="56"/>
    </row>
    <row r="22671" spans="1:14" x14ac:dyDescent="0.3">
      <c r="A22671" s="42"/>
      <c r="C22671" s="52"/>
      <c r="D22671"/>
      <c r="E22671"/>
      <c r="F22671"/>
      <c r="N22671" s="56"/>
    </row>
    <row r="22672" spans="1:14" x14ac:dyDescent="0.3">
      <c r="A22672" s="42"/>
      <c r="C22672" s="52"/>
      <c r="D22672"/>
      <c r="E22672"/>
      <c r="F22672"/>
      <c r="N22672" s="56"/>
    </row>
    <row r="22673" spans="1:14" x14ac:dyDescent="0.3">
      <c r="A22673" s="42"/>
      <c r="C22673" s="52"/>
      <c r="D22673"/>
      <c r="E22673"/>
      <c r="F22673"/>
      <c r="N22673" s="56"/>
    </row>
    <row r="22674" spans="1:14" x14ac:dyDescent="0.3">
      <c r="A22674" s="42"/>
      <c r="C22674" s="52"/>
      <c r="D22674"/>
      <c r="E22674"/>
      <c r="F22674"/>
      <c r="N22674" s="56"/>
    </row>
    <row r="22675" spans="1:14" x14ac:dyDescent="0.3">
      <c r="A22675" s="42"/>
      <c r="C22675" s="52"/>
      <c r="D22675"/>
      <c r="E22675"/>
      <c r="F22675"/>
      <c r="N22675" s="56"/>
    </row>
    <row r="22676" spans="1:14" x14ac:dyDescent="0.3">
      <c r="A22676" s="42"/>
      <c r="C22676" s="52"/>
      <c r="D22676"/>
      <c r="E22676"/>
      <c r="F22676"/>
      <c r="N22676" s="56"/>
    </row>
    <row r="22677" spans="1:14" x14ac:dyDescent="0.3">
      <c r="A22677" s="42"/>
      <c r="C22677" s="52"/>
      <c r="D22677"/>
      <c r="E22677"/>
      <c r="F22677"/>
      <c r="N22677" s="56"/>
    </row>
    <row r="22678" spans="1:14" x14ac:dyDescent="0.3">
      <c r="A22678" s="42"/>
      <c r="C22678" s="52"/>
      <c r="D22678"/>
      <c r="E22678"/>
      <c r="F22678"/>
      <c r="N22678" s="56"/>
    </row>
    <row r="22679" spans="1:14" x14ac:dyDescent="0.3">
      <c r="A22679" s="42"/>
      <c r="C22679" s="52"/>
      <c r="D22679"/>
      <c r="E22679"/>
      <c r="F22679"/>
      <c r="N22679" s="56"/>
    </row>
    <row r="22680" spans="1:14" x14ac:dyDescent="0.3">
      <c r="A22680" s="42"/>
      <c r="C22680" s="52"/>
      <c r="D22680"/>
      <c r="E22680"/>
      <c r="F22680"/>
      <c r="N22680" s="56"/>
    </row>
    <row r="22681" spans="1:14" x14ac:dyDescent="0.3">
      <c r="A22681" s="42"/>
      <c r="C22681" s="52"/>
      <c r="D22681"/>
      <c r="E22681"/>
      <c r="F22681"/>
      <c r="N22681" s="56"/>
    </row>
    <row r="22682" spans="1:14" x14ac:dyDescent="0.3">
      <c r="A22682" s="42"/>
      <c r="C22682" s="52"/>
      <c r="D22682"/>
      <c r="E22682"/>
      <c r="F22682"/>
      <c r="N22682" s="56"/>
    </row>
    <row r="22683" spans="1:14" x14ac:dyDescent="0.3">
      <c r="A22683" s="42"/>
      <c r="C22683" s="52"/>
      <c r="D22683"/>
      <c r="E22683"/>
      <c r="F22683"/>
      <c r="N22683" s="56"/>
    </row>
    <row r="22684" spans="1:14" x14ac:dyDescent="0.3">
      <c r="A22684" s="42"/>
      <c r="C22684" s="52"/>
      <c r="D22684"/>
      <c r="E22684"/>
      <c r="F22684"/>
      <c r="N22684" s="56"/>
    </row>
    <row r="22685" spans="1:14" x14ac:dyDescent="0.3">
      <c r="A22685" s="42"/>
      <c r="C22685" s="52"/>
      <c r="D22685"/>
      <c r="E22685"/>
      <c r="F22685"/>
      <c r="N22685" s="56"/>
    </row>
    <row r="22686" spans="1:14" x14ac:dyDescent="0.3">
      <c r="A22686" s="42"/>
      <c r="C22686" s="52"/>
      <c r="D22686"/>
      <c r="E22686"/>
      <c r="F22686"/>
      <c r="N22686" s="56"/>
    </row>
    <row r="22687" spans="1:14" x14ac:dyDescent="0.3">
      <c r="A22687" s="42"/>
      <c r="C22687" s="52"/>
      <c r="D22687"/>
      <c r="E22687"/>
      <c r="F22687"/>
      <c r="N22687" s="56"/>
    </row>
    <row r="22688" spans="1:14" x14ac:dyDescent="0.3">
      <c r="A22688" s="42"/>
      <c r="C22688" s="52"/>
      <c r="D22688"/>
      <c r="E22688"/>
      <c r="F22688"/>
      <c r="N22688" s="56"/>
    </row>
    <row r="22689" spans="1:14" x14ac:dyDescent="0.3">
      <c r="A22689" s="42"/>
      <c r="C22689" s="52"/>
      <c r="D22689"/>
      <c r="E22689"/>
      <c r="F22689"/>
      <c r="N22689" s="56"/>
    </row>
    <row r="22690" spans="1:14" x14ac:dyDescent="0.3">
      <c r="A22690" s="42"/>
      <c r="C22690" s="52"/>
      <c r="D22690"/>
      <c r="E22690"/>
      <c r="F22690"/>
      <c r="N22690" s="56"/>
    </row>
    <row r="22691" spans="1:14" x14ac:dyDescent="0.3">
      <c r="A22691" s="42"/>
      <c r="C22691" s="52"/>
      <c r="D22691"/>
      <c r="E22691"/>
      <c r="F22691"/>
      <c r="N22691" s="56"/>
    </row>
    <row r="22692" spans="1:14" x14ac:dyDescent="0.3">
      <c r="A22692" s="42"/>
      <c r="C22692" s="52"/>
      <c r="D22692"/>
      <c r="E22692"/>
      <c r="F22692"/>
      <c r="N22692" s="56"/>
    </row>
    <row r="22693" spans="1:14" x14ac:dyDescent="0.3">
      <c r="A22693" s="42"/>
      <c r="C22693" s="52"/>
      <c r="D22693"/>
      <c r="E22693"/>
      <c r="F22693"/>
      <c r="N22693" s="56"/>
    </row>
    <row r="22694" spans="1:14" x14ac:dyDescent="0.3">
      <c r="A22694" s="42"/>
      <c r="C22694" s="52"/>
      <c r="D22694"/>
      <c r="E22694"/>
      <c r="F22694"/>
      <c r="N22694" s="56"/>
    </row>
    <row r="22695" spans="1:14" x14ac:dyDescent="0.3">
      <c r="A22695" s="42"/>
      <c r="C22695" s="52"/>
      <c r="D22695"/>
      <c r="E22695"/>
      <c r="F22695"/>
      <c r="N22695" s="56"/>
    </row>
    <row r="22696" spans="1:14" x14ac:dyDescent="0.3">
      <c r="A22696" s="42"/>
      <c r="C22696" s="52"/>
      <c r="D22696"/>
      <c r="E22696"/>
      <c r="F22696"/>
      <c r="N22696" s="56"/>
    </row>
    <row r="22697" spans="1:14" x14ac:dyDescent="0.3">
      <c r="A22697" s="42"/>
      <c r="C22697" s="52"/>
      <c r="D22697"/>
      <c r="E22697"/>
      <c r="F22697"/>
      <c r="N22697" s="56"/>
    </row>
    <row r="22698" spans="1:14" x14ac:dyDescent="0.3">
      <c r="A22698" s="42"/>
      <c r="C22698" s="52"/>
      <c r="D22698"/>
      <c r="E22698"/>
      <c r="F22698"/>
      <c r="N22698" s="56"/>
    </row>
    <row r="22699" spans="1:14" x14ac:dyDescent="0.3">
      <c r="A22699" s="42"/>
      <c r="C22699" s="52"/>
      <c r="D22699"/>
      <c r="E22699"/>
      <c r="F22699"/>
      <c r="N22699" s="56"/>
    </row>
    <row r="22700" spans="1:14" x14ac:dyDescent="0.3">
      <c r="A22700" s="42"/>
      <c r="C22700" s="52"/>
      <c r="D22700"/>
      <c r="E22700"/>
      <c r="F22700"/>
      <c r="N22700" s="56"/>
    </row>
    <row r="22701" spans="1:14" x14ac:dyDescent="0.3">
      <c r="A22701" s="42"/>
      <c r="C22701" s="52"/>
      <c r="D22701"/>
      <c r="E22701"/>
      <c r="F22701"/>
      <c r="N22701" s="56"/>
    </row>
    <row r="22702" spans="1:14" x14ac:dyDescent="0.3">
      <c r="A22702" s="42"/>
      <c r="C22702" s="52"/>
      <c r="D22702"/>
      <c r="E22702"/>
      <c r="F22702"/>
      <c r="N22702" s="56"/>
    </row>
    <row r="22703" spans="1:14" x14ac:dyDescent="0.3">
      <c r="A22703" s="42"/>
      <c r="C22703" s="52"/>
      <c r="D22703"/>
      <c r="E22703"/>
      <c r="F22703"/>
      <c r="N22703" s="56"/>
    </row>
    <row r="22704" spans="1:14" x14ac:dyDescent="0.3">
      <c r="A22704" s="42"/>
      <c r="C22704" s="52"/>
      <c r="D22704"/>
      <c r="E22704"/>
      <c r="F22704"/>
      <c r="N22704" s="56"/>
    </row>
    <row r="22705" spans="1:14" x14ac:dyDescent="0.3">
      <c r="A22705" s="42"/>
      <c r="C22705" s="52"/>
      <c r="D22705"/>
      <c r="E22705"/>
      <c r="F22705"/>
      <c r="N22705" s="56"/>
    </row>
    <row r="22706" spans="1:14" x14ac:dyDescent="0.3">
      <c r="A22706" s="42"/>
      <c r="C22706" s="52"/>
      <c r="D22706"/>
      <c r="E22706"/>
      <c r="F22706"/>
      <c r="N22706" s="56"/>
    </row>
    <row r="22707" spans="1:14" x14ac:dyDescent="0.3">
      <c r="A22707" s="42"/>
      <c r="C22707" s="52"/>
      <c r="D22707"/>
      <c r="E22707"/>
      <c r="F22707"/>
      <c r="N22707" s="56"/>
    </row>
    <row r="22708" spans="1:14" x14ac:dyDescent="0.3">
      <c r="A22708" s="42"/>
      <c r="C22708" s="52"/>
      <c r="D22708"/>
      <c r="E22708"/>
      <c r="F22708"/>
      <c r="N22708" s="56"/>
    </row>
    <row r="22709" spans="1:14" x14ac:dyDescent="0.3">
      <c r="A22709" s="42"/>
      <c r="C22709" s="52"/>
      <c r="D22709"/>
      <c r="E22709"/>
      <c r="F22709"/>
      <c r="N22709" s="56"/>
    </row>
    <row r="22710" spans="1:14" x14ac:dyDescent="0.3">
      <c r="A22710" s="42"/>
      <c r="C22710" s="52"/>
      <c r="D22710"/>
      <c r="E22710"/>
      <c r="F22710"/>
      <c r="N22710" s="56"/>
    </row>
    <row r="22711" spans="1:14" x14ac:dyDescent="0.3">
      <c r="A22711" s="42"/>
      <c r="C22711" s="52"/>
      <c r="D22711"/>
      <c r="E22711"/>
      <c r="F22711"/>
      <c r="N22711" s="56"/>
    </row>
    <row r="22712" spans="1:14" x14ac:dyDescent="0.3">
      <c r="A22712" s="42"/>
      <c r="C22712" s="52"/>
      <c r="D22712"/>
      <c r="E22712"/>
      <c r="F22712"/>
      <c r="N22712" s="56"/>
    </row>
    <row r="22713" spans="1:14" x14ac:dyDescent="0.3">
      <c r="A22713" s="42"/>
      <c r="C22713" s="52"/>
      <c r="D22713"/>
      <c r="E22713"/>
      <c r="F22713"/>
      <c r="N22713" s="56"/>
    </row>
    <row r="22714" spans="1:14" x14ac:dyDescent="0.3">
      <c r="A22714" s="42"/>
      <c r="C22714" s="52"/>
      <c r="D22714"/>
      <c r="E22714"/>
      <c r="F22714"/>
      <c r="N22714" s="56"/>
    </row>
    <row r="22715" spans="1:14" x14ac:dyDescent="0.3">
      <c r="A22715" s="42"/>
      <c r="C22715" s="52"/>
      <c r="D22715"/>
      <c r="E22715"/>
      <c r="F22715"/>
      <c r="N22715" s="56"/>
    </row>
    <row r="22716" spans="1:14" x14ac:dyDescent="0.3">
      <c r="A22716" s="42"/>
      <c r="C22716" s="52"/>
      <c r="D22716"/>
      <c r="E22716"/>
      <c r="F22716"/>
      <c r="N22716" s="56"/>
    </row>
    <row r="22717" spans="1:14" x14ac:dyDescent="0.3">
      <c r="A22717" s="42"/>
      <c r="C22717" s="52"/>
      <c r="D22717"/>
      <c r="E22717"/>
      <c r="F22717"/>
      <c r="N22717" s="56"/>
    </row>
    <row r="22718" spans="1:14" x14ac:dyDescent="0.3">
      <c r="A22718" s="42"/>
      <c r="C22718" s="52"/>
      <c r="D22718"/>
      <c r="E22718"/>
      <c r="F22718"/>
      <c r="N22718" s="56"/>
    </row>
    <row r="22719" spans="1:14" x14ac:dyDescent="0.3">
      <c r="A22719" s="42"/>
      <c r="C22719" s="52"/>
      <c r="D22719"/>
      <c r="E22719"/>
      <c r="F22719"/>
      <c r="N22719" s="56"/>
    </row>
    <row r="22720" spans="1:14" x14ac:dyDescent="0.3">
      <c r="A22720" s="42"/>
      <c r="C22720" s="52"/>
      <c r="D22720"/>
      <c r="E22720"/>
      <c r="F22720"/>
      <c r="N22720" s="56"/>
    </row>
    <row r="22721" spans="1:14" x14ac:dyDescent="0.3">
      <c r="A22721" s="42"/>
      <c r="C22721" s="52"/>
      <c r="D22721"/>
      <c r="E22721"/>
      <c r="F22721"/>
      <c r="N22721" s="56"/>
    </row>
    <row r="22722" spans="1:14" x14ac:dyDescent="0.3">
      <c r="A22722" s="42"/>
      <c r="C22722" s="52"/>
      <c r="D22722"/>
      <c r="E22722"/>
      <c r="F22722"/>
      <c r="N22722" s="56"/>
    </row>
    <row r="22723" spans="1:14" x14ac:dyDescent="0.3">
      <c r="A22723" s="42"/>
      <c r="C22723" s="52"/>
      <c r="D22723"/>
      <c r="E22723"/>
      <c r="F22723"/>
      <c r="N22723" s="56"/>
    </row>
    <row r="22724" spans="1:14" x14ac:dyDescent="0.3">
      <c r="A22724" s="42"/>
      <c r="C22724" s="52"/>
      <c r="D22724"/>
      <c r="E22724"/>
      <c r="F22724"/>
      <c r="N22724" s="56"/>
    </row>
    <row r="22725" spans="1:14" x14ac:dyDescent="0.3">
      <c r="A22725" s="42"/>
      <c r="C22725" s="52"/>
      <c r="D22725"/>
      <c r="E22725"/>
      <c r="F22725"/>
      <c r="N22725" s="56"/>
    </row>
    <row r="22726" spans="1:14" x14ac:dyDescent="0.3">
      <c r="A22726" s="42"/>
      <c r="C22726" s="52"/>
      <c r="D22726"/>
      <c r="E22726"/>
      <c r="F22726"/>
      <c r="N22726" s="56"/>
    </row>
    <row r="22727" spans="1:14" x14ac:dyDescent="0.3">
      <c r="A22727" s="42"/>
      <c r="C22727" s="52"/>
      <c r="D22727"/>
      <c r="E22727"/>
      <c r="F22727"/>
      <c r="N22727" s="56"/>
    </row>
    <row r="22728" spans="1:14" x14ac:dyDescent="0.3">
      <c r="A22728" s="42"/>
      <c r="C22728" s="52"/>
      <c r="D22728"/>
      <c r="E22728"/>
      <c r="F22728"/>
      <c r="N22728" s="56"/>
    </row>
    <row r="22729" spans="1:14" x14ac:dyDescent="0.3">
      <c r="A22729" s="42"/>
      <c r="C22729" s="52"/>
      <c r="D22729"/>
      <c r="E22729"/>
      <c r="F22729"/>
      <c r="N22729" s="56"/>
    </row>
    <row r="22730" spans="1:14" x14ac:dyDescent="0.3">
      <c r="A22730" s="42"/>
      <c r="C22730" s="52"/>
      <c r="D22730"/>
      <c r="E22730"/>
      <c r="F22730"/>
      <c r="N22730" s="56"/>
    </row>
    <row r="22731" spans="1:14" x14ac:dyDescent="0.3">
      <c r="A22731" s="42"/>
      <c r="C22731" s="52"/>
      <c r="D22731"/>
      <c r="E22731"/>
      <c r="F22731"/>
      <c r="M22731" s="45"/>
      <c r="N22731" s="56"/>
    </row>
    <row r="22732" spans="1:14" x14ac:dyDescent="0.3">
      <c r="A22732" s="42"/>
      <c r="C22732" s="52"/>
      <c r="D22732"/>
      <c r="E22732"/>
      <c r="F22732"/>
      <c r="N22732" s="56"/>
    </row>
    <row r="22733" spans="1:14" x14ac:dyDescent="0.3">
      <c r="A22733" s="42"/>
      <c r="C22733" s="52"/>
      <c r="D22733"/>
      <c r="E22733"/>
      <c r="F22733"/>
      <c r="N22733" s="56"/>
    </row>
    <row r="22734" spans="1:14" x14ac:dyDescent="0.3">
      <c r="A22734" s="42"/>
      <c r="C22734" s="52"/>
      <c r="D22734"/>
      <c r="E22734"/>
      <c r="F22734"/>
      <c r="N22734" s="56"/>
    </row>
    <row r="22735" spans="1:14" x14ac:dyDescent="0.3">
      <c r="A22735" s="42"/>
      <c r="C22735" s="52"/>
      <c r="D22735"/>
      <c r="E22735"/>
      <c r="F22735"/>
      <c r="N22735" s="56"/>
    </row>
    <row r="22736" spans="1:14" x14ac:dyDescent="0.3">
      <c r="A22736" s="42"/>
      <c r="C22736" s="52"/>
      <c r="D22736"/>
      <c r="E22736"/>
      <c r="F22736"/>
      <c r="N22736" s="56"/>
    </row>
    <row r="22737" spans="1:14" x14ac:dyDescent="0.3">
      <c r="A22737" s="42"/>
      <c r="C22737" s="52"/>
      <c r="D22737"/>
      <c r="E22737"/>
      <c r="F22737"/>
      <c r="N22737" s="56"/>
    </row>
    <row r="22738" spans="1:14" x14ac:dyDescent="0.3">
      <c r="A22738" s="42"/>
      <c r="C22738" s="52"/>
      <c r="D22738"/>
      <c r="E22738"/>
      <c r="F22738"/>
      <c r="N22738" s="56"/>
    </row>
    <row r="22739" spans="1:14" x14ac:dyDescent="0.3">
      <c r="A22739" s="42"/>
      <c r="C22739" s="52"/>
      <c r="D22739"/>
      <c r="E22739"/>
      <c r="F22739"/>
      <c r="N22739" s="56"/>
    </row>
    <row r="22740" spans="1:14" x14ac:dyDescent="0.3">
      <c r="A22740" s="42"/>
      <c r="C22740" s="52"/>
      <c r="D22740"/>
      <c r="E22740"/>
      <c r="F22740"/>
      <c r="N22740" s="56"/>
    </row>
    <row r="22741" spans="1:14" x14ac:dyDescent="0.3">
      <c r="A22741" s="42"/>
      <c r="C22741" s="52"/>
      <c r="D22741"/>
      <c r="E22741"/>
      <c r="F22741"/>
      <c r="N22741" s="56"/>
    </row>
    <row r="22742" spans="1:14" x14ac:dyDescent="0.3">
      <c r="A22742" s="42"/>
      <c r="C22742" s="52"/>
      <c r="D22742"/>
      <c r="E22742"/>
      <c r="F22742"/>
      <c r="N22742" s="56"/>
    </row>
    <row r="22743" spans="1:14" x14ac:dyDescent="0.3">
      <c r="A22743" s="42"/>
      <c r="C22743" s="52"/>
      <c r="D22743"/>
      <c r="E22743"/>
      <c r="F22743"/>
      <c r="N22743" s="56"/>
    </row>
    <row r="22744" spans="1:14" x14ac:dyDescent="0.3">
      <c r="A22744" s="42"/>
      <c r="C22744" s="52"/>
      <c r="D22744"/>
      <c r="E22744"/>
      <c r="F22744"/>
      <c r="N22744" s="56"/>
    </row>
    <row r="22745" spans="1:14" x14ac:dyDescent="0.3">
      <c r="A22745" s="42"/>
      <c r="C22745" s="52"/>
      <c r="D22745"/>
      <c r="E22745"/>
      <c r="F22745"/>
      <c r="N22745" s="56"/>
    </row>
    <row r="22746" spans="1:14" x14ac:dyDescent="0.3">
      <c r="A22746" s="42"/>
      <c r="C22746" s="52"/>
      <c r="D22746"/>
      <c r="E22746"/>
      <c r="F22746"/>
      <c r="N22746" s="56"/>
    </row>
    <row r="22747" spans="1:14" x14ac:dyDescent="0.3">
      <c r="A22747" s="42"/>
      <c r="C22747" s="52"/>
      <c r="D22747"/>
      <c r="E22747"/>
      <c r="F22747"/>
      <c r="N22747" s="56"/>
    </row>
    <row r="22748" spans="1:14" x14ac:dyDescent="0.3">
      <c r="A22748" s="42"/>
      <c r="C22748" s="52"/>
      <c r="D22748"/>
      <c r="E22748"/>
      <c r="F22748"/>
      <c r="N22748" s="56"/>
    </row>
    <row r="22749" spans="1:14" x14ac:dyDescent="0.3">
      <c r="A22749" s="42"/>
      <c r="C22749" s="52"/>
      <c r="D22749"/>
      <c r="E22749"/>
      <c r="F22749"/>
      <c r="N22749" s="56"/>
    </row>
    <row r="22750" spans="1:14" x14ac:dyDescent="0.3">
      <c r="A22750" s="42"/>
      <c r="C22750" s="52"/>
      <c r="D22750"/>
      <c r="E22750"/>
      <c r="F22750"/>
      <c r="N22750" s="56"/>
    </row>
    <row r="22751" spans="1:14" x14ac:dyDescent="0.3">
      <c r="A22751" s="42"/>
      <c r="C22751" s="52"/>
      <c r="D22751"/>
      <c r="E22751"/>
      <c r="F22751"/>
      <c r="N22751" s="56"/>
    </row>
    <row r="22752" spans="1:14" x14ac:dyDescent="0.3">
      <c r="A22752" s="42"/>
      <c r="C22752" s="52"/>
      <c r="D22752"/>
      <c r="E22752"/>
      <c r="F22752"/>
      <c r="N22752" s="56"/>
    </row>
    <row r="22753" spans="1:14" x14ac:dyDescent="0.3">
      <c r="A22753" s="42"/>
      <c r="C22753" s="52"/>
      <c r="D22753"/>
      <c r="E22753"/>
      <c r="F22753"/>
      <c r="N22753" s="56"/>
    </row>
    <row r="22754" spans="1:14" x14ac:dyDescent="0.3">
      <c r="A22754" s="42"/>
      <c r="C22754" s="52"/>
      <c r="D22754"/>
      <c r="E22754"/>
      <c r="F22754"/>
      <c r="N22754" s="56"/>
    </row>
    <row r="22755" spans="1:14" x14ac:dyDescent="0.3">
      <c r="A22755" s="42"/>
      <c r="C22755" s="52"/>
      <c r="D22755"/>
      <c r="E22755"/>
      <c r="F22755"/>
      <c r="N22755" s="56"/>
    </row>
    <row r="22756" spans="1:14" x14ac:dyDescent="0.3">
      <c r="A22756" s="42"/>
      <c r="C22756" s="52"/>
      <c r="D22756"/>
      <c r="E22756"/>
      <c r="F22756"/>
      <c r="N22756" s="56"/>
    </row>
    <row r="22757" spans="1:14" x14ac:dyDescent="0.3">
      <c r="A22757" s="42"/>
      <c r="C22757" s="52"/>
      <c r="D22757"/>
      <c r="E22757"/>
      <c r="F22757"/>
      <c r="N22757" s="56"/>
    </row>
    <row r="22758" spans="1:14" x14ac:dyDescent="0.3">
      <c r="A22758" s="42"/>
      <c r="C22758" s="52"/>
      <c r="D22758"/>
      <c r="E22758"/>
      <c r="F22758"/>
      <c r="N22758" s="56"/>
    </row>
    <row r="22759" spans="1:14" x14ac:dyDescent="0.3">
      <c r="A22759" s="42"/>
      <c r="C22759" s="52"/>
      <c r="D22759"/>
      <c r="E22759"/>
      <c r="F22759"/>
      <c r="N22759" s="56"/>
    </row>
    <row r="22760" spans="1:14" x14ac:dyDescent="0.3">
      <c r="A22760" s="42"/>
      <c r="C22760" s="52"/>
      <c r="D22760"/>
      <c r="E22760"/>
      <c r="F22760"/>
      <c r="N22760" s="56"/>
    </row>
    <row r="22761" spans="1:14" x14ac:dyDescent="0.3">
      <c r="A22761" s="42"/>
      <c r="C22761" s="52"/>
      <c r="D22761"/>
      <c r="E22761"/>
      <c r="F22761"/>
      <c r="N22761" s="56"/>
    </row>
    <row r="22762" spans="1:14" x14ac:dyDescent="0.3">
      <c r="A22762" s="42"/>
      <c r="C22762" s="52"/>
      <c r="D22762"/>
      <c r="E22762"/>
      <c r="F22762"/>
      <c r="N22762" s="56"/>
    </row>
    <row r="22763" spans="1:14" x14ac:dyDescent="0.3">
      <c r="A22763" s="42"/>
      <c r="C22763" s="52"/>
      <c r="D22763"/>
      <c r="E22763"/>
      <c r="F22763"/>
      <c r="N22763" s="56"/>
    </row>
    <row r="22764" spans="1:14" x14ac:dyDescent="0.3">
      <c r="A22764" s="42"/>
      <c r="C22764" s="52"/>
      <c r="D22764"/>
      <c r="E22764"/>
      <c r="F22764"/>
      <c r="N22764" s="56"/>
    </row>
    <row r="22765" spans="1:14" x14ac:dyDescent="0.3">
      <c r="A22765" s="42"/>
      <c r="C22765" s="52"/>
      <c r="D22765"/>
      <c r="E22765"/>
      <c r="F22765"/>
      <c r="N22765" s="56"/>
    </row>
    <row r="22766" spans="1:14" x14ac:dyDescent="0.3">
      <c r="A22766" s="42"/>
      <c r="C22766" s="52"/>
      <c r="D22766"/>
      <c r="E22766"/>
      <c r="F22766"/>
      <c r="N22766" s="56"/>
    </row>
    <row r="22767" spans="1:14" x14ac:dyDescent="0.3">
      <c r="A22767" s="42"/>
      <c r="C22767" s="52"/>
      <c r="D22767"/>
      <c r="E22767"/>
      <c r="F22767"/>
      <c r="N22767" s="56"/>
    </row>
    <row r="22768" spans="1:14" x14ac:dyDescent="0.3">
      <c r="A22768" s="42"/>
      <c r="C22768" s="52"/>
      <c r="D22768"/>
      <c r="E22768"/>
      <c r="F22768"/>
      <c r="N22768" s="56"/>
    </row>
    <row r="22769" spans="1:14" x14ac:dyDescent="0.3">
      <c r="A22769" s="42"/>
      <c r="C22769" s="52"/>
      <c r="D22769"/>
      <c r="E22769"/>
      <c r="F22769"/>
      <c r="N22769" s="56"/>
    </row>
    <row r="22770" spans="1:14" x14ac:dyDescent="0.3">
      <c r="A22770" s="42"/>
      <c r="C22770" s="52"/>
      <c r="D22770"/>
      <c r="E22770"/>
      <c r="F22770"/>
      <c r="N22770" s="56"/>
    </row>
    <row r="22771" spans="1:14" x14ac:dyDescent="0.3">
      <c r="A22771" s="42"/>
      <c r="C22771" s="52"/>
      <c r="D22771"/>
      <c r="E22771"/>
      <c r="F22771"/>
      <c r="N22771" s="56"/>
    </row>
    <row r="22772" spans="1:14" x14ac:dyDescent="0.3">
      <c r="A22772" s="42"/>
      <c r="C22772" s="52"/>
      <c r="D22772"/>
      <c r="E22772"/>
      <c r="F22772"/>
      <c r="N22772" s="56"/>
    </row>
    <row r="22773" spans="1:14" x14ac:dyDescent="0.3">
      <c r="A22773" s="42"/>
      <c r="C22773" s="52"/>
      <c r="D22773"/>
      <c r="E22773"/>
      <c r="F22773"/>
      <c r="N22773" s="56"/>
    </row>
    <row r="22774" spans="1:14" x14ac:dyDescent="0.3">
      <c r="A22774" s="42"/>
      <c r="C22774" s="52"/>
      <c r="D22774"/>
      <c r="E22774"/>
      <c r="F22774"/>
      <c r="N22774" s="56"/>
    </row>
    <row r="22775" spans="1:14" x14ac:dyDescent="0.3">
      <c r="A22775" s="42"/>
      <c r="C22775" s="52"/>
      <c r="D22775"/>
      <c r="E22775"/>
      <c r="F22775"/>
      <c r="M22775" s="45"/>
      <c r="N22775" s="56"/>
    </row>
    <row r="22776" spans="1:14" x14ac:dyDescent="0.3">
      <c r="A22776" s="42"/>
      <c r="C22776" s="52"/>
      <c r="D22776"/>
      <c r="E22776"/>
      <c r="F22776"/>
      <c r="N22776" s="56"/>
    </row>
    <row r="22777" spans="1:14" x14ac:dyDescent="0.3">
      <c r="A22777" s="42"/>
      <c r="C22777" s="52"/>
      <c r="D22777"/>
      <c r="E22777"/>
      <c r="F22777"/>
      <c r="N22777" s="56"/>
    </row>
    <row r="22778" spans="1:14" x14ac:dyDescent="0.3">
      <c r="A22778" s="42"/>
      <c r="C22778" s="52"/>
      <c r="D22778"/>
      <c r="E22778"/>
      <c r="F22778"/>
      <c r="N22778" s="56"/>
    </row>
    <row r="22779" spans="1:14" x14ac:dyDescent="0.3">
      <c r="A22779" s="42"/>
      <c r="C22779" s="52"/>
      <c r="D22779"/>
      <c r="E22779"/>
      <c r="F22779"/>
      <c r="N22779" s="56"/>
    </row>
    <row r="22780" spans="1:14" x14ac:dyDescent="0.3">
      <c r="A22780" s="42"/>
      <c r="C22780" s="52"/>
      <c r="D22780"/>
      <c r="E22780"/>
      <c r="F22780"/>
      <c r="M22780" s="45"/>
      <c r="N22780" s="56"/>
    </row>
    <row r="22781" spans="1:14" x14ac:dyDescent="0.3">
      <c r="A22781" s="42"/>
      <c r="C22781" s="52"/>
      <c r="D22781"/>
      <c r="E22781"/>
      <c r="F22781"/>
      <c r="N22781" s="56"/>
    </row>
    <row r="22782" spans="1:14" x14ac:dyDescent="0.3">
      <c r="A22782" s="42"/>
      <c r="C22782" s="52"/>
      <c r="D22782"/>
      <c r="E22782"/>
      <c r="F22782"/>
      <c r="N22782" s="56"/>
    </row>
    <row r="22783" spans="1:14" x14ac:dyDescent="0.3">
      <c r="A22783" s="42"/>
      <c r="C22783" s="52"/>
      <c r="D22783"/>
      <c r="E22783"/>
      <c r="F22783"/>
      <c r="N22783" s="56"/>
    </row>
    <row r="22784" spans="1:14" x14ac:dyDescent="0.3">
      <c r="A22784" s="42"/>
      <c r="C22784" s="52"/>
      <c r="D22784"/>
      <c r="E22784"/>
      <c r="F22784"/>
      <c r="N22784" s="56"/>
    </row>
    <row r="22785" spans="1:14" x14ac:dyDescent="0.3">
      <c r="A22785" s="42"/>
      <c r="C22785" s="52"/>
      <c r="D22785"/>
      <c r="E22785"/>
      <c r="F22785"/>
      <c r="N22785" s="56"/>
    </row>
    <row r="22786" spans="1:14" x14ac:dyDescent="0.3">
      <c r="A22786" s="42"/>
      <c r="C22786" s="52"/>
      <c r="D22786"/>
      <c r="E22786"/>
      <c r="F22786"/>
      <c r="N22786" s="56"/>
    </row>
    <row r="22787" spans="1:14" x14ac:dyDescent="0.3">
      <c r="A22787" s="42"/>
      <c r="C22787" s="52"/>
      <c r="D22787"/>
      <c r="E22787"/>
      <c r="F22787"/>
      <c r="N22787" s="56"/>
    </row>
    <row r="22788" spans="1:14" x14ac:dyDescent="0.3">
      <c r="A22788" s="42"/>
      <c r="C22788" s="52"/>
      <c r="D22788"/>
      <c r="E22788"/>
      <c r="F22788"/>
      <c r="N22788" s="56"/>
    </row>
    <row r="22789" spans="1:14" x14ac:dyDescent="0.3">
      <c r="A22789" s="42"/>
      <c r="C22789" s="52"/>
      <c r="D22789"/>
      <c r="E22789"/>
      <c r="F22789"/>
      <c r="N22789" s="56"/>
    </row>
    <row r="22790" spans="1:14" x14ac:dyDescent="0.3">
      <c r="A22790" s="42"/>
      <c r="C22790" s="52"/>
      <c r="D22790"/>
      <c r="E22790"/>
      <c r="F22790"/>
      <c r="N22790" s="56"/>
    </row>
    <row r="22791" spans="1:14" x14ac:dyDescent="0.3">
      <c r="A22791" s="42"/>
      <c r="C22791" s="52"/>
      <c r="D22791"/>
      <c r="E22791"/>
      <c r="F22791"/>
      <c r="N22791" s="56"/>
    </row>
    <row r="22792" spans="1:14" x14ac:dyDescent="0.3">
      <c r="A22792" s="42"/>
      <c r="C22792" s="52"/>
      <c r="D22792"/>
      <c r="E22792"/>
      <c r="F22792"/>
      <c r="N22792" s="56"/>
    </row>
    <row r="22793" spans="1:14" x14ac:dyDescent="0.3">
      <c r="A22793" s="42"/>
      <c r="C22793" s="52"/>
      <c r="D22793"/>
      <c r="E22793"/>
      <c r="F22793"/>
      <c r="N22793" s="56"/>
    </row>
    <row r="22794" spans="1:14" x14ac:dyDescent="0.3">
      <c r="A22794" s="42"/>
      <c r="C22794" s="52"/>
      <c r="D22794"/>
      <c r="E22794"/>
      <c r="F22794"/>
      <c r="N22794" s="56"/>
    </row>
    <row r="22795" spans="1:14" x14ac:dyDescent="0.3">
      <c r="A22795" s="42"/>
      <c r="C22795" s="52"/>
      <c r="D22795"/>
      <c r="E22795"/>
      <c r="F22795"/>
      <c r="N22795" s="56"/>
    </row>
    <row r="22796" spans="1:14" x14ac:dyDescent="0.3">
      <c r="A22796" s="42"/>
      <c r="C22796" s="52"/>
      <c r="D22796"/>
      <c r="E22796"/>
      <c r="F22796"/>
      <c r="N22796" s="56"/>
    </row>
    <row r="22797" spans="1:14" x14ac:dyDescent="0.3">
      <c r="A22797" s="42"/>
      <c r="C22797" s="52"/>
      <c r="D22797"/>
      <c r="E22797"/>
      <c r="F22797"/>
      <c r="N22797" s="56"/>
    </row>
    <row r="22798" spans="1:14" x14ac:dyDescent="0.3">
      <c r="A22798" s="42"/>
      <c r="C22798" s="52"/>
      <c r="D22798"/>
      <c r="E22798"/>
      <c r="F22798"/>
      <c r="N22798" s="56"/>
    </row>
    <row r="22799" spans="1:14" x14ac:dyDescent="0.3">
      <c r="A22799" s="42"/>
      <c r="C22799" s="52"/>
      <c r="D22799"/>
      <c r="E22799"/>
      <c r="F22799"/>
      <c r="N22799" s="56"/>
    </row>
    <row r="22800" spans="1:14" x14ac:dyDescent="0.3">
      <c r="A22800" s="42"/>
      <c r="C22800" s="52"/>
      <c r="D22800"/>
      <c r="E22800"/>
      <c r="F22800"/>
      <c r="N22800" s="56"/>
    </row>
    <row r="22801" spans="1:14" x14ac:dyDescent="0.3">
      <c r="A22801" s="42"/>
      <c r="C22801" s="52"/>
      <c r="D22801"/>
      <c r="E22801"/>
      <c r="F22801"/>
      <c r="N22801" s="56"/>
    </row>
    <row r="22802" spans="1:14" x14ac:dyDescent="0.3">
      <c r="A22802" s="42"/>
      <c r="C22802" s="52"/>
      <c r="D22802"/>
      <c r="E22802"/>
      <c r="F22802"/>
      <c r="N22802" s="56"/>
    </row>
    <row r="22803" spans="1:14" x14ac:dyDescent="0.3">
      <c r="A22803" s="42"/>
      <c r="C22803" s="52"/>
      <c r="D22803"/>
      <c r="E22803"/>
      <c r="F22803"/>
      <c r="N22803" s="56"/>
    </row>
    <row r="22804" spans="1:14" x14ac:dyDescent="0.3">
      <c r="A22804" s="42"/>
      <c r="C22804" s="52"/>
      <c r="D22804"/>
      <c r="E22804"/>
      <c r="F22804"/>
      <c r="N22804" s="56"/>
    </row>
    <row r="22805" spans="1:14" x14ac:dyDescent="0.3">
      <c r="A22805" s="42"/>
      <c r="C22805" s="52"/>
      <c r="D22805"/>
      <c r="E22805"/>
      <c r="F22805"/>
      <c r="N22805" s="56"/>
    </row>
    <row r="22806" spans="1:14" x14ac:dyDescent="0.3">
      <c r="A22806" s="42"/>
      <c r="C22806" s="52"/>
      <c r="D22806"/>
      <c r="E22806"/>
      <c r="F22806"/>
      <c r="N22806" s="56"/>
    </row>
    <row r="22807" spans="1:14" x14ac:dyDescent="0.3">
      <c r="A22807" s="42"/>
      <c r="C22807" s="52"/>
      <c r="D22807"/>
      <c r="E22807"/>
      <c r="F22807"/>
      <c r="N22807" s="56"/>
    </row>
    <row r="22808" spans="1:14" x14ac:dyDescent="0.3">
      <c r="A22808" s="42"/>
      <c r="C22808" s="52"/>
      <c r="D22808"/>
      <c r="E22808"/>
      <c r="F22808"/>
      <c r="N22808" s="56"/>
    </row>
    <row r="22809" spans="1:14" x14ac:dyDescent="0.3">
      <c r="A22809" s="42"/>
      <c r="C22809" s="52"/>
      <c r="D22809"/>
      <c r="E22809"/>
      <c r="F22809"/>
      <c r="N22809" s="56"/>
    </row>
    <row r="22810" spans="1:14" x14ac:dyDescent="0.3">
      <c r="A22810" s="42"/>
      <c r="C22810" s="52"/>
      <c r="D22810"/>
      <c r="E22810"/>
      <c r="F22810"/>
      <c r="N22810" s="56"/>
    </row>
    <row r="22811" spans="1:14" x14ac:dyDescent="0.3">
      <c r="A22811" s="42"/>
      <c r="C22811" s="52"/>
      <c r="D22811"/>
      <c r="E22811"/>
      <c r="F22811"/>
      <c r="N22811" s="56"/>
    </row>
    <row r="22812" spans="1:14" x14ac:dyDescent="0.3">
      <c r="A22812" s="42"/>
      <c r="C22812" s="52"/>
      <c r="D22812"/>
      <c r="E22812"/>
      <c r="F22812"/>
      <c r="N22812" s="56"/>
    </row>
    <row r="22813" spans="1:14" x14ac:dyDescent="0.3">
      <c r="A22813" s="42"/>
      <c r="C22813" s="52"/>
      <c r="D22813"/>
      <c r="E22813"/>
      <c r="F22813"/>
      <c r="N22813" s="56"/>
    </row>
    <row r="22814" spans="1:14" x14ac:dyDescent="0.3">
      <c r="A22814" s="42"/>
      <c r="C22814" s="52"/>
      <c r="D22814"/>
      <c r="E22814"/>
      <c r="F22814"/>
      <c r="N22814" s="56"/>
    </row>
    <row r="22815" spans="1:14" x14ac:dyDescent="0.3">
      <c r="A22815" s="42"/>
      <c r="C22815" s="52"/>
      <c r="D22815"/>
      <c r="E22815"/>
      <c r="F22815"/>
      <c r="N22815" s="56"/>
    </row>
    <row r="22816" spans="1:14" x14ac:dyDescent="0.3">
      <c r="A22816" s="42"/>
      <c r="C22816" s="52"/>
      <c r="D22816"/>
      <c r="E22816"/>
      <c r="F22816"/>
      <c r="N22816" s="56"/>
    </row>
    <row r="22817" spans="1:14" x14ac:dyDescent="0.3">
      <c r="A22817" s="42"/>
      <c r="C22817" s="52"/>
      <c r="D22817"/>
      <c r="E22817"/>
      <c r="F22817"/>
      <c r="N22817" s="56"/>
    </row>
    <row r="22818" spans="1:14" x14ac:dyDescent="0.3">
      <c r="A22818" s="42"/>
      <c r="C22818" s="52"/>
      <c r="D22818"/>
      <c r="E22818"/>
      <c r="F22818"/>
      <c r="N22818" s="56"/>
    </row>
    <row r="22819" spans="1:14" x14ac:dyDescent="0.3">
      <c r="A22819" s="42"/>
      <c r="C22819" s="52"/>
      <c r="D22819"/>
      <c r="E22819"/>
      <c r="F22819"/>
      <c r="M22819" s="45"/>
      <c r="N22819" s="56"/>
    </row>
    <row r="22820" spans="1:14" x14ac:dyDescent="0.3">
      <c r="A22820" s="42"/>
      <c r="C22820" s="52"/>
      <c r="D22820"/>
      <c r="E22820"/>
      <c r="F22820"/>
      <c r="N22820" s="56"/>
    </row>
    <row r="22821" spans="1:14" x14ac:dyDescent="0.3">
      <c r="A22821" s="42"/>
      <c r="C22821" s="52"/>
      <c r="D22821"/>
      <c r="E22821"/>
      <c r="F22821"/>
      <c r="N22821" s="56"/>
    </row>
    <row r="22822" spans="1:14" x14ac:dyDescent="0.3">
      <c r="A22822" s="42"/>
      <c r="C22822" s="52"/>
      <c r="D22822"/>
      <c r="E22822"/>
      <c r="F22822"/>
      <c r="N22822" s="56"/>
    </row>
    <row r="22823" spans="1:14" x14ac:dyDescent="0.3">
      <c r="A22823" s="42"/>
      <c r="C22823" s="52"/>
      <c r="D22823"/>
      <c r="E22823"/>
      <c r="F22823"/>
      <c r="N22823" s="56"/>
    </row>
    <row r="22824" spans="1:14" x14ac:dyDescent="0.3">
      <c r="A22824" s="42"/>
      <c r="C22824" s="52"/>
      <c r="D22824"/>
      <c r="E22824"/>
      <c r="F22824"/>
      <c r="N22824" s="56"/>
    </row>
    <row r="22825" spans="1:14" x14ac:dyDescent="0.3">
      <c r="A22825" s="42"/>
      <c r="C22825" s="52"/>
      <c r="D22825"/>
      <c r="E22825"/>
      <c r="F22825"/>
      <c r="N22825" s="56"/>
    </row>
    <row r="22826" spans="1:14" x14ac:dyDescent="0.3">
      <c r="A22826" s="42"/>
      <c r="C22826" s="52"/>
      <c r="D22826"/>
      <c r="E22826"/>
      <c r="F22826"/>
      <c r="N22826" s="56"/>
    </row>
    <row r="22827" spans="1:14" x14ac:dyDescent="0.3">
      <c r="A22827" s="42"/>
      <c r="C22827" s="52"/>
      <c r="D22827"/>
      <c r="E22827"/>
      <c r="F22827"/>
      <c r="N22827" s="56"/>
    </row>
    <row r="22828" spans="1:14" x14ac:dyDescent="0.3">
      <c r="A22828" s="42"/>
      <c r="C22828" s="52"/>
      <c r="D22828"/>
      <c r="E22828"/>
      <c r="F22828"/>
      <c r="N22828" s="56"/>
    </row>
    <row r="22829" spans="1:14" x14ac:dyDescent="0.3">
      <c r="A22829" s="42"/>
      <c r="C22829" s="52"/>
      <c r="D22829"/>
      <c r="E22829"/>
      <c r="F22829"/>
      <c r="N22829" s="56"/>
    </row>
    <row r="22830" spans="1:14" x14ac:dyDescent="0.3">
      <c r="A22830" s="42"/>
      <c r="C22830" s="52"/>
      <c r="D22830"/>
      <c r="E22830"/>
      <c r="F22830"/>
      <c r="N22830" s="56"/>
    </row>
    <row r="22831" spans="1:14" x14ac:dyDescent="0.3">
      <c r="A22831" s="42"/>
      <c r="C22831" s="52"/>
      <c r="D22831"/>
      <c r="E22831"/>
      <c r="F22831"/>
      <c r="N22831" s="56"/>
    </row>
    <row r="22832" spans="1:14" x14ac:dyDescent="0.3">
      <c r="A22832" s="42"/>
      <c r="C22832" s="52"/>
      <c r="D22832"/>
      <c r="E22832"/>
      <c r="F22832"/>
      <c r="N22832" s="56"/>
    </row>
    <row r="22833" spans="1:14" x14ac:dyDescent="0.3">
      <c r="A22833" s="42"/>
      <c r="C22833" s="52"/>
      <c r="D22833"/>
      <c r="E22833"/>
      <c r="F22833"/>
      <c r="N22833" s="56"/>
    </row>
    <row r="22834" spans="1:14" x14ac:dyDescent="0.3">
      <c r="A22834" s="42"/>
      <c r="C22834" s="52"/>
      <c r="D22834"/>
      <c r="E22834"/>
      <c r="F22834"/>
      <c r="N22834" s="56"/>
    </row>
    <row r="22835" spans="1:14" x14ac:dyDescent="0.3">
      <c r="A22835" s="42"/>
      <c r="C22835" s="52"/>
      <c r="D22835"/>
      <c r="E22835"/>
      <c r="F22835"/>
      <c r="N22835" s="56"/>
    </row>
    <row r="22836" spans="1:14" x14ac:dyDescent="0.3">
      <c r="A22836" s="42"/>
      <c r="C22836" s="52"/>
      <c r="D22836"/>
      <c r="E22836"/>
      <c r="F22836"/>
      <c r="N22836" s="56"/>
    </row>
    <row r="22837" spans="1:14" x14ac:dyDescent="0.3">
      <c r="A22837" s="42"/>
      <c r="C22837" s="52"/>
      <c r="D22837"/>
      <c r="E22837"/>
      <c r="F22837"/>
      <c r="N22837" s="56"/>
    </row>
    <row r="22838" spans="1:14" x14ac:dyDescent="0.3">
      <c r="A22838" s="42"/>
      <c r="C22838" s="52"/>
      <c r="D22838"/>
      <c r="E22838"/>
      <c r="F22838"/>
      <c r="N22838" s="56"/>
    </row>
    <row r="22839" spans="1:14" x14ac:dyDescent="0.3">
      <c r="A22839" s="42"/>
      <c r="C22839" s="52"/>
      <c r="D22839"/>
      <c r="E22839"/>
      <c r="F22839"/>
      <c r="N22839" s="56"/>
    </row>
    <row r="22840" spans="1:14" x14ac:dyDescent="0.3">
      <c r="A22840" s="42"/>
      <c r="C22840" s="52"/>
      <c r="D22840"/>
      <c r="E22840"/>
      <c r="F22840"/>
      <c r="N22840" s="56"/>
    </row>
    <row r="22841" spans="1:14" x14ac:dyDescent="0.3">
      <c r="A22841" s="42"/>
      <c r="C22841" s="52"/>
      <c r="D22841"/>
      <c r="E22841"/>
      <c r="F22841"/>
      <c r="N22841" s="56"/>
    </row>
    <row r="22842" spans="1:14" x14ac:dyDescent="0.3">
      <c r="A22842" s="42"/>
      <c r="C22842" s="52"/>
      <c r="D22842"/>
      <c r="E22842"/>
      <c r="F22842"/>
      <c r="N22842" s="56"/>
    </row>
    <row r="22843" spans="1:14" x14ac:dyDescent="0.3">
      <c r="A22843" s="42"/>
      <c r="C22843" s="52"/>
      <c r="D22843"/>
      <c r="E22843"/>
      <c r="F22843"/>
      <c r="N22843" s="56"/>
    </row>
    <row r="22844" spans="1:14" x14ac:dyDescent="0.3">
      <c r="A22844" s="42"/>
      <c r="C22844" s="52"/>
      <c r="D22844"/>
      <c r="E22844"/>
      <c r="F22844"/>
      <c r="N22844" s="56"/>
    </row>
    <row r="22845" spans="1:14" x14ac:dyDescent="0.3">
      <c r="A22845" s="42"/>
      <c r="C22845" s="52"/>
      <c r="D22845"/>
      <c r="E22845"/>
      <c r="F22845"/>
      <c r="N22845" s="56"/>
    </row>
    <row r="22846" spans="1:14" x14ac:dyDescent="0.3">
      <c r="A22846" s="42"/>
      <c r="C22846" s="52"/>
      <c r="D22846"/>
      <c r="E22846"/>
      <c r="F22846"/>
      <c r="N22846" s="56"/>
    </row>
    <row r="22847" spans="1:14" x14ac:dyDescent="0.3">
      <c r="A22847" s="42"/>
      <c r="C22847" s="52"/>
      <c r="D22847"/>
      <c r="E22847"/>
      <c r="F22847"/>
      <c r="N22847" s="56"/>
    </row>
    <row r="22848" spans="1:14" x14ac:dyDescent="0.3">
      <c r="A22848" s="42"/>
      <c r="C22848" s="52"/>
      <c r="D22848"/>
      <c r="E22848"/>
      <c r="F22848"/>
      <c r="N22848" s="56"/>
    </row>
    <row r="22849" spans="1:14" x14ac:dyDescent="0.3">
      <c r="A22849" s="42"/>
      <c r="C22849" s="52"/>
      <c r="D22849"/>
      <c r="E22849"/>
      <c r="F22849"/>
      <c r="N22849" s="56"/>
    </row>
    <row r="22850" spans="1:14" x14ac:dyDescent="0.3">
      <c r="A22850" s="42"/>
      <c r="C22850" s="52"/>
      <c r="D22850"/>
      <c r="E22850"/>
      <c r="F22850"/>
      <c r="N22850" s="56"/>
    </row>
    <row r="22851" spans="1:14" x14ac:dyDescent="0.3">
      <c r="A22851" s="42"/>
      <c r="C22851" s="52"/>
      <c r="D22851"/>
      <c r="E22851"/>
      <c r="F22851"/>
      <c r="N22851" s="56"/>
    </row>
    <row r="22852" spans="1:14" x14ac:dyDescent="0.3">
      <c r="A22852" s="42"/>
      <c r="C22852" s="52"/>
      <c r="D22852"/>
      <c r="E22852"/>
      <c r="F22852"/>
      <c r="N22852" s="56"/>
    </row>
    <row r="22853" spans="1:14" x14ac:dyDescent="0.3">
      <c r="A22853" s="42"/>
      <c r="C22853" s="52"/>
      <c r="D22853"/>
      <c r="E22853"/>
      <c r="F22853"/>
      <c r="N22853" s="56"/>
    </row>
    <row r="22854" spans="1:14" x14ac:dyDescent="0.3">
      <c r="A22854" s="42"/>
      <c r="C22854" s="52"/>
      <c r="D22854"/>
      <c r="E22854"/>
      <c r="F22854"/>
      <c r="N22854" s="56"/>
    </row>
    <row r="22855" spans="1:14" x14ac:dyDescent="0.3">
      <c r="A22855" s="42"/>
      <c r="C22855" s="52"/>
      <c r="D22855"/>
      <c r="E22855"/>
      <c r="F22855"/>
      <c r="N22855" s="56"/>
    </row>
    <row r="22856" spans="1:14" x14ac:dyDescent="0.3">
      <c r="A22856" s="42"/>
      <c r="C22856" s="52"/>
      <c r="D22856"/>
      <c r="E22856"/>
      <c r="F22856"/>
      <c r="N22856" s="56"/>
    </row>
    <row r="22857" spans="1:14" x14ac:dyDescent="0.3">
      <c r="A22857" s="42"/>
      <c r="C22857" s="52"/>
      <c r="D22857"/>
      <c r="E22857"/>
      <c r="F22857"/>
      <c r="N22857" s="56"/>
    </row>
    <row r="22858" spans="1:14" x14ac:dyDescent="0.3">
      <c r="A22858" s="42"/>
      <c r="C22858" s="52"/>
      <c r="D22858"/>
      <c r="E22858"/>
      <c r="F22858"/>
      <c r="N22858" s="56"/>
    </row>
    <row r="22859" spans="1:14" x14ac:dyDescent="0.3">
      <c r="A22859" s="42"/>
      <c r="C22859" s="52"/>
      <c r="D22859"/>
      <c r="E22859"/>
      <c r="F22859"/>
      <c r="N22859" s="56"/>
    </row>
    <row r="22860" spans="1:14" x14ac:dyDescent="0.3">
      <c r="A22860" s="42"/>
      <c r="C22860" s="52"/>
      <c r="D22860"/>
      <c r="E22860"/>
      <c r="F22860"/>
      <c r="N22860" s="56"/>
    </row>
    <row r="22861" spans="1:14" x14ac:dyDescent="0.3">
      <c r="A22861" s="42"/>
      <c r="C22861" s="52"/>
      <c r="D22861"/>
      <c r="E22861"/>
      <c r="F22861"/>
      <c r="N22861" s="56"/>
    </row>
    <row r="22862" spans="1:14" x14ac:dyDescent="0.3">
      <c r="A22862" s="42"/>
      <c r="C22862" s="52"/>
      <c r="D22862"/>
      <c r="E22862"/>
      <c r="F22862"/>
      <c r="N22862" s="56"/>
    </row>
    <row r="22863" spans="1:14" x14ac:dyDescent="0.3">
      <c r="A22863" s="42"/>
      <c r="C22863" s="52"/>
      <c r="D22863"/>
      <c r="E22863"/>
      <c r="F22863"/>
      <c r="N22863" s="56"/>
    </row>
    <row r="22864" spans="1:14" x14ac:dyDescent="0.3">
      <c r="A22864" s="42"/>
      <c r="C22864" s="52"/>
      <c r="D22864"/>
      <c r="E22864"/>
      <c r="F22864"/>
      <c r="N22864" s="56"/>
    </row>
    <row r="22865" spans="1:14" x14ac:dyDescent="0.3">
      <c r="A22865" s="42"/>
      <c r="C22865" s="52"/>
      <c r="D22865"/>
      <c r="E22865"/>
      <c r="F22865"/>
      <c r="N22865" s="56"/>
    </row>
    <row r="22866" spans="1:14" x14ac:dyDescent="0.3">
      <c r="A22866" s="42"/>
      <c r="C22866" s="52"/>
      <c r="D22866"/>
      <c r="E22866"/>
      <c r="F22866"/>
      <c r="N22866" s="56"/>
    </row>
    <row r="22867" spans="1:14" x14ac:dyDescent="0.3">
      <c r="A22867" s="42"/>
      <c r="C22867" s="52"/>
      <c r="D22867"/>
      <c r="E22867"/>
      <c r="F22867"/>
      <c r="N22867" s="56"/>
    </row>
    <row r="22868" spans="1:14" x14ac:dyDescent="0.3">
      <c r="A22868" s="42"/>
      <c r="C22868" s="52"/>
      <c r="D22868"/>
      <c r="E22868"/>
      <c r="F22868"/>
      <c r="N22868" s="56"/>
    </row>
    <row r="22869" spans="1:14" x14ac:dyDescent="0.3">
      <c r="A22869" s="42"/>
      <c r="C22869" s="52"/>
      <c r="D22869"/>
      <c r="E22869"/>
      <c r="F22869"/>
      <c r="N22869" s="56"/>
    </row>
    <row r="22870" spans="1:14" x14ac:dyDescent="0.3">
      <c r="A22870" s="42"/>
      <c r="C22870" s="52"/>
      <c r="D22870"/>
      <c r="E22870"/>
      <c r="F22870"/>
      <c r="N22870" s="56"/>
    </row>
    <row r="22871" spans="1:14" x14ac:dyDescent="0.3">
      <c r="A22871" s="42"/>
      <c r="C22871" s="52"/>
      <c r="D22871"/>
      <c r="E22871"/>
      <c r="F22871"/>
      <c r="N22871" s="56"/>
    </row>
    <row r="22872" spans="1:14" x14ac:dyDescent="0.3">
      <c r="A22872" s="42"/>
      <c r="C22872" s="52"/>
      <c r="D22872"/>
      <c r="E22872"/>
      <c r="F22872"/>
      <c r="N22872" s="56"/>
    </row>
    <row r="22873" spans="1:14" x14ac:dyDescent="0.3">
      <c r="A22873" s="42"/>
      <c r="C22873" s="52"/>
      <c r="D22873"/>
      <c r="E22873"/>
      <c r="F22873"/>
      <c r="N22873" s="56"/>
    </row>
    <row r="22874" spans="1:14" x14ac:dyDescent="0.3">
      <c r="A22874" s="42"/>
      <c r="C22874" s="52"/>
      <c r="D22874"/>
      <c r="E22874"/>
      <c r="F22874"/>
      <c r="N22874" s="56"/>
    </row>
    <row r="22875" spans="1:14" x14ac:dyDescent="0.3">
      <c r="A22875" s="42"/>
      <c r="C22875" s="52"/>
      <c r="D22875"/>
      <c r="E22875"/>
      <c r="F22875"/>
      <c r="N22875" s="56"/>
    </row>
    <row r="22876" spans="1:14" x14ac:dyDescent="0.3">
      <c r="A22876" s="42"/>
      <c r="C22876" s="52"/>
      <c r="D22876"/>
      <c r="E22876"/>
      <c r="F22876"/>
      <c r="N22876" s="56"/>
    </row>
    <row r="22877" spans="1:14" x14ac:dyDescent="0.3">
      <c r="A22877" s="42"/>
      <c r="C22877" s="52"/>
      <c r="D22877"/>
      <c r="E22877"/>
      <c r="F22877"/>
      <c r="N22877" s="56"/>
    </row>
    <row r="22878" spans="1:14" x14ac:dyDescent="0.3">
      <c r="A22878" s="42"/>
      <c r="C22878" s="52"/>
      <c r="D22878"/>
      <c r="E22878"/>
      <c r="F22878"/>
      <c r="N22878" s="56"/>
    </row>
    <row r="22879" spans="1:14" x14ac:dyDescent="0.3">
      <c r="A22879" s="42"/>
      <c r="C22879" s="52"/>
      <c r="D22879"/>
      <c r="E22879"/>
      <c r="F22879"/>
      <c r="N22879" s="56"/>
    </row>
    <row r="22880" spans="1:14" x14ac:dyDescent="0.3">
      <c r="A22880" s="42"/>
      <c r="C22880" s="52"/>
      <c r="D22880"/>
      <c r="E22880"/>
      <c r="F22880"/>
      <c r="N22880" s="56"/>
    </row>
    <row r="22881" spans="1:14" x14ac:dyDescent="0.3">
      <c r="A22881" s="42"/>
      <c r="C22881" s="52"/>
      <c r="D22881"/>
      <c r="E22881"/>
      <c r="F22881"/>
      <c r="N22881" s="56"/>
    </row>
    <row r="22882" spans="1:14" x14ac:dyDescent="0.3">
      <c r="A22882" s="42"/>
      <c r="C22882" s="52"/>
      <c r="D22882"/>
      <c r="E22882"/>
      <c r="F22882"/>
      <c r="N22882" s="56"/>
    </row>
    <row r="22883" spans="1:14" x14ac:dyDescent="0.3">
      <c r="A22883" s="42"/>
      <c r="C22883" s="52"/>
      <c r="D22883"/>
      <c r="E22883"/>
      <c r="F22883"/>
      <c r="N22883" s="56"/>
    </row>
    <row r="22884" spans="1:14" x14ac:dyDescent="0.3">
      <c r="A22884" s="42"/>
      <c r="C22884" s="52"/>
      <c r="D22884"/>
      <c r="E22884"/>
      <c r="F22884"/>
      <c r="N22884" s="56"/>
    </row>
    <row r="22885" spans="1:14" x14ac:dyDescent="0.3">
      <c r="A22885" s="42"/>
      <c r="C22885" s="52"/>
      <c r="D22885"/>
      <c r="E22885"/>
      <c r="F22885"/>
      <c r="N22885" s="56"/>
    </row>
    <row r="22886" spans="1:14" x14ac:dyDescent="0.3">
      <c r="A22886" s="42"/>
      <c r="C22886" s="52"/>
      <c r="D22886"/>
      <c r="E22886"/>
      <c r="F22886"/>
      <c r="N22886" s="56"/>
    </row>
    <row r="22887" spans="1:14" x14ac:dyDescent="0.3">
      <c r="A22887" s="42"/>
      <c r="C22887" s="52"/>
      <c r="D22887"/>
      <c r="E22887"/>
      <c r="F22887"/>
      <c r="N22887" s="56"/>
    </row>
    <row r="22888" spans="1:14" x14ac:dyDescent="0.3">
      <c r="A22888" s="42"/>
      <c r="C22888" s="52"/>
      <c r="D22888"/>
      <c r="E22888"/>
      <c r="F22888"/>
      <c r="N22888" s="56"/>
    </row>
    <row r="22889" spans="1:14" x14ac:dyDescent="0.3">
      <c r="A22889" s="42"/>
      <c r="C22889" s="52"/>
      <c r="D22889"/>
      <c r="E22889"/>
      <c r="F22889"/>
      <c r="N22889" s="56"/>
    </row>
    <row r="22890" spans="1:14" x14ac:dyDescent="0.3">
      <c r="A22890" s="42"/>
      <c r="C22890" s="52"/>
      <c r="D22890"/>
      <c r="E22890"/>
      <c r="F22890"/>
      <c r="N22890" s="56"/>
    </row>
    <row r="22891" spans="1:14" x14ac:dyDescent="0.3">
      <c r="A22891" s="42"/>
      <c r="C22891" s="52"/>
      <c r="D22891"/>
      <c r="E22891"/>
      <c r="F22891"/>
      <c r="N22891" s="56"/>
    </row>
    <row r="22892" spans="1:14" x14ac:dyDescent="0.3">
      <c r="A22892" s="42"/>
      <c r="C22892" s="52"/>
      <c r="D22892"/>
      <c r="E22892"/>
      <c r="F22892"/>
      <c r="N22892" s="56"/>
    </row>
    <row r="22893" spans="1:14" x14ac:dyDescent="0.3">
      <c r="A22893" s="42"/>
      <c r="C22893" s="52"/>
      <c r="D22893"/>
      <c r="E22893"/>
      <c r="F22893"/>
      <c r="N22893" s="56"/>
    </row>
    <row r="22894" spans="1:14" x14ac:dyDescent="0.3">
      <c r="A22894" s="42"/>
      <c r="C22894" s="52"/>
      <c r="D22894"/>
      <c r="E22894"/>
      <c r="F22894"/>
      <c r="N22894" s="56"/>
    </row>
    <row r="22895" spans="1:14" x14ac:dyDescent="0.3">
      <c r="A22895" s="42"/>
      <c r="C22895" s="52"/>
      <c r="D22895"/>
      <c r="E22895"/>
      <c r="F22895"/>
      <c r="N22895" s="56"/>
    </row>
    <row r="22896" spans="1:14" x14ac:dyDescent="0.3">
      <c r="A22896" s="42"/>
      <c r="C22896" s="52"/>
      <c r="D22896"/>
      <c r="E22896"/>
      <c r="F22896"/>
      <c r="N22896" s="56"/>
    </row>
    <row r="22897" spans="1:14" x14ac:dyDescent="0.3">
      <c r="A22897" s="42"/>
      <c r="C22897" s="52"/>
      <c r="D22897"/>
      <c r="E22897"/>
      <c r="F22897"/>
      <c r="N22897" s="56"/>
    </row>
    <row r="22898" spans="1:14" x14ac:dyDescent="0.3">
      <c r="A22898" s="42"/>
      <c r="C22898" s="52"/>
      <c r="D22898"/>
      <c r="E22898"/>
      <c r="F22898"/>
      <c r="N22898" s="56"/>
    </row>
    <row r="22899" spans="1:14" x14ac:dyDescent="0.3">
      <c r="A22899" s="42"/>
      <c r="C22899" s="52"/>
      <c r="D22899"/>
      <c r="E22899"/>
      <c r="F22899"/>
      <c r="N22899" s="56"/>
    </row>
    <row r="22900" spans="1:14" x14ac:dyDescent="0.3">
      <c r="A22900" s="42"/>
      <c r="C22900" s="52"/>
      <c r="D22900"/>
      <c r="E22900"/>
      <c r="F22900"/>
      <c r="N22900" s="56"/>
    </row>
    <row r="22901" spans="1:14" x14ac:dyDescent="0.3">
      <c r="A22901" s="42"/>
      <c r="C22901" s="52"/>
      <c r="D22901"/>
      <c r="E22901"/>
      <c r="F22901"/>
      <c r="N22901" s="56"/>
    </row>
    <row r="22902" spans="1:14" x14ac:dyDescent="0.3">
      <c r="A22902" s="42"/>
      <c r="C22902" s="52"/>
      <c r="D22902"/>
      <c r="E22902"/>
      <c r="F22902"/>
      <c r="N22902" s="56"/>
    </row>
    <row r="22903" spans="1:14" x14ac:dyDescent="0.3">
      <c r="A22903" s="42"/>
      <c r="C22903" s="52"/>
      <c r="D22903"/>
      <c r="E22903"/>
      <c r="F22903"/>
      <c r="N22903" s="56"/>
    </row>
    <row r="22904" spans="1:14" x14ac:dyDescent="0.3">
      <c r="A22904" s="42"/>
      <c r="C22904" s="52"/>
      <c r="D22904"/>
      <c r="E22904"/>
      <c r="F22904"/>
      <c r="N22904" s="56"/>
    </row>
    <row r="22905" spans="1:14" x14ac:dyDescent="0.3">
      <c r="A22905" s="42"/>
      <c r="C22905" s="52"/>
      <c r="D22905"/>
      <c r="E22905"/>
      <c r="F22905"/>
      <c r="N22905" s="56"/>
    </row>
    <row r="22906" spans="1:14" x14ac:dyDescent="0.3">
      <c r="A22906" s="42"/>
      <c r="C22906" s="52"/>
      <c r="D22906"/>
      <c r="E22906"/>
      <c r="F22906"/>
      <c r="N22906" s="56"/>
    </row>
    <row r="22907" spans="1:14" x14ac:dyDescent="0.3">
      <c r="A22907" s="42"/>
      <c r="C22907" s="52"/>
      <c r="D22907"/>
      <c r="E22907"/>
      <c r="F22907"/>
      <c r="N22907" s="56"/>
    </row>
    <row r="22908" spans="1:14" x14ac:dyDescent="0.3">
      <c r="A22908" s="42"/>
      <c r="C22908" s="52"/>
      <c r="D22908"/>
      <c r="E22908"/>
      <c r="F22908"/>
      <c r="N22908" s="56"/>
    </row>
    <row r="22909" spans="1:14" x14ac:dyDescent="0.3">
      <c r="A22909" s="42"/>
      <c r="C22909" s="52"/>
      <c r="D22909"/>
      <c r="E22909"/>
      <c r="F22909"/>
      <c r="N22909" s="56"/>
    </row>
    <row r="22910" spans="1:14" x14ac:dyDescent="0.3">
      <c r="A22910" s="42"/>
      <c r="C22910" s="52"/>
      <c r="D22910"/>
      <c r="E22910"/>
      <c r="F22910"/>
      <c r="N22910" s="56"/>
    </row>
    <row r="22911" spans="1:14" x14ac:dyDescent="0.3">
      <c r="A22911" s="42"/>
      <c r="C22911" s="52"/>
      <c r="D22911"/>
      <c r="E22911"/>
      <c r="F22911"/>
      <c r="N22911" s="56"/>
    </row>
    <row r="22912" spans="1:14" x14ac:dyDescent="0.3">
      <c r="A22912" s="42"/>
      <c r="C22912" s="52"/>
      <c r="D22912"/>
      <c r="E22912"/>
      <c r="F22912"/>
      <c r="N22912" s="56"/>
    </row>
    <row r="22913" spans="1:14" x14ac:dyDescent="0.3">
      <c r="A22913" s="42"/>
      <c r="C22913" s="52"/>
      <c r="D22913"/>
      <c r="E22913"/>
      <c r="F22913"/>
      <c r="N22913" s="56"/>
    </row>
    <row r="22914" spans="1:14" x14ac:dyDescent="0.3">
      <c r="A22914" s="42"/>
      <c r="C22914" s="52"/>
      <c r="D22914"/>
      <c r="E22914"/>
      <c r="F22914"/>
      <c r="N22914" s="56"/>
    </row>
    <row r="22915" spans="1:14" x14ac:dyDescent="0.3">
      <c r="A22915" s="42"/>
      <c r="C22915" s="52"/>
      <c r="D22915"/>
      <c r="E22915"/>
      <c r="F22915"/>
      <c r="N22915" s="56"/>
    </row>
    <row r="22916" spans="1:14" x14ac:dyDescent="0.3">
      <c r="A22916" s="42"/>
      <c r="C22916" s="52"/>
      <c r="D22916"/>
      <c r="E22916"/>
      <c r="F22916"/>
      <c r="N22916" s="56"/>
    </row>
    <row r="22917" spans="1:14" x14ac:dyDescent="0.3">
      <c r="A22917" s="42"/>
      <c r="C22917" s="52"/>
      <c r="D22917"/>
      <c r="E22917"/>
      <c r="F22917"/>
      <c r="N22917" s="56"/>
    </row>
    <row r="22918" spans="1:14" x14ac:dyDescent="0.3">
      <c r="A22918" s="42"/>
      <c r="C22918" s="52"/>
      <c r="D22918"/>
      <c r="E22918"/>
      <c r="F22918"/>
      <c r="L22918" s="45"/>
      <c r="N22918" s="56"/>
    </row>
    <row r="22919" spans="1:14" x14ac:dyDescent="0.3">
      <c r="A22919" s="42"/>
      <c r="C22919" s="52"/>
      <c r="D22919"/>
      <c r="E22919"/>
      <c r="F22919"/>
      <c r="N22919" s="56"/>
    </row>
    <row r="22920" spans="1:14" x14ac:dyDescent="0.3">
      <c r="A22920" s="42"/>
      <c r="C22920" s="52"/>
      <c r="D22920"/>
      <c r="E22920"/>
      <c r="F22920"/>
      <c r="N22920" s="56"/>
    </row>
    <row r="22921" spans="1:14" x14ac:dyDescent="0.3">
      <c r="A22921" s="42"/>
      <c r="C22921" s="52"/>
      <c r="D22921"/>
      <c r="E22921"/>
      <c r="F22921"/>
      <c r="N22921" s="56"/>
    </row>
    <row r="22922" spans="1:14" x14ac:dyDescent="0.3">
      <c r="A22922" s="42"/>
      <c r="C22922" s="52"/>
      <c r="D22922"/>
      <c r="E22922"/>
      <c r="F22922"/>
      <c r="N22922" s="56"/>
    </row>
    <row r="22923" spans="1:14" x14ac:dyDescent="0.3">
      <c r="A22923" s="42"/>
      <c r="C22923" s="52"/>
      <c r="D22923"/>
      <c r="E22923"/>
      <c r="F22923"/>
      <c r="N22923" s="56"/>
    </row>
    <row r="22924" spans="1:14" x14ac:dyDescent="0.3">
      <c r="A22924" s="42"/>
      <c r="C22924" s="52"/>
      <c r="D22924"/>
      <c r="E22924"/>
      <c r="F22924"/>
      <c r="N22924" s="56"/>
    </row>
    <row r="22925" spans="1:14" x14ac:dyDescent="0.3">
      <c r="A22925" s="42"/>
      <c r="C22925" s="52"/>
      <c r="D22925"/>
      <c r="E22925"/>
      <c r="F22925"/>
      <c r="N22925" s="56"/>
    </row>
    <row r="22926" spans="1:14" x14ac:dyDescent="0.3">
      <c r="A22926" s="42"/>
      <c r="C22926" s="52"/>
      <c r="D22926"/>
      <c r="E22926"/>
      <c r="F22926"/>
      <c r="L22926" s="45"/>
      <c r="N22926" s="56"/>
    </row>
    <row r="22927" spans="1:14" x14ac:dyDescent="0.3">
      <c r="A22927" s="42"/>
      <c r="C22927" s="52"/>
      <c r="D22927"/>
      <c r="E22927"/>
      <c r="F22927"/>
      <c r="N22927" s="56"/>
    </row>
    <row r="22928" spans="1:14" x14ac:dyDescent="0.3">
      <c r="A22928" s="42"/>
      <c r="C22928" s="52"/>
      <c r="D22928"/>
      <c r="E22928"/>
      <c r="F22928"/>
      <c r="N22928" s="56"/>
    </row>
    <row r="22929" spans="1:14" x14ac:dyDescent="0.3">
      <c r="A22929" s="42"/>
      <c r="C22929" s="52"/>
      <c r="D22929"/>
      <c r="E22929"/>
      <c r="F22929"/>
      <c r="N22929" s="56"/>
    </row>
    <row r="22930" spans="1:14" x14ac:dyDescent="0.3">
      <c r="A22930" s="42"/>
      <c r="C22930" s="52"/>
      <c r="D22930"/>
      <c r="E22930"/>
      <c r="F22930"/>
      <c r="N22930" s="56"/>
    </row>
    <row r="22931" spans="1:14" x14ac:dyDescent="0.3">
      <c r="A22931" s="42"/>
      <c r="C22931" s="52"/>
      <c r="D22931"/>
      <c r="E22931"/>
      <c r="F22931"/>
      <c r="N22931" s="56"/>
    </row>
    <row r="22932" spans="1:14" x14ac:dyDescent="0.3">
      <c r="A22932" s="42"/>
      <c r="C22932" s="52"/>
      <c r="D22932"/>
      <c r="E22932"/>
      <c r="F22932"/>
      <c r="N22932" s="56"/>
    </row>
    <row r="22933" spans="1:14" x14ac:dyDescent="0.3">
      <c r="A22933" s="42"/>
      <c r="C22933" s="52"/>
      <c r="D22933"/>
      <c r="E22933"/>
      <c r="F22933"/>
      <c r="N22933" s="56"/>
    </row>
    <row r="22934" spans="1:14" x14ac:dyDescent="0.3">
      <c r="A22934" s="42"/>
      <c r="C22934" s="52"/>
      <c r="D22934"/>
      <c r="E22934"/>
      <c r="F22934"/>
      <c r="L22934" s="45"/>
      <c r="N22934" s="56"/>
    </row>
    <row r="22935" spans="1:14" x14ac:dyDescent="0.3">
      <c r="A22935" s="42"/>
      <c r="C22935" s="52"/>
      <c r="D22935"/>
      <c r="E22935"/>
      <c r="F22935"/>
      <c r="N22935" s="56"/>
    </row>
    <row r="22936" spans="1:14" x14ac:dyDescent="0.3">
      <c r="A22936" s="42"/>
      <c r="C22936" s="52"/>
      <c r="D22936"/>
      <c r="E22936"/>
      <c r="F22936"/>
      <c r="N22936" s="56"/>
    </row>
    <row r="22937" spans="1:14" x14ac:dyDescent="0.3">
      <c r="A22937" s="42"/>
      <c r="C22937" s="52"/>
      <c r="D22937"/>
      <c r="E22937"/>
      <c r="F22937"/>
      <c r="L22937" s="45"/>
      <c r="N22937" s="56"/>
    </row>
    <row r="22938" spans="1:14" x14ac:dyDescent="0.3">
      <c r="A22938" s="42"/>
      <c r="C22938" s="52"/>
      <c r="D22938"/>
      <c r="E22938"/>
      <c r="F22938"/>
      <c r="L22938" s="45"/>
      <c r="N22938" s="56"/>
    </row>
    <row r="22939" spans="1:14" x14ac:dyDescent="0.3">
      <c r="A22939" s="42"/>
      <c r="C22939" s="52"/>
      <c r="D22939"/>
      <c r="E22939"/>
      <c r="F22939"/>
      <c r="N22939" s="56"/>
    </row>
    <row r="22940" spans="1:14" x14ac:dyDescent="0.3">
      <c r="A22940" s="42"/>
      <c r="C22940" s="52"/>
      <c r="D22940"/>
      <c r="E22940"/>
      <c r="F22940"/>
      <c r="N22940" s="56"/>
    </row>
    <row r="22941" spans="1:14" x14ac:dyDescent="0.3">
      <c r="A22941" s="42"/>
      <c r="C22941" s="52"/>
      <c r="D22941"/>
      <c r="E22941"/>
      <c r="F22941"/>
      <c r="L22941" s="45"/>
      <c r="N22941" s="56"/>
    </row>
    <row r="22942" spans="1:14" x14ac:dyDescent="0.3">
      <c r="A22942" s="42"/>
      <c r="C22942" s="52"/>
      <c r="D22942"/>
      <c r="E22942"/>
      <c r="F22942"/>
      <c r="L22942" s="45"/>
      <c r="N22942" s="56"/>
    </row>
    <row r="22943" spans="1:14" x14ac:dyDescent="0.3">
      <c r="A22943" s="42"/>
      <c r="C22943" s="52"/>
      <c r="D22943"/>
      <c r="E22943"/>
      <c r="F22943"/>
      <c r="L22943" s="45"/>
      <c r="N22943" s="56"/>
    </row>
    <row r="22944" spans="1:14" x14ac:dyDescent="0.3">
      <c r="A22944" s="42"/>
      <c r="C22944" s="52"/>
      <c r="D22944"/>
      <c r="E22944"/>
      <c r="F22944"/>
      <c r="N22944" s="56"/>
    </row>
    <row r="22945" spans="1:14" x14ac:dyDescent="0.3">
      <c r="A22945" s="42"/>
      <c r="C22945" s="52"/>
      <c r="D22945"/>
      <c r="E22945"/>
      <c r="F22945"/>
      <c r="L22945" s="45"/>
      <c r="N22945" s="56"/>
    </row>
    <row r="22946" spans="1:14" x14ac:dyDescent="0.3">
      <c r="A22946" s="42"/>
      <c r="C22946" s="52"/>
      <c r="D22946"/>
      <c r="E22946"/>
      <c r="F22946"/>
      <c r="L22946" s="45"/>
      <c r="N22946" s="56"/>
    </row>
    <row r="22947" spans="1:14" x14ac:dyDescent="0.3">
      <c r="A22947" s="42"/>
      <c r="C22947" s="52"/>
      <c r="D22947"/>
      <c r="E22947"/>
      <c r="F22947"/>
      <c r="L22947" s="45"/>
      <c r="N22947" s="56"/>
    </row>
    <row r="22948" spans="1:14" x14ac:dyDescent="0.3">
      <c r="A22948" s="42"/>
      <c r="C22948" s="52"/>
      <c r="D22948"/>
      <c r="E22948"/>
      <c r="F22948"/>
      <c r="L22948" s="45"/>
      <c r="N22948" s="56"/>
    </row>
    <row r="22949" spans="1:14" x14ac:dyDescent="0.3">
      <c r="A22949" s="42"/>
      <c r="C22949" s="52"/>
      <c r="D22949"/>
      <c r="E22949"/>
      <c r="F22949"/>
      <c r="L22949" s="45"/>
      <c r="N22949" s="56"/>
    </row>
    <row r="22950" spans="1:14" x14ac:dyDescent="0.3">
      <c r="A22950" s="42"/>
      <c r="C22950" s="52"/>
      <c r="D22950"/>
      <c r="E22950"/>
      <c r="F22950"/>
      <c r="L22950" s="45"/>
      <c r="N22950" s="56"/>
    </row>
    <row r="22951" spans="1:14" x14ac:dyDescent="0.3">
      <c r="A22951" s="42"/>
      <c r="C22951" s="52"/>
      <c r="D22951"/>
      <c r="E22951"/>
      <c r="F22951"/>
      <c r="N22951" s="56"/>
    </row>
    <row r="22952" spans="1:14" x14ac:dyDescent="0.3">
      <c r="A22952" s="42"/>
      <c r="C22952" s="52"/>
      <c r="D22952"/>
      <c r="E22952"/>
      <c r="F22952"/>
      <c r="N22952" s="56"/>
    </row>
    <row r="22953" spans="1:14" x14ac:dyDescent="0.3">
      <c r="A22953" s="42"/>
      <c r="C22953" s="52"/>
      <c r="D22953"/>
      <c r="E22953"/>
      <c r="F22953"/>
      <c r="L22953" s="45"/>
      <c r="N22953" s="56"/>
    </row>
    <row r="22954" spans="1:14" x14ac:dyDescent="0.3">
      <c r="A22954" s="42"/>
      <c r="C22954" s="52"/>
      <c r="D22954"/>
      <c r="E22954"/>
      <c r="F22954"/>
      <c r="N22954" s="56"/>
    </row>
    <row r="22955" spans="1:14" x14ac:dyDescent="0.3">
      <c r="A22955" s="42"/>
      <c r="C22955" s="52"/>
      <c r="D22955"/>
      <c r="E22955"/>
      <c r="F22955"/>
      <c r="N22955" s="56"/>
    </row>
    <row r="22956" spans="1:14" x14ac:dyDescent="0.3">
      <c r="A22956" s="42"/>
      <c r="C22956" s="52"/>
      <c r="D22956"/>
      <c r="E22956"/>
      <c r="F22956"/>
      <c r="L22956" s="45"/>
      <c r="N22956" s="56"/>
    </row>
    <row r="22957" spans="1:14" x14ac:dyDescent="0.3">
      <c r="A22957" s="42"/>
      <c r="C22957" s="52"/>
      <c r="D22957"/>
      <c r="E22957"/>
      <c r="F22957"/>
      <c r="L22957" s="45"/>
      <c r="N22957" s="56"/>
    </row>
    <row r="22958" spans="1:14" x14ac:dyDescent="0.3">
      <c r="A22958" s="42"/>
      <c r="C22958" s="52"/>
      <c r="D22958"/>
      <c r="E22958"/>
      <c r="F22958"/>
      <c r="N22958" s="56"/>
    </row>
    <row r="22959" spans="1:14" x14ac:dyDescent="0.3">
      <c r="A22959" s="42"/>
      <c r="C22959" s="52"/>
      <c r="D22959"/>
      <c r="E22959"/>
      <c r="F22959"/>
      <c r="N22959" s="56"/>
    </row>
    <row r="22960" spans="1:14" x14ac:dyDescent="0.3">
      <c r="A22960" s="42"/>
      <c r="C22960" s="52"/>
      <c r="D22960"/>
      <c r="E22960"/>
      <c r="F22960"/>
      <c r="L22960" s="45"/>
      <c r="N22960" s="56"/>
    </row>
    <row r="22961" spans="1:14" x14ac:dyDescent="0.3">
      <c r="A22961" s="42"/>
      <c r="C22961" s="52"/>
      <c r="D22961"/>
      <c r="E22961"/>
      <c r="F22961"/>
      <c r="L22961" s="45"/>
      <c r="N22961" s="56"/>
    </row>
    <row r="22962" spans="1:14" x14ac:dyDescent="0.3">
      <c r="A22962" s="42"/>
      <c r="C22962" s="52"/>
      <c r="D22962"/>
      <c r="E22962"/>
      <c r="F22962"/>
      <c r="L22962" s="45"/>
      <c r="N22962" s="56"/>
    </row>
    <row r="22963" spans="1:14" x14ac:dyDescent="0.3">
      <c r="A22963" s="42"/>
      <c r="C22963" s="52"/>
      <c r="D22963"/>
      <c r="E22963"/>
      <c r="F22963"/>
      <c r="L22963" s="45"/>
      <c r="N22963" s="56"/>
    </row>
    <row r="22964" spans="1:14" x14ac:dyDescent="0.3">
      <c r="A22964" s="42"/>
      <c r="C22964" s="52"/>
      <c r="D22964"/>
      <c r="E22964"/>
      <c r="F22964"/>
      <c r="N22964" s="56"/>
    </row>
    <row r="22965" spans="1:14" x14ac:dyDescent="0.3">
      <c r="A22965" s="42"/>
      <c r="C22965" s="52"/>
      <c r="D22965"/>
      <c r="E22965"/>
      <c r="F22965"/>
      <c r="N22965" s="56"/>
    </row>
    <row r="22966" spans="1:14" x14ac:dyDescent="0.3">
      <c r="A22966" s="42"/>
      <c r="C22966" s="52"/>
      <c r="D22966"/>
      <c r="E22966"/>
      <c r="F22966"/>
      <c r="N22966" s="56"/>
    </row>
    <row r="22967" spans="1:14" x14ac:dyDescent="0.3">
      <c r="A22967" s="42"/>
      <c r="C22967" s="52"/>
      <c r="D22967"/>
      <c r="E22967"/>
      <c r="F22967"/>
      <c r="L22967" s="45"/>
      <c r="N22967" s="56"/>
    </row>
    <row r="22968" spans="1:14" x14ac:dyDescent="0.3">
      <c r="A22968" s="42"/>
      <c r="C22968" s="52"/>
      <c r="D22968"/>
      <c r="E22968"/>
      <c r="F22968"/>
      <c r="L22968" s="45"/>
      <c r="N22968" s="56"/>
    </row>
    <row r="22969" spans="1:14" x14ac:dyDescent="0.3">
      <c r="A22969" s="42"/>
      <c r="C22969" s="52"/>
      <c r="D22969"/>
      <c r="E22969"/>
      <c r="F22969"/>
      <c r="N22969" s="56"/>
    </row>
    <row r="22970" spans="1:14" x14ac:dyDescent="0.3">
      <c r="A22970" s="42"/>
      <c r="C22970" s="52"/>
      <c r="D22970"/>
      <c r="E22970"/>
      <c r="F22970"/>
      <c r="N22970" s="56"/>
    </row>
    <row r="22971" spans="1:14" x14ac:dyDescent="0.3">
      <c r="A22971" s="42"/>
      <c r="C22971" s="52"/>
      <c r="D22971"/>
      <c r="E22971"/>
      <c r="F22971"/>
      <c r="L22971" s="45"/>
      <c r="N22971" s="56"/>
    </row>
    <row r="22972" spans="1:14" x14ac:dyDescent="0.3">
      <c r="A22972" s="42"/>
      <c r="C22972" s="52"/>
      <c r="D22972"/>
      <c r="E22972"/>
      <c r="F22972"/>
      <c r="N22972" s="56"/>
    </row>
    <row r="22973" spans="1:14" x14ac:dyDescent="0.3">
      <c r="A22973" s="42"/>
      <c r="C22973" s="52"/>
      <c r="D22973"/>
      <c r="E22973"/>
      <c r="F22973"/>
      <c r="L22973" s="45"/>
      <c r="N22973" s="56"/>
    </row>
    <row r="22974" spans="1:14" x14ac:dyDescent="0.3">
      <c r="A22974" s="42"/>
      <c r="C22974" s="52"/>
      <c r="D22974"/>
      <c r="E22974"/>
      <c r="F22974"/>
      <c r="L22974" s="45"/>
      <c r="N22974" s="56"/>
    </row>
    <row r="22975" spans="1:14" x14ac:dyDescent="0.3">
      <c r="A22975" s="42"/>
      <c r="C22975" s="52"/>
      <c r="D22975"/>
      <c r="E22975"/>
      <c r="F22975"/>
      <c r="L22975" s="45"/>
      <c r="N22975" s="56"/>
    </row>
    <row r="22976" spans="1:14" x14ac:dyDescent="0.3">
      <c r="A22976" s="42"/>
      <c r="C22976" s="52"/>
      <c r="D22976"/>
      <c r="E22976"/>
      <c r="F22976"/>
      <c r="L22976" s="45"/>
      <c r="N22976" s="56"/>
    </row>
    <row r="22977" spans="1:14" x14ac:dyDescent="0.3">
      <c r="A22977" s="42"/>
      <c r="C22977" s="52"/>
      <c r="D22977"/>
      <c r="E22977"/>
      <c r="F22977"/>
      <c r="L22977" s="45"/>
      <c r="N22977" s="56"/>
    </row>
    <row r="22978" spans="1:14" x14ac:dyDescent="0.3">
      <c r="A22978" s="42"/>
      <c r="C22978" s="52"/>
      <c r="D22978"/>
      <c r="E22978"/>
      <c r="F22978"/>
      <c r="N22978" s="56"/>
    </row>
    <row r="22979" spans="1:14" x14ac:dyDescent="0.3">
      <c r="A22979" s="42"/>
      <c r="C22979" s="52"/>
      <c r="D22979"/>
      <c r="E22979"/>
      <c r="F22979"/>
      <c r="N22979" s="56"/>
    </row>
    <row r="22980" spans="1:14" x14ac:dyDescent="0.3">
      <c r="A22980" s="42"/>
      <c r="C22980" s="52"/>
      <c r="D22980"/>
      <c r="E22980"/>
      <c r="F22980"/>
      <c r="N22980" s="56"/>
    </row>
    <row r="22981" spans="1:14" x14ac:dyDescent="0.3">
      <c r="A22981" s="42"/>
      <c r="C22981" s="52"/>
      <c r="D22981"/>
      <c r="E22981"/>
      <c r="F22981"/>
      <c r="L22981" s="45"/>
      <c r="N22981" s="56"/>
    </row>
    <row r="22982" spans="1:14" x14ac:dyDescent="0.3">
      <c r="A22982" s="42"/>
      <c r="C22982" s="52"/>
      <c r="D22982"/>
      <c r="E22982"/>
      <c r="F22982"/>
      <c r="N22982" s="56"/>
    </row>
    <row r="22983" spans="1:14" x14ac:dyDescent="0.3">
      <c r="A22983" s="42"/>
      <c r="C22983" s="52"/>
      <c r="D22983"/>
      <c r="E22983"/>
      <c r="F22983"/>
      <c r="N22983" s="56"/>
    </row>
    <row r="22984" spans="1:14" x14ac:dyDescent="0.3">
      <c r="A22984" s="42"/>
      <c r="C22984" s="52"/>
      <c r="D22984"/>
      <c r="E22984"/>
      <c r="F22984"/>
      <c r="N22984" s="56"/>
    </row>
    <row r="22985" spans="1:14" x14ac:dyDescent="0.3">
      <c r="A22985" s="42"/>
      <c r="C22985" s="52"/>
      <c r="D22985"/>
      <c r="E22985"/>
      <c r="F22985"/>
      <c r="L22985" s="45"/>
      <c r="N22985" s="56"/>
    </row>
    <row r="22986" spans="1:14" x14ac:dyDescent="0.3">
      <c r="A22986" s="42"/>
      <c r="C22986" s="52"/>
      <c r="D22986"/>
      <c r="E22986"/>
      <c r="F22986"/>
      <c r="N22986" s="56"/>
    </row>
    <row r="22987" spans="1:14" x14ac:dyDescent="0.3">
      <c r="A22987" s="42"/>
      <c r="C22987" s="52"/>
      <c r="D22987"/>
      <c r="E22987"/>
      <c r="F22987"/>
      <c r="N22987" s="56"/>
    </row>
    <row r="22988" spans="1:14" x14ac:dyDescent="0.3">
      <c r="A22988" s="42"/>
      <c r="C22988" s="52"/>
      <c r="D22988"/>
      <c r="E22988"/>
      <c r="F22988"/>
      <c r="L22988" s="45"/>
      <c r="N22988" s="56"/>
    </row>
    <row r="22989" spans="1:14" x14ac:dyDescent="0.3">
      <c r="A22989" s="42"/>
      <c r="C22989" s="52"/>
      <c r="D22989"/>
      <c r="E22989"/>
      <c r="F22989"/>
      <c r="N22989" s="56"/>
    </row>
    <row r="22990" spans="1:14" x14ac:dyDescent="0.3">
      <c r="A22990" s="42"/>
      <c r="C22990" s="52"/>
      <c r="D22990"/>
      <c r="E22990"/>
      <c r="F22990"/>
      <c r="N22990" s="56"/>
    </row>
    <row r="22991" spans="1:14" x14ac:dyDescent="0.3">
      <c r="A22991" s="42"/>
      <c r="C22991" s="52"/>
      <c r="D22991"/>
      <c r="E22991"/>
      <c r="F22991"/>
      <c r="N22991" s="56"/>
    </row>
    <row r="22992" spans="1:14" x14ac:dyDescent="0.3">
      <c r="A22992" s="42"/>
      <c r="C22992" s="52"/>
      <c r="D22992"/>
      <c r="E22992"/>
      <c r="F22992"/>
      <c r="N22992" s="56"/>
    </row>
    <row r="22993" spans="1:14" x14ac:dyDescent="0.3">
      <c r="A22993" s="42"/>
      <c r="C22993" s="52"/>
      <c r="D22993"/>
      <c r="E22993"/>
      <c r="F22993"/>
      <c r="N22993" s="56"/>
    </row>
    <row r="22994" spans="1:14" x14ac:dyDescent="0.3">
      <c r="A22994" s="42"/>
      <c r="C22994" s="52"/>
      <c r="D22994"/>
      <c r="E22994"/>
      <c r="F22994"/>
      <c r="N22994" s="56"/>
    </row>
    <row r="22995" spans="1:14" x14ac:dyDescent="0.3">
      <c r="A22995" s="42"/>
      <c r="C22995" s="52"/>
      <c r="D22995"/>
      <c r="E22995"/>
      <c r="F22995"/>
      <c r="N22995" s="56"/>
    </row>
    <row r="22996" spans="1:14" x14ac:dyDescent="0.3">
      <c r="A22996" s="42"/>
      <c r="C22996" s="52"/>
      <c r="D22996"/>
      <c r="E22996"/>
      <c r="F22996"/>
      <c r="N22996" s="56"/>
    </row>
    <row r="22997" spans="1:14" x14ac:dyDescent="0.3">
      <c r="A22997" s="42"/>
      <c r="C22997" s="52"/>
      <c r="D22997"/>
      <c r="E22997"/>
      <c r="F22997"/>
      <c r="N22997" s="56"/>
    </row>
    <row r="22998" spans="1:14" x14ac:dyDescent="0.3">
      <c r="A22998" s="42"/>
      <c r="C22998" s="52"/>
      <c r="D22998"/>
      <c r="E22998"/>
      <c r="F22998"/>
      <c r="N22998" s="56"/>
    </row>
    <row r="22999" spans="1:14" x14ac:dyDescent="0.3">
      <c r="A22999" s="42"/>
      <c r="C22999" s="52"/>
      <c r="D22999"/>
      <c r="E22999"/>
      <c r="F22999"/>
      <c r="N22999" s="56"/>
    </row>
    <row r="23000" spans="1:14" x14ac:dyDescent="0.3">
      <c r="A23000" s="42"/>
      <c r="C23000" s="52"/>
      <c r="D23000"/>
      <c r="E23000"/>
      <c r="F23000"/>
      <c r="L23000" s="45"/>
      <c r="N23000" s="56"/>
    </row>
    <row r="23001" spans="1:14" x14ac:dyDescent="0.3">
      <c r="A23001" s="42"/>
      <c r="C23001" s="52"/>
      <c r="D23001"/>
      <c r="E23001"/>
      <c r="F23001"/>
      <c r="N23001" s="56"/>
    </row>
    <row r="23002" spans="1:14" x14ac:dyDescent="0.3">
      <c r="A23002" s="42"/>
      <c r="C23002" s="52"/>
      <c r="D23002"/>
      <c r="E23002"/>
      <c r="F23002"/>
      <c r="N23002" s="56"/>
    </row>
    <row r="23003" spans="1:14" x14ac:dyDescent="0.3">
      <c r="A23003" s="42"/>
      <c r="C23003" s="52"/>
      <c r="D23003"/>
      <c r="E23003"/>
      <c r="F23003"/>
      <c r="N23003" s="56"/>
    </row>
    <row r="23004" spans="1:14" x14ac:dyDescent="0.3">
      <c r="A23004" s="42"/>
      <c r="C23004" s="52"/>
      <c r="D23004"/>
      <c r="E23004"/>
      <c r="F23004"/>
      <c r="N23004" s="56"/>
    </row>
    <row r="23005" spans="1:14" x14ac:dyDescent="0.3">
      <c r="A23005" s="42"/>
      <c r="C23005" s="52"/>
      <c r="D23005"/>
      <c r="E23005"/>
      <c r="F23005"/>
      <c r="N23005" s="56"/>
    </row>
    <row r="23006" spans="1:14" x14ac:dyDescent="0.3">
      <c r="A23006" s="42"/>
      <c r="C23006" s="52"/>
      <c r="D23006"/>
      <c r="E23006"/>
      <c r="F23006"/>
      <c r="N23006" s="56"/>
    </row>
    <row r="23007" spans="1:14" x14ac:dyDescent="0.3">
      <c r="A23007" s="42"/>
      <c r="C23007" s="52"/>
      <c r="D23007"/>
      <c r="E23007"/>
      <c r="F23007"/>
      <c r="N23007" s="56"/>
    </row>
    <row r="23008" spans="1:14" x14ac:dyDescent="0.3">
      <c r="A23008" s="42"/>
      <c r="C23008" s="52"/>
      <c r="D23008"/>
      <c r="E23008"/>
      <c r="F23008"/>
      <c r="N23008" s="56"/>
    </row>
    <row r="23009" spans="1:14" x14ac:dyDescent="0.3">
      <c r="A23009" s="42"/>
      <c r="C23009" s="52"/>
      <c r="D23009"/>
      <c r="E23009"/>
      <c r="F23009"/>
      <c r="N23009" s="56"/>
    </row>
    <row r="23010" spans="1:14" x14ac:dyDescent="0.3">
      <c r="A23010" s="42"/>
      <c r="C23010" s="52"/>
      <c r="D23010"/>
      <c r="E23010"/>
      <c r="F23010"/>
      <c r="N23010" s="56"/>
    </row>
    <row r="23011" spans="1:14" x14ac:dyDescent="0.3">
      <c r="A23011" s="42"/>
      <c r="C23011" s="52"/>
      <c r="D23011"/>
      <c r="E23011"/>
      <c r="F23011"/>
      <c r="N23011" s="56"/>
    </row>
    <row r="23012" spans="1:14" x14ac:dyDescent="0.3">
      <c r="A23012" s="42"/>
      <c r="C23012" s="52"/>
      <c r="D23012"/>
      <c r="E23012"/>
      <c r="F23012"/>
      <c r="N23012" s="56"/>
    </row>
    <row r="23013" spans="1:14" x14ac:dyDescent="0.3">
      <c r="A23013" s="42"/>
      <c r="C23013" s="52"/>
      <c r="D23013"/>
      <c r="E23013"/>
      <c r="F23013"/>
      <c r="N23013" s="56"/>
    </row>
    <row r="23014" spans="1:14" x14ac:dyDescent="0.3">
      <c r="A23014" s="42"/>
      <c r="C23014" s="52"/>
      <c r="D23014"/>
      <c r="E23014"/>
      <c r="F23014"/>
      <c r="N23014" s="56"/>
    </row>
    <row r="23015" spans="1:14" x14ac:dyDescent="0.3">
      <c r="A23015" s="42"/>
      <c r="C23015" s="52"/>
      <c r="D23015"/>
      <c r="E23015"/>
      <c r="F23015"/>
      <c r="N23015" s="56"/>
    </row>
    <row r="23016" spans="1:14" x14ac:dyDescent="0.3">
      <c r="A23016" s="42"/>
      <c r="C23016" s="52"/>
      <c r="D23016"/>
      <c r="E23016"/>
      <c r="F23016"/>
      <c r="N23016" s="56"/>
    </row>
    <row r="23017" spans="1:14" x14ac:dyDescent="0.3">
      <c r="A23017" s="42"/>
      <c r="C23017" s="52"/>
      <c r="D23017"/>
      <c r="E23017"/>
      <c r="F23017"/>
      <c r="L23017" s="45"/>
      <c r="N23017" s="56"/>
    </row>
    <row r="23018" spans="1:14" x14ac:dyDescent="0.3">
      <c r="A23018" s="42"/>
      <c r="C23018" s="52"/>
      <c r="D23018"/>
      <c r="E23018"/>
      <c r="F23018"/>
      <c r="L23018" s="45"/>
      <c r="N23018" s="56"/>
    </row>
    <row r="23019" spans="1:14" x14ac:dyDescent="0.3">
      <c r="A23019" s="42"/>
      <c r="C23019" s="52"/>
      <c r="D23019"/>
      <c r="E23019"/>
      <c r="F23019"/>
      <c r="N23019" s="56"/>
    </row>
    <row r="23020" spans="1:14" x14ac:dyDescent="0.3">
      <c r="A23020" s="42"/>
      <c r="C23020" s="52"/>
      <c r="D23020"/>
      <c r="E23020"/>
      <c r="F23020"/>
      <c r="N23020" s="56"/>
    </row>
    <row r="23021" spans="1:14" x14ac:dyDescent="0.3">
      <c r="A23021" s="42"/>
      <c r="C23021" s="52"/>
      <c r="D23021"/>
      <c r="E23021"/>
      <c r="F23021"/>
      <c r="L23021" s="45"/>
      <c r="N23021" s="56"/>
    </row>
    <row r="23022" spans="1:14" x14ac:dyDescent="0.3">
      <c r="A23022" s="42"/>
      <c r="C23022" s="52"/>
      <c r="D23022"/>
      <c r="E23022"/>
      <c r="F23022"/>
      <c r="L23022" s="45"/>
      <c r="N23022" s="56"/>
    </row>
    <row r="23023" spans="1:14" x14ac:dyDescent="0.3">
      <c r="A23023" s="42"/>
      <c r="C23023" s="52"/>
      <c r="D23023"/>
      <c r="E23023"/>
      <c r="F23023"/>
      <c r="L23023" s="45"/>
      <c r="N23023" s="56"/>
    </row>
    <row r="23024" spans="1:14" x14ac:dyDescent="0.3">
      <c r="A23024" s="42"/>
      <c r="C23024" s="52"/>
      <c r="D23024"/>
      <c r="E23024"/>
      <c r="F23024"/>
      <c r="L23024" s="45"/>
      <c r="N23024" s="56"/>
    </row>
    <row r="23025" spans="1:14" x14ac:dyDescent="0.3">
      <c r="A23025" s="42"/>
      <c r="C23025" s="52"/>
      <c r="D23025"/>
      <c r="E23025"/>
      <c r="F23025"/>
      <c r="N23025" s="56"/>
    </row>
    <row r="23026" spans="1:14" x14ac:dyDescent="0.3">
      <c r="A23026" s="42"/>
      <c r="C23026" s="52"/>
      <c r="D23026"/>
      <c r="E23026"/>
      <c r="F23026"/>
      <c r="N23026" s="56"/>
    </row>
    <row r="23027" spans="1:14" x14ac:dyDescent="0.3">
      <c r="A23027" s="42"/>
      <c r="C23027" s="52"/>
      <c r="D23027"/>
      <c r="E23027"/>
      <c r="F23027"/>
      <c r="N23027" s="56"/>
    </row>
    <row r="23028" spans="1:14" x14ac:dyDescent="0.3">
      <c r="A23028" s="42"/>
      <c r="C23028" s="52"/>
      <c r="D23028"/>
      <c r="E23028"/>
      <c r="F23028"/>
      <c r="N23028" s="56"/>
    </row>
    <row r="23029" spans="1:14" x14ac:dyDescent="0.3">
      <c r="A23029" s="42"/>
      <c r="C23029" s="52"/>
      <c r="D23029"/>
      <c r="E23029"/>
      <c r="F23029"/>
      <c r="N23029" s="56"/>
    </row>
    <row r="23030" spans="1:14" x14ac:dyDescent="0.3">
      <c r="A23030" s="42"/>
      <c r="C23030" s="52"/>
      <c r="D23030"/>
      <c r="E23030"/>
      <c r="F23030"/>
      <c r="N23030" s="56"/>
    </row>
    <row r="23031" spans="1:14" x14ac:dyDescent="0.3">
      <c r="A23031" s="42"/>
      <c r="C23031" s="52"/>
      <c r="D23031"/>
      <c r="E23031"/>
      <c r="F23031"/>
      <c r="L23031" s="45"/>
      <c r="N23031" s="56"/>
    </row>
    <row r="23032" spans="1:14" x14ac:dyDescent="0.3">
      <c r="A23032" s="42"/>
      <c r="C23032" s="52"/>
      <c r="D23032"/>
      <c r="E23032"/>
      <c r="F23032"/>
      <c r="N23032" s="56"/>
    </row>
    <row r="23033" spans="1:14" x14ac:dyDescent="0.3">
      <c r="A23033" s="42"/>
      <c r="C23033" s="52"/>
      <c r="D23033"/>
      <c r="E23033"/>
      <c r="F23033"/>
      <c r="N23033" s="56"/>
    </row>
    <row r="23034" spans="1:14" x14ac:dyDescent="0.3">
      <c r="A23034" s="42"/>
      <c r="C23034" s="52"/>
      <c r="D23034"/>
      <c r="E23034"/>
      <c r="F23034"/>
      <c r="N23034" s="56"/>
    </row>
    <row r="23035" spans="1:14" x14ac:dyDescent="0.3">
      <c r="A23035" s="42"/>
      <c r="C23035" s="52"/>
      <c r="D23035"/>
      <c r="E23035"/>
      <c r="F23035"/>
      <c r="L23035" s="45"/>
      <c r="N23035" s="56"/>
    </row>
    <row r="23036" spans="1:14" x14ac:dyDescent="0.3">
      <c r="A23036" s="42"/>
      <c r="C23036" s="52"/>
      <c r="D23036"/>
      <c r="E23036"/>
      <c r="F23036"/>
      <c r="N23036" s="56"/>
    </row>
    <row r="23037" spans="1:14" x14ac:dyDescent="0.3">
      <c r="A23037" s="42"/>
      <c r="C23037" s="52"/>
      <c r="D23037"/>
      <c r="E23037"/>
      <c r="F23037"/>
      <c r="N23037" s="56"/>
    </row>
    <row r="23038" spans="1:14" x14ac:dyDescent="0.3">
      <c r="A23038" s="42"/>
      <c r="C23038" s="52"/>
      <c r="D23038"/>
      <c r="E23038"/>
      <c r="F23038"/>
      <c r="N23038" s="56"/>
    </row>
    <row r="23039" spans="1:14" x14ac:dyDescent="0.3">
      <c r="A23039" s="42"/>
      <c r="C23039" s="52"/>
      <c r="D23039"/>
      <c r="E23039"/>
      <c r="F23039"/>
      <c r="N23039" s="56"/>
    </row>
    <row r="23040" spans="1:14" x14ac:dyDescent="0.3">
      <c r="A23040" s="42"/>
      <c r="C23040" s="52"/>
      <c r="D23040"/>
      <c r="E23040"/>
      <c r="F23040"/>
      <c r="N23040" s="56"/>
    </row>
    <row r="23041" spans="1:14" x14ac:dyDescent="0.3">
      <c r="A23041" s="42"/>
      <c r="C23041" s="52"/>
      <c r="D23041"/>
      <c r="E23041"/>
      <c r="F23041"/>
      <c r="N23041" s="56"/>
    </row>
    <row r="23042" spans="1:14" x14ac:dyDescent="0.3">
      <c r="A23042" s="42"/>
      <c r="C23042" s="52"/>
      <c r="D23042"/>
      <c r="E23042"/>
      <c r="F23042"/>
      <c r="L23042" s="45"/>
      <c r="N23042" s="56"/>
    </row>
    <row r="23043" spans="1:14" x14ac:dyDescent="0.3">
      <c r="A23043" s="42"/>
      <c r="C23043" s="52"/>
      <c r="D23043"/>
      <c r="E23043"/>
      <c r="F23043"/>
      <c r="L23043" s="45"/>
      <c r="N23043" s="56"/>
    </row>
    <row r="23044" spans="1:14" x14ac:dyDescent="0.3">
      <c r="A23044" s="42"/>
      <c r="C23044" s="52"/>
      <c r="D23044"/>
      <c r="E23044"/>
      <c r="F23044"/>
      <c r="N23044" s="56"/>
    </row>
    <row r="23045" spans="1:14" x14ac:dyDescent="0.3">
      <c r="A23045" s="42"/>
      <c r="C23045" s="52"/>
      <c r="D23045"/>
      <c r="E23045"/>
      <c r="F23045"/>
      <c r="N23045" s="56"/>
    </row>
    <row r="23046" spans="1:14" x14ac:dyDescent="0.3">
      <c r="A23046" s="42"/>
      <c r="C23046" s="52"/>
      <c r="D23046"/>
      <c r="E23046"/>
      <c r="F23046"/>
      <c r="N23046" s="56"/>
    </row>
    <row r="23047" spans="1:14" x14ac:dyDescent="0.3">
      <c r="A23047" s="42"/>
      <c r="C23047" s="52"/>
      <c r="D23047"/>
      <c r="E23047"/>
      <c r="F23047"/>
      <c r="N23047" s="56"/>
    </row>
    <row r="23048" spans="1:14" x14ac:dyDescent="0.3">
      <c r="A23048" s="42"/>
      <c r="C23048" s="52"/>
      <c r="D23048"/>
      <c r="E23048"/>
      <c r="F23048"/>
      <c r="N23048" s="56"/>
    </row>
    <row r="23049" spans="1:14" x14ac:dyDescent="0.3">
      <c r="A23049" s="42"/>
      <c r="C23049" s="52"/>
      <c r="D23049"/>
      <c r="E23049"/>
      <c r="F23049"/>
      <c r="N23049" s="56"/>
    </row>
    <row r="23050" spans="1:14" x14ac:dyDescent="0.3">
      <c r="A23050" s="42"/>
      <c r="C23050" s="52"/>
      <c r="D23050"/>
      <c r="E23050"/>
      <c r="F23050"/>
      <c r="N23050" s="56"/>
    </row>
    <row r="23051" spans="1:14" x14ac:dyDescent="0.3">
      <c r="A23051" s="42"/>
      <c r="C23051" s="52"/>
      <c r="D23051"/>
      <c r="E23051"/>
      <c r="F23051"/>
      <c r="N23051" s="56"/>
    </row>
    <row r="23052" spans="1:14" x14ac:dyDescent="0.3">
      <c r="A23052" s="42"/>
      <c r="C23052" s="52"/>
      <c r="D23052"/>
      <c r="E23052"/>
      <c r="F23052"/>
      <c r="N23052" s="56"/>
    </row>
    <row r="23053" spans="1:14" x14ac:dyDescent="0.3">
      <c r="A23053" s="42"/>
      <c r="C23053" s="52"/>
      <c r="D23053"/>
      <c r="E23053"/>
      <c r="F23053"/>
      <c r="N23053" s="56"/>
    </row>
    <row r="23054" spans="1:14" x14ac:dyDescent="0.3">
      <c r="A23054" s="42"/>
      <c r="C23054" s="52"/>
      <c r="D23054"/>
      <c r="E23054"/>
      <c r="F23054"/>
      <c r="N23054" s="56"/>
    </row>
    <row r="23055" spans="1:14" x14ac:dyDescent="0.3">
      <c r="A23055" s="42"/>
      <c r="C23055" s="52"/>
      <c r="D23055"/>
      <c r="E23055"/>
      <c r="F23055"/>
      <c r="N23055" s="56"/>
    </row>
    <row r="23056" spans="1:14" x14ac:dyDescent="0.3">
      <c r="A23056" s="42"/>
      <c r="C23056" s="52"/>
      <c r="D23056"/>
      <c r="E23056"/>
      <c r="F23056"/>
      <c r="L23056" s="45"/>
      <c r="N23056" s="56"/>
    </row>
    <row r="23057" spans="1:14" x14ac:dyDescent="0.3">
      <c r="A23057" s="42"/>
      <c r="C23057" s="52"/>
      <c r="D23057"/>
      <c r="E23057"/>
      <c r="F23057"/>
      <c r="N23057" s="56"/>
    </row>
    <row r="23058" spans="1:14" x14ac:dyDescent="0.3">
      <c r="A23058" s="42"/>
      <c r="C23058" s="52"/>
      <c r="D23058"/>
      <c r="E23058"/>
      <c r="F23058"/>
      <c r="N23058" s="56"/>
    </row>
    <row r="23059" spans="1:14" x14ac:dyDescent="0.3">
      <c r="A23059" s="42"/>
      <c r="C23059" s="52"/>
      <c r="D23059"/>
      <c r="E23059"/>
      <c r="F23059"/>
      <c r="N23059" s="56"/>
    </row>
    <row r="23060" spans="1:14" x14ac:dyDescent="0.3">
      <c r="A23060" s="42"/>
      <c r="C23060" s="52"/>
      <c r="D23060"/>
      <c r="E23060"/>
      <c r="F23060"/>
      <c r="N23060" s="56"/>
    </row>
    <row r="23061" spans="1:14" x14ac:dyDescent="0.3">
      <c r="A23061" s="42"/>
      <c r="C23061" s="52"/>
      <c r="D23061"/>
      <c r="E23061"/>
      <c r="F23061"/>
      <c r="N23061" s="56"/>
    </row>
    <row r="23062" spans="1:14" x14ac:dyDescent="0.3">
      <c r="A23062" s="42"/>
      <c r="C23062" s="52"/>
      <c r="D23062"/>
      <c r="E23062"/>
      <c r="F23062"/>
      <c r="N23062" s="56"/>
    </row>
    <row r="23063" spans="1:14" x14ac:dyDescent="0.3">
      <c r="A23063" s="42"/>
      <c r="C23063" s="52"/>
      <c r="D23063"/>
      <c r="E23063"/>
      <c r="F23063"/>
      <c r="N23063" s="56"/>
    </row>
    <row r="23064" spans="1:14" x14ac:dyDescent="0.3">
      <c r="A23064" s="42"/>
      <c r="C23064" s="52"/>
      <c r="D23064"/>
      <c r="E23064"/>
      <c r="F23064"/>
      <c r="N23064" s="56"/>
    </row>
    <row r="23065" spans="1:14" x14ac:dyDescent="0.3">
      <c r="A23065" s="42"/>
      <c r="C23065" s="52"/>
      <c r="D23065"/>
      <c r="E23065"/>
      <c r="F23065"/>
      <c r="N23065" s="56"/>
    </row>
    <row r="23066" spans="1:14" x14ac:dyDescent="0.3">
      <c r="A23066" s="42"/>
      <c r="C23066" s="52"/>
      <c r="D23066"/>
      <c r="E23066"/>
      <c r="F23066"/>
      <c r="N23066" s="56"/>
    </row>
    <row r="23067" spans="1:14" x14ac:dyDescent="0.3">
      <c r="A23067" s="42"/>
      <c r="C23067" s="52"/>
      <c r="D23067"/>
      <c r="E23067"/>
      <c r="F23067"/>
      <c r="N23067" s="56"/>
    </row>
    <row r="23068" spans="1:14" x14ac:dyDescent="0.3">
      <c r="A23068" s="42"/>
      <c r="C23068" s="52"/>
      <c r="D23068"/>
      <c r="E23068"/>
      <c r="F23068"/>
      <c r="N23068" s="56"/>
    </row>
    <row r="23069" spans="1:14" x14ac:dyDescent="0.3">
      <c r="A23069" s="42"/>
      <c r="C23069" s="52"/>
      <c r="D23069"/>
      <c r="E23069"/>
      <c r="F23069"/>
      <c r="N23069" s="56"/>
    </row>
    <row r="23070" spans="1:14" x14ac:dyDescent="0.3">
      <c r="A23070" s="42"/>
      <c r="C23070" s="52"/>
      <c r="D23070"/>
      <c r="E23070"/>
      <c r="F23070"/>
      <c r="N23070" s="56"/>
    </row>
    <row r="23071" spans="1:14" x14ac:dyDescent="0.3">
      <c r="A23071" s="42"/>
      <c r="C23071" s="52"/>
      <c r="D23071"/>
      <c r="E23071"/>
      <c r="F23071"/>
      <c r="N23071" s="56"/>
    </row>
    <row r="23072" spans="1:14" x14ac:dyDescent="0.3">
      <c r="A23072" s="42"/>
      <c r="C23072" s="52"/>
      <c r="D23072"/>
      <c r="E23072"/>
      <c r="F23072"/>
      <c r="N23072" s="56"/>
    </row>
    <row r="23073" spans="1:14" x14ac:dyDescent="0.3">
      <c r="A23073" s="42"/>
      <c r="C23073" s="52"/>
      <c r="D23073"/>
      <c r="E23073"/>
      <c r="F23073"/>
      <c r="N23073" s="56"/>
    </row>
    <row r="23074" spans="1:14" x14ac:dyDescent="0.3">
      <c r="A23074" s="42"/>
      <c r="C23074" s="52"/>
      <c r="D23074"/>
      <c r="E23074"/>
      <c r="F23074"/>
      <c r="N23074" s="56"/>
    </row>
    <row r="23075" spans="1:14" x14ac:dyDescent="0.3">
      <c r="A23075" s="42"/>
      <c r="C23075" s="52"/>
      <c r="D23075"/>
      <c r="E23075"/>
      <c r="F23075"/>
      <c r="N23075" s="56"/>
    </row>
    <row r="23076" spans="1:14" x14ac:dyDescent="0.3">
      <c r="A23076" s="42"/>
      <c r="C23076" s="52"/>
      <c r="D23076"/>
      <c r="E23076"/>
      <c r="F23076"/>
      <c r="N23076" s="56"/>
    </row>
    <row r="23077" spans="1:14" x14ac:dyDescent="0.3">
      <c r="A23077" s="42"/>
      <c r="C23077" s="52"/>
      <c r="D23077"/>
      <c r="E23077"/>
      <c r="F23077"/>
      <c r="L23077" s="45"/>
      <c r="N23077" s="56"/>
    </row>
    <row r="23078" spans="1:14" x14ac:dyDescent="0.3">
      <c r="A23078" s="42"/>
      <c r="C23078" s="52"/>
      <c r="D23078"/>
      <c r="E23078"/>
      <c r="F23078"/>
      <c r="N23078" s="56"/>
    </row>
    <row r="23079" spans="1:14" x14ac:dyDescent="0.3">
      <c r="A23079" s="42"/>
      <c r="C23079" s="52"/>
      <c r="D23079"/>
      <c r="E23079"/>
      <c r="F23079"/>
      <c r="N23079" s="56"/>
    </row>
    <row r="23080" spans="1:14" x14ac:dyDescent="0.3">
      <c r="A23080" s="42"/>
      <c r="C23080" s="52"/>
      <c r="D23080"/>
      <c r="E23080"/>
      <c r="F23080"/>
      <c r="N23080" s="56"/>
    </row>
    <row r="23081" spans="1:14" x14ac:dyDescent="0.3">
      <c r="A23081" s="42"/>
      <c r="C23081" s="52"/>
      <c r="D23081"/>
      <c r="E23081"/>
      <c r="F23081"/>
      <c r="N23081" s="56"/>
    </row>
    <row r="23082" spans="1:14" x14ac:dyDescent="0.3">
      <c r="A23082" s="42"/>
      <c r="C23082" s="52"/>
      <c r="D23082"/>
      <c r="E23082"/>
      <c r="F23082"/>
      <c r="L23082" s="45"/>
      <c r="N23082" s="56"/>
    </row>
    <row r="23083" spans="1:14" x14ac:dyDescent="0.3">
      <c r="A23083" s="42"/>
      <c r="C23083" s="52"/>
      <c r="D23083"/>
      <c r="E23083"/>
      <c r="F23083"/>
      <c r="N23083" s="56"/>
    </row>
    <row r="23084" spans="1:14" x14ac:dyDescent="0.3">
      <c r="A23084" s="42"/>
      <c r="C23084" s="52"/>
      <c r="D23084"/>
      <c r="E23084"/>
      <c r="F23084"/>
      <c r="L23084" s="45"/>
      <c r="N23084" s="56"/>
    </row>
    <row r="23085" spans="1:14" x14ac:dyDescent="0.3">
      <c r="A23085" s="42"/>
      <c r="C23085" s="52"/>
      <c r="D23085"/>
      <c r="E23085"/>
      <c r="F23085"/>
      <c r="N23085" s="56"/>
    </row>
    <row r="23086" spans="1:14" x14ac:dyDescent="0.3">
      <c r="A23086" s="42"/>
      <c r="C23086" s="52"/>
      <c r="D23086"/>
      <c r="E23086"/>
      <c r="F23086"/>
      <c r="N23086" s="56"/>
    </row>
    <row r="23087" spans="1:14" x14ac:dyDescent="0.3">
      <c r="A23087" s="42"/>
      <c r="C23087" s="52"/>
      <c r="D23087"/>
      <c r="E23087"/>
      <c r="F23087"/>
      <c r="N23087" s="56"/>
    </row>
    <row r="23088" spans="1:14" x14ac:dyDescent="0.3">
      <c r="A23088" s="42"/>
      <c r="C23088" s="52"/>
      <c r="D23088"/>
      <c r="E23088"/>
      <c r="F23088"/>
      <c r="N23088" s="56"/>
    </row>
    <row r="23089" spans="1:14" x14ac:dyDescent="0.3">
      <c r="A23089" s="42"/>
      <c r="C23089" s="52"/>
      <c r="D23089"/>
      <c r="E23089"/>
      <c r="F23089"/>
      <c r="N23089" s="56"/>
    </row>
    <row r="23090" spans="1:14" x14ac:dyDescent="0.3">
      <c r="A23090" s="42"/>
      <c r="C23090" s="52"/>
      <c r="D23090"/>
      <c r="E23090"/>
      <c r="F23090"/>
      <c r="N23090" s="56"/>
    </row>
    <row r="23091" spans="1:14" x14ac:dyDescent="0.3">
      <c r="A23091" s="42"/>
      <c r="C23091" s="52"/>
      <c r="D23091"/>
      <c r="E23091"/>
      <c r="F23091"/>
      <c r="L23091" s="45"/>
      <c r="N23091" s="56"/>
    </row>
    <row r="23092" spans="1:14" x14ac:dyDescent="0.3">
      <c r="A23092" s="42"/>
      <c r="C23092" s="52"/>
      <c r="D23092"/>
      <c r="E23092"/>
      <c r="F23092"/>
      <c r="N23092" s="56"/>
    </row>
    <row r="23093" spans="1:14" x14ac:dyDescent="0.3">
      <c r="A23093" s="42"/>
      <c r="C23093" s="52"/>
      <c r="D23093"/>
      <c r="E23093"/>
      <c r="F23093"/>
      <c r="N23093" s="56"/>
    </row>
    <row r="23094" spans="1:14" x14ac:dyDescent="0.3">
      <c r="A23094" s="42"/>
      <c r="C23094" s="52"/>
      <c r="D23094"/>
      <c r="E23094"/>
      <c r="F23094"/>
      <c r="N23094" s="56"/>
    </row>
    <row r="23095" spans="1:14" x14ac:dyDescent="0.3">
      <c r="A23095" s="42"/>
      <c r="C23095" s="52"/>
      <c r="D23095"/>
      <c r="E23095"/>
      <c r="F23095"/>
      <c r="N23095" s="56"/>
    </row>
    <row r="23096" spans="1:14" x14ac:dyDescent="0.3">
      <c r="A23096" s="42"/>
      <c r="C23096" s="52"/>
      <c r="D23096"/>
      <c r="E23096"/>
      <c r="F23096"/>
      <c r="N23096" s="56"/>
    </row>
    <row r="23097" spans="1:14" x14ac:dyDescent="0.3">
      <c r="A23097" s="42"/>
      <c r="C23097" s="52"/>
      <c r="D23097"/>
      <c r="E23097"/>
      <c r="F23097"/>
      <c r="N23097" s="56"/>
    </row>
    <row r="23098" spans="1:14" x14ac:dyDescent="0.3">
      <c r="A23098" s="42"/>
      <c r="C23098" s="52"/>
      <c r="D23098"/>
      <c r="E23098"/>
      <c r="F23098"/>
      <c r="N23098" s="56"/>
    </row>
    <row r="23099" spans="1:14" x14ac:dyDescent="0.3">
      <c r="A23099" s="42"/>
      <c r="C23099" s="52"/>
      <c r="D23099"/>
      <c r="E23099"/>
      <c r="F23099"/>
      <c r="N23099" s="56"/>
    </row>
    <row r="23100" spans="1:14" x14ac:dyDescent="0.3">
      <c r="A23100" s="42"/>
      <c r="C23100" s="52"/>
      <c r="D23100"/>
      <c r="E23100"/>
      <c r="F23100"/>
      <c r="N23100" s="56"/>
    </row>
    <row r="23101" spans="1:14" x14ac:dyDescent="0.3">
      <c r="A23101" s="42"/>
      <c r="C23101" s="52"/>
      <c r="D23101"/>
      <c r="E23101"/>
      <c r="F23101"/>
      <c r="N23101" s="56"/>
    </row>
    <row r="23102" spans="1:14" x14ac:dyDescent="0.3">
      <c r="A23102" s="42"/>
      <c r="C23102" s="52"/>
      <c r="D23102"/>
      <c r="E23102"/>
      <c r="F23102"/>
      <c r="N23102" s="56"/>
    </row>
    <row r="23103" spans="1:14" x14ac:dyDescent="0.3">
      <c r="A23103" s="42"/>
      <c r="C23103" s="52"/>
      <c r="D23103"/>
      <c r="E23103"/>
      <c r="F23103"/>
      <c r="L23103" s="45"/>
      <c r="N23103" s="56"/>
    </row>
    <row r="23104" spans="1:14" x14ac:dyDescent="0.3">
      <c r="A23104" s="42"/>
      <c r="C23104" s="52"/>
      <c r="D23104"/>
      <c r="E23104"/>
      <c r="F23104"/>
      <c r="N23104" s="56"/>
    </row>
    <row r="23105" spans="1:14" x14ac:dyDescent="0.3">
      <c r="A23105" s="42"/>
      <c r="C23105" s="52"/>
      <c r="D23105"/>
      <c r="E23105"/>
      <c r="F23105"/>
      <c r="N23105" s="56"/>
    </row>
    <row r="23106" spans="1:14" x14ac:dyDescent="0.3">
      <c r="A23106" s="42"/>
      <c r="C23106" s="52"/>
      <c r="D23106"/>
      <c r="E23106"/>
      <c r="F23106"/>
      <c r="N23106" s="56"/>
    </row>
    <row r="23107" spans="1:14" x14ac:dyDescent="0.3">
      <c r="A23107" s="42"/>
      <c r="C23107" s="52"/>
      <c r="D23107"/>
      <c r="E23107"/>
      <c r="F23107"/>
      <c r="N23107" s="56"/>
    </row>
    <row r="23108" spans="1:14" x14ac:dyDescent="0.3">
      <c r="A23108" s="42"/>
      <c r="C23108" s="52"/>
      <c r="D23108"/>
      <c r="E23108"/>
      <c r="F23108"/>
      <c r="N23108" s="56"/>
    </row>
    <row r="23109" spans="1:14" x14ac:dyDescent="0.3">
      <c r="A23109" s="42"/>
      <c r="C23109" s="52"/>
      <c r="D23109"/>
      <c r="E23109"/>
      <c r="F23109"/>
      <c r="N23109" s="56"/>
    </row>
    <row r="23110" spans="1:14" x14ac:dyDescent="0.3">
      <c r="A23110" s="42"/>
      <c r="C23110" s="52"/>
      <c r="D23110"/>
      <c r="E23110"/>
      <c r="F23110"/>
      <c r="N23110" s="56"/>
    </row>
    <row r="23111" spans="1:14" x14ac:dyDescent="0.3">
      <c r="A23111" s="42"/>
      <c r="C23111" s="52"/>
      <c r="D23111"/>
      <c r="E23111"/>
      <c r="F23111"/>
      <c r="L23111" s="45"/>
      <c r="N23111" s="56"/>
    </row>
    <row r="23112" spans="1:14" x14ac:dyDescent="0.3">
      <c r="A23112" s="42"/>
      <c r="C23112" s="52"/>
      <c r="D23112"/>
      <c r="E23112"/>
      <c r="F23112"/>
      <c r="N23112" s="56"/>
    </row>
    <row r="23113" spans="1:14" x14ac:dyDescent="0.3">
      <c r="A23113" s="42"/>
      <c r="C23113" s="52"/>
      <c r="D23113"/>
      <c r="E23113"/>
      <c r="F23113"/>
      <c r="N23113" s="56"/>
    </row>
    <row r="23114" spans="1:14" x14ac:dyDescent="0.3">
      <c r="A23114" s="42"/>
      <c r="C23114" s="52"/>
      <c r="D23114"/>
      <c r="E23114"/>
      <c r="F23114"/>
      <c r="N23114" s="56"/>
    </row>
    <row r="23115" spans="1:14" x14ac:dyDescent="0.3">
      <c r="A23115" s="42"/>
      <c r="C23115" s="52"/>
      <c r="D23115"/>
      <c r="E23115"/>
      <c r="F23115"/>
      <c r="N23115" s="56"/>
    </row>
    <row r="23116" spans="1:14" x14ac:dyDescent="0.3">
      <c r="A23116" s="42"/>
      <c r="C23116" s="52"/>
      <c r="D23116"/>
      <c r="E23116"/>
      <c r="F23116"/>
      <c r="N23116" s="56"/>
    </row>
    <row r="23117" spans="1:14" x14ac:dyDescent="0.3">
      <c r="A23117" s="42"/>
      <c r="C23117" s="52"/>
      <c r="D23117"/>
      <c r="E23117"/>
      <c r="F23117"/>
      <c r="N23117" s="56"/>
    </row>
    <row r="23118" spans="1:14" x14ac:dyDescent="0.3">
      <c r="A23118" s="42"/>
      <c r="C23118" s="52"/>
      <c r="D23118"/>
      <c r="E23118"/>
      <c r="F23118"/>
      <c r="N23118" s="56"/>
    </row>
    <row r="23119" spans="1:14" x14ac:dyDescent="0.3">
      <c r="A23119" s="42"/>
      <c r="C23119" s="52"/>
      <c r="D23119"/>
      <c r="E23119"/>
      <c r="F23119"/>
      <c r="N23119" s="56"/>
    </row>
    <row r="23120" spans="1:14" x14ac:dyDescent="0.3">
      <c r="A23120" s="42"/>
      <c r="C23120" s="52"/>
      <c r="D23120"/>
      <c r="E23120"/>
      <c r="F23120"/>
      <c r="N23120" s="56"/>
    </row>
    <row r="23121" spans="1:14" x14ac:dyDescent="0.3">
      <c r="A23121" s="42"/>
      <c r="C23121" s="52"/>
      <c r="D23121"/>
      <c r="E23121"/>
      <c r="F23121"/>
      <c r="N23121" s="56"/>
    </row>
    <row r="23122" spans="1:14" x14ac:dyDescent="0.3">
      <c r="A23122" s="42"/>
      <c r="C23122" s="52"/>
      <c r="D23122"/>
      <c r="E23122"/>
      <c r="F23122"/>
      <c r="N23122" s="56"/>
    </row>
    <row r="23123" spans="1:14" x14ac:dyDescent="0.3">
      <c r="A23123" s="42"/>
      <c r="C23123" s="52"/>
      <c r="D23123"/>
      <c r="E23123"/>
      <c r="F23123"/>
      <c r="N23123" s="56"/>
    </row>
    <row r="23124" spans="1:14" x14ac:dyDescent="0.3">
      <c r="A23124" s="42"/>
      <c r="C23124" s="52"/>
      <c r="D23124"/>
      <c r="E23124"/>
      <c r="F23124"/>
      <c r="N23124" s="56"/>
    </row>
    <row r="23125" spans="1:14" x14ac:dyDescent="0.3">
      <c r="A23125" s="42"/>
      <c r="C23125" s="52"/>
      <c r="D23125"/>
      <c r="E23125"/>
      <c r="F23125"/>
      <c r="N23125" s="56"/>
    </row>
    <row r="23126" spans="1:14" x14ac:dyDescent="0.3">
      <c r="A23126" s="42"/>
      <c r="C23126" s="52"/>
      <c r="D23126"/>
      <c r="E23126"/>
      <c r="F23126"/>
      <c r="N23126" s="56"/>
    </row>
    <row r="23127" spans="1:14" x14ac:dyDescent="0.3">
      <c r="A23127" s="42"/>
      <c r="C23127" s="52"/>
      <c r="D23127"/>
      <c r="E23127"/>
      <c r="F23127"/>
      <c r="N23127" s="56"/>
    </row>
    <row r="23128" spans="1:14" x14ac:dyDescent="0.3">
      <c r="A23128" s="42"/>
      <c r="C23128" s="52"/>
      <c r="D23128"/>
      <c r="E23128"/>
      <c r="F23128"/>
      <c r="N23128" s="56"/>
    </row>
    <row r="23129" spans="1:14" x14ac:dyDescent="0.3">
      <c r="A23129" s="42"/>
      <c r="C23129" s="52"/>
      <c r="D23129"/>
      <c r="E23129"/>
      <c r="F23129"/>
      <c r="N23129" s="56"/>
    </row>
    <row r="23130" spans="1:14" x14ac:dyDescent="0.3">
      <c r="A23130" s="42"/>
      <c r="C23130" s="52"/>
      <c r="D23130"/>
      <c r="E23130"/>
      <c r="F23130"/>
      <c r="N23130" s="56"/>
    </row>
    <row r="23131" spans="1:14" x14ac:dyDescent="0.3">
      <c r="A23131" s="42"/>
      <c r="C23131" s="52"/>
      <c r="D23131"/>
      <c r="E23131"/>
      <c r="F23131"/>
      <c r="L23131" s="45"/>
      <c r="N23131" s="56"/>
    </row>
    <row r="23132" spans="1:14" x14ac:dyDescent="0.3">
      <c r="A23132" s="42"/>
      <c r="C23132" s="52"/>
      <c r="D23132"/>
      <c r="E23132"/>
      <c r="F23132"/>
      <c r="N23132" s="56"/>
    </row>
    <row r="23133" spans="1:14" x14ac:dyDescent="0.3">
      <c r="A23133" s="42"/>
      <c r="C23133" s="52"/>
      <c r="D23133"/>
      <c r="E23133"/>
      <c r="F23133"/>
      <c r="N23133" s="56"/>
    </row>
    <row r="23134" spans="1:14" x14ac:dyDescent="0.3">
      <c r="A23134" s="42"/>
      <c r="C23134" s="52"/>
      <c r="D23134"/>
      <c r="E23134"/>
      <c r="F23134"/>
      <c r="N23134" s="56"/>
    </row>
    <row r="23135" spans="1:14" x14ac:dyDescent="0.3">
      <c r="A23135" s="42"/>
      <c r="C23135" s="52"/>
      <c r="D23135"/>
      <c r="E23135"/>
      <c r="F23135"/>
      <c r="N23135" s="56"/>
    </row>
    <row r="23136" spans="1:14" x14ac:dyDescent="0.3">
      <c r="A23136" s="42"/>
      <c r="C23136" s="52"/>
      <c r="D23136"/>
      <c r="E23136"/>
      <c r="F23136"/>
      <c r="N23136" s="56"/>
    </row>
    <row r="23137" spans="1:14" x14ac:dyDescent="0.3">
      <c r="A23137" s="42"/>
      <c r="C23137" s="52"/>
      <c r="D23137"/>
      <c r="E23137"/>
      <c r="F23137"/>
      <c r="N23137" s="56"/>
    </row>
    <row r="23138" spans="1:14" x14ac:dyDescent="0.3">
      <c r="A23138" s="42"/>
      <c r="C23138" s="52"/>
      <c r="D23138"/>
      <c r="E23138"/>
      <c r="F23138"/>
      <c r="N23138" s="56"/>
    </row>
    <row r="23139" spans="1:14" x14ac:dyDescent="0.3">
      <c r="A23139" s="42"/>
      <c r="C23139" s="52"/>
      <c r="D23139"/>
      <c r="E23139"/>
      <c r="F23139"/>
      <c r="N23139" s="56"/>
    </row>
    <row r="23140" spans="1:14" x14ac:dyDescent="0.3">
      <c r="A23140" s="42"/>
      <c r="C23140" s="52"/>
      <c r="D23140"/>
      <c r="E23140"/>
      <c r="F23140"/>
      <c r="N23140" s="56"/>
    </row>
    <row r="23141" spans="1:14" x14ac:dyDescent="0.3">
      <c r="A23141" s="42"/>
      <c r="C23141" s="52"/>
      <c r="D23141"/>
      <c r="E23141"/>
      <c r="F23141"/>
      <c r="N23141" s="56"/>
    </row>
    <row r="23142" spans="1:14" x14ac:dyDescent="0.3">
      <c r="A23142" s="42"/>
      <c r="C23142" s="52"/>
      <c r="D23142"/>
      <c r="E23142"/>
      <c r="F23142"/>
      <c r="N23142" s="56"/>
    </row>
    <row r="23143" spans="1:14" x14ac:dyDescent="0.3">
      <c r="A23143" s="42"/>
      <c r="C23143" s="52"/>
      <c r="D23143"/>
      <c r="E23143"/>
      <c r="F23143"/>
      <c r="N23143" s="56"/>
    </row>
    <row r="23144" spans="1:14" x14ac:dyDescent="0.3">
      <c r="A23144" s="42"/>
      <c r="C23144" s="52"/>
      <c r="D23144"/>
      <c r="E23144"/>
      <c r="F23144"/>
      <c r="N23144" s="56"/>
    </row>
    <row r="23145" spans="1:14" x14ac:dyDescent="0.3">
      <c r="A23145" s="42"/>
      <c r="C23145" s="52"/>
      <c r="D23145"/>
      <c r="E23145"/>
      <c r="F23145"/>
      <c r="N23145" s="56"/>
    </row>
    <row r="23146" spans="1:14" x14ac:dyDescent="0.3">
      <c r="A23146" s="42"/>
      <c r="C23146" s="52"/>
      <c r="D23146"/>
      <c r="E23146"/>
      <c r="F23146"/>
      <c r="N23146" s="56"/>
    </row>
    <row r="23147" spans="1:14" x14ac:dyDescent="0.3">
      <c r="A23147" s="42"/>
      <c r="C23147" s="52"/>
      <c r="D23147"/>
      <c r="E23147"/>
      <c r="F23147"/>
      <c r="N23147" s="56"/>
    </row>
    <row r="23148" spans="1:14" x14ac:dyDescent="0.3">
      <c r="A23148" s="42"/>
      <c r="C23148" s="52"/>
      <c r="D23148"/>
      <c r="E23148"/>
      <c r="F23148"/>
      <c r="N23148" s="56"/>
    </row>
    <row r="23149" spans="1:14" x14ac:dyDescent="0.3">
      <c r="A23149" s="42"/>
      <c r="C23149" s="52"/>
      <c r="D23149"/>
      <c r="E23149"/>
      <c r="F23149"/>
      <c r="N23149" s="56"/>
    </row>
    <row r="23150" spans="1:14" x14ac:dyDescent="0.3">
      <c r="A23150" s="42"/>
      <c r="C23150" s="52"/>
      <c r="D23150"/>
      <c r="E23150"/>
      <c r="F23150"/>
      <c r="N23150" s="56"/>
    </row>
    <row r="23151" spans="1:14" x14ac:dyDescent="0.3">
      <c r="A23151" s="42"/>
      <c r="C23151" s="52"/>
      <c r="D23151"/>
      <c r="E23151"/>
      <c r="F23151"/>
      <c r="N23151" s="56"/>
    </row>
    <row r="23152" spans="1:14" x14ac:dyDescent="0.3">
      <c r="A23152" s="42"/>
      <c r="C23152" s="52"/>
      <c r="D23152"/>
      <c r="E23152"/>
      <c r="F23152"/>
      <c r="N23152" s="56"/>
    </row>
    <row r="23153" spans="1:14" x14ac:dyDescent="0.3">
      <c r="A23153" s="42"/>
      <c r="C23153" s="52"/>
      <c r="D23153"/>
      <c r="E23153"/>
      <c r="F23153"/>
      <c r="N23153" s="56"/>
    </row>
    <row r="23154" spans="1:14" x14ac:dyDescent="0.3">
      <c r="A23154" s="42"/>
      <c r="C23154" s="52"/>
      <c r="D23154"/>
      <c r="E23154"/>
      <c r="F23154"/>
      <c r="N23154" s="56"/>
    </row>
    <row r="23155" spans="1:14" x14ac:dyDescent="0.3">
      <c r="A23155" s="42"/>
      <c r="C23155" s="52"/>
      <c r="D23155"/>
      <c r="E23155"/>
      <c r="F23155"/>
      <c r="N23155" s="56"/>
    </row>
    <row r="23156" spans="1:14" x14ac:dyDescent="0.3">
      <c r="A23156" s="42"/>
      <c r="C23156" s="52"/>
      <c r="D23156"/>
      <c r="E23156"/>
      <c r="F23156"/>
      <c r="N23156" s="56"/>
    </row>
    <row r="23157" spans="1:14" x14ac:dyDescent="0.3">
      <c r="A23157" s="42"/>
      <c r="C23157" s="52"/>
      <c r="D23157"/>
      <c r="E23157"/>
      <c r="F23157"/>
      <c r="N23157" s="56"/>
    </row>
    <row r="23158" spans="1:14" x14ac:dyDescent="0.3">
      <c r="A23158" s="42"/>
      <c r="C23158" s="52"/>
      <c r="D23158"/>
      <c r="E23158"/>
      <c r="F23158"/>
      <c r="N23158" s="56"/>
    </row>
    <row r="23159" spans="1:14" x14ac:dyDescent="0.3">
      <c r="A23159" s="42"/>
      <c r="C23159" s="52"/>
      <c r="D23159"/>
      <c r="E23159"/>
      <c r="F23159"/>
      <c r="N23159" s="56"/>
    </row>
    <row r="23160" spans="1:14" x14ac:dyDescent="0.3">
      <c r="A23160" s="42"/>
      <c r="C23160" s="52"/>
      <c r="D23160"/>
      <c r="E23160"/>
      <c r="F23160"/>
      <c r="N23160" s="56"/>
    </row>
    <row r="23161" spans="1:14" x14ac:dyDescent="0.3">
      <c r="A23161" s="42"/>
      <c r="C23161" s="52"/>
      <c r="D23161"/>
      <c r="E23161"/>
      <c r="F23161"/>
      <c r="N23161" s="56"/>
    </row>
    <row r="23162" spans="1:14" x14ac:dyDescent="0.3">
      <c r="A23162" s="42"/>
      <c r="C23162" s="52"/>
      <c r="D23162"/>
      <c r="E23162"/>
      <c r="F23162"/>
      <c r="N23162" s="56"/>
    </row>
    <row r="23163" spans="1:14" x14ac:dyDescent="0.3">
      <c r="A23163" s="42"/>
      <c r="C23163" s="52"/>
      <c r="D23163"/>
      <c r="E23163"/>
      <c r="F23163"/>
      <c r="N23163" s="56"/>
    </row>
    <row r="23164" spans="1:14" x14ac:dyDescent="0.3">
      <c r="A23164" s="42"/>
      <c r="C23164" s="52"/>
      <c r="D23164"/>
      <c r="E23164"/>
      <c r="F23164"/>
      <c r="N23164" s="56"/>
    </row>
    <row r="23165" spans="1:14" x14ac:dyDescent="0.3">
      <c r="A23165" s="42"/>
      <c r="C23165" s="52"/>
      <c r="D23165"/>
      <c r="E23165"/>
      <c r="F23165"/>
      <c r="N23165" s="56"/>
    </row>
    <row r="23166" spans="1:14" x14ac:dyDescent="0.3">
      <c r="A23166" s="42"/>
      <c r="C23166" s="52"/>
      <c r="D23166"/>
      <c r="E23166"/>
      <c r="F23166"/>
      <c r="N23166" s="56"/>
    </row>
    <row r="23167" spans="1:14" x14ac:dyDescent="0.3">
      <c r="A23167" s="42"/>
      <c r="C23167" s="52"/>
      <c r="D23167"/>
      <c r="E23167"/>
      <c r="F23167"/>
      <c r="N23167" s="56"/>
    </row>
    <row r="23168" spans="1:14" x14ac:dyDescent="0.3">
      <c r="A23168" s="42"/>
      <c r="C23168" s="52"/>
      <c r="D23168"/>
      <c r="E23168"/>
      <c r="F23168"/>
      <c r="N23168" s="56"/>
    </row>
    <row r="23169" spans="1:14" x14ac:dyDescent="0.3">
      <c r="A23169" s="42"/>
      <c r="C23169" s="52"/>
      <c r="D23169"/>
      <c r="E23169"/>
      <c r="F23169"/>
      <c r="N23169" s="56"/>
    </row>
    <row r="23170" spans="1:14" x14ac:dyDescent="0.3">
      <c r="A23170" s="42"/>
      <c r="C23170" s="52"/>
      <c r="D23170"/>
      <c r="E23170"/>
      <c r="F23170"/>
      <c r="N23170" s="56"/>
    </row>
    <row r="23171" spans="1:14" x14ac:dyDescent="0.3">
      <c r="A23171" s="42"/>
      <c r="C23171" s="52"/>
      <c r="D23171"/>
      <c r="E23171"/>
      <c r="F23171"/>
      <c r="N23171" s="56"/>
    </row>
    <row r="23172" spans="1:14" x14ac:dyDescent="0.3">
      <c r="A23172" s="42"/>
      <c r="C23172" s="52"/>
      <c r="D23172"/>
      <c r="E23172"/>
      <c r="F23172"/>
      <c r="N23172" s="56"/>
    </row>
    <row r="23173" spans="1:14" x14ac:dyDescent="0.3">
      <c r="A23173" s="42"/>
      <c r="C23173" s="52"/>
      <c r="D23173"/>
      <c r="E23173"/>
      <c r="F23173"/>
      <c r="N23173" s="56"/>
    </row>
    <row r="23174" spans="1:14" x14ac:dyDescent="0.3">
      <c r="A23174" s="42"/>
      <c r="C23174" s="52"/>
      <c r="D23174"/>
      <c r="E23174"/>
      <c r="F23174"/>
      <c r="N23174" s="56"/>
    </row>
    <row r="23175" spans="1:14" x14ac:dyDescent="0.3">
      <c r="A23175" s="42"/>
      <c r="C23175" s="52"/>
      <c r="D23175"/>
      <c r="E23175"/>
      <c r="F23175"/>
      <c r="N23175" s="56"/>
    </row>
    <row r="23176" spans="1:14" x14ac:dyDescent="0.3">
      <c r="A23176" s="42"/>
      <c r="C23176" s="52"/>
      <c r="D23176"/>
      <c r="E23176"/>
      <c r="F23176"/>
      <c r="N23176" s="56"/>
    </row>
    <row r="23177" spans="1:14" x14ac:dyDescent="0.3">
      <c r="A23177" s="42"/>
      <c r="C23177" s="52"/>
      <c r="D23177"/>
      <c r="E23177"/>
      <c r="F23177"/>
      <c r="N23177" s="56"/>
    </row>
    <row r="23178" spans="1:14" x14ac:dyDescent="0.3">
      <c r="A23178" s="42"/>
      <c r="C23178" s="52"/>
      <c r="D23178"/>
      <c r="E23178"/>
      <c r="F23178"/>
      <c r="N23178" s="56"/>
    </row>
    <row r="23179" spans="1:14" x14ac:dyDescent="0.3">
      <c r="A23179" s="42"/>
      <c r="C23179" s="52"/>
      <c r="D23179"/>
      <c r="E23179"/>
      <c r="F23179"/>
      <c r="N23179" s="56"/>
    </row>
    <row r="23180" spans="1:14" x14ac:dyDescent="0.3">
      <c r="A23180" s="42"/>
      <c r="C23180" s="52"/>
      <c r="D23180"/>
      <c r="E23180"/>
      <c r="F23180"/>
      <c r="N23180" s="56"/>
    </row>
    <row r="23181" spans="1:14" x14ac:dyDescent="0.3">
      <c r="A23181" s="42"/>
      <c r="C23181" s="52"/>
      <c r="D23181"/>
      <c r="E23181"/>
      <c r="F23181"/>
      <c r="N23181" s="56"/>
    </row>
    <row r="23182" spans="1:14" x14ac:dyDescent="0.3">
      <c r="A23182" s="42"/>
      <c r="C23182" s="52"/>
      <c r="D23182"/>
      <c r="E23182"/>
      <c r="F23182"/>
      <c r="N23182" s="56"/>
    </row>
    <row r="23183" spans="1:14" x14ac:dyDescent="0.3">
      <c r="A23183" s="42"/>
      <c r="C23183" s="52"/>
      <c r="D23183"/>
      <c r="E23183"/>
      <c r="F23183"/>
      <c r="N23183" s="56"/>
    </row>
    <row r="23184" spans="1:14" x14ac:dyDescent="0.3">
      <c r="A23184" s="42"/>
      <c r="C23184" s="52"/>
      <c r="D23184"/>
      <c r="E23184"/>
      <c r="F23184"/>
      <c r="N23184" s="56"/>
    </row>
    <row r="23185" spans="1:14" x14ac:dyDescent="0.3">
      <c r="A23185" s="42"/>
      <c r="C23185" s="52"/>
      <c r="D23185"/>
      <c r="E23185"/>
      <c r="F23185"/>
      <c r="N23185" s="56"/>
    </row>
    <row r="23186" spans="1:14" x14ac:dyDescent="0.3">
      <c r="A23186" s="42"/>
      <c r="C23186" s="52"/>
      <c r="D23186"/>
      <c r="E23186"/>
      <c r="F23186"/>
      <c r="N23186" s="56"/>
    </row>
    <row r="23187" spans="1:14" x14ac:dyDescent="0.3">
      <c r="A23187" s="42"/>
      <c r="C23187" s="52"/>
      <c r="D23187"/>
      <c r="E23187"/>
      <c r="F23187"/>
      <c r="N23187" s="56"/>
    </row>
    <row r="23188" spans="1:14" x14ac:dyDescent="0.3">
      <c r="A23188" s="42"/>
      <c r="C23188" s="52"/>
      <c r="D23188"/>
      <c r="E23188"/>
      <c r="F23188"/>
      <c r="N23188" s="56"/>
    </row>
    <row r="23189" spans="1:14" x14ac:dyDescent="0.3">
      <c r="A23189" s="42"/>
      <c r="C23189" s="52"/>
      <c r="D23189"/>
      <c r="E23189"/>
      <c r="F23189"/>
      <c r="N23189" s="56"/>
    </row>
    <row r="23190" spans="1:14" x14ac:dyDescent="0.3">
      <c r="A23190" s="42"/>
      <c r="C23190" s="52"/>
      <c r="D23190"/>
      <c r="E23190"/>
      <c r="F23190"/>
      <c r="N23190" s="56"/>
    </row>
    <row r="23191" spans="1:14" x14ac:dyDescent="0.3">
      <c r="A23191" s="42"/>
      <c r="C23191" s="52"/>
      <c r="D23191"/>
      <c r="E23191"/>
      <c r="F23191"/>
      <c r="N23191" s="56"/>
    </row>
    <row r="23192" spans="1:14" x14ac:dyDescent="0.3">
      <c r="A23192" s="42"/>
      <c r="C23192" s="52"/>
      <c r="D23192"/>
      <c r="E23192"/>
      <c r="F23192"/>
      <c r="N23192" s="56"/>
    </row>
    <row r="23193" spans="1:14" x14ac:dyDescent="0.3">
      <c r="A23193" s="42"/>
      <c r="C23193" s="52"/>
      <c r="D23193"/>
      <c r="E23193"/>
      <c r="F23193"/>
      <c r="N23193" s="56"/>
    </row>
    <row r="23194" spans="1:14" x14ac:dyDescent="0.3">
      <c r="A23194" s="42"/>
      <c r="C23194" s="52"/>
      <c r="D23194"/>
      <c r="E23194"/>
      <c r="F23194"/>
      <c r="N23194" s="56"/>
    </row>
    <row r="23195" spans="1:14" x14ac:dyDescent="0.3">
      <c r="A23195" s="42"/>
      <c r="C23195" s="52"/>
      <c r="D23195"/>
      <c r="E23195"/>
      <c r="F23195"/>
      <c r="N23195" s="56"/>
    </row>
    <row r="23196" spans="1:14" x14ac:dyDescent="0.3">
      <c r="A23196" s="42"/>
      <c r="C23196" s="52"/>
      <c r="D23196"/>
      <c r="E23196"/>
      <c r="F23196"/>
      <c r="N23196" s="56"/>
    </row>
    <row r="23197" spans="1:14" x14ac:dyDescent="0.3">
      <c r="A23197" s="42"/>
      <c r="C23197" s="52"/>
      <c r="D23197"/>
      <c r="E23197"/>
      <c r="F23197"/>
      <c r="N23197" s="56"/>
    </row>
    <row r="23198" spans="1:14" x14ac:dyDescent="0.3">
      <c r="A23198" s="42"/>
      <c r="C23198" s="52"/>
      <c r="D23198"/>
      <c r="E23198"/>
      <c r="F23198"/>
      <c r="N23198" s="56"/>
    </row>
    <row r="23199" spans="1:14" x14ac:dyDescent="0.3">
      <c r="A23199" s="42"/>
      <c r="C23199" s="52"/>
      <c r="D23199"/>
      <c r="E23199"/>
      <c r="F23199"/>
      <c r="N23199" s="56"/>
    </row>
    <row r="23200" spans="1:14" x14ac:dyDescent="0.3">
      <c r="A23200" s="42"/>
      <c r="C23200" s="52"/>
      <c r="D23200"/>
      <c r="E23200"/>
      <c r="F23200"/>
      <c r="N23200" s="56"/>
    </row>
    <row r="23201" spans="1:14" x14ac:dyDescent="0.3">
      <c r="A23201" s="42"/>
      <c r="C23201" s="52"/>
      <c r="D23201"/>
      <c r="E23201"/>
      <c r="F23201"/>
      <c r="N23201" s="56"/>
    </row>
    <row r="23202" spans="1:14" x14ac:dyDescent="0.3">
      <c r="A23202" s="42"/>
      <c r="C23202" s="52"/>
      <c r="D23202"/>
      <c r="E23202"/>
      <c r="F23202"/>
      <c r="N23202" s="56"/>
    </row>
    <row r="23203" spans="1:14" x14ac:dyDescent="0.3">
      <c r="A23203" s="42"/>
      <c r="C23203" s="52"/>
      <c r="D23203"/>
      <c r="E23203"/>
      <c r="F23203"/>
      <c r="N23203" s="56"/>
    </row>
    <row r="23204" spans="1:14" x14ac:dyDescent="0.3">
      <c r="A23204" s="42"/>
      <c r="C23204" s="52"/>
      <c r="D23204"/>
      <c r="E23204"/>
      <c r="F23204"/>
      <c r="N23204" s="56"/>
    </row>
    <row r="23205" spans="1:14" x14ac:dyDescent="0.3">
      <c r="A23205" s="42"/>
      <c r="C23205" s="52"/>
      <c r="D23205"/>
      <c r="E23205"/>
      <c r="F23205"/>
      <c r="N23205" s="56"/>
    </row>
    <row r="23206" spans="1:14" x14ac:dyDescent="0.3">
      <c r="A23206" s="42"/>
      <c r="C23206" s="52"/>
      <c r="D23206"/>
      <c r="E23206"/>
      <c r="F23206"/>
      <c r="N23206" s="56"/>
    </row>
    <row r="23207" spans="1:14" x14ac:dyDescent="0.3">
      <c r="A23207" s="42"/>
      <c r="C23207" s="52"/>
      <c r="D23207"/>
      <c r="E23207"/>
      <c r="F23207"/>
      <c r="N23207" s="56"/>
    </row>
    <row r="23208" spans="1:14" x14ac:dyDescent="0.3">
      <c r="A23208" s="42"/>
      <c r="C23208" s="52"/>
      <c r="D23208"/>
      <c r="E23208"/>
      <c r="F23208"/>
      <c r="N23208" s="56"/>
    </row>
    <row r="23209" spans="1:14" x14ac:dyDescent="0.3">
      <c r="A23209" s="42"/>
      <c r="C23209" s="52"/>
      <c r="D23209"/>
      <c r="E23209"/>
      <c r="F23209"/>
      <c r="N23209" s="56"/>
    </row>
    <row r="23210" spans="1:14" x14ac:dyDescent="0.3">
      <c r="A23210" s="42"/>
      <c r="C23210" s="52"/>
      <c r="D23210"/>
      <c r="E23210"/>
      <c r="F23210"/>
      <c r="N23210" s="56"/>
    </row>
    <row r="23211" spans="1:14" x14ac:dyDescent="0.3">
      <c r="A23211" s="42"/>
      <c r="C23211" s="52"/>
      <c r="D23211"/>
      <c r="E23211"/>
      <c r="F23211"/>
      <c r="N23211" s="56"/>
    </row>
    <row r="23212" spans="1:14" x14ac:dyDescent="0.3">
      <c r="A23212" s="42"/>
      <c r="C23212" s="52"/>
      <c r="D23212"/>
      <c r="E23212"/>
      <c r="F23212"/>
      <c r="N23212" s="56"/>
    </row>
    <row r="23213" spans="1:14" x14ac:dyDescent="0.3">
      <c r="A23213" s="42"/>
      <c r="C23213" s="52"/>
      <c r="D23213"/>
      <c r="E23213"/>
      <c r="F23213"/>
      <c r="N23213" s="56"/>
    </row>
    <row r="23214" spans="1:14" x14ac:dyDescent="0.3">
      <c r="A23214" s="42"/>
      <c r="C23214" s="52"/>
      <c r="D23214"/>
      <c r="E23214"/>
      <c r="F23214"/>
      <c r="N23214" s="56"/>
    </row>
    <row r="23215" spans="1:14" x14ac:dyDescent="0.3">
      <c r="A23215" s="42"/>
      <c r="C23215" s="52"/>
      <c r="D23215"/>
      <c r="E23215"/>
      <c r="F23215"/>
      <c r="N23215" s="56"/>
    </row>
    <row r="23216" spans="1:14" x14ac:dyDescent="0.3">
      <c r="A23216" s="42"/>
      <c r="C23216" s="52"/>
      <c r="D23216"/>
      <c r="E23216"/>
      <c r="F23216"/>
      <c r="N23216" s="56"/>
    </row>
    <row r="23217" spans="1:14" x14ac:dyDescent="0.3">
      <c r="A23217" s="42"/>
      <c r="C23217" s="52"/>
      <c r="D23217"/>
      <c r="E23217"/>
      <c r="F23217"/>
      <c r="N23217" s="56"/>
    </row>
    <row r="23218" spans="1:14" x14ac:dyDescent="0.3">
      <c r="A23218" s="42"/>
      <c r="C23218" s="52"/>
      <c r="D23218"/>
      <c r="E23218"/>
      <c r="F23218"/>
      <c r="N23218" s="56"/>
    </row>
    <row r="23219" spans="1:14" x14ac:dyDescent="0.3">
      <c r="A23219" s="42"/>
      <c r="C23219" s="52"/>
      <c r="D23219"/>
      <c r="E23219"/>
      <c r="F23219"/>
      <c r="N23219" s="56"/>
    </row>
    <row r="23220" spans="1:14" x14ac:dyDescent="0.3">
      <c r="A23220" s="42"/>
      <c r="C23220" s="52"/>
      <c r="D23220"/>
      <c r="E23220"/>
      <c r="F23220"/>
      <c r="N23220" s="56"/>
    </row>
    <row r="23221" spans="1:14" x14ac:dyDescent="0.3">
      <c r="A23221" s="42"/>
      <c r="C23221" s="52"/>
      <c r="D23221"/>
      <c r="E23221"/>
      <c r="F23221"/>
      <c r="N23221" s="56"/>
    </row>
    <row r="23222" spans="1:14" x14ac:dyDescent="0.3">
      <c r="A23222" s="42"/>
      <c r="C23222" s="52"/>
      <c r="D23222"/>
      <c r="E23222"/>
      <c r="F23222"/>
      <c r="N23222" s="56"/>
    </row>
    <row r="23223" spans="1:14" x14ac:dyDescent="0.3">
      <c r="A23223" s="42"/>
      <c r="C23223" s="52"/>
      <c r="D23223"/>
      <c r="E23223"/>
      <c r="F23223"/>
      <c r="N23223" s="56"/>
    </row>
    <row r="23224" spans="1:14" x14ac:dyDescent="0.3">
      <c r="A23224" s="42"/>
      <c r="C23224" s="52"/>
      <c r="D23224"/>
      <c r="E23224"/>
      <c r="F23224"/>
      <c r="N23224" s="56"/>
    </row>
    <row r="23225" spans="1:14" x14ac:dyDescent="0.3">
      <c r="A23225" s="42"/>
      <c r="C23225" s="52"/>
      <c r="D23225"/>
      <c r="E23225"/>
      <c r="F23225"/>
      <c r="N23225" s="56"/>
    </row>
    <row r="23226" spans="1:14" x14ac:dyDescent="0.3">
      <c r="A23226" s="42"/>
      <c r="C23226" s="52"/>
      <c r="D23226"/>
      <c r="E23226"/>
      <c r="F23226"/>
      <c r="N23226" s="56"/>
    </row>
    <row r="23227" spans="1:14" x14ac:dyDescent="0.3">
      <c r="A23227" s="42"/>
      <c r="C23227" s="52"/>
      <c r="D23227"/>
      <c r="E23227"/>
      <c r="F23227"/>
      <c r="N23227" s="56"/>
    </row>
    <row r="23228" spans="1:14" x14ac:dyDescent="0.3">
      <c r="A23228" s="42"/>
      <c r="C23228" s="52"/>
      <c r="D23228"/>
      <c r="E23228"/>
      <c r="F23228"/>
      <c r="N23228" s="56"/>
    </row>
    <row r="23229" spans="1:14" x14ac:dyDescent="0.3">
      <c r="A23229" s="42"/>
      <c r="C23229" s="52"/>
      <c r="D23229"/>
      <c r="E23229"/>
      <c r="F23229"/>
      <c r="N23229" s="56"/>
    </row>
    <row r="23230" spans="1:14" x14ac:dyDescent="0.3">
      <c r="A23230" s="42"/>
      <c r="C23230" s="52"/>
      <c r="D23230"/>
      <c r="E23230"/>
      <c r="F23230"/>
      <c r="N23230" s="56"/>
    </row>
    <row r="23231" spans="1:14" x14ac:dyDescent="0.3">
      <c r="A23231" s="42"/>
      <c r="C23231" s="52"/>
      <c r="D23231"/>
      <c r="E23231"/>
      <c r="F23231"/>
      <c r="N23231" s="56"/>
    </row>
    <row r="23232" spans="1:14" x14ac:dyDescent="0.3">
      <c r="A23232" s="42"/>
      <c r="C23232" s="52"/>
      <c r="D23232"/>
      <c r="E23232"/>
      <c r="F23232"/>
      <c r="N23232" s="56"/>
    </row>
    <row r="23233" spans="1:14" x14ac:dyDescent="0.3">
      <c r="A23233" s="42"/>
      <c r="C23233" s="52"/>
      <c r="D23233"/>
      <c r="E23233"/>
      <c r="F23233"/>
      <c r="N23233" s="56"/>
    </row>
    <row r="23234" spans="1:14" x14ac:dyDescent="0.3">
      <c r="A23234" s="42"/>
      <c r="C23234" s="52"/>
      <c r="D23234"/>
      <c r="E23234"/>
      <c r="F23234"/>
      <c r="N23234" s="56"/>
    </row>
    <row r="23235" spans="1:14" x14ac:dyDescent="0.3">
      <c r="A23235" s="42"/>
      <c r="C23235" s="52"/>
      <c r="D23235"/>
      <c r="E23235"/>
      <c r="F23235"/>
      <c r="N23235" s="56"/>
    </row>
    <row r="23236" spans="1:14" x14ac:dyDescent="0.3">
      <c r="A23236" s="42"/>
      <c r="C23236" s="52"/>
      <c r="D23236"/>
      <c r="E23236"/>
      <c r="F23236"/>
      <c r="N23236" s="56"/>
    </row>
    <row r="23237" spans="1:14" x14ac:dyDescent="0.3">
      <c r="A23237" s="42"/>
      <c r="C23237" s="52"/>
      <c r="D23237"/>
      <c r="E23237"/>
      <c r="F23237"/>
      <c r="N23237" s="56"/>
    </row>
    <row r="23238" spans="1:14" x14ac:dyDescent="0.3">
      <c r="A23238" s="42"/>
      <c r="C23238" s="52"/>
      <c r="D23238"/>
      <c r="E23238"/>
      <c r="F23238"/>
      <c r="N23238" s="56"/>
    </row>
    <row r="23239" spans="1:14" x14ac:dyDescent="0.3">
      <c r="A23239" s="42"/>
      <c r="C23239" s="52"/>
      <c r="D23239"/>
      <c r="E23239"/>
      <c r="F23239"/>
      <c r="N23239" s="56"/>
    </row>
    <row r="23240" spans="1:14" x14ac:dyDescent="0.3">
      <c r="A23240" s="42"/>
      <c r="C23240" s="52"/>
      <c r="D23240"/>
      <c r="E23240"/>
      <c r="F23240"/>
      <c r="N23240" s="56"/>
    </row>
    <row r="23241" spans="1:14" x14ac:dyDescent="0.3">
      <c r="A23241" s="42"/>
      <c r="C23241" s="52"/>
      <c r="D23241"/>
      <c r="E23241"/>
      <c r="F23241"/>
      <c r="N23241" s="56"/>
    </row>
    <row r="23242" spans="1:14" x14ac:dyDescent="0.3">
      <c r="A23242" s="42"/>
      <c r="C23242" s="52"/>
      <c r="D23242"/>
      <c r="E23242"/>
      <c r="F23242"/>
      <c r="N23242" s="56"/>
    </row>
    <row r="23243" spans="1:14" x14ac:dyDescent="0.3">
      <c r="A23243" s="42"/>
      <c r="C23243" s="52"/>
      <c r="D23243"/>
      <c r="E23243"/>
      <c r="F23243"/>
      <c r="N23243" s="56"/>
    </row>
    <row r="23244" spans="1:14" x14ac:dyDescent="0.3">
      <c r="A23244" s="42"/>
      <c r="C23244" s="52"/>
      <c r="D23244"/>
      <c r="E23244"/>
      <c r="F23244"/>
      <c r="N23244" s="56"/>
    </row>
    <row r="23245" spans="1:14" x14ac:dyDescent="0.3">
      <c r="A23245" s="42"/>
      <c r="C23245" s="52"/>
      <c r="D23245"/>
      <c r="E23245"/>
      <c r="F23245"/>
      <c r="N23245" s="56"/>
    </row>
    <row r="23246" spans="1:14" x14ac:dyDescent="0.3">
      <c r="A23246" s="42"/>
      <c r="C23246" s="52"/>
      <c r="D23246"/>
      <c r="E23246"/>
      <c r="F23246"/>
      <c r="N23246" s="56"/>
    </row>
    <row r="23247" spans="1:14" x14ac:dyDescent="0.3">
      <c r="A23247" s="42"/>
      <c r="C23247" s="52"/>
      <c r="D23247"/>
      <c r="E23247"/>
      <c r="F23247"/>
      <c r="N23247" s="56"/>
    </row>
    <row r="23248" spans="1:14" x14ac:dyDescent="0.3">
      <c r="A23248" s="42"/>
      <c r="C23248" s="52"/>
      <c r="D23248"/>
      <c r="E23248"/>
      <c r="F23248"/>
      <c r="N23248" s="56"/>
    </row>
    <row r="23249" spans="1:14" x14ac:dyDescent="0.3">
      <c r="A23249" s="42"/>
      <c r="C23249" s="52"/>
      <c r="D23249"/>
      <c r="E23249"/>
      <c r="F23249"/>
      <c r="N23249" s="56"/>
    </row>
    <row r="23250" spans="1:14" x14ac:dyDescent="0.3">
      <c r="A23250" s="42"/>
      <c r="C23250" s="52"/>
      <c r="D23250"/>
      <c r="E23250"/>
      <c r="F23250"/>
      <c r="N23250" s="56"/>
    </row>
    <row r="23251" spans="1:14" x14ac:dyDescent="0.3">
      <c r="A23251" s="42"/>
      <c r="C23251" s="52"/>
      <c r="D23251"/>
      <c r="E23251"/>
      <c r="F23251"/>
      <c r="N23251" s="56"/>
    </row>
    <row r="23252" spans="1:14" x14ac:dyDescent="0.3">
      <c r="A23252" s="42"/>
      <c r="C23252" s="52"/>
      <c r="D23252"/>
      <c r="E23252"/>
      <c r="F23252"/>
      <c r="N23252" s="56"/>
    </row>
    <row r="23253" spans="1:14" x14ac:dyDescent="0.3">
      <c r="A23253" s="42"/>
      <c r="C23253" s="52"/>
      <c r="D23253"/>
      <c r="E23253"/>
      <c r="F23253"/>
      <c r="N23253" s="56"/>
    </row>
    <row r="23254" spans="1:14" x14ac:dyDescent="0.3">
      <c r="A23254" s="42"/>
      <c r="C23254" s="52"/>
      <c r="D23254"/>
      <c r="E23254"/>
      <c r="F23254"/>
      <c r="N23254" s="56"/>
    </row>
    <row r="23255" spans="1:14" x14ac:dyDescent="0.3">
      <c r="A23255" s="42"/>
      <c r="C23255" s="52"/>
      <c r="D23255"/>
      <c r="E23255"/>
      <c r="F23255"/>
      <c r="N23255" s="56"/>
    </row>
    <row r="23256" spans="1:14" x14ac:dyDescent="0.3">
      <c r="A23256" s="42"/>
      <c r="C23256" s="52"/>
      <c r="D23256"/>
      <c r="E23256"/>
      <c r="F23256"/>
      <c r="N23256" s="56"/>
    </row>
    <row r="23257" spans="1:14" x14ac:dyDescent="0.3">
      <c r="A23257" s="42"/>
      <c r="C23257" s="52"/>
      <c r="D23257"/>
      <c r="E23257"/>
      <c r="F23257"/>
      <c r="N23257" s="56"/>
    </row>
    <row r="23258" spans="1:14" x14ac:dyDescent="0.3">
      <c r="A23258" s="42"/>
      <c r="C23258" s="52"/>
      <c r="D23258"/>
      <c r="E23258"/>
      <c r="F23258"/>
      <c r="N23258" s="56"/>
    </row>
    <row r="23259" spans="1:14" x14ac:dyDescent="0.3">
      <c r="A23259" s="42"/>
      <c r="C23259" s="52"/>
      <c r="D23259"/>
      <c r="E23259"/>
      <c r="F23259"/>
      <c r="N23259" s="56"/>
    </row>
    <row r="23260" spans="1:14" x14ac:dyDescent="0.3">
      <c r="A23260" s="42"/>
      <c r="C23260" s="52"/>
      <c r="D23260"/>
      <c r="E23260"/>
      <c r="F23260"/>
      <c r="N23260" s="56"/>
    </row>
    <row r="23261" spans="1:14" x14ac:dyDescent="0.3">
      <c r="A23261" s="42"/>
      <c r="C23261" s="52"/>
      <c r="D23261"/>
      <c r="E23261"/>
      <c r="F23261"/>
      <c r="N23261" s="56"/>
    </row>
    <row r="23262" spans="1:14" x14ac:dyDescent="0.3">
      <c r="A23262" s="42"/>
      <c r="C23262" s="52"/>
      <c r="D23262"/>
      <c r="E23262"/>
      <c r="F23262"/>
      <c r="N23262" s="56"/>
    </row>
    <row r="23263" spans="1:14" x14ac:dyDescent="0.3">
      <c r="A23263" s="42"/>
      <c r="C23263" s="52"/>
      <c r="D23263"/>
      <c r="E23263"/>
      <c r="F23263"/>
      <c r="N23263" s="56"/>
    </row>
    <row r="23264" spans="1:14" x14ac:dyDescent="0.3">
      <c r="A23264" s="42"/>
      <c r="C23264" s="52"/>
      <c r="D23264"/>
      <c r="E23264"/>
      <c r="F23264"/>
      <c r="N23264" s="56"/>
    </row>
    <row r="23265" spans="1:14" x14ac:dyDescent="0.3">
      <c r="A23265" s="42"/>
      <c r="C23265" s="52"/>
      <c r="D23265"/>
      <c r="E23265"/>
      <c r="F23265"/>
      <c r="N23265" s="56"/>
    </row>
    <row r="23266" spans="1:14" x14ac:dyDescent="0.3">
      <c r="A23266" s="42"/>
      <c r="C23266" s="52"/>
      <c r="D23266"/>
      <c r="E23266"/>
      <c r="F23266"/>
      <c r="N23266" s="56"/>
    </row>
    <row r="23267" spans="1:14" x14ac:dyDescent="0.3">
      <c r="A23267" s="42"/>
      <c r="C23267" s="52"/>
      <c r="D23267"/>
      <c r="E23267"/>
      <c r="F23267"/>
      <c r="N23267" s="56"/>
    </row>
    <row r="23268" spans="1:14" x14ac:dyDescent="0.3">
      <c r="A23268" s="42"/>
      <c r="C23268" s="52"/>
      <c r="D23268"/>
      <c r="E23268"/>
      <c r="F23268"/>
      <c r="M23268" s="45"/>
      <c r="N23268" s="56"/>
    </row>
    <row r="23269" spans="1:14" x14ac:dyDescent="0.3">
      <c r="A23269" s="42"/>
      <c r="C23269" s="52"/>
      <c r="D23269"/>
      <c r="E23269"/>
      <c r="F23269"/>
      <c r="N23269" s="56"/>
    </row>
    <row r="23270" spans="1:14" x14ac:dyDescent="0.3">
      <c r="A23270" s="42"/>
      <c r="C23270" s="52"/>
      <c r="D23270"/>
      <c r="E23270"/>
      <c r="F23270"/>
      <c r="N23270" s="56"/>
    </row>
    <row r="23271" spans="1:14" x14ac:dyDescent="0.3">
      <c r="A23271" s="42"/>
      <c r="C23271" s="52"/>
      <c r="D23271"/>
      <c r="E23271"/>
      <c r="F23271"/>
      <c r="N23271" s="56"/>
    </row>
    <row r="23272" spans="1:14" x14ac:dyDescent="0.3">
      <c r="A23272" s="42"/>
      <c r="C23272" s="52"/>
      <c r="D23272"/>
      <c r="E23272"/>
      <c r="F23272"/>
      <c r="N23272" s="56"/>
    </row>
    <row r="23273" spans="1:14" x14ac:dyDescent="0.3">
      <c r="A23273" s="42"/>
      <c r="C23273" s="52"/>
      <c r="D23273"/>
      <c r="E23273"/>
      <c r="F23273"/>
      <c r="N23273" s="56"/>
    </row>
    <row r="23274" spans="1:14" x14ac:dyDescent="0.3">
      <c r="A23274" s="42"/>
      <c r="C23274" s="52"/>
      <c r="D23274"/>
      <c r="E23274"/>
      <c r="F23274"/>
      <c r="N23274" s="56"/>
    </row>
    <row r="23275" spans="1:14" x14ac:dyDescent="0.3">
      <c r="A23275" s="42"/>
      <c r="C23275" s="52"/>
      <c r="D23275"/>
      <c r="E23275"/>
      <c r="F23275"/>
      <c r="N23275" s="56"/>
    </row>
    <row r="23276" spans="1:14" x14ac:dyDescent="0.3">
      <c r="A23276" s="42"/>
      <c r="C23276" s="52"/>
      <c r="D23276"/>
      <c r="E23276"/>
      <c r="F23276"/>
      <c r="N23276" s="56"/>
    </row>
    <row r="23277" spans="1:14" x14ac:dyDescent="0.3">
      <c r="A23277" s="42"/>
      <c r="C23277" s="52"/>
      <c r="D23277"/>
      <c r="E23277"/>
      <c r="F23277"/>
      <c r="N23277" s="56"/>
    </row>
    <row r="23278" spans="1:14" x14ac:dyDescent="0.3">
      <c r="A23278" s="42"/>
      <c r="C23278" s="52"/>
      <c r="D23278"/>
      <c r="E23278"/>
      <c r="F23278"/>
      <c r="N23278" s="56"/>
    </row>
    <row r="23279" spans="1:14" x14ac:dyDescent="0.3">
      <c r="A23279" s="42"/>
      <c r="C23279" s="52"/>
      <c r="D23279"/>
      <c r="E23279"/>
      <c r="F23279"/>
      <c r="N23279" s="56"/>
    </row>
    <row r="23280" spans="1:14" x14ac:dyDescent="0.3">
      <c r="A23280" s="42"/>
      <c r="C23280" s="52"/>
      <c r="D23280"/>
      <c r="E23280"/>
      <c r="F23280"/>
      <c r="N23280" s="56"/>
    </row>
    <row r="23281" spans="1:14" x14ac:dyDescent="0.3">
      <c r="A23281" s="42"/>
      <c r="C23281" s="52"/>
      <c r="D23281"/>
      <c r="E23281"/>
      <c r="F23281"/>
      <c r="N23281" s="56"/>
    </row>
    <row r="23282" spans="1:14" x14ac:dyDescent="0.3">
      <c r="A23282" s="42"/>
      <c r="C23282" s="52"/>
      <c r="D23282"/>
      <c r="E23282"/>
      <c r="F23282"/>
      <c r="N23282" s="56"/>
    </row>
    <row r="23283" spans="1:14" x14ac:dyDescent="0.3">
      <c r="A23283" s="42"/>
      <c r="C23283" s="52"/>
      <c r="D23283"/>
      <c r="E23283"/>
      <c r="F23283"/>
      <c r="N23283" s="56"/>
    </row>
    <row r="23284" spans="1:14" x14ac:dyDescent="0.3">
      <c r="A23284" s="42"/>
      <c r="C23284" s="52"/>
      <c r="D23284"/>
      <c r="E23284"/>
      <c r="F23284"/>
      <c r="N23284" s="56"/>
    </row>
    <row r="23285" spans="1:14" x14ac:dyDescent="0.3">
      <c r="A23285" s="42"/>
      <c r="C23285" s="52"/>
      <c r="D23285"/>
      <c r="E23285"/>
      <c r="F23285"/>
      <c r="N23285" s="56"/>
    </row>
    <row r="23286" spans="1:14" x14ac:dyDescent="0.3">
      <c r="A23286" s="42"/>
      <c r="C23286" s="52"/>
      <c r="D23286"/>
      <c r="E23286"/>
      <c r="F23286"/>
      <c r="N23286" s="56"/>
    </row>
    <row r="23287" spans="1:14" x14ac:dyDescent="0.3">
      <c r="A23287" s="42"/>
      <c r="C23287" s="52"/>
      <c r="D23287"/>
      <c r="E23287"/>
      <c r="F23287"/>
      <c r="N23287" s="56"/>
    </row>
    <row r="23288" spans="1:14" x14ac:dyDescent="0.3">
      <c r="A23288" s="42"/>
      <c r="C23288" s="52"/>
      <c r="D23288"/>
      <c r="E23288"/>
      <c r="F23288"/>
      <c r="N23288" s="56"/>
    </row>
    <row r="23289" spans="1:14" x14ac:dyDescent="0.3">
      <c r="A23289" s="42"/>
      <c r="C23289" s="52"/>
      <c r="D23289"/>
      <c r="E23289"/>
      <c r="F23289"/>
      <c r="N23289" s="56"/>
    </row>
    <row r="23290" spans="1:14" x14ac:dyDescent="0.3">
      <c r="A23290" s="42"/>
      <c r="C23290" s="52"/>
      <c r="D23290"/>
      <c r="E23290"/>
      <c r="F23290"/>
      <c r="N23290" s="56"/>
    </row>
    <row r="23291" spans="1:14" x14ac:dyDescent="0.3">
      <c r="A23291" s="42"/>
      <c r="C23291" s="52"/>
      <c r="D23291"/>
      <c r="E23291"/>
      <c r="F23291"/>
      <c r="N23291" s="56"/>
    </row>
    <row r="23292" spans="1:14" x14ac:dyDescent="0.3">
      <c r="A23292" s="42"/>
      <c r="C23292" s="52"/>
      <c r="D23292"/>
      <c r="E23292"/>
      <c r="F23292"/>
      <c r="N23292" s="56"/>
    </row>
    <row r="23293" spans="1:14" x14ac:dyDescent="0.3">
      <c r="A23293" s="42"/>
      <c r="C23293" s="52"/>
      <c r="D23293"/>
      <c r="E23293"/>
      <c r="F23293"/>
      <c r="N23293" s="56"/>
    </row>
    <row r="23294" spans="1:14" x14ac:dyDescent="0.3">
      <c r="A23294" s="42"/>
      <c r="C23294" s="52"/>
      <c r="D23294"/>
      <c r="E23294"/>
      <c r="F23294"/>
      <c r="N23294" s="56"/>
    </row>
    <row r="23295" spans="1:14" x14ac:dyDescent="0.3">
      <c r="A23295" s="42"/>
      <c r="C23295" s="52"/>
      <c r="D23295"/>
      <c r="E23295"/>
      <c r="F23295"/>
      <c r="N23295" s="56"/>
    </row>
    <row r="23296" spans="1:14" x14ac:dyDescent="0.3">
      <c r="A23296" s="42"/>
      <c r="C23296" s="52"/>
      <c r="D23296"/>
      <c r="E23296"/>
      <c r="F23296"/>
      <c r="N23296" s="56"/>
    </row>
    <row r="23297" spans="1:14" x14ac:dyDescent="0.3">
      <c r="A23297" s="42"/>
      <c r="C23297" s="52"/>
      <c r="D23297"/>
      <c r="E23297"/>
      <c r="F23297"/>
      <c r="N23297" s="56"/>
    </row>
    <row r="23298" spans="1:14" x14ac:dyDescent="0.3">
      <c r="A23298" s="42"/>
      <c r="C23298" s="52"/>
      <c r="D23298"/>
      <c r="E23298"/>
      <c r="F23298"/>
      <c r="N23298" s="56"/>
    </row>
    <row r="23299" spans="1:14" x14ac:dyDescent="0.3">
      <c r="A23299" s="42"/>
      <c r="C23299" s="52"/>
      <c r="D23299"/>
      <c r="E23299"/>
      <c r="F23299"/>
      <c r="N23299" s="56"/>
    </row>
    <row r="23300" spans="1:14" x14ac:dyDescent="0.3">
      <c r="A23300" s="42"/>
      <c r="C23300" s="52"/>
      <c r="D23300"/>
      <c r="E23300"/>
      <c r="F23300"/>
      <c r="N23300" s="56"/>
    </row>
    <row r="23301" spans="1:14" x14ac:dyDescent="0.3">
      <c r="A23301" s="42"/>
      <c r="C23301" s="52"/>
      <c r="D23301"/>
      <c r="E23301"/>
      <c r="F23301"/>
      <c r="N23301" s="56"/>
    </row>
    <row r="23302" spans="1:14" x14ac:dyDescent="0.3">
      <c r="A23302" s="42"/>
      <c r="C23302" s="52"/>
      <c r="D23302"/>
      <c r="E23302"/>
      <c r="F23302"/>
      <c r="N23302" s="56"/>
    </row>
    <row r="23303" spans="1:14" x14ac:dyDescent="0.3">
      <c r="A23303" s="42"/>
      <c r="C23303" s="52"/>
      <c r="D23303"/>
      <c r="E23303"/>
      <c r="F23303"/>
      <c r="N23303" s="56"/>
    </row>
    <row r="23304" spans="1:14" x14ac:dyDescent="0.3">
      <c r="A23304" s="42"/>
      <c r="C23304" s="52"/>
      <c r="D23304"/>
      <c r="E23304"/>
      <c r="F23304"/>
      <c r="N23304" s="56"/>
    </row>
    <row r="23305" spans="1:14" x14ac:dyDescent="0.3">
      <c r="A23305" s="42"/>
      <c r="C23305" s="52"/>
      <c r="D23305"/>
      <c r="E23305"/>
      <c r="F23305"/>
      <c r="N23305" s="56"/>
    </row>
    <row r="23306" spans="1:14" x14ac:dyDescent="0.3">
      <c r="A23306" s="42"/>
      <c r="C23306" s="52"/>
      <c r="D23306"/>
      <c r="E23306"/>
      <c r="F23306"/>
      <c r="N23306" s="56"/>
    </row>
    <row r="23307" spans="1:14" x14ac:dyDescent="0.3">
      <c r="A23307" s="42"/>
      <c r="C23307" s="52"/>
      <c r="D23307"/>
      <c r="E23307"/>
      <c r="F23307"/>
      <c r="N23307" s="56"/>
    </row>
    <row r="23308" spans="1:14" x14ac:dyDescent="0.3">
      <c r="A23308" s="42"/>
      <c r="C23308" s="52"/>
      <c r="D23308"/>
      <c r="E23308"/>
      <c r="F23308"/>
      <c r="N23308" s="56"/>
    </row>
    <row r="23309" spans="1:14" x14ac:dyDescent="0.3">
      <c r="A23309" s="42"/>
      <c r="C23309" s="52"/>
      <c r="D23309"/>
      <c r="E23309"/>
      <c r="F23309"/>
      <c r="N23309" s="56"/>
    </row>
    <row r="23310" spans="1:14" x14ac:dyDescent="0.3">
      <c r="A23310" s="42"/>
      <c r="C23310" s="52"/>
      <c r="D23310"/>
      <c r="E23310"/>
      <c r="F23310"/>
      <c r="N23310" s="56"/>
    </row>
    <row r="23311" spans="1:14" x14ac:dyDescent="0.3">
      <c r="A23311" s="42"/>
      <c r="C23311" s="52"/>
      <c r="D23311"/>
      <c r="E23311"/>
      <c r="F23311"/>
      <c r="N23311" s="56"/>
    </row>
    <row r="23312" spans="1:14" x14ac:dyDescent="0.3">
      <c r="A23312" s="42"/>
      <c r="C23312" s="52"/>
      <c r="D23312"/>
      <c r="E23312"/>
      <c r="F23312"/>
      <c r="N23312" s="56"/>
    </row>
    <row r="23313" spans="1:14" x14ac:dyDescent="0.3">
      <c r="A23313" s="42"/>
      <c r="C23313" s="52"/>
      <c r="D23313"/>
      <c r="E23313"/>
      <c r="F23313"/>
      <c r="N23313" s="56"/>
    </row>
    <row r="23314" spans="1:14" x14ac:dyDescent="0.3">
      <c r="A23314" s="42"/>
      <c r="C23314" s="52"/>
      <c r="D23314"/>
      <c r="E23314"/>
      <c r="F23314"/>
      <c r="N23314" s="56"/>
    </row>
    <row r="23315" spans="1:14" x14ac:dyDescent="0.3">
      <c r="A23315" s="42"/>
      <c r="C23315" s="52"/>
      <c r="D23315"/>
      <c r="E23315"/>
      <c r="F23315"/>
      <c r="N23315" s="56"/>
    </row>
    <row r="23316" spans="1:14" x14ac:dyDescent="0.3">
      <c r="A23316" s="42"/>
      <c r="C23316" s="52"/>
      <c r="D23316"/>
      <c r="E23316"/>
      <c r="F23316"/>
      <c r="N23316" s="56"/>
    </row>
    <row r="23317" spans="1:14" x14ac:dyDescent="0.3">
      <c r="A23317" s="42"/>
      <c r="C23317" s="52"/>
      <c r="D23317"/>
      <c r="E23317"/>
      <c r="F23317"/>
      <c r="N23317" s="56"/>
    </row>
    <row r="23318" spans="1:14" x14ac:dyDescent="0.3">
      <c r="A23318" s="42"/>
      <c r="C23318" s="52"/>
      <c r="D23318"/>
      <c r="E23318"/>
      <c r="F23318"/>
      <c r="N23318" s="56"/>
    </row>
    <row r="23319" spans="1:14" x14ac:dyDescent="0.3">
      <c r="A23319" s="42"/>
      <c r="C23319" s="52"/>
      <c r="D23319"/>
      <c r="E23319"/>
      <c r="F23319"/>
      <c r="N23319" s="56"/>
    </row>
    <row r="23320" spans="1:14" x14ac:dyDescent="0.3">
      <c r="A23320" s="42"/>
      <c r="C23320" s="52"/>
      <c r="D23320"/>
      <c r="E23320"/>
      <c r="F23320"/>
      <c r="N23320" s="56"/>
    </row>
    <row r="23321" spans="1:14" x14ac:dyDescent="0.3">
      <c r="A23321" s="42"/>
      <c r="C23321" s="52"/>
      <c r="D23321"/>
      <c r="E23321"/>
      <c r="F23321"/>
      <c r="N23321" s="56"/>
    </row>
    <row r="23322" spans="1:14" x14ac:dyDescent="0.3">
      <c r="A23322" s="42"/>
      <c r="C23322" s="52"/>
      <c r="D23322"/>
      <c r="E23322"/>
      <c r="F23322"/>
      <c r="N23322" s="56"/>
    </row>
    <row r="23323" spans="1:14" x14ac:dyDescent="0.3">
      <c r="A23323" s="42"/>
      <c r="C23323" s="52"/>
      <c r="D23323"/>
      <c r="E23323"/>
      <c r="F23323"/>
      <c r="N23323" s="56"/>
    </row>
    <row r="23324" spans="1:14" x14ac:dyDescent="0.3">
      <c r="A23324" s="42"/>
      <c r="C23324" s="52"/>
      <c r="D23324"/>
      <c r="E23324"/>
      <c r="F23324"/>
      <c r="N23324" s="56"/>
    </row>
    <row r="23325" spans="1:14" x14ac:dyDescent="0.3">
      <c r="A23325" s="42"/>
      <c r="C23325" s="52"/>
      <c r="D23325"/>
      <c r="E23325"/>
      <c r="F23325"/>
      <c r="N23325" s="56"/>
    </row>
    <row r="23326" spans="1:14" x14ac:dyDescent="0.3">
      <c r="A23326" s="42"/>
      <c r="C23326" s="52"/>
      <c r="D23326"/>
      <c r="E23326"/>
      <c r="F23326"/>
      <c r="N23326" s="56"/>
    </row>
    <row r="23327" spans="1:14" x14ac:dyDescent="0.3">
      <c r="A23327" s="42"/>
      <c r="C23327" s="52"/>
      <c r="D23327"/>
      <c r="E23327"/>
      <c r="F23327"/>
      <c r="N23327" s="56"/>
    </row>
    <row r="23328" spans="1:14" x14ac:dyDescent="0.3">
      <c r="A23328" s="42"/>
      <c r="C23328" s="52"/>
      <c r="D23328"/>
      <c r="E23328"/>
      <c r="F23328"/>
      <c r="N23328" s="56"/>
    </row>
    <row r="23329" spans="1:14" x14ac:dyDescent="0.3">
      <c r="A23329" s="42"/>
      <c r="C23329" s="52"/>
      <c r="D23329"/>
      <c r="E23329"/>
      <c r="F23329"/>
      <c r="N23329" s="56"/>
    </row>
    <row r="23330" spans="1:14" x14ac:dyDescent="0.3">
      <c r="A23330" s="42"/>
      <c r="C23330" s="52"/>
      <c r="D23330"/>
      <c r="E23330"/>
      <c r="F23330"/>
      <c r="N23330" s="56"/>
    </row>
    <row r="23331" spans="1:14" x14ac:dyDescent="0.3">
      <c r="A23331" s="42"/>
      <c r="C23331" s="52"/>
      <c r="D23331"/>
      <c r="E23331"/>
      <c r="F23331"/>
      <c r="N23331" s="56"/>
    </row>
    <row r="23332" spans="1:14" x14ac:dyDescent="0.3">
      <c r="A23332" s="42"/>
      <c r="C23332" s="52"/>
      <c r="D23332"/>
      <c r="E23332"/>
      <c r="F23332"/>
      <c r="N23332" s="56"/>
    </row>
    <row r="23333" spans="1:14" x14ac:dyDescent="0.3">
      <c r="A23333" s="42"/>
      <c r="C23333" s="52"/>
      <c r="D23333"/>
      <c r="E23333"/>
      <c r="F23333"/>
      <c r="N23333" s="56"/>
    </row>
    <row r="23334" spans="1:14" x14ac:dyDescent="0.3">
      <c r="A23334" s="42"/>
      <c r="C23334" s="52"/>
      <c r="D23334"/>
      <c r="E23334"/>
      <c r="F23334"/>
      <c r="N23334" s="56"/>
    </row>
    <row r="23335" spans="1:14" x14ac:dyDescent="0.3">
      <c r="A23335" s="42"/>
      <c r="C23335" s="52"/>
      <c r="D23335"/>
      <c r="E23335"/>
      <c r="F23335"/>
      <c r="N23335" s="56"/>
    </row>
    <row r="23336" spans="1:14" x14ac:dyDescent="0.3">
      <c r="A23336" s="42"/>
      <c r="C23336" s="52"/>
      <c r="D23336"/>
      <c r="E23336"/>
      <c r="F23336"/>
      <c r="N23336" s="56"/>
    </row>
    <row r="23337" spans="1:14" x14ac:dyDescent="0.3">
      <c r="A23337" s="42"/>
      <c r="C23337" s="52"/>
      <c r="D23337"/>
      <c r="E23337"/>
      <c r="F23337"/>
      <c r="N23337" s="56"/>
    </row>
    <row r="23338" spans="1:14" x14ac:dyDescent="0.3">
      <c r="A23338" s="42"/>
      <c r="C23338" s="52"/>
      <c r="D23338"/>
      <c r="E23338"/>
      <c r="F23338"/>
      <c r="N23338" s="56"/>
    </row>
    <row r="23339" spans="1:14" x14ac:dyDescent="0.3">
      <c r="A23339" s="42"/>
      <c r="C23339" s="52"/>
      <c r="D23339"/>
      <c r="E23339"/>
      <c r="F23339"/>
      <c r="N23339" s="56"/>
    </row>
    <row r="23340" spans="1:14" x14ac:dyDescent="0.3">
      <c r="A23340" s="42"/>
      <c r="C23340" s="52"/>
      <c r="D23340"/>
      <c r="E23340"/>
      <c r="F23340"/>
      <c r="N23340" s="56"/>
    </row>
    <row r="23341" spans="1:14" x14ac:dyDescent="0.3">
      <c r="A23341" s="42"/>
      <c r="C23341" s="52"/>
      <c r="D23341"/>
      <c r="E23341"/>
      <c r="F23341"/>
      <c r="N23341" s="56"/>
    </row>
    <row r="23342" spans="1:14" x14ac:dyDescent="0.3">
      <c r="A23342" s="42"/>
      <c r="C23342" s="52"/>
      <c r="D23342"/>
      <c r="E23342"/>
      <c r="F23342"/>
      <c r="N23342" s="56"/>
    </row>
    <row r="23343" spans="1:14" x14ac:dyDescent="0.3">
      <c r="A23343" s="42"/>
      <c r="C23343" s="52"/>
      <c r="D23343"/>
      <c r="E23343"/>
      <c r="F23343"/>
      <c r="N23343" s="56"/>
    </row>
    <row r="23344" spans="1:14" x14ac:dyDescent="0.3">
      <c r="A23344" s="42"/>
      <c r="C23344" s="52"/>
      <c r="D23344"/>
      <c r="E23344"/>
      <c r="F23344"/>
      <c r="N23344" s="56"/>
    </row>
    <row r="23345" spans="1:14" x14ac:dyDescent="0.3">
      <c r="A23345" s="42"/>
      <c r="C23345" s="52"/>
      <c r="D23345"/>
      <c r="E23345"/>
      <c r="F23345"/>
      <c r="N23345" s="56"/>
    </row>
    <row r="23346" spans="1:14" x14ac:dyDescent="0.3">
      <c r="A23346" s="42"/>
      <c r="C23346" s="52"/>
      <c r="D23346"/>
      <c r="E23346"/>
      <c r="F23346"/>
      <c r="N23346" s="56"/>
    </row>
    <row r="23347" spans="1:14" x14ac:dyDescent="0.3">
      <c r="A23347" s="42"/>
      <c r="C23347" s="52"/>
      <c r="D23347"/>
      <c r="E23347"/>
      <c r="F23347"/>
      <c r="N23347" s="56"/>
    </row>
    <row r="23348" spans="1:14" x14ac:dyDescent="0.3">
      <c r="A23348" s="42"/>
      <c r="C23348" s="52"/>
      <c r="D23348"/>
      <c r="E23348"/>
      <c r="F23348"/>
      <c r="N23348" s="56"/>
    </row>
    <row r="23349" spans="1:14" x14ac:dyDescent="0.3">
      <c r="A23349" s="42"/>
      <c r="C23349" s="52"/>
      <c r="D23349"/>
      <c r="E23349"/>
      <c r="F23349"/>
      <c r="N23349" s="56"/>
    </row>
    <row r="23350" spans="1:14" x14ac:dyDescent="0.3">
      <c r="A23350" s="42"/>
      <c r="C23350" s="52"/>
      <c r="D23350"/>
      <c r="E23350"/>
      <c r="F23350"/>
      <c r="N23350" s="56"/>
    </row>
    <row r="23351" spans="1:14" x14ac:dyDescent="0.3">
      <c r="A23351" s="42"/>
      <c r="C23351" s="52"/>
      <c r="D23351"/>
      <c r="E23351"/>
      <c r="F23351"/>
      <c r="N23351" s="56"/>
    </row>
    <row r="23352" spans="1:14" x14ac:dyDescent="0.3">
      <c r="A23352" s="42"/>
      <c r="C23352" s="52"/>
      <c r="D23352"/>
      <c r="E23352"/>
      <c r="F23352"/>
      <c r="N23352" s="56"/>
    </row>
    <row r="23353" spans="1:14" x14ac:dyDescent="0.3">
      <c r="A23353" s="42"/>
      <c r="C23353" s="52"/>
      <c r="D23353"/>
      <c r="E23353"/>
      <c r="F23353"/>
      <c r="N23353" s="56"/>
    </row>
    <row r="23354" spans="1:14" x14ac:dyDescent="0.3">
      <c r="A23354" s="42"/>
      <c r="C23354" s="52"/>
      <c r="D23354"/>
      <c r="E23354"/>
      <c r="F23354"/>
      <c r="N23354" s="56"/>
    </row>
    <row r="23355" spans="1:14" x14ac:dyDescent="0.3">
      <c r="A23355" s="42"/>
      <c r="C23355" s="52"/>
      <c r="D23355"/>
      <c r="E23355"/>
      <c r="F23355"/>
      <c r="N23355" s="56"/>
    </row>
    <row r="23356" spans="1:14" x14ac:dyDescent="0.3">
      <c r="A23356" s="42"/>
      <c r="C23356" s="52"/>
      <c r="D23356"/>
      <c r="E23356"/>
      <c r="F23356"/>
      <c r="N23356" s="56"/>
    </row>
    <row r="23357" spans="1:14" x14ac:dyDescent="0.3">
      <c r="A23357" s="42"/>
      <c r="C23357" s="52"/>
      <c r="D23357"/>
      <c r="E23357"/>
      <c r="F23357"/>
      <c r="N23357" s="56"/>
    </row>
    <row r="23358" spans="1:14" x14ac:dyDescent="0.3">
      <c r="A23358" s="42"/>
      <c r="C23358" s="52"/>
      <c r="D23358"/>
      <c r="E23358"/>
      <c r="F23358"/>
      <c r="N23358" s="56"/>
    </row>
    <row r="23359" spans="1:14" x14ac:dyDescent="0.3">
      <c r="A23359" s="42"/>
      <c r="C23359" s="52"/>
      <c r="D23359"/>
      <c r="E23359"/>
      <c r="F23359"/>
      <c r="N23359" s="56"/>
    </row>
    <row r="23360" spans="1:14" x14ac:dyDescent="0.3">
      <c r="A23360" s="42"/>
      <c r="C23360" s="52"/>
      <c r="D23360"/>
      <c r="E23360"/>
      <c r="F23360"/>
      <c r="N23360" s="56"/>
    </row>
    <row r="23361" spans="1:14" x14ac:dyDescent="0.3">
      <c r="A23361" s="42"/>
      <c r="C23361" s="52"/>
      <c r="D23361"/>
      <c r="E23361"/>
      <c r="F23361"/>
      <c r="N23361" s="56"/>
    </row>
    <row r="23362" spans="1:14" x14ac:dyDescent="0.3">
      <c r="A23362" s="42"/>
      <c r="C23362" s="52"/>
      <c r="D23362"/>
      <c r="E23362"/>
      <c r="F23362"/>
      <c r="N23362" s="56"/>
    </row>
    <row r="23363" spans="1:14" x14ac:dyDescent="0.3">
      <c r="A23363" s="42"/>
      <c r="C23363" s="52"/>
      <c r="D23363"/>
      <c r="E23363"/>
      <c r="F23363"/>
      <c r="N23363" s="56"/>
    </row>
    <row r="23364" spans="1:14" x14ac:dyDescent="0.3">
      <c r="A23364" s="42"/>
      <c r="C23364" s="52"/>
      <c r="D23364"/>
      <c r="E23364"/>
      <c r="F23364"/>
      <c r="N23364" s="56"/>
    </row>
    <row r="23365" spans="1:14" x14ac:dyDescent="0.3">
      <c r="A23365" s="42"/>
      <c r="C23365" s="52"/>
      <c r="D23365"/>
      <c r="E23365"/>
      <c r="F23365"/>
      <c r="N23365" s="56"/>
    </row>
    <row r="23366" spans="1:14" x14ac:dyDescent="0.3">
      <c r="A23366" s="42"/>
      <c r="C23366" s="52"/>
      <c r="D23366"/>
      <c r="E23366"/>
      <c r="F23366"/>
      <c r="N23366" s="56"/>
    </row>
    <row r="23367" spans="1:14" x14ac:dyDescent="0.3">
      <c r="A23367" s="42"/>
      <c r="C23367" s="52"/>
      <c r="D23367"/>
      <c r="E23367"/>
      <c r="F23367"/>
      <c r="N23367" s="56"/>
    </row>
    <row r="23368" spans="1:14" x14ac:dyDescent="0.3">
      <c r="A23368" s="42"/>
      <c r="C23368" s="52"/>
      <c r="D23368"/>
      <c r="E23368"/>
      <c r="F23368"/>
      <c r="N23368" s="56"/>
    </row>
    <row r="23369" spans="1:14" x14ac:dyDescent="0.3">
      <c r="A23369" s="42"/>
      <c r="C23369" s="52"/>
      <c r="D23369"/>
      <c r="E23369"/>
      <c r="F23369"/>
      <c r="M23369" s="45"/>
      <c r="N23369" s="56"/>
    </row>
    <row r="23370" spans="1:14" x14ac:dyDescent="0.3">
      <c r="A23370" s="42"/>
      <c r="C23370" s="52"/>
      <c r="D23370"/>
      <c r="E23370"/>
      <c r="F23370"/>
      <c r="N23370" s="56"/>
    </row>
    <row r="23371" spans="1:14" x14ac:dyDescent="0.3">
      <c r="A23371" s="42"/>
      <c r="C23371" s="52"/>
      <c r="D23371"/>
      <c r="E23371"/>
      <c r="F23371"/>
      <c r="N23371" s="56"/>
    </row>
    <row r="23372" spans="1:14" x14ac:dyDescent="0.3">
      <c r="A23372" s="42"/>
      <c r="C23372" s="52"/>
      <c r="D23372"/>
      <c r="E23372"/>
      <c r="F23372"/>
      <c r="N23372" s="56"/>
    </row>
    <row r="23373" spans="1:14" x14ac:dyDescent="0.3">
      <c r="A23373" s="42"/>
      <c r="C23373" s="52"/>
      <c r="D23373"/>
      <c r="E23373"/>
      <c r="F23373"/>
      <c r="N23373" s="56"/>
    </row>
    <row r="23374" spans="1:14" x14ac:dyDescent="0.3">
      <c r="A23374" s="42"/>
      <c r="C23374" s="52"/>
      <c r="D23374"/>
      <c r="E23374"/>
      <c r="F23374"/>
      <c r="N23374" s="56"/>
    </row>
    <row r="23375" spans="1:14" x14ac:dyDescent="0.3">
      <c r="A23375" s="42"/>
      <c r="C23375" s="52"/>
      <c r="D23375"/>
      <c r="E23375"/>
      <c r="F23375"/>
      <c r="N23375" s="56"/>
    </row>
    <row r="23376" spans="1:14" x14ac:dyDescent="0.3">
      <c r="A23376" s="42"/>
      <c r="C23376" s="52"/>
      <c r="D23376"/>
      <c r="E23376"/>
      <c r="F23376"/>
      <c r="N23376" s="56"/>
    </row>
    <row r="23377" spans="1:14" x14ac:dyDescent="0.3">
      <c r="A23377" s="42"/>
      <c r="C23377" s="52"/>
      <c r="D23377"/>
      <c r="E23377"/>
      <c r="F23377"/>
      <c r="N23377" s="56"/>
    </row>
    <row r="23378" spans="1:14" x14ac:dyDescent="0.3">
      <c r="A23378" s="42"/>
      <c r="C23378" s="52"/>
      <c r="D23378"/>
      <c r="E23378"/>
      <c r="F23378"/>
      <c r="N23378" s="56"/>
    </row>
    <row r="23379" spans="1:14" x14ac:dyDescent="0.3">
      <c r="A23379" s="42"/>
      <c r="C23379" s="52"/>
      <c r="D23379"/>
      <c r="E23379"/>
      <c r="F23379"/>
      <c r="N23379" s="56"/>
    </row>
    <row r="23380" spans="1:14" x14ac:dyDescent="0.3">
      <c r="A23380" s="42"/>
      <c r="C23380" s="52"/>
      <c r="D23380"/>
      <c r="E23380"/>
      <c r="F23380"/>
      <c r="N23380" s="56"/>
    </row>
    <row r="23381" spans="1:14" x14ac:dyDescent="0.3">
      <c r="A23381" s="42"/>
      <c r="C23381" s="52"/>
      <c r="D23381"/>
      <c r="E23381"/>
      <c r="F23381"/>
      <c r="N23381" s="56"/>
    </row>
    <row r="23382" spans="1:14" x14ac:dyDescent="0.3">
      <c r="A23382" s="42"/>
      <c r="C23382" s="52"/>
      <c r="D23382"/>
      <c r="E23382"/>
      <c r="F23382"/>
      <c r="N23382" s="56"/>
    </row>
    <row r="23383" spans="1:14" x14ac:dyDescent="0.3">
      <c r="A23383" s="42"/>
      <c r="C23383" s="52"/>
      <c r="D23383"/>
      <c r="E23383"/>
      <c r="F23383"/>
      <c r="N23383" s="56"/>
    </row>
    <row r="23384" spans="1:14" x14ac:dyDescent="0.3">
      <c r="A23384" s="42"/>
      <c r="C23384" s="52"/>
      <c r="D23384"/>
      <c r="E23384"/>
      <c r="F23384"/>
      <c r="N23384" s="56"/>
    </row>
    <row r="23385" spans="1:14" x14ac:dyDescent="0.3">
      <c r="A23385" s="42"/>
      <c r="C23385" s="52"/>
      <c r="D23385"/>
      <c r="E23385"/>
      <c r="F23385"/>
      <c r="N23385" s="56"/>
    </row>
    <row r="23386" spans="1:14" x14ac:dyDescent="0.3">
      <c r="A23386" s="42"/>
      <c r="C23386" s="52"/>
      <c r="D23386"/>
      <c r="E23386"/>
      <c r="F23386"/>
      <c r="N23386" s="56"/>
    </row>
    <row r="23387" spans="1:14" x14ac:dyDescent="0.3">
      <c r="A23387" s="42"/>
      <c r="C23387" s="52"/>
      <c r="D23387"/>
      <c r="E23387"/>
      <c r="F23387"/>
      <c r="N23387" s="56"/>
    </row>
    <row r="23388" spans="1:14" x14ac:dyDescent="0.3">
      <c r="A23388" s="42"/>
      <c r="C23388" s="52"/>
      <c r="D23388"/>
      <c r="E23388"/>
      <c r="F23388"/>
      <c r="N23388" s="56"/>
    </row>
    <row r="23389" spans="1:14" x14ac:dyDescent="0.3">
      <c r="A23389" s="42"/>
      <c r="C23389" s="52"/>
      <c r="D23389"/>
      <c r="E23389"/>
      <c r="F23389"/>
      <c r="N23389" s="56"/>
    </row>
    <row r="23390" spans="1:14" x14ac:dyDescent="0.3">
      <c r="A23390" s="42"/>
      <c r="C23390" s="52"/>
      <c r="D23390"/>
      <c r="E23390"/>
      <c r="F23390"/>
      <c r="N23390" s="56"/>
    </row>
    <row r="23391" spans="1:14" x14ac:dyDescent="0.3">
      <c r="A23391" s="42"/>
      <c r="C23391" s="52"/>
      <c r="D23391"/>
      <c r="E23391"/>
      <c r="F23391"/>
      <c r="N23391" s="56"/>
    </row>
    <row r="23392" spans="1:14" x14ac:dyDescent="0.3">
      <c r="A23392" s="42"/>
      <c r="C23392" s="52"/>
      <c r="D23392"/>
      <c r="E23392"/>
      <c r="F23392"/>
      <c r="N23392" s="56"/>
    </row>
    <row r="23393" spans="1:14" x14ac:dyDescent="0.3">
      <c r="A23393" s="42"/>
      <c r="C23393" s="52"/>
      <c r="D23393"/>
      <c r="E23393"/>
      <c r="F23393"/>
      <c r="N23393" s="56"/>
    </row>
    <row r="23394" spans="1:14" x14ac:dyDescent="0.3">
      <c r="A23394" s="42"/>
      <c r="C23394" s="52"/>
      <c r="D23394"/>
      <c r="E23394"/>
      <c r="F23394"/>
      <c r="N23394" s="56"/>
    </row>
    <row r="23395" spans="1:14" x14ac:dyDescent="0.3">
      <c r="A23395" s="42"/>
      <c r="C23395" s="52"/>
      <c r="D23395"/>
      <c r="E23395"/>
      <c r="F23395"/>
      <c r="N23395" s="56"/>
    </row>
    <row r="23396" spans="1:14" x14ac:dyDescent="0.3">
      <c r="A23396" s="42"/>
      <c r="C23396" s="52"/>
      <c r="D23396"/>
      <c r="E23396"/>
      <c r="F23396"/>
      <c r="N23396" s="56"/>
    </row>
    <row r="23397" spans="1:14" x14ac:dyDescent="0.3">
      <c r="A23397" s="42"/>
      <c r="C23397" s="52"/>
      <c r="D23397"/>
      <c r="E23397"/>
      <c r="F23397"/>
      <c r="N23397" s="56"/>
    </row>
    <row r="23398" spans="1:14" x14ac:dyDescent="0.3">
      <c r="A23398" s="42"/>
      <c r="C23398" s="52"/>
      <c r="D23398"/>
      <c r="E23398"/>
      <c r="F23398"/>
      <c r="M23398" s="45"/>
      <c r="N23398" s="56"/>
    </row>
    <row r="23399" spans="1:14" x14ac:dyDescent="0.3">
      <c r="A23399" s="42"/>
      <c r="C23399" s="52"/>
      <c r="D23399"/>
      <c r="E23399"/>
      <c r="F23399"/>
      <c r="N23399" s="56"/>
    </row>
    <row r="23400" spans="1:14" x14ac:dyDescent="0.3">
      <c r="A23400" s="42"/>
      <c r="C23400" s="52"/>
      <c r="D23400"/>
      <c r="E23400"/>
      <c r="F23400"/>
      <c r="N23400" s="56"/>
    </row>
    <row r="23401" spans="1:14" x14ac:dyDescent="0.3">
      <c r="A23401" s="42"/>
      <c r="C23401" s="52"/>
      <c r="D23401"/>
      <c r="E23401"/>
      <c r="F23401"/>
      <c r="N23401" s="56"/>
    </row>
    <row r="23402" spans="1:14" x14ac:dyDescent="0.3">
      <c r="A23402" s="42"/>
      <c r="C23402" s="52"/>
      <c r="D23402"/>
      <c r="E23402"/>
      <c r="F23402"/>
      <c r="N23402" s="56"/>
    </row>
    <row r="23403" spans="1:14" x14ac:dyDescent="0.3">
      <c r="A23403" s="42"/>
      <c r="C23403" s="52"/>
      <c r="D23403"/>
      <c r="E23403"/>
      <c r="F23403"/>
      <c r="N23403" s="56"/>
    </row>
    <row r="23404" spans="1:14" x14ac:dyDescent="0.3">
      <c r="A23404" s="42"/>
      <c r="C23404" s="52"/>
      <c r="D23404"/>
      <c r="E23404"/>
      <c r="F23404"/>
      <c r="N23404" s="56"/>
    </row>
    <row r="23405" spans="1:14" x14ac:dyDescent="0.3">
      <c r="A23405" s="42"/>
      <c r="C23405" s="52"/>
      <c r="D23405"/>
      <c r="E23405"/>
      <c r="F23405"/>
      <c r="N23405" s="56"/>
    </row>
    <row r="23406" spans="1:14" x14ac:dyDescent="0.3">
      <c r="A23406" s="42"/>
      <c r="C23406" s="52"/>
      <c r="D23406"/>
      <c r="E23406"/>
      <c r="F23406"/>
      <c r="N23406" s="56"/>
    </row>
    <row r="23407" spans="1:14" x14ac:dyDescent="0.3">
      <c r="A23407" s="42"/>
      <c r="C23407" s="52"/>
      <c r="D23407"/>
      <c r="E23407"/>
      <c r="F23407"/>
      <c r="N23407" s="56"/>
    </row>
    <row r="23408" spans="1:14" x14ac:dyDescent="0.3">
      <c r="A23408" s="42"/>
      <c r="C23408" s="52"/>
      <c r="D23408"/>
      <c r="E23408"/>
      <c r="F23408"/>
      <c r="N23408" s="56"/>
    </row>
    <row r="23409" spans="1:14" x14ac:dyDescent="0.3">
      <c r="A23409" s="42"/>
      <c r="C23409" s="52"/>
      <c r="D23409"/>
      <c r="E23409"/>
      <c r="F23409"/>
      <c r="N23409" s="56"/>
    </row>
    <row r="23410" spans="1:14" x14ac:dyDescent="0.3">
      <c r="A23410" s="42"/>
      <c r="C23410" s="52"/>
      <c r="D23410"/>
      <c r="E23410"/>
      <c r="F23410"/>
      <c r="N23410" s="56"/>
    </row>
    <row r="23411" spans="1:14" x14ac:dyDescent="0.3">
      <c r="A23411" s="42"/>
      <c r="C23411" s="52"/>
      <c r="D23411"/>
      <c r="E23411"/>
      <c r="F23411"/>
      <c r="N23411" s="56"/>
    </row>
    <row r="23412" spans="1:14" x14ac:dyDescent="0.3">
      <c r="A23412" s="42"/>
      <c r="C23412" s="52"/>
      <c r="D23412"/>
      <c r="E23412"/>
      <c r="F23412"/>
      <c r="N23412" s="56"/>
    </row>
    <row r="23413" spans="1:14" x14ac:dyDescent="0.3">
      <c r="A23413" s="42"/>
      <c r="C23413" s="52"/>
      <c r="D23413"/>
      <c r="E23413"/>
      <c r="F23413"/>
      <c r="N23413" s="56"/>
    </row>
    <row r="23414" spans="1:14" x14ac:dyDescent="0.3">
      <c r="A23414" s="42"/>
      <c r="C23414" s="52"/>
      <c r="D23414"/>
      <c r="E23414"/>
      <c r="F23414"/>
      <c r="N23414" s="56"/>
    </row>
    <row r="23415" spans="1:14" x14ac:dyDescent="0.3">
      <c r="A23415" s="42"/>
      <c r="C23415" s="52"/>
      <c r="D23415"/>
      <c r="E23415"/>
      <c r="F23415"/>
      <c r="N23415" s="56"/>
    </row>
    <row r="23416" spans="1:14" x14ac:dyDescent="0.3">
      <c r="A23416" s="42"/>
      <c r="C23416" s="52"/>
      <c r="D23416"/>
      <c r="E23416"/>
      <c r="F23416"/>
      <c r="N23416" s="56"/>
    </row>
    <row r="23417" spans="1:14" x14ac:dyDescent="0.3">
      <c r="A23417" s="42"/>
      <c r="C23417" s="52"/>
      <c r="D23417"/>
      <c r="E23417"/>
      <c r="F23417"/>
      <c r="N23417" s="56"/>
    </row>
    <row r="23418" spans="1:14" x14ac:dyDescent="0.3">
      <c r="A23418" s="42"/>
      <c r="C23418" s="52"/>
      <c r="D23418"/>
      <c r="E23418"/>
      <c r="F23418"/>
      <c r="N23418" s="56"/>
    </row>
    <row r="23419" spans="1:14" x14ac:dyDescent="0.3">
      <c r="A23419" s="42"/>
      <c r="C23419" s="52"/>
      <c r="D23419"/>
      <c r="E23419"/>
      <c r="F23419"/>
      <c r="N23419" s="56"/>
    </row>
    <row r="23420" spans="1:14" x14ac:dyDescent="0.3">
      <c r="A23420" s="42"/>
      <c r="C23420" s="52"/>
      <c r="D23420"/>
      <c r="E23420"/>
      <c r="F23420"/>
      <c r="N23420" s="56"/>
    </row>
    <row r="23421" spans="1:14" x14ac:dyDescent="0.3">
      <c r="A23421" s="42"/>
      <c r="C23421" s="52"/>
      <c r="D23421"/>
      <c r="E23421"/>
      <c r="F23421"/>
      <c r="N23421" s="56"/>
    </row>
    <row r="23422" spans="1:14" x14ac:dyDescent="0.3">
      <c r="A23422" s="42"/>
      <c r="C23422" s="52"/>
      <c r="D23422"/>
      <c r="E23422"/>
      <c r="F23422"/>
      <c r="N23422" s="56"/>
    </row>
    <row r="23423" spans="1:14" x14ac:dyDescent="0.3">
      <c r="A23423" s="42"/>
      <c r="C23423" s="52"/>
      <c r="D23423"/>
      <c r="E23423"/>
      <c r="F23423"/>
      <c r="N23423" s="56"/>
    </row>
    <row r="23424" spans="1:14" x14ac:dyDescent="0.3">
      <c r="A23424" s="42"/>
      <c r="C23424" s="52"/>
      <c r="D23424"/>
      <c r="E23424"/>
      <c r="F23424"/>
      <c r="N23424" s="56"/>
    </row>
    <row r="23425" spans="1:14" x14ac:dyDescent="0.3">
      <c r="A23425" s="42"/>
      <c r="C23425" s="52"/>
      <c r="D23425"/>
      <c r="E23425"/>
      <c r="F23425"/>
      <c r="N23425" s="56"/>
    </row>
    <row r="23426" spans="1:14" x14ac:dyDescent="0.3">
      <c r="A23426" s="42"/>
      <c r="C23426" s="52"/>
      <c r="D23426"/>
      <c r="E23426"/>
      <c r="F23426"/>
      <c r="N23426" s="56"/>
    </row>
    <row r="23427" spans="1:14" x14ac:dyDescent="0.3">
      <c r="A23427" s="42"/>
      <c r="C23427" s="52"/>
      <c r="D23427"/>
      <c r="E23427"/>
      <c r="F23427"/>
      <c r="N23427" s="56"/>
    </row>
    <row r="23428" spans="1:14" x14ac:dyDescent="0.3">
      <c r="A23428" s="42"/>
      <c r="C23428" s="52"/>
      <c r="D23428"/>
      <c r="E23428"/>
      <c r="F23428"/>
      <c r="N23428" s="56"/>
    </row>
    <row r="23429" spans="1:14" x14ac:dyDescent="0.3">
      <c r="A23429" s="42"/>
      <c r="C23429" s="52"/>
      <c r="D23429"/>
      <c r="E23429"/>
      <c r="F23429"/>
      <c r="N23429" s="56"/>
    </row>
    <row r="23430" spans="1:14" x14ac:dyDescent="0.3">
      <c r="A23430" s="42"/>
      <c r="C23430" s="52"/>
      <c r="D23430"/>
      <c r="E23430"/>
      <c r="F23430"/>
      <c r="N23430" s="56"/>
    </row>
    <row r="23431" spans="1:14" x14ac:dyDescent="0.3">
      <c r="A23431" s="42"/>
      <c r="C23431" s="52"/>
      <c r="D23431"/>
      <c r="E23431"/>
      <c r="F23431"/>
      <c r="N23431" s="56"/>
    </row>
    <row r="23432" spans="1:14" x14ac:dyDescent="0.3">
      <c r="A23432" s="42"/>
      <c r="C23432" s="52"/>
      <c r="D23432"/>
      <c r="E23432"/>
      <c r="F23432"/>
      <c r="N23432" s="56"/>
    </row>
    <row r="23433" spans="1:14" x14ac:dyDescent="0.3">
      <c r="A23433" s="42"/>
      <c r="C23433" s="52"/>
      <c r="D23433"/>
      <c r="E23433"/>
      <c r="F23433"/>
      <c r="N23433" s="56"/>
    </row>
    <row r="23434" spans="1:14" x14ac:dyDescent="0.3">
      <c r="A23434" s="42"/>
      <c r="C23434" s="52"/>
      <c r="D23434"/>
      <c r="E23434"/>
      <c r="F23434"/>
      <c r="N23434" s="56"/>
    </row>
    <row r="23435" spans="1:14" x14ac:dyDescent="0.3">
      <c r="A23435" s="42"/>
      <c r="C23435" s="52"/>
      <c r="D23435"/>
      <c r="E23435"/>
      <c r="F23435"/>
      <c r="N23435" s="56"/>
    </row>
    <row r="23436" spans="1:14" x14ac:dyDescent="0.3">
      <c r="A23436" s="42"/>
      <c r="C23436" s="52"/>
      <c r="D23436"/>
      <c r="E23436"/>
      <c r="F23436"/>
      <c r="N23436" s="56"/>
    </row>
    <row r="23437" spans="1:14" x14ac:dyDescent="0.3">
      <c r="A23437" s="42"/>
      <c r="C23437" s="52"/>
      <c r="D23437"/>
      <c r="E23437"/>
      <c r="F23437"/>
      <c r="N23437" s="56"/>
    </row>
    <row r="23438" spans="1:14" x14ac:dyDescent="0.3">
      <c r="A23438" s="42"/>
      <c r="C23438" s="52"/>
      <c r="D23438"/>
      <c r="E23438"/>
      <c r="F23438"/>
      <c r="N23438" s="56"/>
    </row>
    <row r="23439" spans="1:14" x14ac:dyDescent="0.3">
      <c r="A23439" s="42"/>
      <c r="C23439" s="52"/>
      <c r="D23439"/>
      <c r="E23439"/>
      <c r="F23439"/>
      <c r="N23439" s="56"/>
    </row>
    <row r="23440" spans="1:14" x14ac:dyDescent="0.3">
      <c r="A23440" s="42"/>
      <c r="C23440" s="52"/>
      <c r="D23440"/>
      <c r="E23440"/>
      <c r="F23440"/>
      <c r="N23440" s="56"/>
    </row>
    <row r="23441" spans="1:14" x14ac:dyDescent="0.3">
      <c r="A23441" s="42"/>
      <c r="C23441" s="52"/>
      <c r="D23441"/>
      <c r="E23441"/>
      <c r="F23441"/>
      <c r="N23441" s="56"/>
    </row>
    <row r="23442" spans="1:14" x14ac:dyDescent="0.3">
      <c r="A23442" s="42"/>
      <c r="C23442" s="52"/>
      <c r="D23442"/>
      <c r="E23442"/>
      <c r="F23442"/>
      <c r="N23442" s="56"/>
    </row>
    <row r="23443" spans="1:14" x14ac:dyDescent="0.3">
      <c r="A23443" s="42"/>
      <c r="C23443" s="52"/>
      <c r="D23443"/>
      <c r="E23443"/>
      <c r="F23443"/>
      <c r="N23443" s="56"/>
    </row>
    <row r="23444" spans="1:14" x14ac:dyDescent="0.3">
      <c r="A23444" s="42"/>
      <c r="C23444" s="52"/>
      <c r="D23444"/>
      <c r="E23444"/>
      <c r="F23444"/>
      <c r="N23444" s="56"/>
    </row>
    <row r="23445" spans="1:14" x14ac:dyDescent="0.3">
      <c r="A23445" s="42"/>
      <c r="C23445" s="52"/>
      <c r="D23445"/>
      <c r="E23445"/>
      <c r="F23445"/>
      <c r="N23445" s="56"/>
    </row>
    <row r="23446" spans="1:14" x14ac:dyDescent="0.3">
      <c r="A23446" s="42"/>
      <c r="C23446" s="52"/>
      <c r="D23446"/>
      <c r="E23446"/>
      <c r="F23446"/>
      <c r="N23446" s="56"/>
    </row>
    <row r="23447" spans="1:14" x14ac:dyDescent="0.3">
      <c r="A23447" s="42"/>
      <c r="C23447" s="52"/>
      <c r="D23447"/>
      <c r="E23447"/>
      <c r="F23447"/>
      <c r="N23447" s="56"/>
    </row>
    <row r="23448" spans="1:14" x14ac:dyDescent="0.3">
      <c r="A23448" s="42"/>
      <c r="C23448" s="52"/>
      <c r="D23448"/>
      <c r="E23448"/>
      <c r="F23448"/>
      <c r="M23448" s="45"/>
      <c r="N23448" s="56"/>
    </row>
    <row r="23449" spans="1:14" x14ac:dyDescent="0.3">
      <c r="A23449" s="42"/>
      <c r="C23449" s="52"/>
      <c r="D23449"/>
      <c r="E23449"/>
      <c r="F23449"/>
      <c r="N23449" s="56"/>
    </row>
    <row r="23450" spans="1:14" x14ac:dyDescent="0.3">
      <c r="A23450" s="42"/>
      <c r="C23450" s="52"/>
      <c r="D23450"/>
      <c r="E23450"/>
      <c r="F23450"/>
      <c r="M23450" s="45"/>
      <c r="N23450" s="56"/>
    </row>
    <row r="23451" spans="1:14" x14ac:dyDescent="0.3">
      <c r="A23451" s="42"/>
      <c r="C23451" s="52"/>
      <c r="D23451"/>
      <c r="E23451"/>
      <c r="F23451"/>
      <c r="N23451" s="56"/>
    </row>
    <row r="23452" spans="1:14" x14ac:dyDescent="0.3">
      <c r="A23452" s="42"/>
      <c r="C23452" s="52"/>
      <c r="D23452"/>
      <c r="E23452"/>
      <c r="F23452"/>
      <c r="M23452" s="45"/>
      <c r="N23452" s="56"/>
    </row>
    <row r="23453" spans="1:14" x14ac:dyDescent="0.3">
      <c r="A23453" s="42"/>
      <c r="C23453" s="52"/>
      <c r="D23453"/>
      <c r="E23453"/>
      <c r="F23453"/>
      <c r="N23453" s="56"/>
    </row>
    <row r="23454" spans="1:14" x14ac:dyDescent="0.3">
      <c r="A23454" s="42"/>
      <c r="C23454" s="52"/>
      <c r="D23454"/>
      <c r="E23454"/>
      <c r="F23454"/>
      <c r="N23454" s="56"/>
    </row>
    <row r="23455" spans="1:14" x14ac:dyDescent="0.3">
      <c r="A23455" s="42"/>
      <c r="C23455" s="52"/>
      <c r="D23455"/>
      <c r="E23455"/>
      <c r="F23455"/>
      <c r="N23455" s="56"/>
    </row>
    <row r="23456" spans="1:14" x14ac:dyDescent="0.3">
      <c r="A23456" s="42"/>
      <c r="C23456" s="52"/>
      <c r="D23456"/>
      <c r="E23456"/>
      <c r="F23456"/>
      <c r="N23456" s="56"/>
    </row>
    <row r="23457" spans="1:14" x14ac:dyDescent="0.3">
      <c r="A23457" s="42"/>
      <c r="C23457" s="52"/>
      <c r="D23457"/>
      <c r="E23457"/>
      <c r="F23457"/>
      <c r="N23457" s="56"/>
    </row>
    <row r="23458" spans="1:14" x14ac:dyDescent="0.3">
      <c r="A23458" s="42"/>
      <c r="C23458" s="52"/>
      <c r="D23458"/>
      <c r="E23458"/>
      <c r="F23458"/>
      <c r="N23458" s="56"/>
    </row>
    <row r="23459" spans="1:14" x14ac:dyDescent="0.3">
      <c r="A23459" s="42"/>
      <c r="C23459" s="52"/>
      <c r="D23459"/>
      <c r="E23459"/>
      <c r="F23459"/>
      <c r="N23459" s="56"/>
    </row>
    <row r="23460" spans="1:14" x14ac:dyDescent="0.3">
      <c r="A23460" s="42"/>
      <c r="C23460" s="52"/>
      <c r="D23460"/>
      <c r="E23460"/>
      <c r="F23460"/>
      <c r="N23460" s="56"/>
    </row>
    <row r="23461" spans="1:14" x14ac:dyDescent="0.3">
      <c r="A23461" s="42"/>
      <c r="C23461" s="52"/>
      <c r="D23461"/>
      <c r="E23461"/>
      <c r="F23461"/>
      <c r="N23461" s="56"/>
    </row>
    <row r="23462" spans="1:14" x14ac:dyDescent="0.3">
      <c r="A23462" s="42"/>
      <c r="C23462" s="52"/>
      <c r="D23462"/>
      <c r="E23462"/>
      <c r="F23462"/>
      <c r="N23462" s="56"/>
    </row>
    <row r="23463" spans="1:14" x14ac:dyDescent="0.3">
      <c r="A23463" s="42"/>
      <c r="C23463" s="52"/>
      <c r="D23463"/>
      <c r="E23463"/>
      <c r="F23463"/>
      <c r="N23463" s="56"/>
    </row>
    <row r="23464" spans="1:14" x14ac:dyDescent="0.3">
      <c r="A23464" s="42"/>
      <c r="C23464" s="52"/>
      <c r="D23464"/>
      <c r="E23464"/>
      <c r="F23464"/>
      <c r="N23464" s="56"/>
    </row>
    <row r="23465" spans="1:14" x14ac:dyDescent="0.3">
      <c r="A23465" s="42"/>
      <c r="C23465" s="52"/>
      <c r="D23465"/>
      <c r="E23465"/>
      <c r="F23465"/>
      <c r="N23465" s="56"/>
    </row>
    <row r="23466" spans="1:14" x14ac:dyDescent="0.3">
      <c r="A23466" s="42"/>
      <c r="C23466" s="52"/>
      <c r="D23466"/>
      <c r="E23466"/>
      <c r="F23466"/>
      <c r="N23466" s="56"/>
    </row>
    <row r="23467" spans="1:14" x14ac:dyDescent="0.3">
      <c r="A23467" s="42"/>
      <c r="C23467" s="52"/>
      <c r="D23467"/>
      <c r="E23467"/>
      <c r="F23467"/>
      <c r="N23467" s="56"/>
    </row>
    <row r="23468" spans="1:14" x14ac:dyDescent="0.3">
      <c r="A23468" s="42"/>
      <c r="C23468" s="52"/>
      <c r="D23468"/>
      <c r="E23468"/>
      <c r="F23468"/>
      <c r="N23468" s="56"/>
    </row>
    <row r="23469" spans="1:14" x14ac:dyDescent="0.3">
      <c r="A23469" s="42"/>
      <c r="C23469" s="52"/>
      <c r="D23469"/>
      <c r="E23469"/>
      <c r="F23469"/>
      <c r="N23469" s="56"/>
    </row>
    <row r="23470" spans="1:14" x14ac:dyDescent="0.3">
      <c r="A23470" s="42"/>
      <c r="C23470" s="52"/>
      <c r="D23470"/>
      <c r="E23470"/>
      <c r="F23470"/>
      <c r="N23470" s="56"/>
    </row>
    <row r="23471" spans="1:14" x14ac:dyDescent="0.3">
      <c r="A23471" s="42"/>
      <c r="C23471" s="52"/>
      <c r="D23471"/>
      <c r="E23471"/>
      <c r="F23471"/>
      <c r="N23471" s="56"/>
    </row>
    <row r="23472" spans="1:14" x14ac:dyDescent="0.3">
      <c r="A23472" s="42"/>
      <c r="C23472" s="52"/>
      <c r="D23472"/>
      <c r="E23472"/>
      <c r="F23472"/>
      <c r="N23472" s="56"/>
    </row>
    <row r="23473" spans="1:14" x14ac:dyDescent="0.3">
      <c r="A23473" s="42"/>
      <c r="C23473" s="52"/>
      <c r="D23473"/>
      <c r="E23473"/>
      <c r="F23473"/>
      <c r="N23473" s="56"/>
    </row>
    <row r="23474" spans="1:14" x14ac:dyDescent="0.3">
      <c r="A23474" s="42"/>
      <c r="C23474" s="52"/>
      <c r="D23474"/>
      <c r="E23474"/>
      <c r="F23474"/>
      <c r="N23474" s="56"/>
    </row>
    <row r="23475" spans="1:14" x14ac:dyDescent="0.3">
      <c r="A23475" s="42"/>
      <c r="C23475" s="52"/>
      <c r="D23475"/>
      <c r="E23475"/>
      <c r="F23475"/>
      <c r="N23475" s="56"/>
    </row>
    <row r="23476" spans="1:14" x14ac:dyDescent="0.3">
      <c r="A23476" s="42"/>
      <c r="C23476" s="52"/>
      <c r="D23476"/>
      <c r="E23476"/>
      <c r="F23476"/>
      <c r="N23476" s="56"/>
    </row>
    <row r="23477" spans="1:14" x14ac:dyDescent="0.3">
      <c r="A23477" s="42"/>
      <c r="C23477" s="52"/>
      <c r="D23477"/>
      <c r="E23477"/>
      <c r="F23477"/>
      <c r="N23477" s="56"/>
    </row>
    <row r="23478" spans="1:14" x14ac:dyDescent="0.3">
      <c r="A23478" s="42"/>
      <c r="C23478" s="52"/>
      <c r="D23478"/>
      <c r="E23478"/>
      <c r="F23478"/>
      <c r="N23478" s="56"/>
    </row>
    <row r="23479" spans="1:14" x14ac:dyDescent="0.3">
      <c r="A23479" s="42"/>
      <c r="C23479" s="52"/>
      <c r="D23479"/>
      <c r="E23479"/>
      <c r="F23479"/>
      <c r="N23479" s="56"/>
    </row>
    <row r="23480" spans="1:14" x14ac:dyDescent="0.3">
      <c r="A23480" s="42"/>
      <c r="C23480" s="52"/>
      <c r="D23480"/>
      <c r="E23480"/>
      <c r="F23480"/>
      <c r="N23480" s="56"/>
    </row>
    <row r="23481" spans="1:14" x14ac:dyDescent="0.3">
      <c r="A23481" s="42"/>
      <c r="C23481" s="52"/>
      <c r="D23481"/>
      <c r="E23481"/>
      <c r="F23481"/>
      <c r="N23481" s="56"/>
    </row>
    <row r="23482" spans="1:14" x14ac:dyDescent="0.3">
      <c r="A23482" s="42"/>
      <c r="C23482" s="52"/>
      <c r="D23482"/>
      <c r="E23482"/>
      <c r="F23482"/>
      <c r="N23482" s="56"/>
    </row>
    <row r="23483" spans="1:14" x14ac:dyDescent="0.3">
      <c r="A23483" s="42"/>
      <c r="C23483" s="52"/>
      <c r="D23483"/>
      <c r="E23483"/>
      <c r="F23483"/>
      <c r="N23483" s="56"/>
    </row>
    <row r="23484" spans="1:14" x14ac:dyDescent="0.3">
      <c r="A23484" s="42"/>
      <c r="C23484" s="52"/>
      <c r="D23484"/>
      <c r="E23484"/>
      <c r="F23484"/>
      <c r="N23484" s="56"/>
    </row>
    <row r="23485" spans="1:14" x14ac:dyDescent="0.3">
      <c r="A23485" s="42"/>
      <c r="C23485" s="52"/>
      <c r="D23485"/>
      <c r="E23485"/>
      <c r="F23485"/>
      <c r="N23485" s="56"/>
    </row>
    <row r="23486" spans="1:14" x14ac:dyDescent="0.3">
      <c r="A23486" s="42"/>
      <c r="C23486" s="52"/>
      <c r="D23486"/>
      <c r="E23486"/>
      <c r="F23486"/>
      <c r="N23486" s="56"/>
    </row>
    <row r="23487" spans="1:14" x14ac:dyDescent="0.3">
      <c r="A23487" s="42"/>
      <c r="C23487" s="52"/>
      <c r="D23487"/>
      <c r="E23487"/>
      <c r="F23487"/>
      <c r="N23487" s="56"/>
    </row>
    <row r="23488" spans="1:14" x14ac:dyDescent="0.3">
      <c r="A23488" s="42"/>
      <c r="C23488" s="52"/>
      <c r="D23488"/>
      <c r="E23488"/>
      <c r="F23488"/>
      <c r="N23488" s="56"/>
    </row>
    <row r="23489" spans="1:14" x14ac:dyDescent="0.3">
      <c r="A23489" s="42"/>
      <c r="C23489" s="52"/>
      <c r="D23489"/>
      <c r="E23489"/>
      <c r="F23489"/>
      <c r="N23489" s="56"/>
    </row>
    <row r="23490" spans="1:14" x14ac:dyDescent="0.3">
      <c r="A23490" s="42"/>
      <c r="C23490" s="52"/>
      <c r="D23490"/>
      <c r="E23490"/>
      <c r="F23490"/>
      <c r="N23490" s="56"/>
    </row>
    <row r="23491" spans="1:14" x14ac:dyDescent="0.3">
      <c r="A23491" s="42"/>
      <c r="C23491" s="52"/>
      <c r="D23491"/>
      <c r="E23491"/>
      <c r="F23491"/>
      <c r="N23491" s="56"/>
    </row>
    <row r="23492" spans="1:14" x14ac:dyDescent="0.3">
      <c r="A23492" s="42"/>
      <c r="C23492" s="52"/>
      <c r="D23492"/>
      <c r="E23492"/>
      <c r="F23492"/>
      <c r="N23492" s="56"/>
    </row>
    <row r="23493" spans="1:14" x14ac:dyDescent="0.3">
      <c r="A23493" s="42"/>
      <c r="C23493" s="52"/>
      <c r="D23493"/>
      <c r="E23493"/>
      <c r="F23493"/>
      <c r="N23493" s="56"/>
    </row>
    <row r="23494" spans="1:14" x14ac:dyDescent="0.3">
      <c r="A23494" s="42"/>
      <c r="C23494" s="52"/>
      <c r="D23494"/>
      <c r="E23494"/>
      <c r="F23494"/>
      <c r="N23494" s="56"/>
    </row>
    <row r="23495" spans="1:14" x14ac:dyDescent="0.3">
      <c r="A23495" s="42"/>
      <c r="C23495" s="52"/>
      <c r="D23495"/>
      <c r="E23495"/>
      <c r="F23495"/>
      <c r="N23495" s="56"/>
    </row>
    <row r="23496" spans="1:14" x14ac:dyDescent="0.3">
      <c r="A23496" s="42"/>
      <c r="C23496" s="52"/>
      <c r="D23496"/>
      <c r="E23496"/>
      <c r="F23496"/>
      <c r="N23496" s="56"/>
    </row>
    <row r="23497" spans="1:14" x14ac:dyDescent="0.3">
      <c r="A23497" s="42"/>
      <c r="C23497" s="52"/>
      <c r="D23497"/>
      <c r="E23497"/>
      <c r="F23497"/>
      <c r="N23497" s="56"/>
    </row>
    <row r="23498" spans="1:14" x14ac:dyDescent="0.3">
      <c r="A23498" s="42"/>
      <c r="C23498" s="52"/>
      <c r="D23498"/>
      <c r="E23498"/>
      <c r="F23498"/>
      <c r="N23498" s="56"/>
    </row>
    <row r="23499" spans="1:14" x14ac:dyDescent="0.3">
      <c r="A23499" s="42"/>
      <c r="C23499" s="52"/>
      <c r="D23499"/>
      <c r="E23499"/>
      <c r="F23499"/>
      <c r="N23499" s="56"/>
    </row>
    <row r="23500" spans="1:14" x14ac:dyDescent="0.3">
      <c r="A23500" s="42"/>
      <c r="C23500" s="52"/>
      <c r="D23500"/>
      <c r="E23500"/>
      <c r="F23500"/>
      <c r="N23500" s="56"/>
    </row>
    <row r="23501" spans="1:14" x14ac:dyDescent="0.3">
      <c r="A23501" s="42"/>
      <c r="C23501" s="52"/>
      <c r="D23501"/>
      <c r="E23501"/>
      <c r="F23501"/>
      <c r="N23501" s="56"/>
    </row>
    <row r="23502" spans="1:14" x14ac:dyDescent="0.3">
      <c r="A23502" s="42"/>
      <c r="C23502" s="52"/>
      <c r="D23502"/>
      <c r="E23502"/>
      <c r="F23502"/>
      <c r="N23502" s="56"/>
    </row>
    <row r="23503" spans="1:14" x14ac:dyDescent="0.3">
      <c r="A23503" s="42"/>
      <c r="C23503" s="52"/>
      <c r="D23503"/>
      <c r="E23503"/>
      <c r="F23503"/>
      <c r="N23503" s="56"/>
    </row>
    <row r="23504" spans="1:14" x14ac:dyDescent="0.3">
      <c r="A23504" s="42"/>
      <c r="C23504" s="52"/>
      <c r="D23504"/>
      <c r="E23504"/>
      <c r="F23504"/>
      <c r="N23504" s="56"/>
    </row>
    <row r="23505" spans="1:14" x14ac:dyDescent="0.3">
      <c r="A23505" s="42"/>
      <c r="C23505" s="52"/>
      <c r="D23505"/>
      <c r="E23505"/>
      <c r="F23505"/>
      <c r="N23505" s="56"/>
    </row>
    <row r="23506" spans="1:14" x14ac:dyDescent="0.3">
      <c r="A23506" s="42"/>
      <c r="C23506" s="52"/>
      <c r="D23506"/>
      <c r="E23506"/>
      <c r="F23506"/>
      <c r="N23506" s="56"/>
    </row>
    <row r="23507" spans="1:14" x14ac:dyDescent="0.3">
      <c r="A23507" s="42"/>
      <c r="C23507" s="52"/>
      <c r="D23507"/>
      <c r="E23507"/>
      <c r="F23507"/>
      <c r="N23507" s="56"/>
    </row>
    <row r="23508" spans="1:14" x14ac:dyDescent="0.3">
      <c r="A23508" s="42"/>
      <c r="C23508" s="52"/>
      <c r="D23508"/>
      <c r="E23508"/>
      <c r="F23508"/>
      <c r="N23508" s="56"/>
    </row>
    <row r="23509" spans="1:14" x14ac:dyDescent="0.3">
      <c r="A23509" s="42"/>
      <c r="C23509" s="52"/>
      <c r="D23509"/>
      <c r="E23509"/>
      <c r="F23509"/>
      <c r="N23509" s="56"/>
    </row>
    <row r="23510" spans="1:14" x14ac:dyDescent="0.3">
      <c r="A23510" s="42"/>
      <c r="C23510" s="52"/>
      <c r="D23510"/>
      <c r="E23510"/>
      <c r="F23510"/>
      <c r="N23510" s="56"/>
    </row>
    <row r="23511" spans="1:14" x14ac:dyDescent="0.3">
      <c r="A23511" s="42"/>
      <c r="C23511" s="52"/>
      <c r="D23511"/>
      <c r="E23511"/>
      <c r="F23511"/>
      <c r="N23511" s="56"/>
    </row>
    <row r="23512" spans="1:14" x14ac:dyDescent="0.3">
      <c r="A23512" s="42"/>
      <c r="C23512" s="52"/>
      <c r="D23512"/>
      <c r="E23512"/>
      <c r="F23512"/>
      <c r="N23512" s="56"/>
    </row>
    <row r="23513" spans="1:14" x14ac:dyDescent="0.3">
      <c r="A23513" s="42"/>
      <c r="C23513" s="52"/>
      <c r="D23513"/>
      <c r="E23513"/>
      <c r="F23513"/>
      <c r="N23513" s="56"/>
    </row>
    <row r="23514" spans="1:14" x14ac:dyDescent="0.3">
      <c r="A23514" s="42"/>
      <c r="C23514" s="52"/>
      <c r="D23514"/>
      <c r="E23514"/>
      <c r="F23514"/>
      <c r="N23514" s="56"/>
    </row>
    <row r="23515" spans="1:14" x14ac:dyDescent="0.3">
      <c r="A23515" s="42"/>
      <c r="C23515" s="52"/>
      <c r="D23515"/>
      <c r="E23515"/>
      <c r="F23515"/>
      <c r="N23515" s="56"/>
    </row>
    <row r="23516" spans="1:14" x14ac:dyDescent="0.3">
      <c r="A23516" s="42"/>
      <c r="C23516" s="52"/>
      <c r="D23516"/>
      <c r="E23516"/>
      <c r="F23516"/>
      <c r="N23516" s="56"/>
    </row>
    <row r="23517" spans="1:14" x14ac:dyDescent="0.3">
      <c r="A23517" s="42"/>
      <c r="C23517" s="52"/>
      <c r="D23517"/>
      <c r="E23517"/>
      <c r="F23517"/>
      <c r="N23517" s="56"/>
    </row>
    <row r="23518" spans="1:14" x14ac:dyDescent="0.3">
      <c r="A23518" s="42"/>
      <c r="C23518" s="52"/>
      <c r="D23518"/>
      <c r="E23518"/>
      <c r="F23518"/>
      <c r="N23518" s="56"/>
    </row>
    <row r="23519" spans="1:14" x14ac:dyDescent="0.3">
      <c r="A23519" s="42"/>
      <c r="C23519" s="52"/>
      <c r="D23519"/>
      <c r="E23519"/>
      <c r="F23519"/>
      <c r="N23519" s="56"/>
    </row>
    <row r="23520" spans="1:14" x14ac:dyDescent="0.3">
      <c r="A23520" s="42"/>
      <c r="C23520" s="52"/>
      <c r="D23520"/>
      <c r="E23520"/>
      <c r="F23520"/>
      <c r="N23520" s="56"/>
    </row>
    <row r="23521" spans="1:14" x14ac:dyDescent="0.3">
      <c r="A23521" s="42"/>
      <c r="C23521" s="52"/>
      <c r="D23521"/>
      <c r="E23521"/>
      <c r="F23521"/>
      <c r="N23521" s="56"/>
    </row>
    <row r="23522" spans="1:14" x14ac:dyDescent="0.3">
      <c r="A23522" s="42"/>
      <c r="C23522" s="52"/>
      <c r="D23522"/>
      <c r="E23522"/>
      <c r="F23522"/>
      <c r="N23522" s="56"/>
    </row>
    <row r="23523" spans="1:14" x14ac:dyDescent="0.3">
      <c r="A23523" s="42"/>
      <c r="C23523" s="52"/>
      <c r="D23523"/>
      <c r="E23523"/>
      <c r="F23523"/>
      <c r="N23523" s="56"/>
    </row>
    <row r="23524" spans="1:14" x14ac:dyDescent="0.3">
      <c r="A23524" s="42"/>
      <c r="C23524" s="52"/>
      <c r="D23524"/>
      <c r="E23524"/>
      <c r="F23524"/>
      <c r="N23524" s="56"/>
    </row>
    <row r="23525" spans="1:14" x14ac:dyDescent="0.3">
      <c r="A23525" s="42"/>
      <c r="C23525" s="52"/>
      <c r="D23525"/>
      <c r="E23525"/>
      <c r="F23525"/>
      <c r="N23525" s="56"/>
    </row>
    <row r="23526" spans="1:14" x14ac:dyDescent="0.3">
      <c r="A23526" s="42"/>
      <c r="C23526" s="52"/>
      <c r="D23526"/>
      <c r="E23526"/>
      <c r="F23526"/>
      <c r="N23526" s="56"/>
    </row>
    <row r="23527" spans="1:14" x14ac:dyDescent="0.3">
      <c r="A23527" s="42"/>
      <c r="C23527" s="52"/>
      <c r="D23527"/>
      <c r="E23527"/>
      <c r="F23527"/>
      <c r="N23527" s="56"/>
    </row>
    <row r="23528" spans="1:14" x14ac:dyDescent="0.3">
      <c r="A23528" s="42"/>
      <c r="C23528" s="52"/>
      <c r="D23528"/>
      <c r="E23528"/>
      <c r="F23528"/>
      <c r="N23528" s="56"/>
    </row>
    <row r="23529" spans="1:14" x14ac:dyDescent="0.3">
      <c r="A23529" s="42"/>
      <c r="C23529" s="52"/>
      <c r="D23529"/>
      <c r="E23529"/>
      <c r="F23529"/>
      <c r="N23529" s="56"/>
    </row>
    <row r="23530" spans="1:14" x14ac:dyDescent="0.3">
      <c r="A23530" s="42"/>
      <c r="C23530" s="52"/>
      <c r="D23530"/>
      <c r="E23530"/>
      <c r="F23530"/>
      <c r="N23530" s="56"/>
    </row>
    <row r="23531" spans="1:14" x14ac:dyDescent="0.3">
      <c r="A23531" s="42"/>
      <c r="C23531" s="52"/>
      <c r="D23531"/>
      <c r="E23531"/>
      <c r="F23531"/>
      <c r="N23531" s="56"/>
    </row>
    <row r="23532" spans="1:14" x14ac:dyDescent="0.3">
      <c r="A23532" s="42"/>
      <c r="C23532" s="52"/>
      <c r="D23532"/>
      <c r="E23532"/>
      <c r="F23532"/>
      <c r="N23532" s="56"/>
    </row>
    <row r="23533" spans="1:14" x14ac:dyDescent="0.3">
      <c r="A23533" s="42"/>
      <c r="C23533" s="52"/>
      <c r="D23533"/>
      <c r="E23533"/>
      <c r="F23533"/>
      <c r="N23533" s="56"/>
    </row>
    <row r="23534" spans="1:14" x14ac:dyDescent="0.3">
      <c r="A23534" s="42"/>
      <c r="C23534" s="52"/>
      <c r="D23534"/>
      <c r="E23534"/>
      <c r="F23534"/>
      <c r="N23534" s="56"/>
    </row>
    <row r="23535" spans="1:14" x14ac:dyDescent="0.3">
      <c r="A23535" s="42"/>
      <c r="C23535" s="52"/>
      <c r="D23535"/>
      <c r="E23535"/>
      <c r="F23535"/>
      <c r="M23535" s="45"/>
      <c r="N23535" s="56"/>
    </row>
    <row r="23536" spans="1:14" x14ac:dyDescent="0.3">
      <c r="A23536" s="42"/>
      <c r="C23536" s="52"/>
      <c r="D23536"/>
      <c r="E23536"/>
      <c r="F23536"/>
      <c r="N23536" s="56"/>
    </row>
    <row r="23537" spans="1:14" x14ac:dyDescent="0.3">
      <c r="A23537" s="42"/>
      <c r="C23537" s="52"/>
      <c r="D23537"/>
      <c r="E23537"/>
      <c r="F23537"/>
      <c r="N23537" s="56"/>
    </row>
    <row r="23538" spans="1:14" x14ac:dyDescent="0.3">
      <c r="A23538" s="42"/>
      <c r="C23538" s="52"/>
      <c r="D23538"/>
      <c r="E23538"/>
      <c r="F23538"/>
      <c r="N23538" s="56"/>
    </row>
    <row r="23539" spans="1:14" x14ac:dyDescent="0.3">
      <c r="A23539" s="42"/>
      <c r="C23539" s="52"/>
      <c r="D23539"/>
      <c r="E23539"/>
      <c r="F23539"/>
      <c r="N23539" s="56"/>
    </row>
    <row r="23540" spans="1:14" x14ac:dyDescent="0.3">
      <c r="A23540" s="42"/>
      <c r="C23540" s="52"/>
      <c r="D23540"/>
      <c r="E23540"/>
      <c r="F23540"/>
      <c r="N23540" s="56"/>
    </row>
    <row r="23541" spans="1:14" x14ac:dyDescent="0.3">
      <c r="A23541" s="42"/>
      <c r="C23541" s="52"/>
      <c r="D23541"/>
      <c r="E23541"/>
      <c r="F23541"/>
      <c r="N23541" s="56"/>
    </row>
    <row r="23542" spans="1:14" x14ac:dyDescent="0.3">
      <c r="A23542" s="42"/>
      <c r="C23542" s="52"/>
      <c r="D23542"/>
      <c r="E23542"/>
      <c r="F23542"/>
      <c r="N23542" s="56"/>
    </row>
    <row r="23543" spans="1:14" x14ac:dyDescent="0.3">
      <c r="A23543" s="42"/>
      <c r="C23543" s="52"/>
      <c r="D23543"/>
      <c r="E23543"/>
      <c r="F23543"/>
      <c r="N23543" s="56"/>
    </row>
    <row r="23544" spans="1:14" x14ac:dyDescent="0.3">
      <c r="A23544" s="42"/>
      <c r="C23544" s="52"/>
      <c r="D23544"/>
      <c r="E23544"/>
      <c r="F23544"/>
      <c r="N23544" s="56"/>
    </row>
    <row r="23545" spans="1:14" x14ac:dyDescent="0.3">
      <c r="A23545" s="42"/>
      <c r="C23545" s="52"/>
      <c r="D23545"/>
      <c r="E23545"/>
      <c r="F23545"/>
      <c r="N23545" s="56"/>
    </row>
    <row r="23546" spans="1:14" x14ac:dyDescent="0.3">
      <c r="A23546" s="42"/>
      <c r="C23546" s="52"/>
      <c r="D23546"/>
      <c r="E23546"/>
      <c r="F23546"/>
      <c r="N23546" s="56"/>
    </row>
    <row r="23547" spans="1:14" x14ac:dyDescent="0.3">
      <c r="A23547" s="42"/>
      <c r="C23547" s="52"/>
      <c r="D23547"/>
      <c r="E23547"/>
      <c r="F23547"/>
      <c r="N23547" s="56"/>
    </row>
    <row r="23548" spans="1:14" x14ac:dyDescent="0.3">
      <c r="A23548" s="42"/>
      <c r="C23548" s="52"/>
      <c r="D23548"/>
      <c r="E23548"/>
      <c r="F23548"/>
      <c r="N23548" s="56"/>
    </row>
    <row r="23549" spans="1:14" x14ac:dyDescent="0.3">
      <c r="A23549" s="42"/>
      <c r="C23549" s="52"/>
      <c r="D23549"/>
      <c r="E23549"/>
      <c r="F23549"/>
      <c r="N23549" s="56"/>
    </row>
    <row r="23550" spans="1:14" x14ac:dyDescent="0.3">
      <c r="A23550" s="42"/>
      <c r="C23550" s="52"/>
      <c r="D23550"/>
      <c r="E23550"/>
      <c r="F23550"/>
      <c r="N23550" s="56"/>
    </row>
    <row r="23551" spans="1:14" x14ac:dyDescent="0.3">
      <c r="A23551" s="42"/>
      <c r="C23551" s="52"/>
      <c r="D23551"/>
      <c r="E23551"/>
      <c r="F23551"/>
      <c r="N23551" s="56"/>
    </row>
    <row r="23552" spans="1:14" x14ac:dyDescent="0.3">
      <c r="A23552" s="42"/>
      <c r="C23552" s="52"/>
      <c r="D23552"/>
      <c r="E23552"/>
      <c r="F23552"/>
      <c r="N23552" s="56"/>
    </row>
    <row r="23553" spans="1:14" x14ac:dyDescent="0.3">
      <c r="A23553" s="42"/>
      <c r="C23553" s="52"/>
      <c r="D23553"/>
      <c r="E23553"/>
      <c r="F23553"/>
      <c r="N23553" s="56"/>
    </row>
    <row r="23554" spans="1:14" x14ac:dyDescent="0.3">
      <c r="A23554" s="42"/>
      <c r="C23554" s="52"/>
      <c r="D23554"/>
      <c r="E23554"/>
      <c r="F23554"/>
      <c r="N23554" s="56"/>
    </row>
    <row r="23555" spans="1:14" x14ac:dyDescent="0.3">
      <c r="A23555" s="42"/>
      <c r="C23555" s="52"/>
      <c r="D23555"/>
      <c r="E23555"/>
      <c r="F23555"/>
      <c r="N23555" s="56"/>
    </row>
    <row r="23556" spans="1:14" x14ac:dyDescent="0.3">
      <c r="A23556" s="42"/>
      <c r="C23556" s="52"/>
      <c r="D23556"/>
      <c r="E23556"/>
      <c r="F23556"/>
      <c r="N23556" s="56"/>
    </row>
    <row r="23557" spans="1:14" x14ac:dyDescent="0.3">
      <c r="A23557" s="42"/>
      <c r="C23557" s="52"/>
      <c r="D23557"/>
      <c r="E23557"/>
      <c r="F23557"/>
      <c r="N23557" s="56"/>
    </row>
    <row r="23558" spans="1:14" x14ac:dyDescent="0.3">
      <c r="A23558" s="42"/>
      <c r="C23558" s="52"/>
      <c r="D23558"/>
      <c r="E23558"/>
      <c r="F23558"/>
      <c r="N23558" s="56"/>
    </row>
    <row r="23559" spans="1:14" x14ac:dyDescent="0.3">
      <c r="A23559" s="42"/>
      <c r="C23559" s="52"/>
      <c r="D23559"/>
      <c r="E23559"/>
      <c r="F23559"/>
      <c r="N23559" s="56"/>
    </row>
    <row r="23560" spans="1:14" x14ac:dyDescent="0.3">
      <c r="A23560" s="42"/>
      <c r="C23560" s="52"/>
      <c r="D23560"/>
      <c r="E23560"/>
      <c r="F23560"/>
      <c r="N23560" s="56"/>
    </row>
    <row r="23561" spans="1:14" x14ac:dyDescent="0.3">
      <c r="A23561" s="42"/>
      <c r="C23561" s="52"/>
      <c r="D23561"/>
      <c r="E23561"/>
      <c r="F23561"/>
      <c r="N23561" s="56"/>
    </row>
    <row r="23562" spans="1:14" x14ac:dyDescent="0.3">
      <c r="A23562" s="42"/>
      <c r="C23562" s="52"/>
      <c r="D23562"/>
      <c r="E23562"/>
      <c r="F23562"/>
      <c r="N23562" s="56"/>
    </row>
    <row r="23563" spans="1:14" x14ac:dyDescent="0.3">
      <c r="A23563" s="42"/>
      <c r="C23563" s="52"/>
      <c r="D23563"/>
      <c r="E23563"/>
      <c r="F23563"/>
      <c r="N23563" s="56"/>
    </row>
    <row r="23564" spans="1:14" x14ac:dyDescent="0.3">
      <c r="A23564" s="42"/>
      <c r="C23564" s="52"/>
      <c r="D23564"/>
      <c r="E23564"/>
      <c r="F23564"/>
      <c r="N23564" s="56"/>
    </row>
    <row r="23565" spans="1:14" x14ac:dyDescent="0.3">
      <c r="A23565" s="42"/>
      <c r="C23565" s="52"/>
      <c r="D23565"/>
      <c r="E23565"/>
      <c r="F23565"/>
      <c r="N23565" s="56"/>
    </row>
    <row r="23566" spans="1:14" x14ac:dyDescent="0.3">
      <c r="A23566" s="42"/>
      <c r="C23566" s="52"/>
      <c r="D23566"/>
      <c r="E23566"/>
      <c r="F23566"/>
      <c r="N23566" s="56"/>
    </row>
    <row r="23567" spans="1:14" x14ac:dyDescent="0.3">
      <c r="A23567" s="42"/>
      <c r="C23567" s="52"/>
      <c r="D23567"/>
      <c r="E23567"/>
      <c r="F23567"/>
      <c r="N23567" s="56"/>
    </row>
    <row r="23568" spans="1:14" x14ac:dyDescent="0.3">
      <c r="A23568" s="42"/>
      <c r="C23568" s="52"/>
      <c r="D23568"/>
      <c r="E23568"/>
      <c r="F23568"/>
      <c r="N23568" s="56"/>
    </row>
    <row r="23569" spans="1:14" x14ac:dyDescent="0.3">
      <c r="A23569" s="42"/>
      <c r="C23569" s="52"/>
      <c r="D23569"/>
      <c r="E23569"/>
      <c r="F23569"/>
      <c r="N23569" s="56"/>
    </row>
    <row r="23570" spans="1:14" x14ac:dyDescent="0.3">
      <c r="A23570" s="42"/>
      <c r="C23570" s="52"/>
      <c r="D23570"/>
      <c r="E23570"/>
      <c r="F23570"/>
      <c r="N23570" s="56"/>
    </row>
    <row r="23571" spans="1:14" x14ac:dyDescent="0.3">
      <c r="A23571" s="42"/>
      <c r="C23571" s="52"/>
      <c r="D23571"/>
      <c r="E23571"/>
      <c r="F23571"/>
      <c r="N23571" s="56"/>
    </row>
    <row r="23572" spans="1:14" x14ac:dyDescent="0.3">
      <c r="A23572" s="42"/>
      <c r="C23572" s="52"/>
      <c r="D23572"/>
      <c r="E23572"/>
      <c r="F23572"/>
      <c r="N23572" s="56"/>
    </row>
    <row r="23573" spans="1:14" x14ac:dyDescent="0.3">
      <c r="A23573" s="42"/>
      <c r="C23573" s="52"/>
      <c r="D23573"/>
      <c r="E23573"/>
      <c r="F23573"/>
      <c r="M23573" s="45"/>
      <c r="N23573" s="56"/>
    </row>
    <row r="23574" spans="1:14" x14ac:dyDescent="0.3">
      <c r="A23574" s="42"/>
      <c r="C23574" s="52"/>
      <c r="D23574"/>
      <c r="E23574"/>
      <c r="F23574"/>
      <c r="N23574" s="56"/>
    </row>
    <row r="23575" spans="1:14" x14ac:dyDescent="0.3">
      <c r="A23575" s="42"/>
      <c r="C23575" s="52"/>
      <c r="D23575"/>
      <c r="E23575"/>
      <c r="F23575"/>
      <c r="N23575" s="56"/>
    </row>
    <row r="23576" spans="1:14" x14ac:dyDescent="0.3">
      <c r="A23576" s="42"/>
      <c r="C23576" s="52"/>
      <c r="D23576"/>
      <c r="E23576"/>
      <c r="F23576"/>
      <c r="N23576" s="56"/>
    </row>
    <row r="23577" spans="1:14" x14ac:dyDescent="0.3">
      <c r="A23577" s="42"/>
      <c r="C23577" s="52"/>
      <c r="D23577"/>
      <c r="E23577"/>
      <c r="F23577"/>
      <c r="N23577" s="56"/>
    </row>
    <row r="23578" spans="1:14" x14ac:dyDescent="0.3">
      <c r="A23578" s="42"/>
      <c r="C23578" s="52"/>
      <c r="D23578"/>
      <c r="E23578"/>
      <c r="F23578"/>
      <c r="N23578" s="56"/>
    </row>
    <row r="23579" spans="1:14" x14ac:dyDescent="0.3">
      <c r="A23579" s="42"/>
      <c r="C23579" s="52"/>
      <c r="D23579"/>
      <c r="E23579"/>
      <c r="F23579"/>
      <c r="N23579" s="56"/>
    </row>
    <row r="23580" spans="1:14" x14ac:dyDescent="0.3">
      <c r="A23580" s="42"/>
      <c r="C23580" s="52"/>
      <c r="D23580"/>
      <c r="E23580"/>
      <c r="F23580"/>
      <c r="N23580" s="56"/>
    </row>
    <row r="23581" spans="1:14" x14ac:dyDescent="0.3">
      <c r="A23581" s="42"/>
      <c r="C23581" s="52"/>
      <c r="D23581"/>
      <c r="E23581"/>
      <c r="F23581"/>
      <c r="N23581" s="56"/>
    </row>
    <row r="23582" spans="1:14" x14ac:dyDescent="0.3">
      <c r="A23582" s="42"/>
      <c r="C23582" s="52"/>
      <c r="D23582"/>
      <c r="E23582"/>
      <c r="F23582"/>
      <c r="N23582" s="56"/>
    </row>
    <row r="23583" spans="1:14" x14ac:dyDescent="0.3">
      <c r="A23583" s="42"/>
      <c r="C23583" s="52"/>
      <c r="D23583"/>
      <c r="E23583"/>
      <c r="F23583"/>
      <c r="N23583" s="56"/>
    </row>
    <row r="23584" spans="1:14" x14ac:dyDescent="0.3">
      <c r="A23584" s="42"/>
      <c r="C23584" s="52"/>
      <c r="D23584"/>
      <c r="E23584"/>
      <c r="F23584"/>
      <c r="N23584" s="56"/>
    </row>
    <row r="23585" spans="1:14" x14ac:dyDescent="0.3">
      <c r="A23585" s="42"/>
      <c r="C23585" s="52"/>
      <c r="D23585"/>
      <c r="E23585"/>
      <c r="F23585"/>
      <c r="N23585" s="56"/>
    </row>
    <row r="23586" spans="1:14" x14ac:dyDescent="0.3">
      <c r="A23586" s="42"/>
      <c r="C23586" s="52"/>
      <c r="D23586"/>
      <c r="E23586"/>
      <c r="F23586"/>
      <c r="N23586" s="56"/>
    </row>
    <row r="23587" spans="1:14" x14ac:dyDescent="0.3">
      <c r="A23587" s="42"/>
      <c r="C23587" s="52"/>
      <c r="D23587"/>
      <c r="E23587"/>
      <c r="F23587"/>
      <c r="N23587" s="56"/>
    </row>
    <row r="23588" spans="1:14" x14ac:dyDescent="0.3">
      <c r="A23588" s="42"/>
      <c r="C23588" s="52"/>
      <c r="D23588"/>
      <c r="E23588"/>
      <c r="F23588"/>
      <c r="N23588" s="56"/>
    </row>
    <row r="23589" spans="1:14" x14ac:dyDescent="0.3">
      <c r="A23589" s="42"/>
      <c r="C23589" s="52"/>
      <c r="D23589"/>
      <c r="E23589"/>
      <c r="F23589"/>
      <c r="N23589" s="56"/>
    </row>
    <row r="23590" spans="1:14" x14ac:dyDescent="0.3">
      <c r="A23590" s="42"/>
      <c r="C23590" s="52"/>
      <c r="D23590"/>
      <c r="E23590"/>
      <c r="F23590"/>
      <c r="N23590" s="56"/>
    </row>
    <row r="23591" spans="1:14" x14ac:dyDescent="0.3">
      <c r="A23591" s="42"/>
      <c r="C23591" s="52"/>
      <c r="D23591"/>
      <c r="E23591"/>
      <c r="F23591"/>
      <c r="N23591" s="56"/>
    </row>
    <row r="23592" spans="1:14" x14ac:dyDescent="0.3">
      <c r="A23592" s="42"/>
      <c r="C23592" s="52"/>
      <c r="D23592"/>
      <c r="E23592"/>
      <c r="F23592"/>
      <c r="N23592" s="56"/>
    </row>
    <row r="23593" spans="1:14" x14ac:dyDescent="0.3">
      <c r="A23593" s="42"/>
      <c r="C23593" s="52"/>
      <c r="D23593"/>
      <c r="E23593"/>
      <c r="F23593"/>
      <c r="N23593" s="56"/>
    </row>
    <row r="23594" spans="1:14" x14ac:dyDescent="0.3">
      <c r="A23594" s="42"/>
      <c r="C23594" s="52"/>
      <c r="D23594"/>
      <c r="E23594"/>
      <c r="F23594"/>
      <c r="N23594" s="56"/>
    </row>
    <row r="23595" spans="1:14" x14ac:dyDescent="0.3">
      <c r="A23595" s="42"/>
      <c r="C23595" s="52"/>
      <c r="D23595"/>
      <c r="E23595"/>
      <c r="F23595"/>
      <c r="N23595" s="56"/>
    </row>
    <row r="23596" spans="1:14" x14ac:dyDescent="0.3">
      <c r="A23596" s="42"/>
      <c r="C23596" s="52"/>
      <c r="D23596"/>
      <c r="E23596"/>
      <c r="F23596"/>
      <c r="N23596" s="56"/>
    </row>
    <row r="23597" spans="1:14" x14ac:dyDescent="0.3">
      <c r="A23597" s="42"/>
      <c r="C23597" s="52"/>
      <c r="D23597"/>
      <c r="E23597"/>
      <c r="F23597"/>
      <c r="N23597" s="56"/>
    </row>
    <row r="23598" spans="1:14" x14ac:dyDescent="0.3">
      <c r="A23598" s="42"/>
      <c r="C23598" s="52"/>
      <c r="D23598"/>
      <c r="E23598"/>
      <c r="F23598"/>
      <c r="N23598" s="56"/>
    </row>
    <row r="23599" spans="1:14" x14ac:dyDescent="0.3">
      <c r="A23599" s="42"/>
      <c r="C23599" s="52"/>
      <c r="D23599"/>
      <c r="E23599"/>
      <c r="F23599"/>
      <c r="N23599" s="56"/>
    </row>
    <row r="23600" spans="1:14" x14ac:dyDescent="0.3">
      <c r="A23600" s="42"/>
      <c r="C23600" s="52"/>
      <c r="D23600"/>
      <c r="E23600"/>
      <c r="F23600"/>
      <c r="N23600" s="56"/>
    </row>
    <row r="23601" spans="1:14" x14ac:dyDescent="0.3">
      <c r="A23601" s="42"/>
      <c r="C23601" s="52"/>
      <c r="D23601"/>
      <c r="E23601"/>
      <c r="F23601"/>
      <c r="N23601" s="56"/>
    </row>
    <row r="23602" spans="1:14" x14ac:dyDescent="0.3">
      <c r="A23602" s="42"/>
      <c r="C23602" s="52"/>
      <c r="D23602"/>
      <c r="E23602"/>
      <c r="F23602"/>
      <c r="N23602" s="56"/>
    </row>
    <row r="23603" spans="1:14" x14ac:dyDescent="0.3">
      <c r="A23603" s="42"/>
      <c r="C23603" s="52"/>
      <c r="D23603"/>
      <c r="E23603"/>
      <c r="F23603"/>
      <c r="N23603" s="56"/>
    </row>
    <row r="23604" spans="1:14" x14ac:dyDescent="0.3">
      <c r="A23604" s="42"/>
      <c r="C23604" s="52"/>
      <c r="D23604"/>
      <c r="E23604"/>
      <c r="F23604"/>
      <c r="N23604" s="56"/>
    </row>
    <row r="23605" spans="1:14" x14ac:dyDescent="0.3">
      <c r="A23605" s="42"/>
      <c r="C23605" s="52"/>
      <c r="D23605"/>
      <c r="E23605"/>
      <c r="F23605"/>
      <c r="N23605" s="56"/>
    </row>
    <row r="23606" spans="1:14" x14ac:dyDescent="0.3">
      <c r="A23606" s="42"/>
      <c r="C23606" s="52"/>
      <c r="D23606"/>
      <c r="E23606"/>
      <c r="F23606"/>
      <c r="N23606" s="56"/>
    </row>
    <row r="23607" spans="1:14" x14ac:dyDescent="0.3">
      <c r="A23607" s="42"/>
      <c r="C23607" s="52"/>
      <c r="D23607"/>
      <c r="E23607"/>
      <c r="F23607"/>
      <c r="N23607" s="56"/>
    </row>
    <row r="23608" spans="1:14" x14ac:dyDescent="0.3">
      <c r="A23608" s="42"/>
      <c r="C23608" s="52"/>
      <c r="D23608"/>
      <c r="E23608"/>
      <c r="F23608"/>
      <c r="N23608" s="56"/>
    </row>
    <row r="23609" spans="1:14" x14ac:dyDescent="0.3">
      <c r="A23609" s="42"/>
      <c r="C23609" s="52"/>
      <c r="D23609"/>
      <c r="E23609"/>
      <c r="F23609"/>
      <c r="N23609" s="56"/>
    </row>
    <row r="23610" spans="1:14" x14ac:dyDescent="0.3">
      <c r="A23610" s="42"/>
      <c r="C23610" s="52"/>
      <c r="D23610"/>
      <c r="E23610"/>
      <c r="F23610"/>
      <c r="N23610" s="56"/>
    </row>
    <row r="23611" spans="1:14" x14ac:dyDescent="0.3">
      <c r="A23611" s="42"/>
      <c r="C23611" s="52"/>
      <c r="D23611"/>
      <c r="E23611"/>
      <c r="F23611"/>
      <c r="N23611" s="56"/>
    </row>
    <row r="23612" spans="1:14" x14ac:dyDescent="0.3">
      <c r="A23612" s="42"/>
      <c r="C23612" s="52"/>
      <c r="D23612"/>
      <c r="E23612"/>
      <c r="F23612"/>
      <c r="N23612" s="56"/>
    </row>
    <row r="23613" spans="1:14" x14ac:dyDescent="0.3">
      <c r="A23613" s="42"/>
      <c r="C23613" s="52"/>
      <c r="D23613"/>
      <c r="E23613"/>
      <c r="F23613"/>
      <c r="N23613" s="56"/>
    </row>
    <row r="23614" spans="1:14" x14ac:dyDescent="0.3">
      <c r="A23614" s="42"/>
      <c r="C23614" s="52"/>
      <c r="D23614"/>
      <c r="E23614"/>
      <c r="F23614"/>
      <c r="N23614" s="56"/>
    </row>
    <row r="23615" spans="1:14" x14ac:dyDescent="0.3">
      <c r="A23615" s="42"/>
      <c r="C23615" s="52"/>
      <c r="D23615"/>
      <c r="E23615"/>
      <c r="F23615"/>
      <c r="N23615" s="56"/>
    </row>
    <row r="23616" spans="1:14" x14ac:dyDescent="0.3">
      <c r="A23616" s="42"/>
      <c r="C23616" s="52"/>
      <c r="D23616"/>
      <c r="E23616"/>
      <c r="F23616"/>
      <c r="N23616" s="56"/>
    </row>
    <row r="23617" spans="1:14" x14ac:dyDescent="0.3">
      <c r="A23617" s="42"/>
      <c r="C23617" s="52"/>
      <c r="D23617"/>
      <c r="E23617"/>
      <c r="F23617"/>
      <c r="N23617" s="56"/>
    </row>
    <row r="23618" spans="1:14" x14ac:dyDescent="0.3">
      <c r="A23618" s="42"/>
      <c r="C23618" s="52"/>
      <c r="D23618"/>
      <c r="E23618"/>
      <c r="F23618"/>
      <c r="N23618" s="56"/>
    </row>
    <row r="23619" spans="1:14" x14ac:dyDescent="0.3">
      <c r="A23619" s="42"/>
      <c r="C23619" s="52"/>
      <c r="D23619"/>
      <c r="E23619"/>
      <c r="F23619"/>
      <c r="N23619" s="56"/>
    </row>
    <row r="23620" spans="1:14" x14ac:dyDescent="0.3">
      <c r="A23620" s="42"/>
      <c r="C23620" s="52"/>
      <c r="D23620"/>
      <c r="E23620"/>
      <c r="F23620"/>
      <c r="N23620" s="56"/>
    </row>
    <row r="23621" spans="1:14" x14ac:dyDescent="0.3">
      <c r="A23621" s="42"/>
      <c r="C23621" s="52"/>
      <c r="D23621"/>
      <c r="E23621"/>
      <c r="F23621"/>
      <c r="N23621" s="56"/>
    </row>
    <row r="23622" spans="1:14" x14ac:dyDescent="0.3">
      <c r="A23622" s="42"/>
      <c r="C23622" s="52"/>
      <c r="D23622"/>
      <c r="E23622"/>
      <c r="F23622"/>
      <c r="N23622" s="56"/>
    </row>
    <row r="23623" spans="1:14" x14ac:dyDescent="0.3">
      <c r="A23623" s="42"/>
      <c r="C23623" s="52"/>
      <c r="D23623"/>
      <c r="E23623"/>
      <c r="F23623"/>
      <c r="N23623" s="56"/>
    </row>
    <row r="23624" spans="1:14" x14ac:dyDescent="0.3">
      <c r="A23624" s="42"/>
      <c r="C23624" s="52"/>
      <c r="D23624"/>
      <c r="E23624"/>
      <c r="F23624"/>
      <c r="N23624" s="56"/>
    </row>
    <row r="23625" spans="1:14" x14ac:dyDescent="0.3">
      <c r="A23625" s="42"/>
      <c r="C23625" s="52"/>
      <c r="D23625"/>
      <c r="E23625"/>
      <c r="F23625"/>
      <c r="N23625" s="56"/>
    </row>
    <row r="23626" spans="1:14" x14ac:dyDescent="0.3">
      <c r="A23626" s="42"/>
      <c r="C23626" s="52"/>
      <c r="D23626"/>
      <c r="E23626"/>
      <c r="F23626"/>
      <c r="N23626" s="56"/>
    </row>
    <row r="23627" spans="1:14" x14ac:dyDescent="0.3">
      <c r="A23627" s="42"/>
      <c r="C23627" s="52"/>
      <c r="D23627"/>
      <c r="E23627"/>
      <c r="F23627"/>
      <c r="N23627" s="56"/>
    </row>
    <row r="23628" spans="1:14" x14ac:dyDescent="0.3">
      <c r="A23628" s="42"/>
      <c r="C23628" s="52"/>
      <c r="D23628"/>
      <c r="E23628"/>
      <c r="F23628"/>
      <c r="N23628" s="56"/>
    </row>
    <row r="23629" spans="1:14" x14ac:dyDescent="0.3">
      <c r="A23629" s="42"/>
      <c r="C23629" s="52"/>
      <c r="D23629"/>
      <c r="E23629"/>
      <c r="F23629"/>
      <c r="N23629" s="56"/>
    </row>
    <row r="23630" spans="1:14" x14ac:dyDescent="0.3">
      <c r="A23630" s="42"/>
      <c r="C23630" s="52"/>
      <c r="D23630"/>
      <c r="E23630"/>
      <c r="F23630"/>
      <c r="N23630" s="56"/>
    </row>
    <row r="23631" spans="1:14" x14ac:dyDescent="0.3">
      <c r="A23631" s="42"/>
      <c r="C23631" s="52"/>
      <c r="D23631"/>
      <c r="E23631"/>
      <c r="F23631"/>
      <c r="N23631" s="56"/>
    </row>
    <row r="23632" spans="1:14" x14ac:dyDescent="0.3">
      <c r="A23632" s="42"/>
      <c r="C23632" s="52"/>
      <c r="D23632"/>
      <c r="E23632"/>
      <c r="F23632"/>
      <c r="N23632" s="56"/>
    </row>
    <row r="23633" spans="1:14" x14ac:dyDescent="0.3">
      <c r="A23633" s="42"/>
      <c r="C23633" s="52"/>
      <c r="D23633"/>
      <c r="E23633"/>
      <c r="F23633"/>
      <c r="N23633" s="56"/>
    </row>
    <row r="23634" spans="1:14" x14ac:dyDescent="0.3">
      <c r="A23634" s="42"/>
      <c r="C23634" s="52"/>
      <c r="D23634"/>
      <c r="E23634"/>
      <c r="F23634"/>
      <c r="N23634" s="56"/>
    </row>
    <row r="23635" spans="1:14" x14ac:dyDescent="0.3">
      <c r="A23635" s="42"/>
      <c r="C23635" s="52"/>
      <c r="D23635"/>
      <c r="E23635"/>
      <c r="F23635"/>
      <c r="N23635" s="56"/>
    </row>
    <row r="23636" spans="1:14" x14ac:dyDescent="0.3">
      <c r="A23636" s="42"/>
      <c r="C23636" s="52"/>
      <c r="D23636"/>
      <c r="E23636"/>
      <c r="F23636"/>
      <c r="N23636" s="56"/>
    </row>
    <row r="23637" spans="1:14" x14ac:dyDescent="0.3">
      <c r="A23637" s="42"/>
      <c r="C23637" s="52"/>
      <c r="D23637"/>
      <c r="E23637"/>
      <c r="F23637"/>
      <c r="N23637" s="56"/>
    </row>
    <row r="23638" spans="1:14" x14ac:dyDescent="0.3">
      <c r="A23638" s="42"/>
      <c r="C23638" s="52"/>
      <c r="D23638"/>
      <c r="E23638"/>
      <c r="F23638"/>
      <c r="N23638" s="56"/>
    </row>
    <row r="23639" spans="1:14" x14ac:dyDescent="0.3">
      <c r="A23639" s="42"/>
      <c r="C23639" s="52"/>
      <c r="D23639"/>
      <c r="E23639"/>
      <c r="F23639"/>
      <c r="N23639" s="56"/>
    </row>
    <row r="23640" spans="1:14" x14ac:dyDescent="0.3">
      <c r="A23640" s="42"/>
      <c r="C23640" s="52"/>
      <c r="D23640"/>
      <c r="E23640"/>
      <c r="F23640"/>
      <c r="N23640" s="56"/>
    </row>
    <row r="23641" spans="1:14" x14ac:dyDescent="0.3">
      <c r="A23641" s="42"/>
      <c r="C23641" s="52"/>
      <c r="D23641"/>
      <c r="E23641"/>
      <c r="F23641"/>
      <c r="N23641" s="56"/>
    </row>
    <row r="23642" spans="1:14" x14ac:dyDescent="0.3">
      <c r="A23642" s="42"/>
      <c r="C23642" s="52"/>
      <c r="D23642"/>
      <c r="E23642"/>
      <c r="F23642"/>
      <c r="N23642" s="56"/>
    </row>
    <row r="23643" spans="1:14" x14ac:dyDescent="0.3">
      <c r="A23643" s="42"/>
      <c r="C23643" s="52"/>
      <c r="D23643"/>
      <c r="E23643"/>
      <c r="F23643"/>
      <c r="N23643" s="56"/>
    </row>
    <row r="23644" spans="1:14" x14ac:dyDescent="0.3">
      <c r="A23644" s="42"/>
      <c r="C23644" s="52"/>
      <c r="D23644"/>
      <c r="E23644"/>
      <c r="F23644"/>
      <c r="N23644" s="56"/>
    </row>
    <row r="23645" spans="1:14" x14ac:dyDescent="0.3">
      <c r="A23645" s="42"/>
      <c r="C23645" s="52"/>
      <c r="D23645"/>
      <c r="E23645"/>
      <c r="F23645"/>
      <c r="N23645" s="56"/>
    </row>
    <row r="23646" spans="1:14" x14ac:dyDescent="0.3">
      <c r="A23646" s="42"/>
      <c r="C23646" s="52"/>
      <c r="D23646"/>
      <c r="E23646"/>
      <c r="F23646"/>
      <c r="N23646" s="56"/>
    </row>
    <row r="23647" spans="1:14" x14ac:dyDescent="0.3">
      <c r="A23647" s="42"/>
      <c r="C23647" s="52"/>
      <c r="D23647"/>
      <c r="E23647"/>
      <c r="F23647"/>
      <c r="N23647" s="56"/>
    </row>
    <row r="23648" spans="1:14" x14ac:dyDescent="0.3">
      <c r="A23648" s="42"/>
      <c r="C23648" s="52"/>
      <c r="D23648"/>
      <c r="E23648"/>
      <c r="F23648"/>
      <c r="N23648" s="56"/>
    </row>
    <row r="23649" spans="1:14" x14ac:dyDescent="0.3">
      <c r="A23649" s="42"/>
      <c r="C23649" s="52"/>
      <c r="D23649"/>
      <c r="E23649"/>
      <c r="F23649"/>
      <c r="N23649" s="56"/>
    </row>
    <row r="23650" spans="1:14" x14ac:dyDescent="0.3">
      <c r="A23650" s="42"/>
      <c r="C23650" s="52"/>
      <c r="D23650"/>
      <c r="E23650"/>
      <c r="F23650"/>
      <c r="N23650" s="56"/>
    </row>
    <row r="23651" spans="1:14" x14ac:dyDescent="0.3">
      <c r="A23651" s="42"/>
      <c r="C23651" s="52"/>
      <c r="D23651"/>
      <c r="E23651"/>
      <c r="F23651"/>
      <c r="N23651" s="56"/>
    </row>
    <row r="23652" spans="1:14" x14ac:dyDescent="0.3">
      <c r="A23652" s="42"/>
      <c r="C23652" s="52"/>
      <c r="D23652"/>
      <c r="E23652"/>
      <c r="F23652"/>
      <c r="N23652" s="56"/>
    </row>
    <row r="23653" spans="1:14" x14ac:dyDescent="0.3">
      <c r="A23653" s="42"/>
      <c r="C23653" s="52"/>
      <c r="D23653"/>
      <c r="E23653"/>
      <c r="F23653"/>
      <c r="N23653" s="56"/>
    </row>
    <row r="23654" spans="1:14" x14ac:dyDescent="0.3">
      <c r="A23654" s="42"/>
      <c r="C23654" s="52"/>
      <c r="D23654"/>
      <c r="E23654"/>
      <c r="F23654"/>
      <c r="N23654" s="56"/>
    </row>
    <row r="23655" spans="1:14" x14ac:dyDescent="0.3">
      <c r="A23655" s="42"/>
      <c r="C23655" s="52"/>
      <c r="D23655"/>
      <c r="E23655"/>
      <c r="F23655"/>
      <c r="N23655" s="56"/>
    </row>
    <row r="23656" spans="1:14" x14ac:dyDescent="0.3">
      <c r="A23656" s="42"/>
      <c r="C23656" s="52"/>
      <c r="D23656"/>
      <c r="E23656"/>
      <c r="F23656"/>
      <c r="N23656" s="56"/>
    </row>
    <row r="23657" spans="1:14" x14ac:dyDescent="0.3">
      <c r="A23657" s="42"/>
      <c r="C23657" s="52"/>
      <c r="D23657"/>
      <c r="E23657"/>
      <c r="F23657"/>
      <c r="N23657" s="56"/>
    </row>
    <row r="23658" spans="1:14" x14ac:dyDescent="0.3">
      <c r="A23658" s="42"/>
      <c r="C23658" s="52"/>
      <c r="D23658"/>
      <c r="E23658"/>
      <c r="F23658"/>
      <c r="N23658" s="56"/>
    </row>
    <row r="23659" spans="1:14" x14ac:dyDescent="0.3">
      <c r="A23659" s="42"/>
      <c r="C23659" s="52"/>
      <c r="D23659"/>
      <c r="E23659"/>
      <c r="F23659"/>
      <c r="N23659" s="56"/>
    </row>
    <row r="23660" spans="1:14" x14ac:dyDescent="0.3">
      <c r="A23660" s="42"/>
      <c r="C23660" s="52"/>
      <c r="D23660"/>
      <c r="E23660"/>
      <c r="F23660"/>
      <c r="N23660" s="56"/>
    </row>
    <row r="23661" spans="1:14" x14ac:dyDescent="0.3">
      <c r="A23661" s="42"/>
      <c r="C23661" s="52"/>
      <c r="D23661"/>
      <c r="E23661"/>
      <c r="F23661"/>
      <c r="N23661" s="56"/>
    </row>
    <row r="23662" spans="1:14" x14ac:dyDescent="0.3">
      <c r="A23662" s="42"/>
      <c r="C23662" s="52"/>
      <c r="D23662"/>
      <c r="E23662"/>
      <c r="F23662"/>
      <c r="N23662" s="56"/>
    </row>
    <row r="23663" spans="1:14" x14ac:dyDescent="0.3">
      <c r="A23663" s="42"/>
      <c r="C23663" s="52"/>
      <c r="D23663"/>
      <c r="E23663"/>
      <c r="F23663"/>
      <c r="N23663" s="56"/>
    </row>
    <row r="23664" spans="1:14" x14ac:dyDescent="0.3">
      <c r="A23664" s="42"/>
      <c r="C23664" s="52"/>
      <c r="D23664"/>
      <c r="E23664"/>
      <c r="F23664"/>
      <c r="N23664" s="56"/>
    </row>
    <row r="23665" spans="1:14" x14ac:dyDescent="0.3">
      <c r="A23665" s="42"/>
      <c r="C23665" s="52"/>
      <c r="D23665"/>
      <c r="E23665"/>
      <c r="F23665"/>
      <c r="N23665" s="56"/>
    </row>
    <row r="23666" spans="1:14" x14ac:dyDescent="0.3">
      <c r="A23666" s="42"/>
      <c r="C23666" s="52"/>
      <c r="D23666"/>
      <c r="E23666"/>
      <c r="F23666"/>
      <c r="N23666" s="56"/>
    </row>
    <row r="23667" spans="1:14" x14ac:dyDescent="0.3">
      <c r="A23667" s="42"/>
      <c r="C23667" s="52"/>
      <c r="D23667"/>
      <c r="E23667"/>
      <c r="F23667"/>
      <c r="N23667" s="56"/>
    </row>
    <row r="23668" spans="1:14" x14ac:dyDescent="0.3">
      <c r="A23668" s="42"/>
      <c r="C23668" s="52"/>
      <c r="D23668"/>
      <c r="E23668"/>
      <c r="F23668"/>
      <c r="N23668" s="56"/>
    </row>
    <row r="23669" spans="1:14" x14ac:dyDescent="0.3">
      <c r="A23669" s="42"/>
      <c r="C23669" s="52"/>
      <c r="D23669"/>
      <c r="E23669"/>
      <c r="F23669"/>
      <c r="N23669" s="56"/>
    </row>
    <row r="23670" spans="1:14" x14ac:dyDescent="0.3">
      <c r="A23670" s="42"/>
      <c r="C23670" s="52"/>
      <c r="D23670"/>
      <c r="E23670"/>
      <c r="F23670"/>
      <c r="N23670" s="56"/>
    </row>
    <row r="23671" spans="1:14" x14ac:dyDescent="0.3">
      <c r="A23671" s="42"/>
      <c r="C23671" s="52"/>
      <c r="D23671"/>
      <c r="E23671"/>
      <c r="F23671"/>
      <c r="N23671" s="56"/>
    </row>
    <row r="23672" spans="1:14" x14ac:dyDescent="0.3">
      <c r="A23672" s="42"/>
      <c r="C23672" s="52"/>
      <c r="D23672"/>
      <c r="E23672"/>
      <c r="F23672"/>
      <c r="N23672" s="56"/>
    </row>
    <row r="23673" spans="1:14" x14ac:dyDescent="0.3">
      <c r="A23673" s="42"/>
      <c r="C23673" s="52"/>
      <c r="D23673"/>
      <c r="E23673"/>
      <c r="F23673"/>
      <c r="N23673" s="56"/>
    </row>
    <row r="23674" spans="1:14" x14ac:dyDescent="0.3">
      <c r="A23674" s="42"/>
      <c r="C23674" s="52"/>
      <c r="D23674"/>
      <c r="E23674"/>
      <c r="F23674"/>
      <c r="N23674" s="56"/>
    </row>
    <row r="23675" spans="1:14" x14ac:dyDescent="0.3">
      <c r="A23675" s="42"/>
      <c r="C23675" s="52"/>
      <c r="D23675"/>
      <c r="E23675"/>
      <c r="F23675"/>
      <c r="N23675" s="56"/>
    </row>
    <row r="23676" spans="1:14" x14ac:dyDescent="0.3">
      <c r="A23676" s="42"/>
      <c r="C23676" s="52"/>
      <c r="D23676"/>
      <c r="E23676"/>
      <c r="F23676"/>
      <c r="N23676" s="56"/>
    </row>
    <row r="23677" spans="1:14" x14ac:dyDescent="0.3">
      <c r="A23677" s="42"/>
      <c r="C23677" s="52"/>
      <c r="D23677"/>
      <c r="E23677"/>
      <c r="F23677"/>
      <c r="N23677" s="56"/>
    </row>
    <row r="23678" spans="1:14" x14ac:dyDescent="0.3">
      <c r="A23678" s="42"/>
      <c r="C23678" s="52"/>
      <c r="D23678"/>
      <c r="E23678"/>
      <c r="F23678"/>
      <c r="M23678" s="45"/>
      <c r="N23678" s="56"/>
    </row>
    <row r="23679" spans="1:14" x14ac:dyDescent="0.3">
      <c r="A23679" s="42"/>
      <c r="C23679" s="52"/>
      <c r="D23679"/>
      <c r="E23679"/>
      <c r="F23679"/>
      <c r="N23679" s="56"/>
    </row>
    <row r="23680" spans="1:14" x14ac:dyDescent="0.3">
      <c r="A23680" s="42"/>
      <c r="C23680" s="52"/>
      <c r="D23680"/>
      <c r="E23680"/>
      <c r="F23680"/>
      <c r="N23680" s="56"/>
    </row>
    <row r="23681" spans="1:14" x14ac:dyDescent="0.3">
      <c r="A23681" s="42"/>
      <c r="C23681" s="52"/>
      <c r="D23681"/>
      <c r="E23681"/>
      <c r="F23681"/>
      <c r="N23681" s="56"/>
    </row>
    <row r="23682" spans="1:14" x14ac:dyDescent="0.3">
      <c r="A23682" s="42"/>
      <c r="C23682" s="52"/>
      <c r="D23682"/>
      <c r="E23682"/>
      <c r="F23682"/>
      <c r="N23682" s="56"/>
    </row>
    <row r="23683" spans="1:14" x14ac:dyDescent="0.3">
      <c r="A23683" s="42"/>
      <c r="C23683" s="52"/>
      <c r="D23683"/>
      <c r="E23683"/>
      <c r="F23683"/>
      <c r="N23683" s="56"/>
    </row>
    <row r="23684" spans="1:14" x14ac:dyDescent="0.3">
      <c r="A23684" s="42"/>
      <c r="C23684" s="52"/>
      <c r="D23684"/>
      <c r="E23684"/>
      <c r="F23684"/>
      <c r="N23684" s="56"/>
    </row>
    <row r="23685" spans="1:14" x14ac:dyDescent="0.3">
      <c r="A23685" s="42"/>
      <c r="C23685" s="52"/>
      <c r="D23685"/>
      <c r="E23685"/>
      <c r="F23685"/>
      <c r="N23685" s="56"/>
    </row>
    <row r="23686" spans="1:14" x14ac:dyDescent="0.3">
      <c r="A23686" s="42"/>
      <c r="C23686" s="52"/>
      <c r="D23686"/>
      <c r="E23686"/>
      <c r="F23686"/>
      <c r="N23686" s="56"/>
    </row>
    <row r="23687" spans="1:14" x14ac:dyDescent="0.3">
      <c r="A23687" s="42"/>
      <c r="C23687" s="52"/>
      <c r="D23687"/>
      <c r="E23687"/>
      <c r="F23687"/>
      <c r="N23687" s="56"/>
    </row>
    <row r="23688" spans="1:14" x14ac:dyDescent="0.3">
      <c r="A23688" s="42"/>
      <c r="C23688" s="52"/>
      <c r="D23688"/>
      <c r="E23688"/>
      <c r="F23688"/>
      <c r="N23688" s="56"/>
    </row>
    <row r="23689" spans="1:14" x14ac:dyDescent="0.3">
      <c r="A23689" s="42"/>
      <c r="C23689" s="52"/>
      <c r="D23689"/>
      <c r="E23689"/>
      <c r="F23689"/>
      <c r="N23689" s="56"/>
    </row>
    <row r="23690" spans="1:14" x14ac:dyDescent="0.3">
      <c r="A23690" s="42"/>
      <c r="C23690" s="52"/>
      <c r="D23690"/>
      <c r="E23690"/>
      <c r="F23690"/>
      <c r="N23690" s="56"/>
    </row>
    <row r="23691" spans="1:14" x14ac:dyDescent="0.3">
      <c r="A23691" s="42"/>
      <c r="C23691" s="52"/>
      <c r="D23691"/>
      <c r="E23691"/>
      <c r="F23691"/>
      <c r="N23691" s="56"/>
    </row>
    <row r="23692" spans="1:14" x14ac:dyDescent="0.3">
      <c r="A23692" s="42"/>
      <c r="C23692" s="52"/>
      <c r="D23692"/>
      <c r="E23692"/>
      <c r="F23692"/>
      <c r="N23692" s="56"/>
    </row>
    <row r="23693" spans="1:14" x14ac:dyDescent="0.3">
      <c r="A23693" s="42"/>
      <c r="C23693" s="52"/>
      <c r="D23693"/>
      <c r="E23693"/>
      <c r="F23693"/>
      <c r="N23693" s="56"/>
    </row>
    <row r="23694" spans="1:14" x14ac:dyDescent="0.3">
      <c r="A23694" s="42"/>
      <c r="C23694" s="52"/>
      <c r="D23694"/>
      <c r="E23694"/>
      <c r="F23694"/>
      <c r="N23694" s="56"/>
    </row>
    <row r="23695" spans="1:14" x14ac:dyDescent="0.3">
      <c r="A23695" s="42"/>
      <c r="C23695" s="52"/>
      <c r="D23695"/>
      <c r="E23695"/>
      <c r="F23695"/>
      <c r="N23695" s="56"/>
    </row>
    <row r="23696" spans="1:14" x14ac:dyDescent="0.3">
      <c r="A23696" s="42"/>
      <c r="C23696" s="52"/>
      <c r="D23696"/>
      <c r="E23696"/>
      <c r="F23696"/>
      <c r="N23696" s="56"/>
    </row>
    <row r="23697" spans="1:14" x14ac:dyDescent="0.3">
      <c r="A23697" s="42"/>
      <c r="C23697" s="52"/>
      <c r="D23697"/>
      <c r="E23697"/>
      <c r="F23697"/>
      <c r="N23697" s="56"/>
    </row>
    <row r="23698" spans="1:14" x14ac:dyDescent="0.3">
      <c r="A23698" s="42"/>
      <c r="C23698" s="52"/>
      <c r="D23698"/>
      <c r="E23698"/>
      <c r="F23698"/>
      <c r="N23698" s="56"/>
    </row>
    <row r="23699" spans="1:14" x14ac:dyDescent="0.3">
      <c r="A23699" s="42"/>
      <c r="C23699" s="52"/>
      <c r="D23699"/>
      <c r="E23699"/>
      <c r="F23699"/>
      <c r="N23699" s="56"/>
    </row>
    <row r="23700" spans="1:14" x14ac:dyDescent="0.3">
      <c r="A23700" s="42"/>
      <c r="C23700" s="52"/>
      <c r="D23700"/>
      <c r="E23700"/>
      <c r="F23700"/>
      <c r="N23700" s="56"/>
    </row>
    <row r="23701" spans="1:14" x14ac:dyDescent="0.3">
      <c r="A23701" s="42"/>
      <c r="C23701" s="52"/>
      <c r="D23701"/>
      <c r="E23701"/>
      <c r="F23701"/>
      <c r="N23701" s="56"/>
    </row>
    <row r="23702" spans="1:14" x14ac:dyDescent="0.3">
      <c r="A23702" s="42"/>
      <c r="C23702" s="52"/>
      <c r="D23702"/>
      <c r="E23702"/>
      <c r="F23702"/>
      <c r="N23702" s="56"/>
    </row>
    <row r="23703" spans="1:14" x14ac:dyDescent="0.3">
      <c r="A23703" s="42"/>
      <c r="C23703" s="52"/>
      <c r="D23703"/>
      <c r="E23703"/>
      <c r="F23703"/>
      <c r="N23703" s="56"/>
    </row>
    <row r="23704" spans="1:14" x14ac:dyDescent="0.3">
      <c r="A23704" s="42"/>
      <c r="C23704" s="52"/>
      <c r="D23704"/>
      <c r="E23704"/>
      <c r="F23704"/>
      <c r="N23704" s="56"/>
    </row>
    <row r="23705" spans="1:14" x14ac:dyDescent="0.3">
      <c r="A23705" s="42"/>
      <c r="C23705" s="52"/>
      <c r="D23705"/>
      <c r="E23705"/>
      <c r="F23705"/>
      <c r="N23705" s="56"/>
    </row>
    <row r="23706" spans="1:14" x14ac:dyDescent="0.3">
      <c r="A23706" s="42"/>
      <c r="C23706" s="52"/>
      <c r="D23706"/>
      <c r="E23706"/>
      <c r="F23706"/>
      <c r="N23706" s="56"/>
    </row>
    <row r="23707" spans="1:14" x14ac:dyDescent="0.3">
      <c r="A23707" s="42"/>
      <c r="C23707" s="52"/>
      <c r="D23707"/>
      <c r="E23707"/>
      <c r="F23707"/>
      <c r="M23707" s="45"/>
      <c r="N23707" s="56"/>
    </row>
    <row r="23708" spans="1:14" x14ac:dyDescent="0.3">
      <c r="A23708" s="42"/>
      <c r="C23708" s="52"/>
      <c r="D23708"/>
      <c r="E23708"/>
      <c r="F23708"/>
      <c r="N23708" s="56"/>
    </row>
    <row r="23709" spans="1:14" x14ac:dyDescent="0.3">
      <c r="A23709" s="42"/>
      <c r="C23709" s="52"/>
      <c r="D23709"/>
      <c r="E23709"/>
      <c r="F23709"/>
      <c r="N23709" s="56"/>
    </row>
    <row r="23710" spans="1:14" x14ac:dyDescent="0.3">
      <c r="A23710" s="42"/>
      <c r="C23710" s="52"/>
      <c r="D23710"/>
      <c r="E23710"/>
      <c r="F23710"/>
      <c r="N23710" s="56"/>
    </row>
    <row r="23711" spans="1:14" x14ac:dyDescent="0.3">
      <c r="A23711" s="42"/>
      <c r="C23711" s="52"/>
      <c r="D23711"/>
      <c r="E23711"/>
      <c r="F23711"/>
      <c r="N23711" s="56"/>
    </row>
    <row r="23712" spans="1:14" x14ac:dyDescent="0.3">
      <c r="A23712" s="42"/>
      <c r="C23712" s="52"/>
      <c r="D23712"/>
      <c r="E23712"/>
      <c r="F23712"/>
      <c r="N23712" s="56"/>
    </row>
    <row r="23713" spans="1:14" x14ac:dyDescent="0.3">
      <c r="A23713" s="42"/>
      <c r="C23713" s="52"/>
      <c r="D23713"/>
      <c r="E23713"/>
      <c r="F23713"/>
      <c r="N23713" s="56"/>
    </row>
    <row r="23714" spans="1:14" x14ac:dyDescent="0.3">
      <c r="A23714" s="42"/>
      <c r="C23714" s="52"/>
      <c r="D23714"/>
      <c r="E23714"/>
      <c r="F23714"/>
      <c r="N23714" s="56"/>
    </row>
    <row r="23715" spans="1:14" x14ac:dyDescent="0.3">
      <c r="A23715" s="42"/>
      <c r="C23715" s="52"/>
      <c r="D23715"/>
      <c r="E23715"/>
      <c r="F23715"/>
      <c r="N23715" s="56"/>
    </row>
    <row r="23716" spans="1:14" x14ac:dyDescent="0.3">
      <c r="A23716" s="42"/>
      <c r="C23716" s="52"/>
      <c r="D23716"/>
      <c r="E23716"/>
      <c r="F23716"/>
      <c r="N23716" s="56"/>
    </row>
    <row r="23717" spans="1:14" x14ac:dyDescent="0.3">
      <c r="A23717" s="42"/>
      <c r="C23717" s="52"/>
      <c r="D23717"/>
      <c r="E23717"/>
      <c r="F23717"/>
      <c r="N23717" s="56"/>
    </row>
    <row r="23718" spans="1:14" x14ac:dyDescent="0.3">
      <c r="A23718" s="42"/>
      <c r="C23718" s="52"/>
      <c r="D23718"/>
      <c r="E23718"/>
      <c r="F23718"/>
      <c r="N23718" s="56"/>
    </row>
    <row r="23719" spans="1:14" x14ac:dyDescent="0.3">
      <c r="A23719" s="42"/>
      <c r="C23719" s="52"/>
      <c r="D23719"/>
      <c r="E23719"/>
      <c r="F23719"/>
      <c r="N23719" s="56"/>
    </row>
    <row r="23720" spans="1:14" x14ac:dyDescent="0.3">
      <c r="A23720" s="42"/>
      <c r="C23720" s="52"/>
      <c r="D23720"/>
      <c r="E23720"/>
      <c r="F23720"/>
      <c r="N23720" s="56"/>
    </row>
    <row r="23721" spans="1:14" x14ac:dyDescent="0.3">
      <c r="A23721" s="42"/>
      <c r="C23721" s="52"/>
      <c r="D23721"/>
      <c r="E23721"/>
      <c r="F23721"/>
      <c r="N23721" s="56"/>
    </row>
    <row r="23722" spans="1:14" x14ac:dyDescent="0.3">
      <c r="A23722" s="42"/>
      <c r="C23722" s="52"/>
      <c r="D23722"/>
      <c r="E23722"/>
      <c r="F23722"/>
      <c r="N23722" s="56"/>
    </row>
    <row r="23723" spans="1:14" x14ac:dyDescent="0.3">
      <c r="A23723" s="42"/>
      <c r="C23723" s="52"/>
      <c r="D23723"/>
      <c r="E23723"/>
      <c r="F23723"/>
      <c r="N23723" s="56"/>
    </row>
    <row r="23724" spans="1:14" x14ac:dyDescent="0.3">
      <c r="A23724" s="42"/>
      <c r="C23724" s="52"/>
      <c r="D23724"/>
      <c r="E23724"/>
      <c r="F23724"/>
      <c r="N23724" s="56"/>
    </row>
    <row r="23725" spans="1:14" x14ac:dyDescent="0.3">
      <c r="A23725" s="42"/>
      <c r="C23725" s="52"/>
      <c r="D23725"/>
      <c r="E23725"/>
      <c r="F23725"/>
      <c r="N23725" s="56"/>
    </row>
    <row r="23726" spans="1:14" x14ac:dyDescent="0.3">
      <c r="A23726" s="42"/>
      <c r="C23726" s="52"/>
      <c r="D23726"/>
      <c r="E23726"/>
      <c r="F23726"/>
      <c r="N23726" s="56"/>
    </row>
    <row r="23727" spans="1:14" x14ac:dyDescent="0.3">
      <c r="A23727" s="42"/>
      <c r="C23727" s="52"/>
      <c r="D23727"/>
      <c r="E23727"/>
      <c r="F23727"/>
      <c r="N23727" s="56"/>
    </row>
    <row r="23728" spans="1:14" x14ac:dyDescent="0.3">
      <c r="A23728" s="42"/>
      <c r="C23728" s="52"/>
      <c r="D23728"/>
      <c r="E23728"/>
      <c r="F23728"/>
      <c r="N23728" s="56"/>
    </row>
    <row r="23729" spans="1:14" x14ac:dyDescent="0.3">
      <c r="A23729" s="42"/>
      <c r="C23729" s="52"/>
      <c r="D23729"/>
      <c r="E23729"/>
      <c r="F23729"/>
      <c r="N23729" s="56"/>
    </row>
    <row r="23730" spans="1:14" x14ac:dyDescent="0.3">
      <c r="A23730" s="42"/>
      <c r="C23730" s="52"/>
      <c r="D23730"/>
      <c r="E23730"/>
      <c r="F23730"/>
      <c r="N23730" s="56"/>
    </row>
    <row r="23731" spans="1:14" x14ac:dyDescent="0.3">
      <c r="A23731" s="42"/>
      <c r="C23731" s="52"/>
      <c r="D23731"/>
      <c r="E23731"/>
      <c r="F23731"/>
      <c r="N23731" s="56"/>
    </row>
    <row r="23732" spans="1:14" x14ac:dyDescent="0.3">
      <c r="A23732" s="42"/>
      <c r="C23732" s="52"/>
      <c r="D23732"/>
      <c r="E23732"/>
      <c r="F23732"/>
      <c r="N23732" s="56"/>
    </row>
    <row r="23733" spans="1:14" x14ac:dyDescent="0.3">
      <c r="A23733" s="42"/>
      <c r="C23733" s="52"/>
      <c r="D23733"/>
      <c r="E23733"/>
      <c r="F23733"/>
      <c r="N23733" s="56"/>
    </row>
    <row r="23734" spans="1:14" x14ac:dyDescent="0.3">
      <c r="A23734" s="42"/>
      <c r="C23734" s="52"/>
      <c r="D23734"/>
      <c r="E23734"/>
      <c r="F23734"/>
      <c r="N23734" s="56"/>
    </row>
    <row r="23735" spans="1:14" x14ac:dyDescent="0.3">
      <c r="A23735" s="42"/>
      <c r="C23735" s="52"/>
      <c r="D23735"/>
      <c r="E23735"/>
      <c r="F23735"/>
      <c r="N23735" s="56"/>
    </row>
    <row r="23736" spans="1:14" x14ac:dyDescent="0.3">
      <c r="A23736" s="42"/>
      <c r="C23736" s="52"/>
      <c r="D23736"/>
      <c r="E23736"/>
      <c r="F23736"/>
      <c r="N23736" s="56"/>
    </row>
    <row r="23737" spans="1:14" x14ac:dyDescent="0.3">
      <c r="A23737" s="42"/>
      <c r="C23737" s="52"/>
      <c r="D23737"/>
      <c r="E23737"/>
      <c r="F23737"/>
      <c r="N23737" s="56"/>
    </row>
    <row r="23738" spans="1:14" x14ac:dyDescent="0.3">
      <c r="A23738" s="42"/>
      <c r="C23738" s="52"/>
      <c r="D23738"/>
      <c r="E23738"/>
      <c r="F23738"/>
      <c r="N23738" s="56"/>
    </row>
    <row r="23739" spans="1:14" x14ac:dyDescent="0.3">
      <c r="A23739" s="42"/>
      <c r="C23739" s="52"/>
      <c r="D23739"/>
      <c r="E23739"/>
      <c r="F23739"/>
      <c r="N23739" s="56"/>
    </row>
    <row r="23740" spans="1:14" x14ac:dyDescent="0.3">
      <c r="A23740" s="42"/>
      <c r="C23740" s="52"/>
      <c r="D23740"/>
      <c r="E23740"/>
      <c r="F23740"/>
      <c r="N23740" s="56"/>
    </row>
    <row r="23741" spans="1:14" x14ac:dyDescent="0.3">
      <c r="A23741" s="42"/>
      <c r="C23741" s="52"/>
      <c r="D23741"/>
      <c r="E23741"/>
      <c r="F23741"/>
      <c r="N23741" s="56"/>
    </row>
    <row r="23742" spans="1:14" x14ac:dyDescent="0.3">
      <c r="A23742" s="42"/>
      <c r="C23742" s="52"/>
      <c r="D23742"/>
      <c r="E23742"/>
      <c r="F23742"/>
      <c r="N23742" s="56"/>
    </row>
    <row r="23743" spans="1:14" x14ac:dyDescent="0.3">
      <c r="A23743" s="42"/>
      <c r="C23743" s="52"/>
      <c r="D23743"/>
      <c r="E23743"/>
      <c r="F23743"/>
      <c r="N23743" s="56"/>
    </row>
    <row r="23744" spans="1:14" x14ac:dyDescent="0.3">
      <c r="A23744" s="42"/>
      <c r="C23744" s="52"/>
      <c r="D23744"/>
      <c r="E23744"/>
      <c r="F23744"/>
      <c r="N23744" s="56"/>
    </row>
    <row r="23745" spans="1:14" x14ac:dyDescent="0.3">
      <c r="A23745" s="42"/>
      <c r="C23745" s="52"/>
      <c r="D23745"/>
      <c r="E23745"/>
      <c r="F23745"/>
      <c r="N23745" s="56"/>
    </row>
    <row r="23746" spans="1:14" x14ac:dyDescent="0.3">
      <c r="A23746" s="42"/>
      <c r="C23746" s="52"/>
      <c r="D23746"/>
      <c r="E23746"/>
      <c r="F23746"/>
      <c r="N23746" s="56"/>
    </row>
    <row r="23747" spans="1:14" x14ac:dyDescent="0.3">
      <c r="A23747" s="42"/>
      <c r="C23747" s="52"/>
      <c r="D23747"/>
      <c r="E23747"/>
      <c r="F23747"/>
      <c r="N23747" s="56"/>
    </row>
    <row r="23748" spans="1:14" x14ac:dyDescent="0.3">
      <c r="A23748" s="42"/>
      <c r="C23748" s="52"/>
      <c r="D23748"/>
      <c r="E23748"/>
      <c r="F23748"/>
      <c r="N23748" s="56"/>
    </row>
    <row r="23749" spans="1:14" x14ac:dyDescent="0.3">
      <c r="A23749" s="42"/>
      <c r="C23749" s="52"/>
      <c r="D23749"/>
      <c r="E23749"/>
      <c r="F23749"/>
      <c r="N23749" s="56"/>
    </row>
    <row r="23750" spans="1:14" x14ac:dyDescent="0.3">
      <c r="A23750" s="42"/>
      <c r="C23750" s="52"/>
      <c r="D23750"/>
      <c r="E23750"/>
      <c r="F23750"/>
      <c r="N23750" s="56"/>
    </row>
    <row r="23751" spans="1:14" x14ac:dyDescent="0.3">
      <c r="A23751" s="42"/>
      <c r="C23751" s="52"/>
      <c r="D23751"/>
      <c r="E23751"/>
      <c r="F23751"/>
      <c r="N23751" s="56"/>
    </row>
    <row r="23752" spans="1:14" x14ac:dyDescent="0.3">
      <c r="A23752" s="42"/>
      <c r="C23752" s="52"/>
      <c r="D23752"/>
      <c r="E23752"/>
      <c r="F23752"/>
      <c r="N23752" s="56"/>
    </row>
    <row r="23753" spans="1:14" x14ac:dyDescent="0.3">
      <c r="A23753" s="42"/>
      <c r="C23753" s="52"/>
      <c r="D23753"/>
      <c r="E23753"/>
      <c r="F23753"/>
      <c r="N23753" s="56"/>
    </row>
    <row r="23754" spans="1:14" x14ac:dyDescent="0.3">
      <c r="A23754" s="42"/>
      <c r="C23754" s="52"/>
      <c r="D23754"/>
      <c r="E23754"/>
      <c r="F23754"/>
      <c r="N23754" s="56"/>
    </row>
    <row r="23755" spans="1:14" x14ac:dyDescent="0.3">
      <c r="A23755" s="42"/>
      <c r="C23755" s="52"/>
      <c r="D23755"/>
      <c r="E23755"/>
      <c r="F23755"/>
      <c r="N23755" s="56"/>
    </row>
    <row r="23756" spans="1:14" x14ac:dyDescent="0.3">
      <c r="A23756" s="42"/>
      <c r="C23756" s="52"/>
      <c r="D23756"/>
      <c r="E23756"/>
      <c r="F23756"/>
      <c r="N23756" s="56"/>
    </row>
    <row r="23757" spans="1:14" x14ac:dyDescent="0.3">
      <c r="A23757" s="42"/>
      <c r="C23757" s="52"/>
      <c r="D23757"/>
      <c r="E23757"/>
      <c r="F23757"/>
      <c r="N23757" s="56"/>
    </row>
    <row r="23758" spans="1:14" x14ac:dyDescent="0.3">
      <c r="A23758" s="42"/>
      <c r="C23758" s="52"/>
      <c r="D23758"/>
      <c r="E23758"/>
      <c r="F23758"/>
      <c r="N23758" s="56"/>
    </row>
    <row r="23759" spans="1:14" x14ac:dyDescent="0.3">
      <c r="A23759" s="42"/>
      <c r="C23759" s="52"/>
      <c r="D23759"/>
      <c r="E23759"/>
      <c r="F23759"/>
      <c r="N23759" s="56"/>
    </row>
    <row r="23760" spans="1:14" x14ac:dyDescent="0.3">
      <c r="A23760" s="42"/>
      <c r="C23760" s="52"/>
      <c r="D23760"/>
      <c r="E23760"/>
      <c r="F23760"/>
      <c r="N23760" s="56"/>
    </row>
    <row r="23761" spans="1:14" x14ac:dyDescent="0.3">
      <c r="A23761" s="42"/>
      <c r="C23761" s="52"/>
      <c r="D23761"/>
      <c r="E23761"/>
      <c r="F23761"/>
      <c r="N23761" s="56"/>
    </row>
    <row r="23762" spans="1:14" x14ac:dyDescent="0.3">
      <c r="A23762" s="42"/>
      <c r="C23762" s="52"/>
      <c r="D23762"/>
      <c r="E23762"/>
      <c r="F23762"/>
      <c r="N23762" s="56"/>
    </row>
    <row r="23763" spans="1:14" x14ac:dyDescent="0.3">
      <c r="A23763" s="42"/>
      <c r="C23763" s="52"/>
      <c r="D23763"/>
      <c r="E23763"/>
      <c r="F23763"/>
      <c r="N23763" s="56"/>
    </row>
    <row r="23764" spans="1:14" x14ac:dyDescent="0.3">
      <c r="A23764" s="42"/>
      <c r="C23764" s="52"/>
      <c r="D23764"/>
      <c r="E23764"/>
      <c r="F23764"/>
      <c r="N23764" s="56"/>
    </row>
    <row r="23765" spans="1:14" x14ac:dyDescent="0.3">
      <c r="A23765" s="42"/>
      <c r="C23765" s="52"/>
      <c r="D23765"/>
      <c r="E23765"/>
      <c r="F23765"/>
      <c r="N23765" s="56"/>
    </row>
    <row r="23766" spans="1:14" x14ac:dyDescent="0.3">
      <c r="A23766" s="42"/>
      <c r="C23766" s="52"/>
      <c r="D23766"/>
      <c r="E23766"/>
      <c r="F23766"/>
      <c r="N23766" s="56"/>
    </row>
    <row r="23767" spans="1:14" x14ac:dyDescent="0.3">
      <c r="A23767" s="42"/>
      <c r="C23767" s="52"/>
      <c r="D23767"/>
      <c r="E23767"/>
      <c r="F23767"/>
      <c r="N23767" s="56"/>
    </row>
    <row r="23768" spans="1:14" x14ac:dyDescent="0.3">
      <c r="A23768" s="42"/>
      <c r="C23768" s="52"/>
      <c r="D23768"/>
      <c r="E23768"/>
      <c r="F23768"/>
      <c r="N23768" s="56"/>
    </row>
    <row r="23769" spans="1:14" x14ac:dyDescent="0.3">
      <c r="A23769" s="42"/>
      <c r="C23769" s="52"/>
      <c r="D23769"/>
      <c r="E23769"/>
      <c r="F23769"/>
      <c r="N23769" s="56"/>
    </row>
    <row r="23770" spans="1:14" x14ac:dyDescent="0.3">
      <c r="A23770" s="42"/>
      <c r="C23770" s="52"/>
      <c r="D23770"/>
      <c r="E23770"/>
      <c r="F23770"/>
      <c r="N23770" s="56"/>
    </row>
    <row r="23771" spans="1:14" x14ac:dyDescent="0.3">
      <c r="A23771" s="42"/>
      <c r="C23771" s="52"/>
      <c r="D23771"/>
      <c r="E23771"/>
      <c r="F23771"/>
      <c r="N23771" s="56"/>
    </row>
    <row r="23772" spans="1:14" x14ac:dyDescent="0.3">
      <c r="A23772" s="42"/>
      <c r="C23772" s="52"/>
      <c r="D23772"/>
      <c r="E23772"/>
      <c r="F23772"/>
      <c r="N23772" s="56"/>
    </row>
    <row r="23773" spans="1:14" x14ac:dyDescent="0.3">
      <c r="A23773" s="42"/>
      <c r="C23773" s="52"/>
      <c r="D23773"/>
      <c r="E23773"/>
      <c r="F23773"/>
      <c r="N23773" s="56"/>
    </row>
    <row r="23774" spans="1:14" x14ac:dyDescent="0.3">
      <c r="A23774" s="42"/>
      <c r="C23774" s="52"/>
      <c r="D23774"/>
      <c r="E23774"/>
      <c r="F23774"/>
      <c r="N23774" s="56"/>
    </row>
    <row r="23775" spans="1:14" x14ac:dyDescent="0.3">
      <c r="A23775" s="42"/>
      <c r="C23775" s="52"/>
      <c r="D23775"/>
      <c r="E23775"/>
      <c r="F23775"/>
      <c r="N23775" s="56"/>
    </row>
    <row r="23776" spans="1:14" x14ac:dyDescent="0.3">
      <c r="A23776" s="42"/>
      <c r="C23776" s="52"/>
      <c r="D23776"/>
      <c r="E23776"/>
      <c r="F23776"/>
      <c r="N23776" s="56"/>
    </row>
    <row r="23777" spans="1:14" x14ac:dyDescent="0.3">
      <c r="A23777" s="42"/>
      <c r="C23777" s="52"/>
      <c r="D23777"/>
      <c r="E23777"/>
      <c r="F23777"/>
      <c r="N23777" s="56"/>
    </row>
    <row r="23778" spans="1:14" x14ac:dyDescent="0.3">
      <c r="A23778" s="42"/>
      <c r="C23778" s="52"/>
      <c r="D23778"/>
      <c r="E23778"/>
      <c r="F23778"/>
      <c r="N23778" s="56"/>
    </row>
    <row r="23779" spans="1:14" x14ac:dyDescent="0.3">
      <c r="A23779" s="42"/>
      <c r="C23779" s="52"/>
      <c r="D23779"/>
      <c r="E23779"/>
      <c r="F23779"/>
      <c r="N23779" s="56"/>
    </row>
    <row r="23780" spans="1:14" x14ac:dyDescent="0.3">
      <c r="A23780" s="42"/>
      <c r="C23780" s="52"/>
      <c r="D23780"/>
      <c r="E23780"/>
      <c r="F23780"/>
      <c r="N23780" s="56"/>
    </row>
    <row r="23781" spans="1:14" x14ac:dyDescent="0.3">
      <c r="A23781" s="42"/>
      <c r="C23781" s="52"/>
      <c r="D23781"/>
      <c r="E23781"/>
      <c r="F23781"/>
      <c r="N23781" s="56"/>
    </row>
    <row r="23782" spans="1:14" x14ac:dyDescent="0.3">
      <c r="A23782" s="42"/>
      <c r="C23782" s="52"/>
      <c r="D23782"/>
      <c r="E23782"/>
      <c r="F23782"/>
      <c r="N23782" s="56"/>
    </row>
    <row r="23783" spans="1:14" x14ac:dyDescent="0.3">
      <c r="A23783" s="42"/>
      <c r="C23783" s="52"/>
      <c r="D23783"/>
      <c r="E23783"/>
      <c r="F23783"/>
      <c r="N23783" s="56"/>
    </row>
    <row r="23784" spans="1:14" x14ac:dyDescent="0.3">
      <c r="A23784" s="42"/>
      <c r="C23784" s="52"/>
      <c r="D23784"/>
      <c r="E23784"/>
      <c r="F23784"/>
      <c r="N23784" s="56"/>
    </row>
    <row r="23785" spans="1:14" x14ac:dyDescent="0.3">
      <c r="A23785" s="42"/>
      <c r="C23785" s="52"/>
      <c r="D23785"/>
      <c r="E23785"/>
      <c r="F23785"/>
      <c r="N23785" s="56"/>
    </row>
    <row r="23786" spans="1:14" x14ac:dyDescent="0.3">
      <c r="A23786" s="42"/>
      <c r="C23786" s="52"/>
      <c r="D23786"/>
      <c r="E23786"/>
      <c r="F23786"/>
      <c r="N23786" s="56"/>
    </row>
    <row r="23787" spans="1:14" x14ac:dyDescent="0.3">
      <c r="A23787" s="42"/>
      <c r="C23787" s="52"/>
      <c r="D23787"/>
      <c r="E23787"/>
      <c r="F23787"/>
      <c r="N23787" s="56"/>
    </row>
    <row r="23788" spans="1:14" x14ac:dyDescent="0.3">
      <c r="A23788" s="42"/>
      <c r="C23788" s="52"/>
      <c r="D23788"/>
      <c r="E23788"/>
      <c r="F23788"/>
      <c r="N23788" s="56"/>
    </row>
    <row r="23789" spans="1:14" x14ac:dyDescent="0.3">
      <c r="A23789" s="42"/>
      <c r="C23789" s="52"/>
      <c r="D23789"/>
      <c r="E23789"/>
      <c r="F23789"/>
      <c r="N23789" s="56"/>
    </row>
    <row r="23790" spans="1:14" x14ac:dyDescent="0.3">
      <c r="A23790" s="42"/>
      <c r="C23790" s="52"/>
      <c r="D23790"/>
      <c r="E23790"/>
      <c r="F23790"/>
      <c r="N23790" s="56"/>
    </row>
    <row r="23791" spans="1:14" x14ac:dyDescent="0.3">
      <c r="A23791" s="42"/>
      <c r="C23791" s="52"/>
      <c r="D23791"/>
      <c r="E23791"/>
      <c r="F23791"/>
      <c r="N23791" s="56"/>
    </row>
    <row r="23792" spans="1:14" x14ac:dyDescent="0.3">
      <c r="A23792" s="42"/>
      <c r="C23792" s="52"/>
      <c r="D23792"/>
      <c r="E23792"/>
      <c r="F23792"/>
      <c r="N23792" s="56"/>
    </row>
    <row r="23793" spans="1:14" x14ac:dyDescent="0.3">
      <c r="A23793" s="42"/>
      <c r="C23793" s="52"/>
      <c r="D23793"/>
      <c r="E23793"/>
      <c r="F23793"/>
      <c r="N23793" s="56"/>
    </row>
    <row r="23794" spans="1:14" x14ac:dyDescent="0.3">
      <c r="A23794" s="42"/>
      <c r="C23794" s="52"/>
      <c r="D23794"/>
      <c r="E23794"/>
      <c r="F23794"/>
      <c r="N23794" s="56"/>
    </row>
    <row r="23795" spans="1:14" x14ac:dyDescent="0.3">
      <c r="A23795" s="42"/>
      <c r="C23795" s="52"/>
      <c r="D23795"/>
      <c r="E23795"/>
      <c r="F23795"/>
      <c r="N23795" s="56"/>
    </row>
    <row r="23796" spans="1:14" x14ac:dyDescent="0.3">
      <c r="A23796" s="42"/>
      <c r="C23796" s="52"/>
      <c r="D23796"/>
      <c r="E23796"/>
      <c r="F23796"/>
      <c r="N23796" s="56"/>
    </row>
    <row r="23797" spans="1:14" x14ac:dyDescent="0.3">
      <c r="A23797" s="42"/>
      <c r="C23797" s="52"/>
      <c r="D23797"/>
      <c r="E23797"/>
      <c r="F23797"/>
      <c r="N23797" s="56"/>
    </row>
    <row r="23798" spans="1:14" x14ac:dyDescent="0.3">
      <c r="A23798" s="42"/>
      <c r="C23798" s="52"/>
      <c r="D23798"/>
      <c r="E23798"/>
      <c r="F23798"/>
      <c r="N23798" s="56"/>
    </row>
    <row r="23799" spans="1:14" x14ac:dyDescent="0.3">
      <c r="A23799" s="42"/>
      <c r="C23799" s="52"/>
      <c r="D23799"/>
      <c r="E23799"/>
      <c r="F23799"/>
      <c r="N23799" s="56"/>
    </row>
    <row r="23800" spans="1:14" x14ac:dyDescent="0.3">
      <c r="A23800" s="42"/>
      <c r="C23800" s="52"/>
      <c r="D23800"/>
      <c r="E23800"/>
      <c r="F23800"/>
      <c r="N23800" s="56"/>
    </row>
    <row r="23801" spans="1:14" x14ac:dyDescent="0.3">
      <c r="A23801" s="42"/>
      <c r="C23801" s="52"/>
      <c r="D23801"/>
      <c r="E23801"/>
      <c r="F23801"/>
      <c r="N23801" s="56"/>
    </row>
    <row r="23802" spans="1:14" x14ac:dyDescent="0.3">
      <c r="A23802" s="42"/>
      <c r="C23802" s="52"/>
      <c r="D23802"/>
      <c r="E23802"/>
      <c r="F23802"/>
      <c r="N23802" s="56"/>
    </row>
    <row r="23803" spans="1:14" x14ac:dyDescent="0.3">
      <c r="A23803" s="42"/>
      <c r="C23803" s="52"/>
      <c r="D23803"/>
      <c r="E23803"/>
      <c r="F23803"/>
      <c r="N23803" s="56"/>
    </row>
    <row r="23804" spans="1:14" x14ac:dyDescent="0.3">
      <c r="A23804" s="42"/>
      <c r="C23804" s="52"/>
      <c r="D23804"/>
      <c r="E23804"/>
      <c r="F23804"/>
      <c r="N23804" s="56"/>
    </row>
    <row r="23805" spans="1:14" x14ac:dyDescent="0.3">
      <c r="A23805" s="42"/>
      <c r="C23805" s="52"/>
      <c r="D23805"/>
      <c r="E23805"/>
      <c r="F23805"/>
      <c r="N23805" s="56"/>
    </row>
    <row r="23806" spans="1:14" x14ac:dyDescent="0.3">
      <c r="A23806" s="42"/>
      <c r="C23806" s="52"/>
      <c r="D23806"/>
      <c r="E23806"/>
      <c r="F23806"/>
      <c r="M23806" s="45"/>
      <c r="N23806" s="56"/>
    </row>
    <row r="23807" spans="1:14" x14ac:dyDescent="0.3">
      <c r="A23807" s="42"/>
      <c r="C23807" s="52"/>
      <c r="D23807"/>
      <c r="E23807"/>
      <c r="F23807"/>
      <c r="N23807" s="56"/>
    </row>
    <row r="23808" spans="1:14" x14ac:dyDescent="0.3">
      <c r="A23808" s="42"/>
      <c r="C23808" s="52"/>
      <c r="D23808"/>
      <c r="E23808"/>
      <c r="F23808"/>
      <c r="N23808" s="56"/>
    </row>
    <row r="23809" spans="1:14" x14ac:dyDescent="0.3">
      <c r="A23809" s="42"/>
      <c r="C23809" s="52"/>
      <c r="D23809"/>
      <c r="E23809"/>
      <c r="F23809"/>
      <c r="N23809" s="56"/>
    </row>
    <row r="23810" spans="1:14" x14ac:dyDescent="0.3">
      <c r="A23810" s="42"/>
      <c r="C23810" s="52"/>
      <c r="D23810"/>
      <c r="E23810"/>
      <c r="F23810"/>
      <c r="N23810" s="56"/>
    </row>
    <row r="23811" spans="1:14" x14ac:dyDescent="0.3">
      <c r="A23811" s="42"/>
      <c r="C23811" s="52"/>
      <c r="D23811"/>
      <c r="E23811"/>
      <c r="F23811"/>
      <c r="N23811" s="56"/>
    </row>
    <row r="23812" spans="1:14" x14ac:dyDescent="0.3">
      <c r="A23812" s="42"/>
      <c r="C23812" s="52"/>
      <c r="D23812"/>
      <c r="E23812"/>
      <c r="F23812"/>
      <c r="N23812" s="56"/>
    </row>
    <row r="23813" spans="1:14" x14ac:dyDescent="0.3">
      <c r="A23813" s="42"/>
      <c r="C23813" s="52"/>
      <c r="D23813"/>
      <c r="E23813"/>
      <c r="F23813"/>
      <c r="N23813" s="56"/>
    </row>
    <row r="23814" spans="1:14" x14ac:dyDescent="0.3">
      <c r="A23814" s="42"/>
      <c r="C23814" s="52"/>
      <c r="D23814"/>
      <c r="E23814"/>
      <c r="F23814"/>
      <c r="N23814" s="56"/>
    </row>
    <row r="23815" spans="1:14" x14ac:dyDescent="0.3">
      <c r="A23815" s="42"/>
      <c r="C23815" s="52"/>
      <c r="D23815"/>
      <c r="E23815"/>
      <c r="F23815"/>
      <c r="N23815" s="56"/>
    </row>
    <row r="23816" spans="1:14" x14ac:dyDescent="0.3">
      <c r="A23816" s="42"/>
      <c r="C23816" s="52"/>
      <c r="D23816"/>
      <c r="E23816"/>
      <c r="F23816"/>
      <c r="N23816" s="56"/>
    </row>
    <row r="23817" spans="1:14" x14ac:dyDescent="0.3">
      <c r="A23817" s="42"/>
      <c r="C23817" s="52"/>
      <c r="D23817"/>
      <c r="E23817"/>
      <c r="F23817"/>
      <c r="N23817" s="56"/>
    </row>
    <row r="23818" spans="1:14" x14ac:dyDescent="0.3">
      <c r="A23818" s="42"/>
      <c r="C23818" s="52"/>
      <c r="D23818"/>
      <c r="E23818"/>
      <c r="F23818"/>
      <c r="N23818" s="56"/>
    </row>
    <row r="23819" spans="1:14" x14ac:dyDescent="0.3">
      <c r="A23819" s="42"/>
      <c r="C23819" s="52"/>
      <c r="D23819"/>
      <c r="E23819"/>
      <c r="F23819"/>
      <c r="N23819" s="56"/>
    </row>
    <row r="23820" spans="1:14" x14ac:dyDescent="0.3">
      <c r="A23820" s="42"/>
      <c r="C23820" s="52"/>
      <c r="D23820"/>
      <c r="E23820"/>
      <c r="F23820"/>
      <c r="N23820" s="56"/>
    </row>
    <row r="23821" spans="1:14" x14ac:dyDescent="0.3">
      <c r="A23821" s="42"/>
      <c r="C23821" s="52"/>
      <c r="D23821"/>
      <c r="E23821"/>
      <c r="F23821"/>
      <c r="N23821" s="56"/>
    </row>
    <row r="23822" spans="1:14" x14ac:dyDescent="0.3">
      <c r="A23822" s="42"/>
      <c r="C23822" s="52"/>
      <c r="D23822"/>
      <c r="E23822"/>
      <c r="F23822"/>
      <c r="N23822" s="56"/>
    </row>
    <row r="23823" spans="1:14" x14ac:dyDescent="0.3">
      <c r="A23823" s="42"/>
      <c r="C23823" s="52"/>
      <c r="D23823"/>
      <c r="E23823"/>
      <c r="F23823"/>
      <c r="N23823" s="56"/>
    </row>
    <row r="23824" spans="1:14" x14ac:dyDescent="0.3">
      <c r="A23824" s="42"/>
      <c r="C23824" s="52"/>
      <c r="D23824"/>
      <c r="E23824"/>
      <c r="F23824"/>
      <c r="N23824" s="56"/>
    </row>
    <row r="23825" spans="1:14" x14ac:dyDescent="0.3">
      <c r="A23825" s="42"/>
      <c r="C23825" s="52"/>
      <c r="D23825"/>
      <c r="E23825"/>
      <c r="F23825"/>
      <c r="N23825" s="56"/>
    </row>
    <row r="23826" spans="1:14" x14ac:dyDescent="0.3">
      <c r="A23826" s="42"/>
      <c r="C23826" s="52"/>
      <c r="D23826"/>
      <c r="E23826"/>
      <c r="F23826"/>
      <c r="N23826" s="56"/>
    </row>
    <row r="23827" spans="1:14" x14ac:dyDescent="0.3">
      <c r="A23827" s="42"/>
      <c r="C23827" s="52"/>
      <c r="D23827"/>
      <c r="E23827"/>
      <c r="F23827"/>
      <c r="N23827" s="56"/>
    </row>
    <row r="23828" spans="1:14" x14ac:dyDescent="0.3">
      <c r="A23828" s="42"/>
      <c r="C23828" s="52"/>
      <c r="D23828"/>
      <c r="E23828"/>
      <c r="F23828"/>
      <c r="N23828" s="56"/>
    </row>
    <row r="23829" spans="1:14" x14ac:dyDescent="0.3">
      <c r="A23829" s="42"/>
      <c r="C23829" s="52"/>
      <c r="D23829"/>
      <c r="E23829"/>
      <c r="F23829"/>
      <c r="N23829" s="56"/>
    </row>
    <row r="23830" spans="1:14" x14ac:dyDescent="0.3">
      <c r="A23830" s="42"/>
      <c r="C23830" s="52"/>
      <c r="D23830"/>
      <c r="E23830"/>
      <c r="F23830"/>
      <c r="N23830" s="56"/>
    </row>
    <row r="23831" spans="1:14" x14ac:dyDescent="0.3">
      <c r="A23831" s="42"/>
      <c r="C23831" s="52"/>
      <c r="D23831"/>
      <c r="E23831"/>
      <c r="F23831"/>
      <c r="N23831" s="56"/>
    </row>
    <row r="23832" spans="1:14" x14ac:dyDescent="0.3">
      <c r="A23832" s="42"/>
      <c r="C23832" s="52"/>
      <c r="D23832"/>
      <c r="E23832"/>
      <c r="F23832"/>
      <c r="N23832" s="56"/>
    </row>
    <row r="23833" spans="1:14" x14ac:dyDescent="0.3">
      <c r="A23833" s="42"/>
      <c r="C23833" s="52"/>
      <c r="D23833"/>
      <c r="E23833"/>
      <c r="F23833"/>
      <c r="N23833" s="56"/>
    </row>
    <row r="23834" spans="1:14" x14ac:dyDescent="0.3">
      <c r="A23834" s="42"/>
      <c r="C23834" s="52"/>
      <c r="D23834"/>
      <c r="E23834"/>
      <c r="F23834"/>
      <c r="N23834" s="56"/>
    </row>
    <row r="23835" spans="1:14" x14ac:dyDescent="0.3">
      <c r="A23835" s="42"/>
      <c r="C23835" s="52"/>
      <c r="D23835"/>
      <c r="E23835"/>
      <c r="F23835"/>
      <c r="N23835" s="56"/>
    </row>
    <row r="23836" spans="1:14" x14ac:dyDescent="0.3">
      <c r="A23836" s="42"/>
      <c r="C23836" s="52"/>
      <c r="D23836"/>
      <c r="E23836"/>
      <c r="F23836"/>
      <c r="N23836" s="56"/>
    </row>
    <row r="23837" spans="1:14" x14ac:dyDescent="0.3">
      <c r="A23837" s="42"/>
      <c r="C23837" s="52"/>
      <c r="D23837"/>
      <c r="E23837"/>
      <c r="F23837"/>
      <c r="N23837" s="56"/>
    </row>
    <row r="23838" spans="1:14" x14ac:dyDescent="0.3">
      <c r="A23838" s="42"/>
      <c r="C23838" s="52"/>
      <c r="D23838"/>
      <c r="E23838"/>
      <c r="F23838"/>
      <c r="N23838" s="56"/>
    </row>
    <row r="23839" spans="1:14" x14ac:dyDescent="0.3">
      <c r="A23839" s="42"/>
      <c r="C23839" s="52"/>
      <c r="D23839"/>
      <c r="E23839"/>
      <c r="F23839"/>
      <c r="N23839" s="56"/>
    </row>
    <row r="23840" spans="1:14" x14ac:dyDescent="0.3">
      <c r="A23840" s="42"/>
      <c r="C23840" s="52"/>
      <c r="D23840"/>
      <c r="E23840"/>
      <c r="F23840"/>
      <c r="N23840" s="56"/>
    </row>
    <row r="23841" spans="1:14" x14ac:dyDescent="0.3">
      <c r="A23841" s="42"/>
      <c r="C23841" s="52"/>
      <c r="D23841"/>
      <c r="E23841"/>
      <c r="F23841"/>
      <c r="N23841" s="56"/>
    </row>
    <row r="23842" spans="1:14" x14ac:dyDescent="0.3">
      <c r="A23842" s="42"/>
      <c r="C23842" s="52"/>
      <c r="D23842"/>
      <c r="E23842"/>
      <c r="F23842"/>
      <c r="N23842" s="56"/>
    </row>
    <row r="23843" spans="1:14" x14ac:dyDescent="0.3">
      <c r="A23843" s="42"/>
      <c r="C23843" s="52"/>
      <c r="D23843"/>
      <c r="E23843"/>
      <c r="F23843"/>
      <c r="N23843" s="56"/>
    </row>
    <row r="23844" spans="1:14" x14ac:dyDescent="0.3">
      <c r="A23844" s="42"/>
      <c r="C23844" s="52"/>
      <c r="D23844"/>
      <c r="E23844"/>
      <c r="F23844"/>
      <c r="N23844" s="56"/>
    </row>
    <row r="23845" spans="1:14" x14ac:dyDescent="0.3">
      <c r="A23845" s="42"/>
      <c r="C23845" s="52"/>
      <c r="D23845"/>
      <c r="E23845"/>
      <c r="F23845"/>
      <c r="N23845" s="56"/>
    </row>
    <row r="23846" spans="1:14" x14ac:dyDescent="0.3">
      <c r="A23846" s="42"/>
      <c r="C23846" s="52"/>
      <c r="D23846"/>
      <c r="E23846"/>
      <c r="F23846"/>
      <c r="N23846" s="56"/>
    </row>
    <row r="23847" spans="1:14" x14ac:dyDescent="0.3">
      <c r="A23847" s="42"/>
      <c r="C23847" s="52"/>
      <c r="D23847"/>
      <c r="E23847"/>
      <c r="F23847"/>
      <c r="N23847" s="56"/>
    </row>
    <row r="23848" spans="1:14" x14ac:dyDescent="0.3">
      <c r="A23848" s="42"/>
      <c r="C23848" s="52"/>
      <c r="D23848"/>
      <c r="E23848"/>
      <c r="F23848"/>
      <c r="N23848" s="56"/>
    </row>
    <row r="23849" spans="1:14" x14ac:dyDescent="0.3">
      <c r="A23849" s="42"/>
      <c r="C23849" s="52"/>
      <c r="D23849"/>
      <c r="E23849"/>
      <c r="F23849"/>
      <c r="N23849" s="56"/>
    </row>
    <row r="23850" spans="1:14" x14ac:dyDescent="0.3">
      <c r="A23850" s="42"/>
      <c r="C23850" s="52"/>
      <c r="D23850"/>
      <c r="E23850"/>
      <c r="F23850"/>
      <c r="N23850" s="56"/>
    </row>
    <row r="23851" spans="1:14" x14ac:dyDescent="0.3">
      <c r="A23851" s="42"/>
      <c r="C23851" s="52"/>
      <c r="D23851"/>
      <c r="E23851"/>
      <c r="F23851"/>
      <c r="N23851" s="56"/>
    </row>
    <row r="23852" spans="1:14" x14ac:dyDescent="0.3">
      <c r="A23852" s="42"/>
      <c r="C23852" s="52"/>
      <c r="D23852"/>
      <c r="E23852"/>
      <c r="F23852"/>
      <c r="N23852" s="56"/>
    </row>
    <row r="23853" spans="1:14" x14ac:dyDescent="0.3">
      <c r="A23853" s="42"/>
      <c r="C23853" s="52"/>
      <c r="D23853"/>
      <c r="E23853"/>
      <c r="F23853"/>
      <c r="M23853" s="45"/>
      <c r="N23853" s="56"/>
    </row>
    <row r="23854" spans="1:14" x14ac:dyDescent="0.3">
      <c r="A23854" s="42"/>
      <c r="C23854" s="52"/>
      <c r="D23854"/>
      <c r="E23854"/>
      <c r="F23854"/>
      <c r="N23854" s="56"/>
    </row>
    <row r="23855" spans="1:14" x14ac:dyDescent="0.3">
      <c r="A23855" s="42"/>
      <c r="C23855" s="52"/>
      <c r="D23855"/>
      <c r="E23855"/>
      <c r="F23855"/>
      <c r="N23855" s="56"/>
    </row>
    <row r="23856" spans="1:14" x14ac:dyDescent="0.3">
      <c r="A23856" s="42"/>
      <c r="C23856" s="52"/>
      <c r="D23856"/>
      <c r="E23856"/>
      <c r="F23856"/>
      <c r="N23856" s="56"/>
    </row>
    <row r="23857" spans="1:14" x14ac:dyDescent="0.3">
      <c r="A23857" s="42"/>
      <c r="C23857" s="52"/>
      <c r="D23857"/>
      <c r="E23857"/>
      <c r="F23857"/>
      <c r="M23857" s="45"/>
      <c r="N23857" s="56"/>
    </row>
    <row r="23858" spans="1:14" x14ac:dyDescent="0.3">
      <c r="A23858" s="42"/>
      <c r="C23858" s="52"/>
      <c r="D23858"/>
      <c r="E23858"/>
      <c r="F23858"/>
      <c r="N23858" s="56"/>
    </row>
    <row r="23859" spans="1:14" x14ac:dyDescent="0.3">
      <c r="A23859" s="42"/>
      <c r="C23859" s="52"/>
      <c r="D23859"/>
      <c r="E23859"/>
      <c r="F23859"/>
      <c r="N23859" s="56"/>
    </row>
    <row r="23860" spans="1:14" x14ac:dyDescent="0.3">
      <c r="A23860" s="42"/>
      <c r="C23860" s="52"/>
      <c r="D23860"/>
      <c r="E23860"/>
      <c r="F23860"/>
      <c r="N23860" s="56"/>
    </row>
    <row r="23861" spans="1:14" x14ac:dyDescent="0.3">
      <c r="A23861" s="42"/>
      <c r="C23861" s="52"/>
      <c r="D23861"/>
      <c r="E23861"/>
      <c r="F23861"/>
      <c r="N23861" s="56"/>
    </row>
    <row r="23862" spans="1:14" x14ac:dyDescent="0.3">
      <c r="A23862" s="42"/>
      <c r="C23862" s="52"/>
      <c r="D23862"/>
      <c r="E23862"/>
      <c r="F23862"/>
      <c r="N23862" s="56"/>
    </row>
    <row r="23863" spans="1:14" x14ac:dyDescent="0.3">
      <c r="A23863" s="42"/>
      <c r="C23863" s="52"/>
      <c r="D23863"/>
      <c r="E23863"/>
      <c r="F23863"/>
      <c r="N23863" s="56"/>
    </row>
    <row r="23864" spans="1:14" x14ac:dyDescent="0.3">
      <c r="A23864" s="42"/>
      <c r="C23864" s="52"/>
      <c r="D23864"/>
      <c r="E23864"/>
      <c r="F23864"/>
      <c r="N23864" s="56"/>
    </row>
    <row r="23865" spans="1:14" x14ac:dyDescent="0.3">
      <c r="A23865" s="42"/>
      <c r="C23865" s="52"/>
      <c r="D23865"/>
      <c r="E23865"/>
      <c r="F23865"/>
      <c r="N23865" s="56"/>
    </row>
    <row r="23866" spans="1:14" x14ac:dyDescent="0.3">
      <c r="A23866" s="42"/>
      <c r="C23866" s="52"/>
      <c r="D23866"/>
      <c r="E23866"/>
      <c r="F23866"/>
      <c r="N23866" s="56"/>
    </row>
    <row r="23867" spans="1:14" x14ac:dyDescent="0.3">
      <c r="A23867" s="42"/>
      <c r="C23867" s="52"/>
      <c r="D23867"/>
      <c r="E23867"/>
      <c r="F23867"/>
      <c r="N23867" s="56"/>
    </row>
    <row r="23868" spans="1:14" x14ac:dyDescent="0.3">
      <c r="A23868" s="42"/>
      <c r="C23868" s="52"/>
      <c r="D23868"/>
      <c r="E23868"/>
      <c r="F23868"/>
      <c r="N23868" s="56"/>
    </row>
    <row r="23869" spans="1:14" x14ac:dyDescent="0.3">
      <c r="A23869" s="42"/>
      <c r="C23869" s="52"/>
      <c r="D23869"/>
      <c r="E23869"/>
      <c r="F23869"/>
      <c r="N23869" s="56"/>
    </row>
    <row r="23870" spans="1:14" x14ac:dyDescent="0.3">
      <c r="A23870" s="42"/>
      <c r="C23870" s="52"/>
      <c r="D23870"/>
      <c r="E23870"/>
      <c r="F23870"/>
      <c r="N23870" s="56"/>
    </row>
    <row r="23871" spans="1:14" x14ac:dyDescent="0.3">
      <c r="A23871" s="42"/>
      <c r="C23871" s="52"/>
      <c r="D23871"/>
      <c r="E23871"/>
      <c r="F23871"/>
      <c r="N23871" s="56"/>
    </row>
    <row r="23872" spans="1:14" x14ac:dyDescent="0.3">
      <c r="A23872" s="42"/>
      <c r="C23872" s="52"/>
      <c r="D23872"/>
      <c r="E23872"/>
      <c r="F23872"/>
      <c r="N23872" s="56"/>
    </row>
    <row r="23873" spans="1:14" x14ac:dyDescent="0.3">
      <c r="A23873" s="42"/>
      <c r="C23873" s="52"/>
      <c r="D23873"/>
      <c r="E23873"/>
      <c r="F23873"/>
      <c r="M23873" s="45"/>
      <c r="N23873" s="56"/>
    </row>
    <row r="23874" spans="1:14" x14ac:dyDescent="0.3">
      <c r="A23874" s="42"/>
      <c r="C23874" s="52"/>
      <c r="D23874"/>
      <c r="E23874"/>
      <c r="F23874"/>
      <c r="N23874" s="56"/>
    </row>
    <row r="23875" spans="1:14" x14ac:dyDescent="0.3">
      <c r="A23875" s="42"/>
      <c r="C23875" s="52"/>
      <c r="D23875"/>
      <c r="E23875"/>
      <c r="F23875"/>
      <c r="N23875" s="56"/>
    </row>
    <row r="23876" spans="1:14" x14ac:dyDescent="0.3">
      <c r="A23876" s="42"/>
      <c r="C23876" s="52"/>
      <c r="D23876"/>
      <c r="E23876"/>
      <c r="F23876"/>
      <c r="N23876" s="56"/>
    </row>
    <row r="23877" spans="1:14" x14ac:dyDescent="0.3">
      <c r="A23877" s="42"/>
      <c r="C23877" s="52"/>
      <c r="D23877"/>
      <c r="E23877"/>
      <c r="F23877"/>
      <c r="N23877" s="56"/>
    </row>
    <row r="23878" spans="1:14" x14ac:dyDescent="0.3">
      <c r="A23878" s="42"/>
      <c r="C23878" s="52"/>
      <c r="D23878"/>
      <c r="E23878"/>
      <c r="F23878"/>
      <c r="N23878" s="56"/>
    </row>
    <row r="23879" spans="1:14" x14ac:dyDescent="0.3">
      <c r="A23879" s="42"/>
      <c r="C23879" s="52"/>
      <c r="D23879"/>
      <c r="E23879"/>
      <c r="F23879"/>
      <c r="N23879" s="56"/>
    </row>
    <row r="23880" spans="1:14" x14ac:dyDescent="0.3">
      <c r="A23880" s="42"/>
      <c r="C23880" s="52"/>
      <c r="D23880"/>
      <c r="E23880"/>
      <c r="F23880"/>
      <c r="N23880" s="56"/>
    </row>
    <row r="23881" spans="1:14" x14ac:dyDescent="0.3">
      <c r="A23881" s="42"/>
      <c r="C23881" s="52"/>
      <c r="D23881"/>
      <c r="E23881"/>
      <c r="F23881"/>
      <c r="N23881" s="56"/>
    </row>
    <row r="23882" spans="1:14" x14ac:dyDescent="0.3">
      <c r="A23882" s="42"/>
      <c r="C23882" s="52"/>
      <c r="D23882"/>
      <c r="E23882"/>
      <c r="F23882"/>
      <c r="N23882" s="56"/>
    </row>
    <row r="23883" spans="1:14" x14ac:dyDescent="0.3">
      <c r="A23883" s="42"/>
      <c r="C23883" s="52"/>
      <c r="D23883"/>
      <c r="E23883"/>
      <c r="F23883"/>
      <c r="N23883" s="56"/>
    </row>
    <row r="23884" spans="1:14" x14ac:dyDescent="0.3">
      <c r="A23884" s="42"/>
      <c r="C23884" s="52"/>
      <c r="D23884"/>
      <c r="E23884"/>
      <c r="F23884"/>
      <c r="N23884" s="56"/>
    </row>
    <row r="23885" spans="1:14" x14ac:dyDescent="0.3">
      <c r="A23885" s="42"/>
      <c r="C23885" s="52"/>
      <c r="D23885"/>
      <c r="E23885"/>
      <c r="F23885"/>
      <c r="N23885" s="56"/>
    </row>
    <row r="23886" spans="1:14" x14ac:dyDescent="0.3">
      <c r="A23886" s="42"/>
      <c r="C23886" s="52"/>
      <c r="D23886"/>
      <c r="E23886"/>
      <c r="F23886"/>
      <c r="N23886" s="56"/>
    </row>
    <row r="23887" spans="1:14" x14ac:dyDescent="0.3">
      <c r="A23887" s="42"/>
      <c r="C23887" s="52"/>
      <c r="D23887"/>
      <c r="E23887"/>
      <c r="F23887"/>
      <c r="N23887" s="56"/>
    </row>
    <row r="23888" spans="1:14" x14ac:dyDescent="0.3">
      <c r="A23888" s="42"/>
      <c r="C23888" s="52"/>
      <c r="D23888"/>
      <c r="E23888"/>
      <c r="F23888"/>
      <c r="N23888" s="56"/>
    </row>
    <row r="23889" spans="1:14" x14ac:dyDescent="0.3">
      <c r="A23889" s="42"/>
      <c r="C23889" s="52"/>
      <c r="D23889"/>
      <c r="E23889"/>
      <c r="F23889"/>
      <c r="N23889" s="56"/>
    </row>
    <row r="23890" spans="1:14" x14ac:dyDescent="0.3">
      <c r="A23890" s="42"/>
      <c r="C23890" s="52"/>
      <c r="D23890"/>
      <c r="E23890"/>
      <c r="F23890"/>
      <c r="N23890" s="56"/>
    </row>
    <row r="23891" spans="1:14" x14ac:dyDescent="0.3">
      <c r="A23891" s="42"/>
      <c r="C23891" s="52"/>
      <c r="D23891"/>
      <c r="E23891"/>
      <c r="F23891"/>
      <c r="N23891" s="56"/>
    </row>
    <row r="23892" spans="1:14" x14ac:dyDescent="0.3">
      <c r="A23892" s="42"/>
      <c r="C23892" s="52"/>
      <c r="D23892"/>
      <c r="E23892"/>
      <c r="F23892"/>
      <c r="N23892" s="56"/>
    </row>
    <row r="23893" spans="1:14" x14ac:dyDescent="0.3">
      <c r="A23893" s="42"/>
      <c r="C23893" s="52"/>
      <c r="D23893"/>
      <c r="E23893"/>
      <c r="F23893"/>
      <c r="N23893" s="56"/>
    </row>
    <row r="23894" spans="1:14" x14ac:dyDescent="0.3">
      <c r="A23894" s="42"/>
      <c r="C23894" s="52"/>
      <c r="D23894"/>
      <c r="E23894"/>
      <c r="F23894"/>
      <c r="N23894" s="56"/>
    </row>
    <row r="23895" spans="1:14" x14ac:dyDescent="0.3">
      <c r="A23895" s="42"/>
      <c r="C23895" s="52"/>
      <c r="D23895"/>
      <c r="E23895"/>
      <c r="F23895"/>
      <c r="N23895" s="56"/>
    </row>
    <row r="23896" spans="1:14" x14ac:dyDescent="0.3">
      <c r="A23896" s="42"/>
      <c r="C23896" s="52"/>
      <c r="D23896"/>
      <c r="E23896"/>
      <c r="F23896"/>
      <c r="N23896" s="56"/>
    </row>
    <row r="23897" spans="1:14" x14ac:dyDescent="0.3">
      <c r="A23897" s="42"/>
      <c r="C23897" s="52"/>
      <c r="D23897"/>
      <c r="E23897"/>
      <c r="F23897"/>
      <c r="N23897" s="56"/>
    </row>
    <row r="23898" spans="1:14" x14ac:dyDescent="0.3">
      <c r="A23898" s="42"/>
      <c r="C23898" s="52"/>
      <c r="D23898"/>
      <c r="E23898"/>
      <c r="F23898"/>
      <c r="N23898" s="56"/>
    </row>
    <row r="23899" spans="1:14" x14ac:dyDescent="0.3">
      <c r="A23899" s="42"/>
      <c r="C23899" s="52"/>
      <c r="D23899"/>
      <c r="E23899"/>
      <c r="F23899"/>
      <c r="N23899" s="56"/>
    </row>
    <row r="23900" spans="1:14" x14ac:dyDescent="0.3">
      <c r="A23900" s="42"/>
      <c r="C23900" s="52"/>
      <c r="D23900"/>
      <c r="E23900"/>
      <c r="F23900"/>
      <c r="N23900" s="56"/>
    </row>
    <row r="23901" spans="1:14" x14ac:dyDescent="0.3">
      <c r="A23901" s="42"/>
      <c r="C23901" s="52"/>
      <c r="D23901"/>
      <c r="E23901"/>
      <c r="F23901"/>
      <c r="N23901" s="56"/>
    </row>
    <row r="23902" spans="1:14" x14ac:dyDescent="0.3">
      <c r="A23902" s="42"/>
      <c r="C23902" s="52"/>
      <c r="D23902"/>
      <c r="E23902"/>
      <c r="F23902"/>
      <c r="N23902" s="56"/>
    </row>
    <row r="23903" spans="1:14" x14ac:dyDescent="0.3">
      <c r="A23903" s="42"/>
      <c r="C23903" s="52"/>
      <c r="D23903"/>
      <c r="E23903"/>
      <c r="F23903"/>
      <c r="N23903" s="56"/>
    </row>
    <row r="23904" spans="1:14" x14ac:dyDescent="0.3">
      <c r="A23904" s="42"/>
      <c r="C23904" s="52"/>
      <c r="D23904"/>
      <c r="E23904"/>
      <c r="F23904"/>
      <c r="N23904" s="56"/>
    </row>
    <row r="23905" spans="1:14" x14ac:dyDescent="0.3">
      <c r="A23905" s="42"/>
      <c r="C23905" s="52"/>
      <c r="D23905"/>
      <c r="E23905"/>
      <c r="F23905"/>
      <c r="N23905" s="56"/>
    </row>
    <row r="23906" spans="1:14" x14ac:dyDescent="0.3">
      <c r="A23906" s="42"/>
      <c r="C23906" s="52"/>
      <c r="D23906"/>
      <c r="E23906"/>
      <c r="F23906"/>
      <c r="N23906" s="56"/>
    </row>
    <row r="23907" spans="1:14" x14ac:dyDescent="0.3">
      <c r="A23907" s="42"/>
      <c r="C23907" s="52"/>
      <c r="D23907"/>
      <c r="E23907"/>
      <c r="F23907"/>
      <c r="N23907" s="56"/>
    </row>
    <row r="23908" spans="1:14" x14ac:dyDescent="0.3">
      <c r="A23908" s="42"/>
      <c r="C23908" s="52"/>
      <c r="D23908"/>
      <c r="E23908"/>
      <c r="F23908"/>
      <c r="N23908" s="56"/>
    </row>
    <row r="23909" spans="1:14" x14ac:dyDescent="0.3">
      <c r="A23909" s="42"/>
      <c r="C23909" s="52"/>
      <c r="D23909"/>
      <c r="E23909"/>
      <c r="F23909"/>
      <c r="N23909" s="56"/>
    </row>
    <row r="23910" spans="1:14" x14ac:dyDescent="0.3">
      <c r="A23910" s="42"/>
      <c r="C23910" s="52"/>
      <c r="D23910"/>
      <c r="E23910"/>
      <c r="F23910"/>
      <c r="N23910" s="56"/>
    </row>
    <row r="23911" spans="1:14" x14ac:dyDescent="0.3">
      <c r="A23911" s="42"/>
      <c r="C23911" s="52"/>
      <c r="D23911"/>
      <c r="E23911"/>
      <c r="F23911"/>
      <c r="N23911" s="56"/>
    </row>
    <row r="23912" spans="1:14" x14ac:dyDescent="0.3">
      <c r="A23912" s="42"/>
      <c r="C23912" s="52"/>
      <c r="D23912"/>
      <c r="E23912"/>
      <c r="F23912"/>
      <c r="N23912" s="56"/>
    </row>
    <row r="23913" spans="1:14" x14ac:dyDescent="0.3">
      <c r="A23913" s="42"/>
      <c r="C23913" s="52"/>
      <c r="D23913"/>
      <c r="E23913"/>
      <c r="F23913"/>
      <c r="N23913" s="56"/>
    </row>
    <row r="23914" spans="1:14" x14ac:dyDescent="0.3">
      <c r="A23914" s="42"/>
      <c r="C23914" s="52"/>
      <c r="D23914"/>
      <c r="E23914"/>
      <c r="F23914"/>
      <c r="N23914" s="56"/>
    </row>
    <row r="23915" spans="1:14" x14ac:dyDescent="0.3">
      <c r="A23915" s="42"/>
      <c r="C23915" s="52"/>
      <c r="D23915"/>
      <c r="E23915"/>
      <c r="F23915"/>
      <c r="N23915" s="56"/>
    </row>
    <row r="23916" spans="1:14" x14ac:dyDescent="0.3">
      <c r="A23916" s="42"/>
      <c r="C23916" s="52"/>
      <c r="D23916"/>
      <c r="E23916"/>
      <c r="F23916"/>
      <c r="N23916" s="56"/>
    </row>
    <row r="23917" spans="1:14" x14ac:dyDescent="0.3">
      <c r="A23917" s="42"/>
      <c r="C23917" s="52"/>
      <c r="D23917"/>
      <c r="E23917"/>
      <c r="F23917"/>
      <c r="N23917" s="56"/>
    </row>
    <row r="23918" spans="1:14" x14ac:dyDescent="0.3">
      <c r="A23918" s="42"/>
      <c r="C23918" s="52"/>
      <c r="D23918"/>
      <c r="E23918"/>
      <c r="F23918"/>
      <c r="N23918" s="56"/>
    </row>
    <row r="23919" spans="1:14" x14ac:dyDescent="0.3">
      <c r="A23919" s="42"/>
      <c r="C23919" s="52"/>
      <c r="D23919"/>
      <c r="E23919"/>
      <c r="F23919"/>
      <c r="N23919" s="56"/>
    </row>
    <row r="23920" spans="1:14" x14ac:dyDescent="0.3">
      <c r="A23920" s="42"/>
      <c r="C23920" s="52"/>
      <c r="D23920"/>
      <c r="E23920"/>
      <c r="F23920"/>
      <c r="N23920" s="56"/>
    </row>
    <row r="23921" spans="1:14" x14ac:dyDescent="0.3">
      <c r="A23921" s="42"/>
      <c r="C23921" s="52"/>
      <c r="D23921"/>
      <c r="E23921"/>
      <c r="F23921"/>
      <c r="N23921" s="56"/>
    </row>
    <row r="23922" spans="1:14" x14ac:dyDescent="0.3">
      <c r="A23922" s="42"/>
      <c r="C23922" s="52"/>
      <c r="D23922"/>
      <c r="E23922"/>
      <c r="F23922"/>
      <c r="N23922" s="56"/>
    </row>
    <row r="23923" spans="1:14" x14ac:dyDescent="0.3">
      <c r="A23923" s="42"/>
      <c r="C23923" s="52"/>
      <c r="D23923"/>
      <c r="E23923"/>
      <c r="F23923"/>
      <c r="N23923" s="56"/>
    </row>
    <row r="23924" spans="1:14" x14ac:dyDescent="0.3">
      <c r="A23924" s="42"/>
      <c r="C23924" s="52"/>
      <c r="D23924"/>
      <c r="E23924"/>
      <c r="F23924"/>
      <c r="N23924" s="56"/>
    </row>
    <row r="23925" spans="1:14" x14ac:dyDescent="0.3">
      <c r="A23925" s="42"/>
      <c r="C23925" s="52"/>
      <c r="D23925"/>
      <c r="E23925"/>
      <c r="F23925"/>
      <c r="N23925" s="56"/>
    </row>
    <row r="23926" spans="1:14" x14ac:dyDescent="0.3">
      <c r="A23926" s="42"/>
      <c r="C23926" s="52"/>
      <c r="D23926"/>
      <c r="E23926"/>
      <c r="F23926"/>
      <c r="N23926" s="56"/>
    </row>
    <row r="23927" spans="1:14" x14ac:dyDescent="0.3">
      <c r="A23927" s="42"/>
      <c r="C23927" s="52"/>
      <c r="D23927"/>
      <c r="E23927"/>
      <c r="F23927"/>
      <c r="N23927" s="56"/>
    </row>
    <row r="23928" spans="1:14" x14ac:dyDescent="0.3">
      <c r="A23928" s="42"/>
      <c r="C23928" s="52"/>
      <c r="D23928"/>
      <c r="E23928"/>
      <c r="F23928"/>
      <c r="N23928" s="56"/>
    </row>
    <row r="23929" spans="1:14" x14ac:dyDescent="0.3">
      <c r="A23929" s="42"/>
      <c r="C23929" s="52"/>
      <c r="D23929"/>
      <c r="E23929"/>
      <c r="F23929"/>
      <c r="N23929" s="56"/>
    </row>
    <row r="23930" spans="1:14" x14ac:dyDescent="0.3">
      <c r="A23930" s="42"/>
      <c r="C23930" s="52"/>
      <c r="D23930"/>
      <c r="E23930"/>
      <c r="F23930"/>
      <c r="N23930" s="56"/>
    </row>
    <row r="23931" spans="1:14" x14ac:dyDescent="0.3">
      <c r="A23931" s="42"/>
      <c r="C23931" s="52"/>
      <c r="D23931"/>
      <c r="E23931"/>
      <c r="F23931"/>
      <c r="N23931" s="56"/>
    </row>
    <row r="23932" spans="1:14" x14ac:dyDescent="0.3">
      <c r="A23932" s="42"/>
      <c r="C23932" s="52"/>
      <c r="D23932"/>
      <c r="E23932"/>
      <c r="F23932"/>
      <c r="N23932" s="56"/>
    </row>
    <row r="23933" spans="1:14" x14ac:dyDescent="0.3">
      <c r="A23933" s="42"/>
      <c r="C23933" s="52"/>
      <c r="D23933"/>
      <c r="E23933"/>
      <c r="F23933"/>
      <c r="N23933" s="56"/>
    </row>
    <row r="23934" spans="1:14" x14ac:dyDescent="0.3">
      <c r="A23934" s="42"/>
      <c r="C23934" s="52"/>
      <c r="D23934"/>
      <c r="E23934"/>
      <c r="F23934"/>
      <c r="N23934" s="56"/>
    </row>
    <row r="23935" spans="1:14" x14ac:dyDescent="0.3">
      <c r="A23935" s="42"/>
      <c r="C23935" s="52"/>
      <c r="D23935"/>
      <c r="E23935"/>
      <c r="F23935"/>
      <c r="N23935" s="56"/>
    </row>
    <row r="23936" spans="1:14" x14ac:dyDescent="0.3">
      <c r="A23936" s="42"/>
      <c r="C23936" s="52"/>
      <c r="D23936"/>
      <c r="E23936"/>
      <c r="F23936"/>
      <c r="N23936" s="56"/>
    </row>
    <row r="23937" spans="1:14" x14ac:dyDescent="0.3">
      <c r="A23937" s="42"/>
      <c r="C23937" s="52"/>
      <c r="D23937"/>
      <c r="E23937"/>
      <c r="F23937"/>
      <c r="N23937" s="56"/>
    </row>
    <row r="23938" spans="1:14" x14ac:dyDescent="0.3">
      <c r="A23938" s="42"/>
      <c r="C23938" s="52"/>
      <c r="D23938"/>
      <c r="E23938"/>
      <c r="F23938"/>
      <c r="N23938" s="56"/>
    </row>
    <row r="23939" spans="1:14" x14ac:dyDescent="0.3">
      <c r="A23939" s="42"/>
      <c r="C23939" s="52"/>
      <c r="D23939"/>
      <c r="E23939"/>
      <c r="F23939"/>
      <c r="N23939" s="56"/>
    </row>
    <row r="23940" spans="1:14" x14ac:dyDescent="0.3">
      <c r="A23940" s="42"/>
      <c r="C23940" s="52"/>
      <c r="D23940"/>
      <c r="E23940"/>
      <c r="F23940"/>
      <c r="N23940" s="56"/>
    </row>
    <row r="23941" spans="1:14" x14ac:dyDescent="0.3">
      <c r="A23941" s="42"/>
      <c r="C23941" s="52"/>
      <c r="D23941"/>
      <c r="E23941"/>
      <c r="F23941"/>
      <c r="N23941" s="56"/>
    </row>
    <row r="23942" spans="1:14" x14ac:dyDescent="0.3">
      <c r="A23942" s="42"/>
      <c r="C23942" s="52"/>
      <c r="D23942"/>
      <c r="E23942"/>
      <c r="F23942"/>
      <c r="N23942" s="56"/>
    </row>
    <row r="23943" spans="1:14" x14ac:dyDescent="0.3">
      <c r="A23943" s="42"/>
      <c r="C23943" s="52"/>
      <c r="D23943"/>
      <c r="E23943"/>
      <c r="F23943"/>
      <c r="N23943" s="56"/>
    </row>
    <row r="23944" spans="1:14" x14ac:dyDescent="0.3">
      <c r="A23944" s="42"/>
      <c r="C23944" s="52"/>
      <c r="D23944"/>
      <c r="E23944"/>
      <c r="F23944"/>
      <c r="N23944" s="56"/>
    </row>
    <row r="23945" spans="1:14" x14ac:dyDescent="0.3">
      <c r="A23945" s="42"/>
      <c r="C23945" s="52"/>
      <c r="D23945"/>
      <c r="E23945"/>
      <c r="F23945"/>
      <c r="N23945" s="56"/>
    </row>
    <row r="23946" spans="1:14" x14ac:dyDescent="0.3">
      <c r="A23946" s="42"/>
      <c r="C23946" s="52"/>
      <c r="D23946"/>
      <c r="E23946"/>
      <c r="F23946"/>
      <c r="N23946" s="56"/>
    </row>
    <row r="23947" spans="1:14" x14ac:dyDescent="0.3">
      <c r="A23947" s="42"/>
      <c r="C23947" s="52"/>
      <c r="D23947"/>
      <c r="E23947"/>
      <c r="F23947"/>
      <c r="N23947" s="56"/>
    </row>
    <row r="23948" spans="1:14" x14ac:dyDescent="0.3">
      <c r="A23948" s="42"/>
      <c r="C23948" s="52"/>
      <c r="D23948"/>
      <c r="E23948"/>
      <c r="F23948"/>
      <c r="N23948" s="56"/>
    </row>
    <row r="23949" spans="1:14" x14ac:dyDescent="0.3">
      <c r="A23949" s="42"/>
      <c r="C23949" s="52"/>
      <c r="D23949"/>
      <c r="E23949"/>
      <c r="F23949"/>
      <c r="N23949" s="56"/>
    </row>
    <row r="23950" spans="1:14" x14ac:dyDescent="0.3">
      <c r="A23950" s="42"/>
      <c r="C23950" s="52"/>
      <c r="D23950"/>
      <c r="E23950"/>
      <c r="F23950"/>
      <c r="N23950" s="56"/>
    </row>
    <row r="23951" spans="1:14" x14ac:dyDescent="0.3">
      <c r="A23951" s="42"/>
      <c r="C23951" s="52"/>
      <c r="D23951"/>
      <c r="E23951"/>
      <c r="F23951"/>
      <c r="N23951" s="56"/>
    </row>
    <row r="23952" spans="1:14" x14ac:dyDescent="0.3">
      <c r="A23952" s="42"/>
      <c r="C23952" s="52"/>
      <c r="D23952"/>
      <c r="E23952"/>
      <c r="F23952"/>
      <c r="N23952" s="56"/>
    </row>
    <row r="23953" spans="1:14" x14ac:dyDescent="0.3">
      <c r="A23953" s="42"/>
      <c r="C23953" s="52"/>
      <c r="D23953"/>
      <c r="E23953"/>
      <c r="F23953"/>
      <c r="N23953" s="56"/>
    </row>
    <row r="23954" spans="1:14" x14ac:dyDescent="0.3">
      <c r="A23954" s="42"/>
      <c r="C23954" s="52"/>
      <c r="D23954"/>
      <c r="E23954"/>
      <c r="F23954"/>
      <c r="N23954" s="56"/>
    </row>
    <row r="23955" spans="1:14" x14ac:dyDescent="0.3">
      <c r="A23955" s="42"/>
      <c r="C23955" s="52"/>
      <c r="D23955"/>
      <c r="E23955"/>
      <c r="F23955"/>
      <c r="N23955" s="56"/>
    </row>
    <row r="23956" spans="1:14" x14ac:dyDescent="0.3">
      <c r="A23956" s="42"/>
      <c r="C23956" s="52"/>
      <c r="D23956"/>
      <c r="E23956"/>
      <c r="F23956"/>
      <c r="N23956" s="56"/>
    </row>
    <row r="23957" spans="1:14" x14ac:dyDescent="0.3">
      <c r="A23957" s="42"/>
      <c r="C23957" s="52"/>
      <c r="D23957"/>
      <c r="E23957"/>
      <c r="F23957"/>
      <c r="N23957" s="56"/>
    </row>
    <row r="23958" spans="1:14" x14ac:dyDescent="0.3">
      <c r="A23958" s="42"/>
      <c r="C23958" s="52"/>
      <c r="D23958"/>
      <c r="E23958"/>
      <c r="F23958"/>
      <c r="N23958" s="56"/>
    </row>
    <row r="23959" spans="1:14" x14ac:dyDescent="0.3">
      <c r="A23959" s="42"/>
      <c r="C23959" s="52"/>
      <c r="D23959"/>
      <c r="E23959"/>
      <c r="F23959"/>
      <c r="N23959" s="56"/>
    </row>
    <row r="23960" spans="1:14" x14ac:dyDescent="0.3">
      <c r="A23960" s="42"/>
      <c r="C23960" s="52"/>
      <c r="D23960"/>
      <c r="E23960"/>
      <c r="F23960"/>
      <c r="N23960" s="56"/>
    </row>
    <row r="23961" spans="1:14" x14ac:dyDescent="0.3">
      <c r="A23961" s="42"/>
      <c r="C23961" s="52"/>
      <c r="D23961"/>
      <c r="E23961"/>
      <c r="F23961"/>
      <c r="N23961" s="56"/>
    </row>
    <row r="23962" spans="1:14" x14ac:dyDescent="0.3">
      <c r="A23962" s="42"/>
      <c r="C23962" s="52"/>
      <c r="D23962"/>
      <c r="E23962"/>
      <c r="F23962"/>
      <c r="N23962" s="56"/>
    </row>
    <row r="23963" spans="1:14" x14ac:dyDescent="0.3">
      <c r="A23963" s="42"/>
      <c r="C23963" s="52"/>
      <c r="D23963"/>
      <c r="E23963"/>
      <c r="F23963"/>
      <c r="N23963" s="56"/>
    </row>
    <row r="23964" spans="1:14" x14ac:dyDescent="0.3">
      <c r="A23964" s="42"/>
      <c r="C23964" s="52"/>
      <c r="D23964"/>
      <c r="E23964"/>
      <c r="F23964"/>
      <c r="N23964" s="56"/>
    </row>
    <row r="23965" spans="1:14" x14ac:dyDescent="0.3">
      <c r="A23965" s="42"/>
      <c r="C23965" s="52"/>
      <c r="D23965"/>
      <c r="E23965"/>
      <c r="F23965"/>
      <c r="N23965" s="56"/>
    </row>
    <row r="23966" spans="1:14" x14ac:dyDescent="0.3">
      <c r="A23966" s="42"/>
      <c r="C23966" s="52"/>
      <c r="D23966"/>
      <c r="E23966"/>
      <c r="F23966"/>
      <c r="N23966" s="56"/>
    </row>
    <row r="23967" spans="1:14" x14ac:dyDescent="0.3">
      <c r="A23967" s="42"/>
      <c r="C23967" s="52"/>
      <c r="D23967"/>
      <c r="E23967"/>
      <c r="F23967"/>
      <c r="N23967" s="56"/>
    </row>
    <row r="23968" spans="1:14" x14ac:dyDescent="0.3">
      <c r="A23968" s="42"/>
      <c r="C23968" s="52"/>
      <c r="D23968"/>
      <c r="E23968"/>
      <c r="F23968"/>
      <c r="N23968" s="56"/>
    </row>
    <row r="23969" spans="1:14" x14ac:dyDescent="0.3">
      <c r="A23969" s="42"/>
      <c r="C23969" s="52"/>
      <c r="D23969"/>
      <c r="E23969"/>
      <c r="F23969"/>
      <c r="N23969" s="56"/>
    </row>
    <row r="23970" spans="1:14" x14ac:dyDescent="0.3">
      <c r="A23970" s="42"/>
      <c r="C23970" s="52"/>
      <c r="D23970"/>
      <c r="E23970"/>
      <c r="F23970"/>
      <c r="N23970" s="56"/>
    </row>
    <row r="23971" spans="1:14" x14ac:dyDescent="0.3">
      <c r="A23971" s="42"/>
      <c r="C23971" s="52"/>
      <c r="D23971"/>
      <c r="E23971"/>
      <c r="F23971"/>
      <c r="N23971" s="56"/>
    </row>
    <row r="23972" spans="1:14" x14ac:dyDescent="0.3">
      <c r="A23972" s="42"/>
      <c r="C23972" s="52"/>
      <c r="D23972"/>
      <c r="E23972"/>
      <c r="F23972"/>
      <c r="N23972" s="56"/>
    </row>
    <row r="23973" spans="1:14" x14ac:dyDescent="0.3">
      <c r="A23973" s="42"/>
      <c r="C23973" s="52"/>
      <c r="D23973"/>
      <c r="E23973"/>
      <c r="F23973"/>
      <c r="N23973" s="56"/>
    </row>
    <row r="23974" spans="1:14" x14ac:dyDescent="0.3">
      <c r="A23974" s="42"/>
      <c r="C23974" s="52"/>
      <c r="D23974"/>
      <c r="E23974"/>
      <c r="F23974"/>
      <c r="N23974" s="56"/>
    </row>
    <row r="23975" spans="1:14" x14ac:dyDescent="0.3">
      <c r="A23975" s="42"/>
      <c r="C23975" s="52"/>
      <c r="D23975"/>
      <c r="E23975"/>
      <c r="F23975"/>
      <c r="N23975" s="56"/>
    </row>
    <row r="23976" spans="1:14" x14ac:dyDescent="0.3">
      <c r="A23976" s="42"/>
      <c r="C23976" s="52"/>
      <c r="D23976"/>
      <c r="E23976"/>
      <c r="F23976"/>
      <c r="N23976" s="56"/>
    </row>
    <row r="23977" spans="1:14" x14ac:dyDescent="0.3">
      <c r="A23977" s="42"/>
      <c r="C23977" s="52"/>
      <c r="D23977"/>
      <c r="E23977"/>
      <c r="F23977"/>
      <c r="N23977" s="56"/>
    </row>
    <row r="23978" spans="1:14" x14ac:dyDescent="0.3">
      <c r="A23978" s="42"/>
      <c r="C23978" s="52"/>
      <c r="D23978"/>
      <c r="E23978"/>
      <c r="F23978"/>
      <c r="N23978" s="56"/>
    </row>
    <row r="23979" spans="1:14" x14ac:dyDescent="0.3">
      <c r="A23979" s="42"/>
      <c r="C23979" s="52"/>
      <c r="D23979"/>
      <c r="E23979"/>
      <c r="F23979"/>
      <c r="N23979" s="56"/>
    </row>
    <row r="23980" spans="1:14" x14ac:dyDescent="0.3">
      <c r="A23980" s="42"/>
      <c r="C23980" s="52"/>
      <c r="D23980"/>
      <c r="E23980"/>
      <c r="F23980"/>
      <c r="N23980" s="56"/>
    </row>
    <row r="23981" spans="1:14" x14ac:dyDescent="0.3">
      <c r="A23981" s="42"/>
      <c r="C23981" s="52"/>
      <c r="D23981"/>
      <c r="E23981"/>
      <c r="F23981"/>
      <c r="N23981" s="56"/>
    </row>
    <row r="23982" spans="1:14" x14ac:dyDescent="0.3">
      <c r="A23982" s="42"/>
      <c r="C23982" s="52"/>
      <c r="D23982"/>
      <c r="E23982"/>
      <c r="F23982"/>
      <c r="N23982" s="56"/>
    </row>
    <row r="23983" spans="1:14" x14ac:dyDescent="0.3">
      <c r="A23983" s="42"/>
      <c r="C23983" s="52"/>
      <c r="D23983"/>
      <c r="E23983"/>
      <c r="F23983"/>
      <c r="N23983" s="56"/>
    </row>
    <row r="23984" spans="1:14" x14ac:dyDescent="0.3">
      <c r="A23984" s="42"/>
      <c r="C23984" s="52"/>
      <c r="D23984"/>
      <c r="E23984"/>
      <c r="F23984"/>
      <c r="N23984" s="56"/>
    </row>
    <row r="23985" spans="1:14" x14ac:dyDescent="0.3">
      <c r="A23985" s="42"/>
      <c r="C23985" s="52"/>
      <c r="D23985"/>
      <c r="E23985"/>
      <c r="F23985"/>
      <c r="N23985" s="56"/>
    </row>
    <row r="23986" spans="1:14" x14ac:dyDescent="0.3">
      <c r="A23986" s="42"/>
      <c r="C23986" s="52"/>
      <c r="D23986"/>
      <c r="E23986"/>
      <c r="F23986"/>
      <c r="N23986" s="56"/>
    </row>
    <row r="23987" spans="1:14" x14ac:dyDescent="0.3">
      <c r="A23987" s="42"/>
      <c r="C23987" s="52"/>
      <c r="D23987"/>
      <c r="E23987"/>
      <c r="F23987"/>
      <c r="N23987" s="56"/>
    </row>
    <row r="23988" spans="1:14" x14ac:dyDescent="0.3">
      <c r="A23988" s="42"/>
      <c r="C23988" s="52"/>
      <c r="D23988"/>
      <c r="E23988"/>
      <c r="F23988"/>
      <c r="N23988" s="56"/>
    </row>
    <row r="23989" spans="1:14" x14ac:dyDescent="0.3">
      <c r="A23989" s="42"/>
      <c r="C23989" s="52"/>
      <c r="D23989"/>
      <c r="E23989"/>
      <c r="F23989"/>
      <c r="N23989" s="56"/>
    </row>
    <row r="23990" spans="1:14" x14ac:dyDescent="0.3">
      <c r="A23990" s="42"/>
      <c r="C23990" s="52"/>
      <c r="D23990"/>
      <c r="E23990"/>
      <c r="F23990"/>
      <c r="N23990" s="56"/>
    </row>
    <row r="23991" spans="1:14" x14ac:dyDescent="0.3">
      <c r="A23991" s="42"/>
      <c r="C23991" s="52"/>
      <c r="D23991"/>
      <c r="E23991"/>
      <c r="F23991"/>
      <c r="N23991" s="56"/>
    </row>
    <row r="23992" spans="1:14" x14ac:dyDescent="0.3">
      <c r="A23992" s="42"/>
      <c r="C23992" s="52"/>
      <c r="D23992"/>
      <c r="E23992"/>
      <c r="F23992"/>
      <c r="N23992" s="56"/>
    </row>
    <row r="23993" spans="1:14" x14ac:dyDescent="0.3">
      <c r="A23993" s="42"/>
      <c r="C23993" s="52"/>
      <c r="D23993"/>
      <c r="E23993"/>
      <c r="F23993"/>
      <c r="N23993" s="56"/>
    </row>
    <row r="23994" spans="1:14" x14ac:dyDescent="0.3">
      <c r="A23994" s="42"/>
      <c r="C23994" s="52"/>
      <c r="D23994"/>
      <c r="E23994"/>
      <c r="F23994"/>
      <c r="N23994" s="56"/>
    </row>
    <row r="23995" spans="1:14" x14ac:dyDescent="0.3">
      <c r="A23995" s="42"/>
      <c r="C23995" s="52"/>
      <c r="D23995"/>
      <c r="E23995"/>
      <c r="F23995"/>
      <c r="N23995" s="56"/>
    </row>
    <row r="23996" spans="1:14" x14ac:dyDescent="0.3">
      <c r="A23996" s="42"/>
      <c r="C23996" s="52"/>
      <c r="D23996"/>
      <c r="E23996"/>
      <c r="F23996"/>
      <c r="N23996" s="56"/>
    </row>
    <row r="23997" spans="1:14" x14ac:dyDescent="0.3">
      <c r="A23997" s="42"/>
      <c r="C23997" s="52"/>
      <c r="D23997"/>
      <c r="E23997"/>
      <c r="F23997"/>
      <c r="N23997" s="56"/>
    </row>
    <row r="23998" spans="1:14" x14ac:dyDescent="0.3">
      <c r="A23998" s="42"/>
      <c r="C23998" s="52"/>
      <c r="D23998"/>
      <c r="E23998"/>
      <c r="F23998"/>
      <c r="N23998" s="56"/>
    </row>
    <row r="23999" spans="1:14" x14ac:dyDescent="0.3">
      <c r="A23999" s="42"/>
      <c r="C23999" s="52"/>
      <c r="D23999"/>
      <c r="E23999"/>
      <c r="F23999"/>
      <c r="N23999" s="56"/>
    </row>
    <row r="24000" spans="1:14" x14ac:dyDescent="0.3">
      <c r="A24000" s="42"/>
      <c r="C24000" s="52"/>
      <c r="D24000"/>
      <c r="E24000"/>
      <c r="F24000"/>
      <c r="N24000" s="56"/>
    </row>
    <row r="24001" spans="1:14" x14ac:dyDescent="0.3">
      <c r="A24001" s="42"/>
      <c r="C24001" s="52"/>
      <c r="D24001"/>
      <c r="E24001"/>
      <c r="F24001"/>
      <c r="N24001" s="56"/>
    </row>
    <row r="24002" spans="1:14" x14ac:dyDescent="0.3">
      <c r="A24002" s="42"/>
      <c r="C24002" s="52"/>
      <c r="D24002"/>
      <c r="E24002"/>
      <c r="F24002"/>
      <c r="N24002" s="56"/>
    </row>
    <row r="24003" spans="1:14" x14ac:dyDescent="0.3">
      <c r="A24003" s="42"/>
      <c r="C24003" s="52"/>
      <c r="D24003"/>
      <c r="E24003"/>
      <c r="F24003"/>
      <c r="N24003" s="56"/>
    </row>
    <row r="24004" spans="1:14" x14ac:dyDescent="0.3">
      <c r="A24004" s="42"/>
      <c r="C24004" s="52"/>
      <c r="D24004"/>
      <c r="E24004"/>
      <c r="F24004"/>
      <c r="N24004" s="56"/>
    </row>
    <row r="24005" spans="1:14" x14ac:dyDescent="0.3">
      <c r="A24005" s="42"/>
      <c r="C24005" s="52"/>
      <c r="D24005"/>
      <c r="E24005"/>
      <c r="F24005"/>
      <c r="N24005" s="56"/>
    </row>
    <row r="24006" spans="1:14" x14ac:dyDescent="0.3">
      <c r="A24006" s="42"/>
      <c r="C24006" s="52"/>
      <c r="D24006"/>
      <c r="E24006"/>
      <c r="F24006"/>
      <c r="M24006" s="45"/>
      <c r="N24006" s="56"/>
    </row>
    <row r="24007" spans="1:14" x14ac:dyDescent="0.3">
      <c r="A24007" s="42"/>
      <c r="C24007" s="52"/>
      <c r="D24007"/>
      <c r="E24007"/>
      <c r="F24007"/>
      <c r="N24007" s="56"/>
    </row>
    <row r="24008" spans="1:14" x14ac:dyDescent="0.3">
      <c r="A24008" s="42"/>
      <c r="C24008" s="52"/>
      <c r="D24008"/>
      <c r="E24008"/>
      <c r="F24008"/>
      <c r="N24008" s="56"/>
    </row>
    <row r="24009" spans="1:14" x14ac:dyDescent="0.3">
      <c r="A24009" s="42"/>
      <c r="C24009" s="52"/>
      <c r="D24009"/>
      <c r="E24009"/>
      <c r="F24009"/>
      <c r="N24009" s="56"/>
    </row>
    <row r="24010" spans="1:14" x14ac:dyDescent="0.3">
      <c r="A24010" s="42"/>
      <c r="C24010" s="52"/>
      <c r="D24010"/>
      <c r="E24010"/>
      <c r="F24010"/>
      <c r="N24010" s="56"/>
    </row>
    <row r="24011" spans="1:14" x14ac:dyDescent="0.3">
      <c r="A24011" s="42"/>
      <c r="C24011" s="52"/>
      <c r="D24011"/>
      <c r="E24011"/>
      <c r="F24011"/>
      <c r="N24011" s="56"/>
    </row>
    <row r="24012" spans="1:14" x14ac:dyDescent="0.3">
      <c r="A24012" s="42"/>
      <c r="C24012" s="52"/>
      <c r="D24012"/>
      <c r="E24012"/>
      <c r="F24012"/>
      <c r="N24012" s="56"/>
    </row>
    <row r="24013" spans="1:14" x14ac:dyDescent="0.3">
      <c r="A24013" s="42"/>
      <c r="C24013" s="52"/>
      <c r="D24013"/>
      <c r="E24013"/>
      <c r="F24013"/>
      <c r="M24013" s="45"/>
      <c r="N24013" s="56"/>
    </row>
    <row r="24014" spans="1:14" x14ac:dyDescent="0.3">
      <c r="A24014" s="42"/>
      <c r="C24014" s="52"/>
      <c r="D24014"/>
      <c r="E24014"/>
      <c r="F24014"/>
      <c r="N24014" s="56"/>
    </row>
    <row r="24015" spans="1:14" x14ac:dyDescent="0.3">
      <c r="A24015" s="42"/>
      <c r="C24015" s="52"/>
      <c r="D24015"/>
      <c r="E24015"/>
      <c r="F24015"/>
      <c r="N24015" s="56"/>
    </row>
    <row r="24016" spans="1:14" x14ac:dyDescent="0.3">
      <c r="A24016" s="42"/>
      <c r="C24016" s="52"/>
      <c r="D24016"/>
      <c r="E24016"/>
      <c r="F24016"/>
      <c r="N24016" s="56"/>
    </row>
    <row r="24017" spans="1:14" x14ac:dyDescent="0.3">
      <c r="A24017" s="42"/>
      <c r="C24017" s="52"/>
      <c r="D24017"/>
      <c r="E24017"/>
      <c r="F24017"/>
      <c r="N24017" s="56"/>
    </row>
    <row r="24018" spans="1:14" x14ac:dyDescent="0.3">
      <c r="A24018" s="42"/>
      <c r="C24018" s="52"/>
      <c r="D24018"/>
      <c r="E24018"/>
      <c r="F24018"/>
      <c r="N24018" s="56"/>
    </row>
    <row r="24019" spans="1:14" x14ac:dyDescent="0.3">
      <c r="A24019" s="42"/>
      <c r="C24019" s="52"/>
      <c r="D24019"/>
      <c r="E24019"/>
      <c r="F24019"/>
      <c r="N24019" s="56"/>
    </row>
    <row r="24020" spans="1:14" x14ac:dyDescent="0.3">
      <c r="A24020" s="42"/>
      <c r="C24020" s="52"/>
      <c r="D24020"/>
      <c r="E24020"/>
      <c r="F24020"/>
      <c r="N24020" s="56"/>
    </row>
    <row r="24021" spans="1:14" x14ac:dyDescent="0.3">
      <c r="A24021" s="42"/>
      <c r="C24021" s="52"/>
      <c r="D24021"/>
      <c r="E24021"/>
      <c r="F24021"/>
      <c r="N24021" s="56"/>
    </row>
    <row r="24022" spans="1:14" x14ac:dyDescent="0.3">
      <c r="A24022" s="42"/>
      <c r="C24022" s="52"/>
      <c r="D24022"/>
      <c r="E24022"/>
      <c r="F24022"/>
      <c r="N24022" s="56"/>
    </row>
    <row r="24023" spans="1:14" x14ac:dyDescent="0.3">
      <c r="A24023" s="42"/>
      <c r="C24023" s="52"/>
      <c r="D24023"/>
      <c r="E24023"/>
      <c r="F24023"/>
      <c r="N24023" s="56"/>
    </row>
    <row r="24024" spans="1:14" x14ac:dyDescent="0.3">
      <c r="A24024" s="42"/>
      <c r="C24024" s="52"/>
      <c r="D24024"/>
      <c r="E24024"/>
      <c r="F24024"/>
      <c r="N24024" s="56"/>
    </row>
    <row r="24025" spans="1:14" x14ac:dyDescent="0.3">
      <c r="A24025" s="42"/>
      <c r="C24025" s="52"/>
      <c r="D24025"/>
      <c r="E24025"/>
      <c r="F24025"/>
      <c r="N24025" s="56"/>
    </row>
    <row r="24026" spans="1:14" x14ac:dyDescent="0.3">
      <c r="A24026" s="42"/>
      <c r="C24026" s="52"/>
      <c r="D24026"/>
      <c r="E24026"/>
      <c r="F24026"/>
      <c r="N24026" s="56"/>
    </row>
    <row r="24027" spans="1:14" x14ac:dyDescent="0.3">
      <c r="A24027" s="42"/>
      <c r="C24027" s="52"/>
      <c r="D24027"/>
      <c r="E24027"/>
      <c r="F24027"/>
      <c r="N24027" s="56"/>
    </row>
    <row r="24028" spans="1:14" x14ac:dyDescent="0.3">
      <c r="A24028" s="42"/>
      <c r="C24028" s="52"/>
      <c r="D24028"/>
      <c r="E24028"/>
      <c r="F24028"/>
      <c r="N24028" s="56"/>
    </row>
    <row r="24029" spans="1:14" x14ac:dyDescent="0.3">
      <c r="A24029" s="42"/>
      <c r="C24029" s="52"/>
      <c r="D24029"/>
      <c r="E24029"/>
      <c r="F24029"/>
      <c r="N24029" s="56"/>
    </row>
    <row r="24030" spans="1:14" x14ac:dyDescent="0.3">
      <c r="A24030" s="42"/>
      <c r="C24030" s="52"/>
      <c r="D24030"/>
      <c r="E24030"/>
      <c r="F24030"/>
      <c r="N24030" s="56"/>
    </row>
    <row r="24031" spans="1:14" x14ac:dyDescent="0.3">
      <c r="A24031" s="42"/>
      <c r="C24031" s="52"/>
      <c r="D24031"/>
      <c r="E24031"/>
      <c r="F24031"/>
      <c r="N24031" s="56"/>
    </row>
    <row r="24032" spans="1:14" x14ac:dyDescent="0.3">
      <c r="A24032" s="42"/>
      <c r="C24032" s="52"/>
      <c r="D24032"/>
      <c r="E24032"/>
      <c r="F24032"/>
      <c r="N24032" s="56"/>
    </row>
    <row r="24033" spans="1:14" x14ac:dyDescent="0.3">
      <c r="A24033" s="42"/>
      <c r="C24033" s="52"/>
      <c r="D24033"/>
      <c r="E24033"/>
      <c r="F24033"/>
      <c r="N24033" s="56"/>
    </row>
    <row r="24034" spans="1:14" x14ac:dyDescent="0.3">
      <c r="A24034" s="42"/>
      <c r="C24034" s="52"/>
      <c r="D24034"/>
      <c r="E24034"/>
      <c r="F24034"/>
      <c r="N24034" s="56"/>
    </row>
    <row r="24035" spans="1:14" x14ac:dyDescent="0.3">
      <c r="A24035" s="42"/>
      <c r="C24035" s="52"/>
      <c r="D24035"/>
      <c r="E24035"/>
      <c r="F24035"/>
      <c r="N24035" s="56"/>
    </row>
    <row r="24036" spans="1:14" x14ac:dyDescent="0.3">
      <c r="A24036" s="42"/>
      <c r="C24036" s="52"/>
      <c r="D24036"/>
      <c r="E24036"/>
      <c r="F24036"/>
      <c r="N24036" s="56"/>
    </row>
    <row r="24037" spans="1:14" x14ac:dyDescent="0.3">
      <c r="A24037" s="42"/>
      <c r="C24037" s="52"/>
      <c r="D24037"/>
      <c r="E24037"/>
      <c r="F24037"/>
      <c r="N24037" s="56"/>
    </row>
    <row r="24038" spans="1:14" x14ac:dyDescent="0.3">
      <c r="A24038" s="42"/>
      <c r="C24038" s="52"/>
      <c r="D24038"/>
      <c r="E24038"/>
      <c r="F24038"/>
      <c r="N24038" s="56"/>
    </row>
    <row r="24039" spans="1:14" x14ac:dyDescent="0.3">
      <c r="A24039" s="42"/>
      <c r="C24039" s="52"/>
      <c r="D24039"/>
      <c r="E24039"/>
      <c r="F24039"/>
      <c r="N24039" s="56"/>
    </row>
    <row r="24040" spans="1:14" x14ac:dyDescent="0.3">
      <c r="A24040" s="42"/>
      <c r="C24040" s="52"/>
      <c r="D24040"/>
      <c r="E24040"/>
      <c r="F24040"/>
      <c r="N24040" s="56"/>
    </row>
    <row r="24041" spans="1:14" x14ac:dyDescent="0.3">
      <c r="A24041" s="42"/>
      <c r="C24041" s="52"/>
      <c r="D24041"/>
      <c r="E24041"/>
      <c r="F24041"/>
      <c r="N24041" s="56"/>
    </row>
    <row r="24042" spans="1:14" x14ac:dyDescent="0.3">
      <c r="A24042" s="42"/>
      <c r="C24042" s="52"/>
      <c r="D24042"/>
      <c r="E24042"/>
      <c r="F24042"/>
      <c r="N24042" s="56"/>
    </row>
    <row r="24043" spans="1:14" x14ac:dyDescent="0.3">
      <c r="A24043" s="42"/>
      <c r="C24043" s="52"/>
      <c r="D24043"/>
      <c r="E24043"/>
      <c r="F24043"/>
      <c r="N24043" s="56"/>
    </row>
    <row r="24044" spans="1:14" x14ac:dyDescent="0.3">
      <c r="A24044" s="42"/>
      <c r="C24044" s="52"/>
      <c r="D24044"/>
      <c r="E24044"/>
      <c r="F24044"/>
      <c r="N24044" s="56"/>
    </row>
    <row r="24045" spans="1:14" x14ac:dyDescent="0.3">
      <c r="A24045" s="42"/>
      <c r="C24045" s="52"/>
      <c r="D24045"/>
      <c r="E24045"/>
      <c r="F24045"/>
      <c r="N24045" s="56"/>
    </row>
    <row r="24046" spans="1:14" x14ac:dyDescent="0.3">
      <c r="A24046" s="42"/>
      <c r="C24046" s="52"/>
      <c r="D24046"/>
      <c r="E24046"/>
      <c r="F24046"/>
      <c r="N24046" s="56"/>
    </row>
    <row r="24047" spans="1:14" x14ac:dyDescent="0.3">
      <c r="A24047" s="42"/>
      <c r="C24047" s="52"/>
      <c r="D24047"/>
      <c r="E24047"/>
      <c r="F24047"/>
      <c r="N24047" s="56"/>
    </row>
    <row r="24048" spans="1:14" x14ac:dyDescent="0.3">
      <c r="A24048" s="42"/>
      <c r="C24048" s="52"/>
      <c r="D24048"/>
      <c r="E24048"/>
      <c r="F24048"/>
      <c r="N24048" s="56"/>
    </row>
    <row r="24049" spans="1:14" x14ac:dyDescent="0.3">
      <c r="A24049" s="42"/>
      <c r="C24049" s="52"/>
      <c r="D24049"/>
      <c r="E24049"/>
      <c r="F24049"/>
      <c r="N24049" s="56"/>
    </row>
    <row r="24050" spans="1:14" x14ac:dyDescent="0.3">
      <c r="A24050" s="42"/>
      <c r="C24050" s="52"/>
      <c r="D24050"/>
      <c r="E24050"/>
      <c r="F24050"/>
      <c r="N24050" s="56"/>
    </row>
    <row r="24051" spans="1:14" x14ac:dyDescent="0.3">
      <c r="A24051" s="42"/>
      <c r="C24051" s="52"/>
      <c r="D24051"/>
      <c r="E24051"/>
      <c r="F24051"/>
      <c r="N24051" s="56"/>
    </row>
    <row r="24052" spans="1:14" x14ac:dyDescent="0.3">
      <c r="A24052" s="42"/>
      <c r="C24052" s="52"/>
      <c r="D24052"/>
      <c r="E24052"/>
      <c r="F24052"/>
      <c r="N24052" s="56"/>
    </row>
    <row r="24053" spans="1:14" x14ac:dyDescent="0.3">
      <c r="A24053" s="42"/>
      <c r="C24053" s="52"/>
      <c r="D24053"/>
      <c r="E24053"/>
      <c r="F24053"/>
      <c r="N24053" s="56"/>
    </row>
    <row r="24054" spans="1:14" x14ac:dyDescent="0.3">
      <c r="A24054" s="42"/>
      <c r="C24054" s="52"/>
      <c r="D24054"/>
      <c r="E24054"/>
      <c r="F24054"/>
      <c r="N24054" s="56"/>
    </row>
    <row r="24055" spans="1:14" x14ac:dyDescent="0.3">
      <c r="A24055" s="42"/>
      <c r="C24055" s="52"/>
      <c r="D24055"/>
      <c r="E24055"/>
      <c r="F24055"/>
      <c r="N24055" s="56"/>
    </row>
    <row r="24056" spans="1:14" x14ac:dyDescent="0.3">
      <c r="A24056" s="42"/>
      <c r="C24056" s="52"/>
      <c r="D24056"/>
      <c r="E24056"/>
      <c r="F24056"/>
      <c r="N24056" s="56"/>
    </row>
    <row r="24057" spans="1:14" x14ac:dyDescent="0.3">
      <c r="A24057" s="42"/>
      <c r="C24057" s="52"/>
      <c r="D24057"/>
      <c r="E24057"/>
      <c r="F24057"/>
      <c r="N24057" s="56"/>
    </row>
    <row r="24058" spans="1:14" x14ac:dyDescent="0.3">
      <c r="A24058" s="42"/>
      <c r="C24058" s="52"/>
      <c r="D24058"/>
      <c r="E24058"/>
      <c r="F24058"/>
      <c r="N24058" s="56"/>
    </row>
    <row r="24059" spans="1:14" x14ac:dyDescent="0.3">
      <c r="A24059" s="42"/>
      <c r="C24059" s="52"/>
      <c r="D24059"/>
      <c r="E24059"/>
      <c r="F24059"/>
      <c r="N24059" s="56"/>
    </row>
    <row r="24060" spans="1:14" x14ac:dyDescent="0.3">
      <c r="A24060" s="42"/>
      <c r="C24060" s="52"/>
      <c r="D24060"/>
      <c r="E24060"/>
      <c r="F24060"/>
      <c r="N24060" s="56"/>
    </row>
    <row r="24061" spans="1:14" x14ac:dyDescent="0.3">
      <c r="A24061" s="42"/>
      <c r="C24061" s="52"/>
      <c r="D24061"/>
      <c r="E24061"/>
      <c r="F24061"/>
      <c r="N24061" s="56"/>
    </row>
    <row r="24062" spans="1:14" x14ac:dyDescent="0.3">
      <c r="A24062" s="42"/>
      <c r="C24062" s="52"/>
      <c r="D24062"/>
      <c r="E24062"/>
      <c r="F24062"/>
      <c r="N24062" s="56"/>
    </row>
    <row r="24063" spans="1:14" x14ac:dyDescent="0.3">
      <c r="A24063" s="42"/>
      <c r="C24063" s="52"/>
      <c r="D24063"/>
      <c r="E24063"/>
      <c r="F24063"/>
      <c r="N24063" s="56"/>
    </row>
    <row r="24064" spans="1:14" x14ac:dyDescent="0.3">
      <c r="A24064" s="42"/>
      <c r="C24064" s="52"/>
      <c r="D24064"/>
      <c r="E24064"/>
      <c r="F24064"/>
      <c r="N24064" s="56"/>
    </row>
    <row r="24065" spans="1:14" x14ac:dyDescent="0.3">
      <c r="A24065" s="42"/>
      <c r="C24065" s="52"/>
      <c r="D24065"/>
      <c r="E24065"/>
      <c r="F24065"/>
      <c r="N24065" s="56"/>
    </row>
    <row r="24066" spans="1:14" x14ac:dyDescent="0.3">
      <c r="A24066" s="42"/>
      <c r="C24066" s="52"/>
      <c r="D24066"/>
      <c r="E24066"/>
      <c r="F24066"/>
      <c r="N24066" s="56"/>
    </row>
    <row r="24067" spans="1:14" x14ac:dyDescent="0.3">
      <c r="A24067" s="42"/>
      <c r="C24067" s="52"/>
      <c r="D24067"/>
      <c r="E24067"/>
      <c r="F24067"/>
      <c r="N24067" s="56"/>
    </row>
    <row r="24068" spans="1:14" x14ac:dyDescent="0.3">
      <c r="A24068" s="42"/>
      <c r="C24068" s="52"/>
      <c r="D24068"/>
      <c r="E24068"/>
      <c r="F24068"/>
      <c r="N24068" s="56"/>
    </row>
    <row r="24069" spans="1:14" x14ac:dyDescent="0.3">
      <c r="A24069" s="42"/>
      <c r="C24069" s="52"/>
      <c r="D24069"/>
      <c r="E24069"/>
      <c r="F24069"/>
      <c r="N24069" s="56"/>
    </row>
    <row r="24070" spans="1:14" x14ac:dyDescent="0.3">
      <c r="A24070" s="42"/>
      <c r="C24070" s="52"/>
      <c r="D24070"/>
      <c r="E24070"/>
      <c r="F24070"/>
      <c r="N24070" s="56"/>
    </row>
    <row r="24071" spans="1:14" x14ac:dyDescent="0.3">
      <c r="A24071" s="42"/>
      <c r="C24071" s="52"/>
      <c r="D24071"/>
      <c r="E24071"/>
      <c r="F24071"/>
      <c r="N24071" s="56"/>
    </row>
    <row r="24072" spans="1:14" x14ac:dyDescent="0.3">
      <c r="A24072" s="42"/>
      <c r="C24072" s="52"/>
      <c r="D24072"/>
      <c r="E24072"/>
      <c r="F24072"/>
      <c r="N24072" s="56"/>
    </row>
    <row r="24073" spans="1:14" x14ac:dyDescent="0.3">
      <c r="A24073" s="42"/>
      <c r="C24073" s="52"/>
      <c r="D24073"/>
      <c r="E24073"/>
      <c r="F24073"/>
      <c r="N24073" s="56"/>
    </row>
    <row r="24074" spans="1:14" x14ac:dyDescent="0.3">
      <c r="A24074" s="42"/>
      <c r="C24074" s="52"/>
      <c r="D24074"/>
      <c r="E24074"/>
      <c r="F24074"/>
      <c r="N24074" s="56"/>
    </row>
    <row r="24075" spans="1:14" x14ac:dyDescent="0.3">
      <c r="A24075" s="42"/>
      <c r="C24075" s="52"/>
      <c r="D24075"/>
      <c r="E24075"/>
      <c r="F24075"/>
      <c r="N24075" s="56"/>
    </row>
    <row r="24076" spans="1:14" x14ac:dyDescent="0.3">
      <c r="A24076" s="42"/>
      <c r="C24076" s="52"/>
      <c r="D24076"/>
      <c r="E24076"/>
      <c r="F24076"/>
      <c r="N24076" s="56"/>
    </row>
    <row r="24077" spans="1:14" x14ac:dyDescent="0.3">
      <c r="A24077" s="42"/>
      <c r="C24077" s="52"/>
      <c r="D24077"/>
      <c r="E24077"/>
      <c r="F24077"/>
      <c r="N24077" s="56"/>
    </row>
    <row r="24078" spans="1:14" x14ac:dyDescent="0.3">
      <c r="A24078" s="42"/>
      <c r="C24078" s="52"/>
      <c r="D24078"/>
      <c r="E24078"/>
      <c r="F24078"/>
      <c r="N24078" s="56"/>
    </row>
    <row r="24079" spans="1:14" x14ac:dyDescent="0.3">
      <c r="A24079" s="42"/>
      <c r="C24079" s="52"/>
      <c r="D24079"/>
      <c r="E24079"/>
      <c r="F24079"/>
      <c r="N24079" s="56"/>
    </row>
    <row r="24080" spans="1:14" x14ac:dyDescent="0.3">
      <c r="A24080" s="42"/>
      <c r="C24080" s="52"/>
      <c r="D24080"/>
      <c r="E24080"/>
      <c r="F24080"/>
      <c r="N24080" s="56"/>
    </row>
    <row r="24081" spans="1:14" x14ac:dyDescent="0.3">
      <c r="A24081" s="42"/>
      <c r="C24081" s="52"/>
      <c r="D24081"/>
      <c r="E24081"/>
      <c r="F24081"/>
      <c r="N24081" s="56"/>
    </row>
    <row r="24082" spans="1:14" x14ac:dyDescent="0.3">
      <c r="A24082" s="42"/>
      <c r="C24082" s="52"/>
      <c r="D24082"/>
      <c r="E24082"/>
      <c r="F24082"/>
      <c r="N24082" s="56"/>
    </row>
    <row r="24083" spans="1:14" x14ac:dyDescent="0.3">
      <c r="A24083" s="42"/>
      <c r="C24083" s="52"/>
      <c r="D24083"/>
      <c r="E24083"/>
      <c r="F24083"/>
      <c r="N24083" s="56"/>
    </row>
    <row r="24084" spans="1:14" x14ac:dyDescent="0.3">
      <c r="A24084" s="42"/>
      <c r="C24084" s="52"/>
      <c r="D24084"/>
      <c r="E24084"/>
      <c r="F24084"/>
      <c r="N24084" s="56"/>
    </row>
    <row r="24085" spans="1:14" x14ac:dyDescent="0.3">
      <c r="A24085" s="42"/>
      <c r="C24085" s="52"/>
      <c r="D24085"/>
      <c r="E24085"/>
      <c r="F24085"/>
      <c r="N24085" s="56"/>
    </row>
    <row r="24086" spans="1:14" x14ac:dyDescent="0.3">
      <c r="A24086" s="42"/>
      <c r="C24086" s="52"/>
      <c r="D24086"/>
      <c r="E24086"/>
      <c r="F24086"/>
      <c r="N24086" s="56"/>
    </row>
    <row r="24087" spans="1:14" x14ac:dyDescent="0.3">
      <c r="A24087" s="42"/>
      <c r="C24087" s="52"/>
      <c r="D24087"/>
      <c r="E24087"/>
      <c r="F24087"/>
      <c r="N24087" s="56"/>
    </row>
    <row r="24088" spans="1:14" x14ac:dyDescent="0.3">
      <c r="A24088" s="42"/>
      <c r="C24088" s="52"/>
      <c r="D24088"/>
      <c r="E24088"/>
      <c r="F24088"/>
      <c r="N24088" s="56"/>
    </row>
    <row r="24089" spans="1:14" x14ac:dyDescent="0.3">
      <c r="A24089" s="42"/>
      <c r="C24089" s="52"/>
      <c r="D24089"/>
      <c r="E24089"/>
      <c r="F24089"/>
      <c r="N24089" s="56"/>
    </row>
    <row r="24090" spans="1:14" x14ac:dyDescent="0.3">
      <c r="A24090" s="42"/>
      <c r="C24090" s="52"/>
      <c r="D24090"/>
      <c r="E24090"/>
      <c r="F24090"/>
      <c r="N24090" s="56"/>
    </row>
    <row r="24091" spans="1:14" x14ac:dyDescent="0.3">
      <c r="A24091" s="42"/>
      <c r="C24091" s="52"/>
      <c r="D24091"/>
      <c r="E24091"/>
      <c r="F24091"/>
      <c r="N24091" s="56"/>
    </row>
    <row r="24092" spans="1:14" x14ac:dyDescent="0.3">
      <c r="A24092" s="42"/>
      <c r="C24092" s="52"/>
      <c r="D24092"/>
      <c r="E24092"/>
      <c r="F24092"/>
      <c r="N24092" s="56"/>
    </row>
    <row r="24093" spans="1:14" x14ac:dyDescent="0.3">
      <c r="A24093" s="42"/>
      <c r="C24093" s="52"/>
      <c r="D24093"/>
      <c r="E24093"/>
      <c r="F24093"/>
      <c r="N24093" s="56"/>
    </row>
    <row r="24094" spans="1:14" x14ac:dyDescent="0.3">
      <c r="A24094" s="42"/>
      <c r="C24094" s="52"/>
      <c r="D24094"/>
      <c r="E24094"/>
      <c r="F24094"/>
      <c r="N24094" s="56"/>
    </row>
    <row r="24095" spans="1:14" x14ac:dyDescent="0.3">
      <c r="A24095" s="42"/>
      <c r="C24095" s="52"/>
      <c r="D24095"/>
      <c r="E24095"/>
      <c r="F24095"/>
      <c r="N24095" s="56"/>
    </row>
    <row r="24096" spans="1:14" x14ac:dyDescent="0.3">
      <c r="A24096" s="42"/>
      <c r="C24096" s="52"/>
      <c r="D24096"/>
      <c r="E24096"/>
      <c r="F24096"/>
      <c r="N24096" s="56"/>
    </row>
    <row r="24097" spans="1:14" x14ac:dyDescent="0.3">
      <c r="A24097" s="42"/>
      <c r="C24097" s="52"/>
      <c r="D24097"/>
      <c r="E24097"/>
      <c r="F24097"/>
      <c r="N24097" s="56"/>
    </row>
    <row r="24098" spans="1:14" x14ac:dyDescent="0.3">
      <c r="A24098" s="42"/>
      <c r="C24098" s="52"/>
      <c r="D24098"/>
      <c r="E24098"/>
      <c r="F24098"/>
      <c r="N24098" s="56"/>
    </row>
    <row r="24099" spans="1:14" x14ac:dyDescent="0.3">
      <c r="A24099" s="42"/>
      <c r="C24099" s="52"/>
      <c r="D24099"/>
      <c r="E24099"/>
      <c r="F24099"/>
      <c r="N24099" s="56"/>
    </row>
    <row r="24100" spans="1:14" x14ac:dyDescent="0.3">
      <c r="A24100" s="42"/>
      <c r="C24100" s="52"/>
      <c r="D24100"/>
      <c r="E24100"/>
      <c r="F24100"/>
      <c r="N24100" s="56"/>
    </row>
    <row r="24101" spans="1:14" x14ac:dyDescent="0.3">
      <c r="A24101" s="42"/>
      <c r="C24101" s="52"/>
      <c r="D24101"/>
      <c r="E24101"/>
      <c r="F24101"/>
      <c r="N24101" s="56"/>
    </row>
    <row r="24102" spans="1:14" x14ac:dyDescent="0.3">
      <c r="A24102" s="42"/>
      <c r="C24102" s="52"/>
      <c r="D24102"/>
      <c r="E24102"/>
      <c r="F24102"/>
      <c r="N24102" s="56"/>
    </row>
    <row r="24103" spans="1:14" x14ac:dyDescent="0.3">
      <c r="A24103" s="42"/>
      <c r="C24103" s="52"/>
      <c r="D24103"/>
      <c r="E24103"/>
      <c r="F24103"/>
      <c r="N24103" s="56"/>
    </row>
    <row r="24104" spans="1:14" x14ac:dyDescent="0.3">
      <c r="A24104" s="42"/>
      <c r="C24104" s="52"/>
      <c r="D24104"/>
      <c r="E24104"/>
      <c r="F24104"/>
      <c r="N24104" s="56"/>
    </row>
    <row r="24105" spans="1:14" x14ac:dyDescent="0.3">
      <c r="A24105" s="42"/>
      <c r="C24105" s="52"/>
      <c r="D24105"/>
      <c r="E24105"/>
      <c r="F24105"/>
      <c r="N24105" s="56"/>
    </row>
    <row r="24106" spans="1:14" x14ac:dyDescent="0.3">
      <c r="A24106" s="42"/>
      <c r="C24106" s="52"/>
      <c r="D24106"/>
      <c r="E24106"/>
      <c r="F24106"/>
      <c r="N24106" s="56"/>
    </row>
    <row r="24107" spans="1:14" x14ac:dyDescent="0.3">
      <c r="A24107" s="42"/>
      <c r="C24107" s="52"/>
      <c r="D24107"/>
      <c r="E24107"/>
      <c r="F24107"/>
      <c r="N24107" s="56"/>
    </row>
    <row r="24108" spans="1:14" x14ac:dyDescent="0.3">
      <c r="A24108" s="42"/>
      <c r="C24108" s="52"/>
      <c r="D24108"/>
      <c r="E24108"/>
      <c r="F24108"/>
      <c r="N24108" s="56"/>
    </row>
    <row r="24109" spans="1:14" x14ac:dyDescent="0.3">
      <c r="A24109" s="42"/>
      <c r="C24109" s="52"/>
      <c r="D24109"/>
      <c r="E24109"/>
      <c r="F24109"/>
      <c r="N24109" s="56"/>
    </row>
    <row r="24110" spans="1:14" x14ac:dyDescent="0.3">
      <c r="A24110" s="42"/>
      <c r="C24110" s="52"/>
      <c r="D24110"/>
      <c r="E24110"/>
      <c r="F24110"/>
      <c r="N24110" s="56"/>
    </row>
    <row r="24111" spans="1:14" x14ac:dyDescent="0.3">
      <c r="A24111" s="42"/>
      <c r="C24111" s="52"/>
      <c r="D24111"/>
      <c r="E24111"/>
      <c r="F24111"/>
      <c r="N24111" s="56"/>
    </row>
    <row r="24112" spans="1:14" x14ac:dyDescent="0.3">
      <c r="A24112" s="42"/>
      <c r="C24112" s="52"/>
      <c r="D24112"/>
      <c r="E24112"/>
      <c r="F24112"/>
      <c r="N24112" s="56"/>
    </row>
    <row r="24113" spans="1:14" x14ac:dyDescent="0.3">
      <c r="A24113" s="42"/>
      <c r="C24113" s="52"/>
      <c r="D24113"/>
      <c r="E24113"/>
      <c r="F24113"/>
      <c r="N24113" s="56"/>
    </row>
    <row r="24114" spans="1:14" x14ac:dyDescent="0.3">
      <c r="A24114" s="42"/>
      <c r="C24114" s="52"/>
      <c r="D24114"/>
      <c r="E24114"/>
      <c r="F24114"/>
      <c r="N24114" s="56"/>
    </row>
    <row r="24115" spans="1:14" x14ac:dyDescent="0.3">
      <c r="A24115" s="42"/>
      <c r="C24115" s="52"/>
      <c r="D24115"/>
      <c r="E24115"/>
      <c r="F24115"/>
      <c r="N24115" s="56"/>
    </row>
    <row r="24116" spans="1:14" x14ac:dyDescent="0.3">
      <c r="A24116" s="42"/>
      <c r="C24116" s="52"/>
      <c r="D24116"/>
      <c r="E24116"/>
      <c r="F24116"/>
      <c r="N24116" s="56"/>
    </row>
    <row r="24117" spans="1:14" x14ac:dyDescent="0.3">
      <c r="A24117" s="42"/>
      <c r="C24117" s="52"/>
      <c r="D24117"/>
      <c r="E24117"/>
      <c r="F24117"/>
      <c r="N24117" s="56"/>
    </row>
    <row r="24118" spans="1:14" x14ac:dyDescent="0.3">
      <c r="A24118" s="42"/>
      <c r="C24118" s="52"/>
      <c r="D24118"/>
      <c r="E24118"/>
      <c r="F24118"/>
      <c r="N24118" s="56"/>
    </row>
    <row r="24119" spans="1:14" x14ac:dyDescent="0.3">
      <c r="A24119" s="42"/>
      <c r="C24119" s="52"/>
      <c r="D24119"/>
      <c r="E24119"/>
      <c r="F24119"/>
      <c r="N24119" s="56"/>
    </row>
    <row r="24120" spans="1:14" x14ac:dyDescent="0.3">
      <c r="A24120" s="42"/>
      <c r="C24120" s="52"/>
      <c r="D24120"/>
      <c r="E24120"/>
      <c r="F24120"/>
      <c r="N24120" s="56"/>
    </row>
    <row r="24121" spans="1:14" x14ac:dyDescent="0.3">
      <c r="A24121" s="42"/>
      <c r="C24121" s="52"/>
      <c r="D24121"/>
      <c r="E24121"/>
      <c r="F24121"/>
      <c r="N24121" s="56"/>
    </row>
    <row r="24122" spans="1:14" x14ac:dyDescent="0.3">
      <c r="A24122" s="42"/>
      <c r="C24122" s="52"/>
      <c r="D24122"/>
      <c r="E24122"/>
      <c r="F24122"/>
      <c r="N24122" s="56"/>
    </row>
    <row r="24123" spans="1:14" x14ac:dyDescent="0.3">
      <c r="A24123" s="42"/>
      <c r="C24123" s="52"/>
      <c r="D24123"/>
      <c r="E24123"/>
      <c r="F24123"/>
      <c r="N24123" s="56"/>
    </row>
    <row r="24124" spans="1:14" x14ac:dyDescent="0.3">
      <c r="A24124" s="42"/>
      <c r="C24124" s="52"/>
      <c r="D24124"/>
      <c r="E24124"/>
      <c r="F24124"/>
      <c r="N24124" s="56"/>
    </row>
    <row r="24125" spans="1:14" x14ac:dyDescent="0.3">
      <c r="A24125" s="42"/>
      <c r="C24125" s="52"/>
      <c r="D24125"/>
      <c r="E24125"/>
      <c r="F24125"/>
      <c r="M24125" s="45"/>
      <c r="N24125" s="56"/>
    </row>
    <row r="24126" spans="1:14" x14ac:dyDescent="0.3">
      <c r="A24126" s="42"/>
      <c r="C24126" s="52"/>
      <c r="D24126"/>
      <c r="E24126"/>
      <c r="F24126"/>
      <c r="N24126" s="56"/>
    </row>
    <row r="24127" spans="1:14" x14ac:dyDescent="0.3">
      <c r="A24127" s="42"/>
      <c r="C24127" s="52"/>
      <c r="D24127"/>
      <c r="E24127"/>
      <c r="F24127"/>
      <c r="N24127" s="56"/>
    </row>
    <row r="24128" spans="1:14" x14ac:dyDescent="0.3">
      <c r="A24128" s="42"/>
      <c r="C24128" s="52"/>
      <c r="D24128"/>
      <c r="E24128"/>
      <c r="F24128"/>
      <c r="N24128" s="56"/>
    </row>
    <row r="24129" spans="1:14" x14ac:dyDescent="0.3">
      <c r="A24129" s="42"/>
      <c r="C24129" s="52"/>
      <c r="D24129"/>
      <c r="E24129"/>
      <c r="F24129"/>
      <c r="N24129" s="56"/>
    </row>
    <row r="24130" spans="1:14" x14ac:dyDescent="0.3">
      <c r="A24130" s="42"/>
      <c r="C24130" s="52"/>
      <c r="D24130"/>
      <c r="E24130"/>
      <c r="F24130"/>
      <c r="N24130" s="56"/>
    </row>
    <row r="24131" spans="1:14" x14ac:dyDescent="0.3">
      <c r="A24131" s="42"/>
      <c r="C24131" s="52"/>
      <c r="D24131"/>
      <c r="E24131"/>
      <c r="F24131"/>
      <c r="N24131" s="56"/>
    </row>
    <row r="24132" spans="1:14" x14ac:dyDescent="0.3">
      <c r="A24132" s="42"/>
      <c r="C24132" s="52"/>
      <c r="D24132"/>
      <c r="E24132"/>
      <c r="F24132"/>
      <c r="N24132" s="56"/>
    </row>
    <row r="24133" spans="1:14" x14ac:dyDescent="0.3">
      <c r="A24133" s="42"/>
      <c r="C24133" s="52"/>
      <c r="D24133"/>
      <c r="E24133"/>
      <c r="F24133"/>
      <c r="N24133" s="56"/>
    </row>
    <row r="24134" spans="1:14" x14ac:dyDescent="0.3">
      <c r="A24134" s="42"/>
      <c r="C24134" s="52"/>
      <c r="D24134"/>
      <c r="E24134"/>
      <c r="F24134"/>
      <c r="N24134" s="56"/>
    </row>
    <row r="24135" spans="1:14" x14ac:dyDescent="0.3">
      <c r="A24135" s="42"/>
      <c r="C24135" s="52"/>
      <c r="D24135"/>
      <c r="E24135"/>
      <c r="F24135"/>
      <c r="N24135" s="56"/>
    </row>
    <row r="24136" spans="1:14" x14ac:dyDescent="0.3">
      <c r="A24136" s="42"/>
      <c r="C24136" s="52"/>
      <c r="D24136"/>
      <c r="E24136"/>
      <c r="F24136"/>
      <c r="N24136" s="56"/>
    </row>
    <row r="24137" spans="1:14" x14ac:dyDescent="0.3">
      <c r="A24137" s="42"/>
      <c r="C24137" s="52"/>
      <c r="D24137"/>
      <c r="E24137"/>
      <c r="F24137"/>
      <c r="N24137" s="56"/>
    </row>
    <row r="24138" spans="1:14" x14ac:dyDescent="0.3">
      <c r="A24138" s="42"/>
      <c r="C24138" s="52"/>
      <c r="D24138"/>
      <c r="E24138"/>
      <c r="F24138"/>
      <c r="N24138" s="56"/>
    </row>
    <row r="24139" spans="1:14" x14ac:dyDescent="0.3">
      <c r="A24139" s="42"/>
      <c r="C24139" s="52"/>
      <c r="D24139"/>
      <c r="E24139"/>
      <c r="F24139"/>
      <c r="N24139" s="56"/>
    </row>
    <row r="24140" spans="1:14" x14ac:dyDescent="0.3">
      <c r="A24140" s="42"/>
      <c r="C24140" s="52"/>
      <c r="D24140"/>
      <c r="E24140"/>
      <c r="F24140"/>
      <c r="N24140" s="56"/>
    </row>
    <row r="24141" spans="1:14" x14ac:dyDescent="0.3">
      <c r="A24141" s="42"/>
      <c r="C24141" s="52"/>
      <c r="D24141"/>
      <c r="E24141"/>
      <c r="F24141"/>
      <c r="N24141" s="56"/>
    </row>
    <row r="24142" spans="1:14" x14ac:dyDescent="0.3">
      <c r="A24142" s="42"/>
      <c r="C24142" s="52"/>
      <c r="D24142"/>
      <c r="E24142"/>
      <c r="F24142"/>
      <c r="N24142" s="56"/>
    </row>
    <row r="24143" spans="1:14" x14ac:dyDescent="0.3">
      <c r="A24143" s="42"/>
      <c r="C24143" s="52"/>
      <c r="D24143"/>
      <c r="E24143"/>
      <c r="F24143"/>
      <c r="N24143" s="56"/>
    </row>
    <row r="24144" spans="1:14" x14ac:dyDescent="0.3">
      <c r="A24144" s="42"/>
      <c r="C24144" s="52"/>
      <c r="D24144"/>
      <c r="E24144"/>
      <c r="F24144"/>
      <c r="N24144" s="56"/>
    </row>
    <row r="24145" spans="1:14" x14ac:dyDescent="0.3">
      <c r="A24145" s="42"/>
      <c r="C24145" s="52"/>
      <c r="D24145"/>
      <c r="E24145"/>
      <c r="F24145"/>
      <c r="N24145" s="56"/>
    </row>
    <row r="24146" spans="1:14" x14ac:dyDescent="0.3">
      <c r="A24146" s="42"/>
      <c r="C24146" s="52"/>
      <c r="D24146"/>
      <c r="E24146"/>
      <c r="F24146"/>
      <c r="N24146" s="56"/>
    </row>
    <row r="24147" spans="1:14" x14ac:dyDescent="0.3">
      <c r="A24147" s="42"/>
      <c r="C24147" s="52"/>
      <c r="D24147"/>
      <c r="E24147"/>
      <c r="F24147"/>
      <c r="N24147" s="56"/>
    </row>
    <row r="24148" spans="1:14" x14ac:dyDescent="0.3">
      <c r="A24148" s="42"/>
      <c r="C24148" s="52"/>
      <c r="D24148"/>
      <c r="E24148"/>
      <c r="F24148"/>
      <c r="N24148" s="56"/>
    </row>
    <row r="24149" spans="1:14" x14ac:dyDescent="0.3">
      <c r="A24149" s="42"/>
      <c r="C24149" s="52"/>
      <c r="D24149"/>
      <c r="E24149"/>
      <c r="F24149"/>
      <c r="N24149" s="56"/>
    </row>
    <row r="24150" spans="1:14" x14ac:dyDescent="0.3">
      <c r="A24150" s="42"/>
      <c r="C24150" s="52"/>
      <c r="D24150"/>
      <c r="E24150"/>
      <c r="F24150"/>
      <c r="N24150" s="56"/>
    </row>
    <row r="24151" spans="1:14" x14ac:dyDescent="0.3">
      <c r="A24151" s="42"/>
      <c r="C24151" s="52"/>
      <c r="D24151"/>
      <c r="E24151"/>
      <c r="F24151"/>
      <c r="N24151" s="56"/>
    </row>
    <row r="24152" spans="1:14" x14ac:dyDescent="0.3">
      <c r="A24152" s="42"/>
      <c r="C24152" s="52"/>
      <c r="D24152"/>
      <c r="E24152"/>
      <c r="F24152"/>
      <c r="N24152" s="56"/>
    </row>
    <row r="24153" spans="1:14" x14ac:dyDescent="0.3">
      <c r="A24153" s="42"/>
      <c r="C24153" s="52"/>
      <c r="D24153"/>
      <c r="E24153"/>
      <c r="F24153"/>
      <c r="N24153" s="56"/>
    </row>
    <row r="24154" spans="1:14" x14ac:dyDescent="0.3">
      <c r="A24154" s="42"/>
      <c r="C24154" s="52"/>
      <c r="D24154"/>
      <c r="E24154"/>
      <c r="F24154"/>
      <c r="N24154" s="56"/>
    </row>
    <row r="24155" spans="1:14" x14ac:dyDescent="0.3">
      <c r="A24155" s="42"/>
      <c r="C24155" s="52"/>
      <c r="D24155"/>
      <c r="E24155"/>
      <c r="F24155"/>
      <c r="N24155" s="56"/>
    </row>
    <row r="24156" spans="1:14" x14ac:dyDescent="0.3">
      <c r="A24156" s="42"/>
      <c r="C24156" s="52"/>
      <c r="D24156"/>
      <c r="E24156"/>
      <c r="F24156"/>
      <c r="N24156" s="56"/>
    </row>
    <row r="24157" spans="1:14" x14ac:dyDescent="0.3">
      <c r="A24157" s="42"/>
      <c r="C24157" s="52"/>
      <c r="D24157"/>
      <c r="E24157"/>
      <c r="F24157"/>
      <c r="N24157" s="56"/>
    </row>
    <row r="24158" spans="1:14" x14ac:dyDescent="0.3">
      <c r="A24158" s="42"/>
      <c r="C24158" s="52"/>
      <c r="D24158"/>
      <c r="E24158"/>
      <c r="F24158"/>
      <c r="N24158" s="56"/>
    </row>
    <row r="24159" spans="1:14" x14ac:dyDescent="0.3">
      <c r="A24159" s="42"/>
      <c r="C24159" s="52"/>
      <c r="D24159"/>
      <c r="E24159"/>
      <c r="F24159"/>
      <c r="N24159" s="56"/>
    </row>
    <row r="24160" spans="1:14" x14ac:dyDescent="0.3">
      <c r="A24160" s="42"/>
      <c r="C24160" s="52"/>
      <c r="D24160"/>
      <c r="E24160"/>
      <c r="F24160"/>
      <c r="N24160" s="56"/>
    </row>
    <row r="24161" spans="1:14" x14ac:dyDescent="0.3">
      <c r="A24161" s="42"/>
      <c r="C24161" s="52"/>
      <c r="D24161"/>
      <c r="E24161"/>
      <c r="F24161"/>
      <c r="N24161" s="56"/>
    </row>
    <row r="24162" spans="1:14" x14ac:dyDescent="0.3">
      <c r="A24162" s="42"/>
      <c r="C24162" s="52"/>
      <c r="D24162"/>
      <c r="E24162"/>
      <c r="F24162"/>
      <c r="N24162" s="56"/>
    </row>
    <row r="24163" spans="1:14" x14ac:dyDescent="0.3">
      <c r="A24163" s="42"/>
      <c r="C24163" s="52"/>
      <c r="D24163"/>
      <c r="E24163"/>
      <c r="F24163"/>
      <c r="N24163" s="56"/>
    </row>
    <row r="24164" spans="1:14" x14ac:dyDescent="0.3">
      <c r="A24164" s="42"/>
      <c r="C24164" s="52"/>
      <c r="D24164"/>
      <c r="E24164"/>
      <c r="F24164"/>
      <c r="N24164" s="56"/>
    </row>
    <row r="24165" spans="1:14" x14ac:dyDescent="0.3">
      <c r="A24165" s="42"/>
      <c r="C24165" s="52"/>
      <c r="D24165"/>
      <c r="E24165"/>
      <c r="F24165"/>
      <c r="N24165" s="56"/>
    </row>
    <row r="24166" spans="1:14" x14ac:dyDescent="0.3">
      <c r="A24166" s="42"/>
      <c r="C24166" s="52"/>
      <c r="D24166"/>
      <c r="E24166"/>
      <c r="F24166"/>
      <c r="N24166" s="56"/>
    </row>
    <row r="24167" spans="1:14" x14ac:dyDescent="0.3">
      <c r="A24167" s="42"/>
      <c r="C24167" s="52"/>
      <c r="D24167"/>
      <c r="E24167"/>
      <c r="F24167"/>
      <c r="N24167" s="56"/>
    </row>
    <row r="24168" spans="1:14" x14ac:dyDescent="0.3">
      <c r="A24168" s="42"/>
      <c r="C24168" s="52"/>
      <c r="D24168"/>
      <c r="E24168"/>
      <c r="F24168"/>
      <c r="N24168" s="56"/>
    </row>
    <row r="24169" spans="1:14" x14ac:dyDescent="0.3">
      <c r="A24169" s="42"/>
      <c r="C24169" s="52"/>
      <c r="D24169"/>
      <c r="E24169"/>
      <c r="F24169"/>
      <c r="M24169" s="45"/>
      <c r="N24169" s="56"/>
    </row>
    <row r="24170" spans="1:14" x14ac:dyDescent="0.3">
      <c r="A24170" s="42"/>
      <c r="C24170" s="52"/>
      <c r="D24170"/>
      <c r="E24170"/>
      <c r="F24170"/>
      <c r="N24170" s="56"/>
    </row>
    <row r="24171" spans="1:14" x14ac:dyDescent="0.3">
      <c r="A24171" s="42"/>
      <c r="C24171" s="52"/>
      <c r="D24171"/>
      <c r="E24171"/>
      <c r="F24171"/>
      <c r="N24171" s="56"/>
    </row>
    <row r="24172" spans="1:14" x14ac:dyDescent="0.3">
      <c r="A24172" s="42"/>
      <c r="C24172" s="52"/>
      <c r="D24172"/>
      <c r="E24172"/>
      <c r="F24172"/>
      <c r="N24172" s="56"/>
    </row>
    <row r="24173" spans="1:14" x14ac:dyDescent="0.3">
      <c r="A24173" s="42"/>
      <c r="C24173" s="52"/>
      <c r="D24173"/>
      <c r="E24173"/>
      <c r="F24173"/>
      <c r="N24173" s="56"/>
    </row>
    <row r="24174" spans="1:14" x14ac:dyDescent="0.3">
      <c r="A24174" s="42"/>
      <c r="C24174" s="52"/>
      <c r="D24174"/>
      <c r="E24174"/>
      <c r="F24174"/>
      <c r="N24174" s="56"/>
    </row>
    <row r="24175" spans="1:14" x14ac:dyDescent="0.3">
      <c r="A24175" s="42"/>
      <c r="C24175" s="52"/>
      <c r="D24175"/>
      <c r="E24175"/>
      <c r="F24175"/>
      <c r="N24175" s="56"/>
    </row>
    <row r="24176" spans="1:14" x14ac:dyDescent="0.3">
      <c r="A24176" s="42"/>
      <c r="C24176" s="52"/>
      <c r="D24176"/>
      <c r="E24176"/>
      <c r="F24176"/>
      <c r="N24176" s="56"/>
    </row>
    <row r="24177" spans="1:14" x14ac:dyDescent="0.3">
      <c r="A24177" s="42"/>
      <c r="C24177" s="52"/>
      <c r="D24177"/>
      <c r="E24177"/>
      <c r="F24177"/>
      <c r="N24177" s="56"/>
    </row>
    <row r="24178" spans="1:14" x14ac:dyDescent="0.3">
      <c r="A24178" s="42"/>
      <c r="C24178" s="52"/>
      <c r="D24178"/>
      <c r="E24178"/>
      <c r="F24178"/>
      <c r="N24178" s="56"/>
    </row>
    <row r="24179" spans="1:14" x14ac:dyDescent="0.3">
      <c r="A24179" s="42"/>
      <c r="C24179" s="52"/>
      <c r="D24179"/>
      <c r="E24179"/>
      <c r="F24179"/>
      <c r="N24179" s="56"/>
    </row>
    <row r="24180" spans="1:14" x14ac:dyDescent="0.3">
      <c r="A24180" s="42"/>
      <c r="C24180" s="52"/>
      <c r="D24180"/>
      <c r="E24180"/>
      <c r="F24180"/>
      <c r="N24180" s="56"/>
    </row>
    <row r="24181" spans="1:14" x14ac:dyDescent="0.3">
      <c r="A24181" s="42"/>
      <c r="C24181" s="52"/>
      <c r="D24181"/>
      <c r="E24181"/>
      <c r="F24181"/>
      <c r="N24181" s="56"/>
    </row>
    <row r="24182" spans="1:14" x14ac:dyDescent="0.3">
      <c r="A24182" s="42"/>
      <c r="C24182" s="52"/>
      <c r="D24182"/>
      <c r="E24182"/>
      <c r="F24182"/>
      <c r="N24182" s="56"/>
    </row>
    <row r="24183" spans="1:14" x14ac:dyDescent="0.3">
      <c r="A24183" s="42"/>
      <c r="C24183" s="52"/>
      <c r="D24183"/>
      <c r="E24183"/>
      <c r="F24183"/>
      <c r="N24183" s="56"/>
    </row>
    <row r="24184" spans="1:14" x14ac:dyDescent="0.3">
      <c r="A24184" s="42"/>
      <c r="C24184" s="52"/>
      <c r="D24184"/>
      <c r="E24184"/>
      <c r="F24184"/>
      <c r="N24184" s="56"/>
    </row>
    <row r="24185" spans="1:14" x14ac:dyDescent="0.3">
      <c r="A24185" s="42"/>
      <c r="C24185" s="52"/>
      <c r="D24185"/>
      <c r="E24185"/>
      <c r="F24185"/>
      <c r="N24185" s="56"/>
    </row>
    <row r="24186" spans="1:14" x14ac:dyDescent="0.3">
      <c r="A24186" s="42"/>
      <c r="C24186" s="52"/>
      <c r="D24186"/>
      <c r="E24186"/>
      <c r="F24186"/>
      <c r="N24186" s="56"/>
    </row>
    <row r="24187" spans="1:14" x14ac:dyDescent="0.3">
      <c r="A24187" s="42"/>
      <c r="C24187" s="52"/>
      <c r="D24187"/>
      <c r="E24187"/>
      <c r="F24187"/>
      <c r="N24187" s="56"/>
    </row>
    <row r="24188" spans="1:14" x14ac:dyDescent="0.3">
      <c r="A24188" s="42"/>
      <c r="C24188" s="52"/>
      <c r="D24188"/>
      <c r="E24188"/>
      <c r="F24188"/>
      <c r="N24188" s="56"/>
    </row>
    <row r="24189" spans="1:14" x14ac:dyDescent="0.3">
      <c r="A24189" s="42"/>
      <c r="C24189" s="52"/>
      <c r="D24189"/>
      <c r="E24189"/>
      <c r="F24189"/>
      <c r="N24189" s="56"/>
    </row>
    <row r="24190" spans="1:14" x14ac:dyDescent="0.3">
      <c r="A24190" s="42"/>
      <c r="C24190" s="52"/>
      <c r="D24190"/>
      <c r="E24190"/>
      <c r="F24190"/>
      <c r="N24190" s="56"/>
    </row>
    <row r="24191" spans="1:14" x14ac:dyDescent="0.3">
      <c r="A24191" s="42"/>
      <c r="C24191" s="52"/>
      <c r="D24191"/>
      <c r="E24191"/>
      <c r="F24191"/>
      <c r="N24191" s="56"/>
    </row>
    <row r="24192" spans="1:14" x14ac:dyDescent="0.3">
      <c r="A24192" s="42"/>
      <c r="C24192" s="52"/>
      <c r="D24192"/>
      <c r="E24192"/>
      <c r="F24192"/>
      <c r="N24192" s="56"/>
    </row>
    <row r="24193" spans="1:14" x14ac:dyDescent="0.3">
      <c r="A24193" s="42"/>
      <c r="C24193" s="52"/>
      <c r="D24193"/>
      <c r="E24193"/>
      <c r="F24193"/>
      <c r="N24193" s="56"/>
    </row>
    <row r="24194" spans="1:14" x14ac:dyDescent="0.3">
      <c r="A24194" s="42"/>
      <c r="C24194" s="52"/>
      <c r="D24194"/>
      <c r="E24194"/>
      <c r="F24194"/>
      <c r="N24194" s="56"/>
    </row>
    <row r="24195" spans="1:14" x14ac:dyDescent="0.3">
      <c r="A24195" s="42"/>
      <c r="C24195" s="52"/>
      <c r="D24195"/>
      <c r="E24195"/>
      <c r="F24195"/>
      <c r="N24195" s="56"/>
    </row>
    <row r="24196" spans="1:14" x14ac:dyDescent="0.3">
      <c r="A24196" s="42"/>
      <c r="C24196" s="52"/>
      <c r="D24196"/>
      <c r="E24196"/>
      <c r="F24196"/>
      <c r="N24196" s="56"/>
    </row>
    <row r="24197" spans="1:14" x14ac:dyDescent="0.3">
      <c r="A24197" s="42"/>
      <c r="C24197" s="52"/>
      <c r="D24197"/>
      <c r="E24197"/>
      <c r="F24197"/>
      <c r="N24197" s="56"/>
    </row>
    <row r="24198" spans="1:14" x14ac:dyDescent="0.3">
      <c r="A24198" s="42"/>
      <c r="C24198" s="52"/>
      <c r="D24198"/>
      <c r="E24198"/>
      <c r="F24198"/>
      <c r="N24198" s="56"/>
    </row>
    <row r="24199" spans="1:14" x14ac:dyDescent="0.3">
      <c r="A24199" s="42"/>
      <c r="C24199" s="52"/>
      <c r="D24199"/>
      <c r="E24199"/>
      <c r="F24199"/>
      <c r="N24199" s="56"/>
    </row>
    <row r="24200" spans="1:14" x14ac:dyDescent="0.3">
      <c r="A24200" s="42"/>
      <c r="C24200" s="52"/>
      <c r="D24200"/>
      <c r="E24200"/>
      <c r="F24200"/>
      <c r="N24200" s="56"/>
    </row>
    <row r="24201" spans="1:14" x14ac:dyDescent="0.3">
      <c r="A24201" s="42"/>
      <c r="C24201" s="52"/>
      <c r="D24201"/>
      <c r="E24201"/>
      <c r="F24201"/>
      <c r="N24201" s="56"/>
    </row>
    <row r="24202" spans="1:14" x14ac:dyDescent="0.3">
      <c r="A24202" s="42"/>
      <c r="C24202" s="52"/>
      <c r="D24202"/>
      <c r="E24202"/>
      <c r="F24202"/>
      <c r="N24202" s="56"/>
    </row>
    <row r="24203" spans="1:14" x14ac:dyDescent="0.3">
      <c r="A24203" s="42"/>
      <c r="C24203" s="52"/>
      <c r="D24203"/>
      <c r="E24203"/>
      <c r="F24203"/>
      <c r="N24203" s="56"/>
    </row>
    <row r="24204" spans="1:14" x14ac:dyDescent="0.3">
      <c r="A24204" s="42"/>
      <c r="C24204" s="52"/>
      <c r="D24204"/>
      <c r="E24204"/>
      <c r="F24204"/>
      <c r="N24204" s="56"/>
    </row>
    <row r="24205" spans="1:14" x14ac:dyDescent="0.3">
      <c r="A24205" s="42"/>
      <c r="C24205" s="52"/>
      <c r="D24205"/>
      <c r="E24205"/>
      <c r="F24205"/>
      <c r="N24205" s="56"/>
    </row>
    <row r="24206" spans="1:14" x14ac:dyDescent="0.3">
      <c r="A24206" s="42"/>
      <c r="C24206" s="52"/>
      <c r="D24206"/>
      <c r="E24206"/>
      <c r="F24206"/>
      <c r="N24206" s="56"/>
    </row>
    <row r="24207" spans="1:14" x14ac:dyDescent="0.3">
      <c r="A24207" s="42"/>
      <c r="C24207" s="52"/>
      <c r="D24207"/>
      <c r="E24207"/>
      <c r="F24207"/>
      <c r="N24207" s="56"/>
    </row>
    <row r="24208" spans="1:14" x14ac:dyDescent="0.3">
      <c r="A24208" s="42"/>
      <c r="C24208" s="52"/>
      <c r="D24208"/>
      <c r="E24208"/>
      <c r="F24208"/>
      <c r="N24208" s="56"/>
    </row>
    <row r="24209" spans="1:14" x14ac:dyDescent="0.3">
      <c r="A24209" s="42"/>
      <c r="C24209" s="52"/>
      <c r="D24209"/>
      <c r="E24209"/>
      <c r="F24209"/>
      <c r="N24209" s="56"/>
    </row>
    <row r="24210" spans="1:14" x14ac:dyDescent="0.3">
      <c r="A24210" s="42"/>
      <c r="C24210" s="52"/>
      <c r="D24210"/>
      <c r="E24210"/>
      <c r="F24210"/>
      <c r="N24210" s="56"/>
    </row>
    <row r="24211" spans="1:14" x14ac:dyDescent="0.3">
      <c r="A24211" s="42"/>
      <c r="C24211" s="52"/>
      <c r="D24211"/>
      <c r="E24211"/>
      <c r="F24211"/>
      <c r="N24211" s="56"/>
    </row>
    <row r="24212" spans="1:14" x14ac:dyDescent="0.3">
      <c r="A24212" s="42"/>
      <c r="C24212" s="52"/>
      <c r="D24212"/>
      <c r="E24212"/>
      <c r="F24212"/>
      <c r="N24212" s="56"/>
    </row>
    <row r="24213" spans="1:14" x14ac:dyDescent="0.3">
      <c r="A24213" s="42"/>
      <c r="C24213" s="52"/>
      <c r="D24213"/>
      <c r="E24213"/>
      <c r="F24213"/>
      <c r="N24213" s="56"/>
    </row>
    <row r="24214" spans="1:14" x14ac:dyDescent="0.3">
      <c r="A24214" s="42"/>
      <c r="C24214" s="52"/>
      <c r="D24214"/>
      <c r="E24214"/>
      <c r="F24214"/>
      <c r="N24214" s="56"/>
    </row>
    <row r="24215" spans="1:14" x14ac:dyDescent="0.3">
      <c r="A24215" s="42"/>
      <c r="C24215" s="52"/>
      <c r="D24215"/>
      <c r="E24215"/>
      <c r="F24215"/>
      <c r="N24215" s="56"/>
    </row>
    <row r="24216" spans="1:14" x14ac:dyDescent="0.3">
      <c r="A24216" s="42"/>
      <c r="C24216" s="52"/>
      <c r="D24216"/>
      <c r="E24216"/>
      <c r="F24216"/>
      <c r="N24216" s="56"/>
    </row>
    <row r="24217" spans="1:14" x14ac:dyDescent="0.3">
      <c r="A24217" s="42"/>
      <c r="C24217" s="52"/>
      <c r="D24217"/>
      <c r="E24217"/>
      <c r="F24217"/>
      <c r="N24217" s="56"/>
    </row>
    <row r="24218" spans="1:14" x14ac:dyDescent="0.3">
      <c r="A24218" s="42"/>
      <c r="C24218" s="52"/>
      <c r="D24218"/>
      <c r="E24218"/>
      <c r="F24218"/>
      <c r="N24218" s="56"/>
    </row>
    <row r="24219" spans="1:14" x14ac:dyDescent="0.3">
      <c r="A24219" s="42"/>
      <c r="C24219" s="52"/>
      <c r="D24219"/>
      <c r="E24219"/>
      <c r="F24219"/>
      <c r="N24219" s="56"/>
    </row>
    <row r="24220" spans="1:14" x14ac:dyDescent="0.3">
      <c r="A24220" s="42"/>
      <c r="C24220" s="52"/>
      <c r="D24220"/>
      <c r="E24220"/>
      <c r="F24220"/>
      <c r="N24220" s="56"/>
    </row>
    <row r="24221" spans="1:14" x14ac:dyDescent="0.3">
      <c r="A24221" s="42"/>
      <c r="C24221" s="52"/>
      <c r="D24221"/>
      <c r="E24221"/>
      <c r="F24221"/>
      <c r="N24221" s="56"/>
    </row>
    <row r="24222" spans="1:14" x14ac:dyDescent="0.3">
      <c r="A24222" s="42"/>
      <c r="C24222" s="52"/>
      <c r="D24222"/>
      <c r="E24222"/>
      <c r="F24222"/>
      <c r="N24222" s="56"/>
    </row>
    <row r="24223" spans="1:14" x14ac:dyDescent="0.3">
      <c r="A24223" s="42"/>
      <c r="C24223" s="52"/>
      <c r="D24223"/>
      <c r="E24223"/>
      <c r="F24223"/>
      <c r="N24223" s="56"/>
    </row>
    <row r="24224" spans="1:14" x14ac:dyDescent="0.3">
      <c r="A24224" s="42"/>
      <c r="C24224" s="52"/>
      <c r="D24224"/>
      <c r="E24224"/>
      <c r="F24224"/>
      <c r="N24224" s="56"/>
    </row>
    <row r="24225" spans="1:14" x14ac:dyDescent="0.3">
      <c r="A24225" s="42"/>
      <c r="C24225" s="52"/>
      <c r="D24225"/>
      <c r="E24225"/>
      <c r="F24225"/>
      <c r="N24225" s="56"/>
    </row>
    <row r="24226" spans="1:14" x14ac:dyDescent="0.3">
      <c r="A24226" s="42"/>
      <c r="C24226" s="52"/>
      <c r="D24226"/>
      <c r="E24226"/>
      <c r="F24226"/>
      <c r="N24226" s="56"/>
    </row>
    <row r="24227" spans="1:14" x14ac:dyDescent="0.3">
      <c r="A24227" s="42"/>
      <c r="C24227" s="52"/>
      <c r="D24227"/>
      <c r="E24227"/>
      <c r="F24227"/>
      <c r="N24227" s="56"/>
    </row>
    <row r="24228" spans="1:14" x14ac:dyDescent="0.3">
      <c r="A24228" s="42"/>
      <c r="C24228" s="52"/>
      <c r="D24228"/>
      <c r="E24228"/>
      <c r="F24228"/>
      <c r="N24228" s="56"/>
    </row>
    <row r="24229" spans="1:14" x14ac:dyDescent="0.3">
      <c r="A24229" s="42"/>
      <c r="C24229" s="52"/>
      <c r="D24229"/>
      <c r="E24229"/>
      <c r="F24229"/>
      <c r="N24229" s="56"/>
    </row>
    <row r="24230" spans="1:14" x14ac:dyDescent="0.3">
      <c r="A24230" s="42"/>
      <c r="C24230" s="52"/>
      <c r="D24230"/>
      <c r="E24230"/>
      <c r="F24230"/>
      <c r="N24230" s="56"/>
    </row>
    <row r="24231" spans="1:14" x14ac:dyDescent="0.3">
      <c r="A24231" s="42"/>
      <c r="C24231" s="52"/>
      <c r="D24231"/>
      <c r="E24231"/>
      <c r="F24231"/>
      <c r="N24231" s="56"/>
    </row>
    <row r="24232" spans="1:14" x14ac:dyDescent="0.3">
      <c r="A24232" s="42"/>
      <c r="C24232" s="52"/>
      <c r="D24232"/>
      <c r="E24232"/>
      <c r="F24232"/>
      <c r="N24232" s="56"/>
    </row>
    <row r="24233" spans="1:14" x14ac:dyDescent="0.3">
      <c r="A24233" s="42"/>
      <c r="C24233" s="52"/>
      <c r="D24233"/>
      <c r="E24233"/>
      <c r="F24233"/>
      <c r="N24233" s="56"/>
    </row>
    <row r="24234" spans="1:14" x14ac:dyDescent="0.3">
      <c r="A24234" s="42"/>
      <c r="C24234" s="52"/>
      <c r="D24234"/>
      <c r="E24234"/>
      <c r="F24234"/>
      <c r="N24234" s="56"/>
    </row>
    <row r="24235" spans="1:14" x14ac:dyDescent="0.3">
      <c r="A24235" s="42"/>
      <c r="C24235" s="52"/>
      <c r="D24235"/>
      <c r="E24235"/>
      <c r="F24235"/>
      <c r="N24235" s="56"/>
    </row>
    <row r="24236" spans="1:14" x14ac:dyDescent="0.3">
      <c r="A24236" s="42"/>
      <c r="C24236" s="52"/>
      <c r="D24236"/>
      <c r="E24236"/>
      <c r="F24236"/>
      <c r="N24236" s="56"/>
    </row>
    <row r="24237" spans="1:14" x14ac:dyDescent="0.3">
      <c r="A24237" s="42"/>
      <c r="C24237" s="52"/>
      <c r="D24237"/>
      <c r="E24237"/>
      <c r="F24237"/>
      <c r="N24237" s="56"/>
    </row>
    <row r="24238" spans="1:14" x14ac:dyDescent="0.3">
      <c r="A24238" s="42"/>
      <c r="C24238" s="52"/>
      <c r="D24238"/>
      <c r="E24238"/>
      <c r="F24238"/>
      <c r="N24238" s="56"/>
    </row>
    <row r="24239" spans="1:14" x14ac:dyDescent="0.3">
      <c r="A24239" s="42"/>
      <c r="C24239" s="52"/>
      <c r="D24239"/>
      <c r="E24239"/>
      <c r="F24239"/>
      <c r="N24239" s="56"/>
    </row>
    <row r="24240" spans="1:14" x14ac:dyDescent="0.3">
      <c r="A24240" s="42"/>
      <c r="C24240" s="52"/>
      <c r="D24240"/>
      <c r="E24240"/>
      <c r="F24240"/>
      <c r="N24240" s="56"/>
    </row>
    <row r="24241" spans="1:14" x14ac:dyDescent="0.3">
      <c r="A24241" s="42"/>
      <c r="C24241" s="52"/>
      <c r="D24241"/>
      <c r="E24241"/>
      <c r="F24241"/>
      <c r="N24241" s="56"/>
    </row>
    <row r="24242" spans="1:14" x14ac:dyDescent="0.3">
      <c r="A24242" s="42"/>
      <c r="C24242" s="52"/>
      <c r="D24242"/>
      <c r="E24242"/>
      <c r="F24242"/>
      <c r="N24242" s="56"/>
    </row>
    <row r="24243" spans="1:14" x14ac:dyDescent="0.3">
      <c r="A24243" s="42"/>
      <c r="C24243" s="52"/>
      <c r="D24243"/>
      <c r="E24243"/>
      <c r="F24243"/>
      <c r="N24243" s="56"/>
    </row>
    <row r="24244" spans="1:14" x14ac:dyDescent="0.3">
      <c r="A24244" s="42"/>
      <c r="C24244" s="52"/>
      <c r="D24244"/>
      <c r="E24244"/>
      <c r="F24244"/>
      <c r="N24244" s="56"/>
    </row>
    <row r="24245" spans="1:14" x14ac:dyDescent="0.3">
      <c r="A24245" s="42"/>
      <c r="C24245" s="52"/>
      <c r="D24245"/>
      <c r="E24245"/>
      <c r="F24245"/>
      <c r="N24245" s="56"/>
    </row>
    <row r="24246" spans="1:14" x14ac:dyDescent="0.3">
      <c r="A24246" s="42"/>
      <c r="C24246" s="52"/>
      <c r="D24246"/>
      <c r="E24246"/>
      <c r="F24246"/>
      <c r="N24246" s="56"/>
    </row>
    <row r="24247" spans="1:14" x14ac:dyDescent="0.3">
      <c r="A24247" s="42"/>
      <c r="C24247" s="52"/>
      <c r="D24247"/>
      <c r="E24247"/>
      <c r="F24247"/>
      <c r="N24247" s="56"/>
    </row>
    <row r="24248" spans="1:14" x14ac:dyDescent="0.3">
      <c r="A24248" s="42"/>
      <c r="C24248" s="52"/>
      <c r="D24248"/>
      <c r="E24248"/>
      <c r="F24248"/>
      <c r="N24248" s="56"/>
    </row>
    <row r="24249" spans="1:14" x14ac:dyDescent="0.3">
      <c r="A24249" s="42"/>
      <c r="C24249" s="52"/>
      <c r="D24249"/>
      <c r="E24249"/>
      <c r="F24249"/>
      <c r="N24249" s="56"/>
    </row>
    <row r="24250" spans="1:14" x14ac:dyDescent="0.3">
      <c r="A24250" s="42"/>
      <c r="C24250" s="52"/>
      <c r="D24250"/>
      <c r="E24250"/>
      <c r="F24250"/>
      <c r="N24250" s="56"/>
    </row>
    <row r="24251" spans="1:14" x14ac:dyDescent="0.3">
      <c r="A24251" s="42"/>
      <c r="C24251" s="52"/>
      <c r="D24251"/>
      <c r="E24251"/>
      <c r="F24251"/>
      <c r="N24251" s="56"/>
    </row>
    <row r="24252" spans="1:14" x14ac:dyDescent="0.3">
      <c r="A24252" s="42"/>
      <c r="C24252" s="52"/>
      <c r="D24252"/>
      <c r="E24252"/>
      <c r="F24252"/>
      <c r="N24252" s="56"/>
    </row>
    <row r="24253" spans="1:14" x14ac:dyDescent="0.3">
      <c r="A24253" s="42"/>
      <c r="C24253" s="52"/>
      <c r="D24253"/>
      <c r="E24253"/>
      <c r="F24253"/>
      <c r="N24253" s="56"/>
    </row>
    <row r="24254" spans="1:14" x14ac:dyDescent="0.3">
      <c r="A24254" s="42"/>
      <c r="C24254" s="52"/>
      <c r="D24254"/>
      <c r="E24254"/>
      <c r="F24254"/>
      <c r="N24254" s="56"/>
    </row>
    <row r="24255" spans="1:14" x14ac:dyDescent="0.3">
      <c r="A24255" s="42"/>
      <c r="C24255" s="52"/>
      <c r="D24255"/>
      <c r="E24255"/>
      <c r="F24255"/>
      <c r="N24255" s="56"/>
    </row>
    <row r="24256" spans="1:14" x14ac:dyDescent="0.3">
      <c r="A24256" s="42"/>
      <c r="C24256" s="52"/>
      <c r="D24256"/>
      <c r="E24256"/>
      <c r="F24256"/>
      <c r="M24256" s="45"/>
      <c r="N24256" s="56"/>
    </row>
    <row r="24257" spans="1:14" x14ac:dyDescent="0.3">
      <c r="A24257" s="42"/>
      <c r="C24257" s="52"/>
      <c r="D24257"/>
      <c r="E24257"/>
      <c r="F24257"/>
      <c r="N24257" s="56"/>
    </row>
    <row r="24258" spans="1:14" x14ac:dyDescent="0.3">
      <c r="A24258" s="42"/>
      <c r="C24258" s="52"/>
      <c r="D24258"/>
      <c r="E24258"/>
      <c r="F24258"/>
      <c r="N24258" s="56"/>
    </row>
    <row r="24259" spans="1:14" x14ac:dyDescent="0.3">
      <c r="A24259" s="42"/>
      <c r="C24259" s="52"/>
      <c r="D24259"/>
      <c r="E24259"/>
      <c r="F24259"/>
      <c r="N24259" s="56"/>
    </row>
    <row r="24260" spans="1:14" x14ac:dyDescent="0.3">
      <c r="A24260" s="42"/>
      <c r="C24260" s="52"/>
      <c r="D24260"/>
      <c r="E24260"/>
      <c r="F24260"/>
      <c r="N24260" s="56"/>
    </row>
    <row r="24261" spans="1:14" x14ac:dyDescent="0.3">
      <c r="A24261" s="42"/>
      <c r="C24261" s="52"/>
      <c r="D24261"/>
      <c r="E24261"/>
      <c r="F24261"/>
      <c r="N24261" s="56"/>
    </row>
    <row r="24262" spans="1:14" x14ac:dyDescent="0.3">
      <c r="A24262" s="42"/>
      <c r="C24262" s="52"/>
      <c r="D24262"/>
      <c r="E24262"/>
      <c r="F24262"/>
      <c r="N24262" s="56"/>
    </row>
    <row r="24263" spans="1:14" x14ac:dyDescent="0.3">
      <c r="A24263" s="42"/>
      <c r="C24263" s="52"/>
      <c r="D24263"/>
      <c r="E24263"/>
      <c r="F24263"/>
      <c r="N24263" s="56"/>
    </row>
    <row r="24264" spans="1:14" x14ac:dyDescent="0.3">
      <c r="A24264" s="42"/>
      <c r="C24264" s="52"/>
      <c r="D24264"/>
      <c r="E24264"/>
      <c r="F24264"/>
      <c r="N24264" s="56"/>
    </row>
    <row r="24265" spans="1:14" x14ac:dyDescent="0.3">
      <c r="A24265" s="42"/>
      <c r="C24265" s="52"/>
      <c r="D24265"/>
      <c r="E24265"/>
      <c r="F24265"/>
      <c r="N24265" s="56"/>
    </row>
    <row r="24266" spans="1:14" x14ac:dyDescent="0.3">
      <c r="A24266" s="42"/>
      <c r="C24266" s="52"/>
      <c r="D24266"/>
      <c r="E24266"/>
      <c r="F24266"/>
      <c r="N24266" s="56"/>
    </row>
    <row r="24267" spans="1:14" x14ac:dyDescent="0.3">
      <c r="A24267" s="42"/>
      <c r="C24267" s="52"/>
      <c r="D24267"/>
      <c r="E24267"/>
      <c r="F24267"/>
      <c r="M24267" s="45"/>
      <c r="N24267" s="56"/>
    </row>
    <row r="24268" spans="1:14" x14ac:dyDescent="0.3">
      <c r="A24268" s="42"/>
      <c r="C24268" s="52"/>
      <c r="D24268"/>
      <c r="E24268"/>
      <c r="F24268"/>
      <c r="N24268" s="56"/>
    </row>
    <row r="24269" spans="1:14" x14ac:dyDescent="0.3">
      <c r="A24269" s="42"/>
      <c r="C24269" s="52"/>
      <c r="D24269"/>
      <c r="E24269"/>
      <c r="F24269"/>
      <c r="N24269" s="56"/>
    </row>
    <row r="24270" spans="1:14" x14ac:dyDescent="0.3">
      <c r="A24270" s="42"/>
      <c r="C24270" s="52"/>
      <c r="D24270"/>
      <c r="E24270"/>
      <c r="F24270"/>
      <c r="N24270" s="56"/>
    </row>
    <row r="24271" spans="1:14" x14ac:dyDescent="0.3">
      <c r="A24271" s="42"/>
      <c r="C24271" s="52"/>
      <c r="D24271"/>
      <c r="E24271"/>
      <c r="F24271"/>
      <c r="N24271" s="56"/>
    </row>
    <row r="24272" spans="1:14" x14ac:dyDescent="0.3">
      <c r="A24272" s="42"/>
      <c r="C24272" s="52"/>
      <c r="D24272"/>
      <c r="E24272"/>
      <c r="F24272"/>
      <c r="N24272" s="56"/>
    </row>
    <row r="24273" spans="1:14" x14ac:dyDescent="0.3">
      <c r="A24273" s="42"/>
      <c r="C24273" s="52"/>
      <c r="D24273"/>
      <c r="E24273"/>
      <c r="F24273"/>
      <c r="M24273" s="45"/>
      <c r="N24273" s="56"/>
    </row>
    <row r="24274" spans="1:14" x14ac:dyDescent="0.3">
      <c r="A24274" s="42"/>
      <c r="C24274" s="52"/>
      <c r="D24274"/>
      <c r="E24274"/>
      <c r="F24274"/>
      <c r="N24274" s="56"/>
    </row>
    <row r="24275" spans="1:14" x14ac:dyDescent="0.3">
      <c r="A24275" s="42"/>
      <c r="C24275" s="52"/>
      <c r="D24275"/>
      <c r="E24275"/>
      <c r="F24275"/>
      <c r="N24275" s="56"/>
    </row>
    <row r="24276" spans="1:14" x14ac:dyDescent="0.3">
      <c r="A24276" s="42"/>
      <c r="C24276" s="52"/>
      <c r="D24276"/>
      <c r="E24276"/>
      <c r="F24276"/>
      <c r="N24276" s="56"/>
    </row>
    <row r="24277" spans="1:14" x14ac:dyDescent="0.3">
      <c r="A24277" s="42"/>
      <c r="C24277" s="52"/>
      <c r="D24277"/>
      <c r="E24277"/>
      <c r="F24277"/>
      <c r="N24277" s="56"/>
    </row>
    <row r="24278" spans="1:14" x14ac:dyDescent="0.3">
      <c r="A24278" s="42"/>
      <c r="C24278" s="52"/>
      <c r="D24278"/>
      <c r="E24278"/>
      <c r="F24278"/>
      <c r="N24278" s="56"/>
    </row>
    <row r="24279" spans="1:14" x14ac:dyDescent="0.3">
      <c r="A24279" s="42"/>
      <c r="C24279" s="52"/>
      <c r="D24279"/>
      <c r="E24279"/>
      <c r="F24279"/>
      <c r="N24279" s="56"/>
    </row>
    <row r="24280" spans="1:14" x14ac:dyDescent="0.3">
      <c r="A24280" s="42"/>
      <c r="C24280" s="52"/>
      <c r="D24280"/>
      <c r="E24280"/>
      <c r="F24280"/>
      <c r="N24280" s="56"/>
    </row>
    <row r="24281" spans="1:14" x14ac:dyDescent="0.3">
      <c r="A24281" s="42"/>
      <c r="C24281" s="52"/>
      <c r="D24281"/>
      <c r="E24281"/>
      <c r="F24281"/>
      <c r="N24281" s="56"/>
    </row>
    <row r="24282" spans="1:14" x14ac:dyDescent="0.3">
      <c r="A24282" s="42"/>
      <c r="C24282" s="52"/>
      <c r="D24282"/>
      <c r="E24282"/>
      <c r="F24282"/>
      <c r="N24282" s="56"/>
    </row>
    <row r="24283" spans="1:14" x14ac:dyDescent="0.3">
      <c r="A24283" s="42"/>
      <c r="C24283" s="52"/>
      <c r="D24283"/>
      <c r="E24283"/>
      <c r="F24283"/>
      <c r="N24283" s="56"/>
    </row>
    <row r="24284" spans="1:14" x14ac:dyDescent="0.3">
      <c r="A24284" s="42"/>
      <c r="C24284" s="52"/>
      <c r="D24284"/>
      <c r="E24284"/>
      <c r="F24284"/>
      <c r="N24284" s="56"/>
    </row>
    <row r="24285" spans="1:14" x14ac:dyDescent="0.3">
      <c r="A24285" s="42"/>
      <c r="C24285" s="52"/>
      <c r="D24285"/>
      <c r="E24285"/>
      <c r="F24285"/>
      <c r="N24285" s="56"/>
    </row>
    <row r="24286" spans="1:14" x14ac:dyDescent="0.3">
      <c r="A24286" s="42"/>
      <c r="C24286" s="52"/>
      <c r="D24286"/>
      <c r="E24286"/>
      <c r="F24286"/>
      <c r="N24286" s="56"/>
    </row>
    <row r="24287" spans="1:14" x14ac:dyDescent="0.3">
      <c r="A24287" s="42"/>
      <c r="C24287" s="52"/>
      <c r="D24287"/>
      <c r="E24287"/>
      <c r="F24287"/>
      <c r="N24287" s="56"/>
    </row>
    <row r="24288" spans="1:14" x14ac:dyDescent="0.3">
      <c r="A24288" s="42"/>
      <c r="C24288" s="52"/>
      <c r="D24288"/>
      <c r="E24288"/>
      <c r="F24288"/>
      <c r="N24288" s="56"/>
    </row>
    <row r="24289" spans="1:14" x14ac:dyDescent="0.3">
      <c r="A24289" s="42"/>
      <c r="C24289" s="52"/>
      <c r="D24289"/>
      <c r="E24289"/>
      <c r="F24289"/>
      <c r="N24289" s="56"/>
    </row>
    <row r="24290" spans="1:14" x14ac:dyDescent="0.3">
      <c r="A24290" s="42"/>
      <c r="C24290" s="52"/>
      <c r="D24290"/>
      <c r="E24290"/>
      <c r="F24290"/>
      <c r="N24290" s="56"/>
    </row>
    <row r="24291" spans="1:14" x14ac:dyDescent="0.3">
      <c r="A24291" s="42"/>
      <c r="C24291" s="52"/>
      <c r="D24291"/>
      <c r="E24291"/>
      <c r="F24291"/>
      <c r="N24291" s="56"/>
    </row>
    <row r="24292" spans="1:14" x14ac:dyDescent="0.3">
      <c r="A24292" s="42"/>
      <c r="C24292" s="52"/>
      <c r="D24292"/>
      <c r="E24292"/>
      <c r="F24292"/>
      <c r="N24292" s="56"/>
    </row>
    <row r="24293" spans="1:14" x14ac:dyDescent="0.3">
      <c r="A24293" s="42"/>
      <c r="C24293" s="52"/>
      <c r="D24293"/>
      <c r="E24293"/>
      <c r="F24293"/>
      <c r="N24293" s="56"/>
    </row>
    <row r="24294" spans="1:14" x14ac:dyDescent="0.3">
      <c r="A24294" s="42"/>
      <c r="C24294" s="52"/>
      <c r="D24294"/>
      <c r="E24294"/>
      <c r="F24294"/>
      <c r="N24294" s="56"/>
    </row>
    <row r="24295" spans="1:14" x14ac:dyDescent="0.3">
      <c r="A24295" s="42"/>
      <c r="C24295" s="52"/>
      <c r="D24295"/>
      <c r="E24295"/>
      <c r="F24295"/>
      <c r="N24295" s="56"/>
    </row>
    <row r="24296" spans="1:14" x14ac:dyDescent="0.3">
      <c r="A24296" s="42"/>
      <c r="C24296" s="52"/>
      <c r="D24296"/>
      <c r="E24296"/>
      <c r="F24296"/>
      <c r="N24296" s="56"/>
    </row>
    <row r="24297" spans="1:14" x14ac:dyDescent="0.3">
      <c r="A24297" s="42"/>
      <c r="C24297" s="52"/>
      <c r="D24297"/>
      <c r="E24297"/>
      <c r="F24297"/>
      <c r="N24297" s="56"/>
    </row>
    <row r="24298" spans="1:14" x14ac:dyDescent="0.3">
      <c r="A24298" s="42"/>
      <c r="C24298" s="52"/>
      <c r="D24298"/>
      <c r="E24298"/>
      <c r="F24298"/>
      <c r="N24298" s="56"/>
    </row>
    <row r="24299" spans="1:14" x14ac:dyDescent="0.3">
      <c r="A24299" s="42"/>
      <c r="C24299" s="52"/>
      <c r="D24299"/>
      <c r="E24299"/>
      <c r="F24299"/>
      <c r="N24299" s="56"/>
    </row>
    <row r="24300" spans="1:14" x14ac:dyDescent="0.3">
      <c r="A24300" s="42"/>
      <c r="C24300" s="52"/>
      <c r="D24300"/>
      <c r="E24300"/>
      <c r="F24300"/>
      <c r="N24300" s="56"/>
    </row>
    <row r="24301" spans="1:14" x14ac:dyDescent="0.3">
      <c r="A24301" s="42"/>
      <c r="C24301" s="52"/>
      <c r="D24301"/>
      <c r="E24301"/>
      <c r="F24301"/>
      <c r="N24301" s="56"/>
    </row>
    <row r="24302" spans="1:14" x14ac:dyDescent="0.3">
      <c r="A24302" s="42"/>
      <c r="C24302" s="52"/>
      <c r="D24302"/>
      <c r="E24302"/>
      <c r="F24302"/>
      <c r="N24302" s="56"/>
    </row>
    <row r="24303" spans="1:14" x14ac:dyDescent="0.3">
      <c r="A24303" s="42"/>
      <c r="C24303" s="52"/>
      <c r="D24303"/>
      <c r="E24303"/>
      <c r="F24303"/>
      <c r="N24303" s="56"/>
    </row>
    <row r="24304" spans="1:14" x14ac:dyDescent="0.3">
      <c r="A24304" s="42"/>
      <c r="C24304" s="52"/>
      <c r="D24304"/>
      <c r="E24304"/>
      <c r="F24304"/>
      <c r="N24304" s="56"/>
    </row>
    <row r="24305" spans="1:14" x14ac:dyDescent="0.3">
      <c r="A24305" s="42"/>
      <c r="C24305" s="52"/>
      <c r="D24305"/>
      <c r="E24305"/>
      <c r="F24305"/>
      <c r="N24305" s="56"/>
    </row>
    <row r="24306" spans="1:14" x14ac:dyDescent="0.3">
      <c r="A24306" s="42"/>
      <c r="C24306" s="52"/>
      <c r="D24306"/>
      <c r="E24306"/>
      <c r="F24306"/>
      <c r="M24306" s="45"/>
      <c r="N24306" s="56"/>
    </row>
    <row r="24307" spans="1:14" x14ac:dyDescent="0.3">
      <c r="A24307" s="42"/>
      <c r="C24307" s="52"/>
      <c r="D24307"/>
      <c r="E24307"/>
      <c r="F24307"/>
      <c r="N24307" s="56"/>
    </row>
    <row r="24308" spans="1:14" x14ac:dyDescent="0.3">
      <c r="A24308" s="42"/>
      <c r="C24308" s="52"/>
      <c r="D24308"/>
      <c r="E24308"/>
      <c r="F24308"/>
      <c r="N24308" s="56"/>
    </row>
    <row r="24309" spans="1:14" x14ac:dyDescent="0.3">
      <c r="A24309" s="42"/>
      <c r="C24309" s="52"/>
      <c r="D24309"/>
      <c r="E24309"/>
      <c r="F24309"/>
      <c r="N24309" s="56"/>
    </row>
    <row r="24310" spans="1:14" x14ac:dyDescent="0.3">
      <c r="A24310" s="42"/>
      <c r="C24310" s="52"/>
      <c r="D24310"/>
      <c r="E24310"/>
      <c r="F24310"/>
      <c r="N24310" s="56"/>
    </row>
    <row r="24311" spans="1:14" x14ac:dyDescent="0.3">
      <c r="A24311" s="42"/>
      <c r="C24311" s="52"/>
      <c r="D24311"/>
      <c r="E24311"/>
      <c r="F24311"/>
      <c r="N24311" s="56"/>
    </row>
    <row r="24312" spans="1:14" x14ac:dyDescent="0.3">
      <c r="A24312" s="42"/>
      <c r="C24312" s="52"/>
      <c r="D24312"/>
      <c r="E24312"/>
      <c r="F24312"/>
      <c r="N24312" s="56"/>
    </row>
    <row r="24313" spans="1:14" x14ac:dyDescent="0.3">
      <c r="A24313" s="42"/>
      <c r="C24313" s="52"/>
      <c r="D24313"/>
      <c r="E24313"/>
      <c r="F24313"/>
      <c r="N24313" s="56"/>
    </row>
    <row r="24314" spans="1:14" x14ac:dyDescent="0.3">
      <c r="A24314" s="42"/>
      <c r="C24314" s="52"/>
      <c r="D24314"/>
      <c r="E24314"/>
      <c r="F24314"/>
      <c r="N24314" s="56"/>
    </row>
    <row r="24315" spans="1:14" x14ac:dyDescent="0.3">
      <c r="A24315" s="42"/>
      <c r="C24315" s="52"/>
      <c r="D24315"/>
      <c r="E24315"/>
      <c r="F24315"/>
      <c r="N24315" s="56"/>
    </row>
    <row r="24316" spans="1:14" x14ac:dyDescent="0.3">
      <c r="A24316" s="42"/>
      <c r="C24316" s="52"/>
      <c r="D24316"/>
      <c r="E24316"/>
      <c r="F24316"/>
      <c r="N24316" s="56"/>
    </row>
    <row r="24317" spans="1:14" x14ac:dyDescent="0.3">
      <c r="A24317" s="42"/>
      <c r="C24317" s="52"/>
      <c r="D24317"/>
      <c r="E24317"/>
      <c r="F24317"/>
      <c r="N24317" s="56"/>
    </row>
    <row r="24318" spans="1:14" x14ac:dyDescent="0.3">
      <c r="A24318" s="42"/>
      <c r="C24318" s="52"/>
      <c r="D24318"/>
      <c r="E24318"/>
      <c r="F24318"/>
      <c r="N24318" s="56"/>
    </row>
    <row r="24319" spans="1:14" x14ac:dyDescent="0.3">
      <c r="A24319" s="42"/>
      <c r="C24319" s="52"/>
      <c r="D24319"/>
      <c r="E24319"/>
      <c r="F24319"/>
      <c r="N24319" s="56"/>
    </row>
    <row r="24320" spans="1:14" x14ac:dyDescent="0.3">
      <c r="A24320" s="42"/>
      <c r="C24320" s="52"/>
      <c r="D24320"/>
      <c r="E24320"/>
      <c r="F24320"/>
      <c r="N24320" s="56"/>
    </row>
    <row r="24321" spans="1:14" x14ac:dyDescent="0.3">
      <c r="A24321" s="42"/>
      <c r="C24321" s="52"/>
      <c r="D24321"/>
      <c r="E24321"/>
      <c r="F24321"/>
      <c r="N24321" s="56"/>
    </row>
    <row r="24322" spans="1:14" x14ac:dyDescent="0.3">
      <c r="A24322" s="42"/>
      <c r="C24322" s="52"/>
      <c r="D24322"/>
      <c r="E24322"/>
      <c r="F24322"/>
      <c r="N24322" s="56"/>
    </row>
    <row r="24323" spans="1:14" x14ac:dyDescent="0.3">
      <c r="A24323" s="42"/>
      <c r="C24323" s="52"/>
      <c r="D24323"/>
      <c r="E24323"/>
      <c r="F24323"/>
      <c r="N24323" s="56"/>
    </row>
    <row r="24324" spans="1:14" x14ac:dyDescent="0.3">
      <c r="A24324" s="42"/>
      <c r="C24324" s="52"/>
      <c r="D24324"/>
      <c r="E24324"/>
      <c r="F24324"/>
      <c r="N24324" s="56"/>
    </row>
    <row r="24325" spans="1:14" x14ac:dyDescent="0.3">
      <c r="A24325" s="42"/>
      <c r="C24325" s="52"/>
      <c r="D24325"/>
      <c r="E24325"/>
      <c r="F24325"/>
      <c r="N24325" s="56"/>
    </row>
    <row r="24326" spans="1:14" x14ac:dyDescent="0.3">
      <c r="A24326" s="42"/>
      <c r="C24326" s="52"/>
      <c r="D24326"/>
      <c r="E24326"/>
      <c r="F24326"/>
      <c r="N24326" s="56"/>
    </row>
    <row r="24327" spans="1:14" x14ac:dyDescent="0.3">
      <c r="A24327" s="42"/>
      <c r="C24327" s="52"/>
      <c r="D24327"/>
      <c r="E24327"/>
      <c r="F24327"/>
      <c r="N24327" s="56"/>
    </row>
    <row r="24328" spans="1:14" x14ac:dyDescent="0.3">
      <c r="A24328" s="42"/>
      <c r="C24328" s="52"/>
      <c r="D24328"/>
      <c r="E24328"/>
      <c r="F24328"/>
      <c r="N24328" s="56"/>
    </row>
    <row r="24329" spans="1:14" x14ac:dyDescent="0.3">
      <c r="A24329" s="42"/>
      <c r="C24329" s="52"/>
      <c r="D24329"/>
      <c r="E24329"/>
      <c r="F24329"/>
      <c r="N24329" s="56"/>
    </row>
    <row r="24330" spans="1:14" x14ac:dyDescent="0.3">
      <c r="A24330" s="42"/>
      <c r="C24330" s="52"/>
      <c r="D24330"/>
      <c r="E24330"/>
      <c r="F24330"/>
      <c r="N24330" s="56"/>
    </row>
    <row r="24331" spans="1:14" x14ac:dyDescent="0.3">
      <c r="A24331" s="42"/>
      <c r="C24331" s="52"/>
      <c r="D24331"/>
      <c r="E24331"/>
      <c r="F24331"/>
      <c r="N24331" s="56"/>
    </row>
    <row r="24332" spans="1:14" x14ac:dyDescent="0.3">
      <c r="A24332" s="42"/>
      <c r="C24332" s="52"/>
      <c r="D24332"/>
      <c r="E24332"/>
      <c r="F24332"/>
      <c r="N24332" s="56"/>
    </row>
    <row r="24333" spans="1:14" x14ac:dyDescent="0.3">
      <c r="A24333" s="42"/>
      <c r="C24333" s="52"/>
      <c r="D24333"/>
      <c r="E24333"/>
      <c r="F24333"/>
      <c r="N24333" s="56"/>
    </row>
    <row r="24334" spans="1:14" x14ac:dyDescent="0.3">
      <c r="A24334" s="42"/>
      <c r="C24334" s="52"/>
      <c r="D24334"/>
      <c r="E24334"/>
      <c r="F24334"/>
      <c r="N24334" s="56"/>
    </row>
    <row r="24335" spans="1:14" x14ac:dyDescent="0.3">
      <c r="A24335" s="42"/>
      <c r="C24335" s="52"/>
      <c r="D24335"/>
      <c r="E24335"/>
      <c r="F24335"/>
      <c r="N24335" s="56"/>
    </row>
    <row r="24336" spans="1:14" x14ac:dyDescent="0.3">
      <c r="A24336" s="42"/>
      <c r="C24336" s="52"/>
      <c r="D24336"/>
      <c r="E24336"/>
      <c r="F24336"/>
      <c r="N24336" s="56"/>
    </row>
    <row r="24337" spans="1:14" x14ac:dyDescent="0.3">
      <c r="A24337" s="42"/>
      <c r="C24337" s="52"/>
      <c r="D24337"/>
      <c r="E24337"/>
      <c r="F24337"/>
      <c r="N24337" s="56"/>
    </row>
    <row r="24338" spans="1:14" x14ac:dyDescent="0.3">
      <c r="A24338" s="42"/>
      <c r="C24338" s="52"/>
      <c r="D24338"/>
      <c r="E24338"/>
      <c r="F24338"/>
      <c r="N24338" s="56"/>
    </row>
    <row r="24339" spans="1:14" x14ac:dyDescent="0.3">
      <c r="A24339" s="42"/>
      <c r="C24339" s="52"/>
      <c r="D24339"/>
      <c r="E24339"/>
      <c r="F24339"/>
      <c r="N24339" s="56"/>
    </row>
    <row r="24340" spans="1:14" x14ac:dyDescent="0.3">
      <c r="A24340" s="42"/>
      <c r="C24340" s="52"/>
      <c r="D24340"/>
      <c r="E24340"/>
      <c r="F24340"/>
      <c r="N24340" s="56"/>
    </row>
    <row r="24341" spans="1:14" x14ac:dyDescent="0.3">
      <c r="A24341" s="42"/>
      <c r="C24341" s="52"/>
      <c r="D24341"/>
      <c r="E24341"/>
      <c r="F24341"/>
      <c r="N24341" s="56"/>
    </row>
    <row r="24342" spans="1:14" x14ac:dyDescent="0.3">
      <c r="A24342" s="42"/>
      <c r="C24342" s="52"/>
      <c r="D24342"/>
      <c r="E24342"/>
      <c r="F24342"/>
      <c r="N24342" s="56"/>
    </row>
    <row r="24343" spans="1:14" x14ac:dyDescent="0.3">
      <c r="A24343" s="42"/>
      <c r="C24343" s="52"/>
      <c r="D24343"/>
      <c r="E24343"/>
      <c r="F24343"/>
      <c r="N24343" s="56"/>
    </row>
    <row r="24344" spans="1:14" x14ac:dyDescent="0.3">
      <c r="A24344" s="42"/>
      <c r="C24344" s="52"/>
      <c r="D24344"/>
      <c r="E24344"/>
      <c r="F24344"/>
      <c r="N24344" s="56"/>
    </row>
    <row r="24345" spans="1:14" x14ac:dyDescent="0.3">
      <c r="A24345" s="42"/>
      <c r="C24345" s="52"/>
      <c r="D24345"/>
      <c r="E24345"/>
      <c r="F24345"/>
      <c r="N24345" s="56"/>
    </row>
    <row r="24346" spans="1:14" x14ac:dyDescent="0.3">
      <c r="A24346" s="42"/>
      <c r="C24346" s="52"/>
      <c r="D24346"/>
      <c r="E24346"/>
      <c r="F24346"/>
      <c r="N24346" s="56"/>
    </row>
    <row r="24347" spans="1:14" x14ac:dyDescent="0.3">
      <c r="A24347" s="42"/>
      <c r="C24347" s="52"/>
      <c r="D24347"/>
      <c r="E24347"/>
      <c r="F24347"/>
      <c r="N24347" s="56"/>
    </row>
    <row r="24348" spans="1:14" x14ac:dyDescent="0.3">
      <c r="A24348" s="42"/>
      <c r="C24348" s="52"/>
      <c r="D24348"/>
      <c r="E24348"/>
      <c r="F24348"/>
      <c r="N24348" s="56"/>
    </row>
    <row r="24349" spans="1:14" x14ac:dyDescent="0.3">
      <c r="A24349" s="42"/>
      <c r="C24349" s="52"/>
      <c r="D24349"/>
      <c r="E24349"/>
      <c r="F24349"/>
      <c r="N24349" s="56"/>
    </row>
    <row r="24350" spans="1:14" x14ac:dyDescent="0.3">
      <c r="A24350" s="42"/>
      <c r="C24350" s="52"/>
      <c r="D24350"/>
      <c r="E24350"/>
      <c r="F24350"/>
      <c r="N24350" s="56"/>
    </row>
    <row r="24351" spans="1:14" x14ac:dyDescent="0.3">
      <c r="A24351" s="42"/>
      <c r="C24351" s="52"/>
      <c r="D24351"/>
      <c r="E24351"/>
      <c r="F24351"/>
      <c r="N24351" s="56"/>
    </row>
    <row r="24352" spans="1:14" x14ac:dyDescent="0.3">
      <c r="A24352" s="42"/>
      <c r="C24352" s="52"/>
      <c r="D24352"/>
      <c r="E24352"/>
      <c r="F24352"/>
      <c r="N24352" s="56"/>
    </row>
    <row r="24353" spans="1:14" x14ac:dyDescent="0.3">
      <c r="A24353" s="42"/>
      <c r="C24353" s="52"/>
      <c r="D24353"/>
      <c r="E24353"/>
      <c r="F24353"/>
      <c r="N24353" s="56"/>
    </row>
    <row r="24354" spans="1:14" x14ac:dyDescent="0.3">
      <c r="A24354" s="42"/>
      <c r="C24354" s="52"/>
      <c r="D24354"/>
      <c r="E24354"/>
      <c r="F24354"/>
      <c r="N24354" s="56"/>
    </row>
    <row r="24355" spans="1:14" x14ac:dyDescent="0.3">
      <c r="A24355" s="42"/>
      <c r="C24355" s="52"/>
      <c r="D24355"/>
      <c r="E24355"/>
      <c r="F24355"/>
      <c r="N24355" s="56"/>
    </row>
    <row r="24356" spans="1:14" x14ac:dyDescent="0.3">
      <c r="A24356" s="42"/>
      <c r="C24356" s="52"/>
      <c r="D24356"/>
      <c r="E24356"/>
      <c r="F24356"/>
      <c r="N24356" s="56"/>
    </row>
    <row r="24357" spans="1:14" x14ac:dyDescent="0.3">
      <c r="A24357" s="42"/>
      <c r="C24357" s="52"/>
      <c r="D24357"/>
      <c r="E24357"/>
      <c r="F24357"/>
      <c r="N24357" s="56"/>
    </row>
    <row r="24358" spans="1:14" x14ac:dyDescent="0.3">
      <c r="A24358" s="42"/>
      <c r="C24358" s="52"/>
      <c r="D24358"/>
      <c r="E24358"/>
      <c r="F24358"/>
      <c r="N24358" s="56"/>
    </row>
    <row r="24359" spans="1:14" x14ac:dyDescent="0.3">
      <c r="A24359" s="42"/>
      <c r="C24359" s="52"/>
      <c r="D24359"/>
      <c r="E24359"/>
      <c r="F24359"/>
      <c r="N24359" s="56"/>
    </row>
    <row r="24360" spans="1:14" x14ac:dyDescent="0.3">
      <c r="A24360" s="42"/>
      <c r="C24360" s="52"/>
      <c r="D24360"/>
      <c r="E24360"/>
      <c r="F24360"/>
      <c r="N24360" s="56"/>
    </row>
    <row r="24361" spans="1:14" x14ac:dyDescent="0.3">
      <c r="A24361" s="42"/>
      <c r="C24361" s="52"/>
      <c r="D24361"/>
      <c r="E24361"/>
      <c r="F24361"/>
      <c r="N24361" s="56"/>
    </row>
    <row r="24362" spans="1:14" x14ac:dyDescent="0.3">
      <c r="A24362" s="42"/>
      <c r="C24362" s="52"/>
      <c r="D24362"/>
      <c r="E24362"/>
      <c r="F24362"/>
      <c r="N24362" s="56"/>
    </row>
    <row r="24363" spans="1:14" x14ac:dyDescent="0.3">
      <c r="A24363" s="42"/>
      <c r="C24363" s="52"/>
      <c r="D24363"/>
      <c r="E24363"/>
      <c r="F24363"/>
      <c r="N24363" s="56"/>
    </row>
    <row r="24364" spans="1:14" x14ac:dyDescent="0.3">
      <c r="A24364" s="42"/>
      <c r="C24364" s="52"/>
      <c r="D24364"/>
      <c r="E24364"/>
      <c r="F24364"/>
      <c r="N24364" s="56"/>
    </row>
    <row r="24365" spans="1:14" x14ac:dyDescent="0.3">
      <c r="A24365" s="42"/>
      <c r="C24365" s="52"/>
      <c r="D24365"/>
      <c r="E24365"/>
      <c r="F24365"/>
      <c r="N24365" s="56"/>
    </row>
    <row r="24366" spans="1:14" x14ac:dyDescent="0.3">
      <c r="A24366" s="42"/>
      <c r="C24366" s="52"/>
      <c r="D24366"/>
      <c r="E24366"/>
      <c r="F24366"/>
      <c r="N24366" s="56"/>
    </row>
    <row r="24367" spans="1:14" x14ac:dyDescent="0.3">
      <c r="A24367" s="42"/>
      <c r="C24367" s="52"/>
      <c r="D24367"/>
      <c r="E24367"/>
      <c r="F24367"/>
      <c r="N24367" s="56"/>
    </row>
    <row r="24368" spans="1:14" x14ac:dyDescent="0.3">
      <c r="A24368" s="42"/>
      <c r="C24368" s="52"/>
      <c r="D24368"/>
      <c r="E24368"/>
      <c r="F24368"/>
      <c r="N24368" s="56"/>
    </row>
    <row r="24369" spans="1:14" x14ac:dyDescent="0.3">
      <c r="A24369" s="42"/>
      <c r="C24369" s="52"/>
      <c r="D24369"/>
      <c r="E24369"/>
      <c r="F24369"/>
      <c r="N24369" s="56"/>
    </row>
    <row r="24370" spans="1:14" x14ac:dyDescent="0.3">
      <c r="A24370" s="42"/>
      <c r="C24370" s="52"/>
      <c r="D24370"/>
      <c r="E24370"/>
      <c r="F24370"/>
      <c r="N24370" s="56"/>
    </row>
    <row r="24371" spans="1:14" x14ac:dyDescent="0.3">
      <c r="A24371" s="42"/>
      <c r="C24371" s="52"/>
      <c r="D24371"/>
      <c r="E24371"/>
      <c r="F24371"/>
      <c r="N24371" s="56"/>
    </row>
    <row r="24372" spans="1:14" x14ac:dyDescent="0.3">
      <c r="A24372" s="42"/>
      <c r="C24372" s="52"/>
      <c r="D24372"/>
      <c r="E24372"/>
      <c r="F24372"/>
      <c r="N24372" s="56"/>
    </row>
    <row r="24373" spans="1:14" x14ac:dyDescent="0.3">
      <c r="A24373" s="42"/>
      <c r="C24373" s="52"/>
      <c r="D24373"/>
      <c r="E24373"/>
      <c r="F24373"/>
      <c r="N24373" s="56"/>
    </row>
    <row r="24374" spans="1:14" x14ac:dyDescent="0.3">
      <c r="A24374" s="42"/>
      <c r="C24374" s="52"/>
      <c r="D24374"/>
      <c r="E24374"/>
      <c r="F24374"/>
      <c r="N24374" s="56"/>
    </row>
    <row r="24375" spans="1:14" x14ac:dyDescent="0.3">
      <c r="A24375" s="42"/>
      <c r="C24375" s="52"/>
      <c r="D24375"/>
      <c r="E24375"/>
      <c r="F24375"/>
      <c r="N24375" s="56"/>
    </row>
    <row r="24376" spans="1:14" x14ac:dyDescent="0.3">
      <c r="A24376" s="42"/>
      <c r="C24376" s="52"/>
      <c r="D24376"/>
      <c r="E24376"/>
      <c r="F24376"/>
      <c r="N24376" s="56"/>
    </row>
    <row r="24377" spans="1:14" x14ac:dyDescent="0.3">
      <c r="A24377" s="42"/>
      <c r="C24377" s="52"/>
      <c r="D24377"/>
      <c r="E24377"/>
      <c r="F24377"/>
      <c r="N24377" s="56"/>
    </row>
    <row r="24378" spans="1:14" x14ac:dyDescent="0.3">
      <c r="A24378" s="42"/>
      <c r="C24378" s="52"/>
      <c r="D24378"/>
      <c r="E24378"/>
      <c r="F24378"/>
      <c r="N24378" s="56"/>
    </row>
    <row r="24379" spans="1:14" x14ac:dyDescent="0.3">
      <c r="A24379" s="42"/>
      <c r="C24379" s="52"/>
      <c r="D24379"/>
      <c r="E24379"/>
      <c r="F24379"/>
      <c r="N24379" s="56"/>
    </row>
    <row r="24380" spans="1:14" x14ac:dyDescent="0.3">
      <c r="A24380" s="42"/>
      <c r="C24380" s="52"/>
      <c r="D24380"/>
      <c r="E24380"/>
      <c r="F24380"/>
      <c r="N24380" s="56"/>
    </row>
    <row r="24381" spans="1:14" x14ac:dyDescent="0.3">
      <c r="A24381" s="42"/>
      <c r="C24381" s="52"/>
      <c r="D24381"/>
      <c r="E24381"/>
      <c r="F24381"/>
      <c r="N24381" s="56"/>
    </row>
    <row r="24382" spans="1:14" x14ac:dyDescent="0.3">
      <c r="A24382" s="42"/>
      <c r="C24382" s="52"/>
      <c r="D24382"/>
      <c r="E24382"/>
      <c r="F24382"/>
      <c r="M24382" s="45"/>
      <c r="N24382" s="56"/>
    </row>
    <row r="24383" spans="1:14" x14ac:dyDescent="0.3">
      <c r="A24383" s="42"/>
      <c r="C24383" s="52"/>
      <c r="D24383"/>
      <c r="E24383"/>
      <c r="F24383"/>
      <c r="N24383" s="56"/>
    </row>
    <row r="24384" spans="1:14" x14ac:dyDescent="0.3">
      <c r="A24384" s="42"/>
      <c r="C24384" s="52"/>
      <c r="D24384"/>
      <c r="E24384"/>
      <c r="F24384"/>
      <c r="N24384" s="56"/>
    </row>
    <row r="24385" spans="1:14" x14ac:dyDescent="0.3">
      <c r="A24385" s="42"/>
      <c r="C24385" s="52"/>
      <c r="D24385"/>
      <c r="E24385"/>
      <c r="F24385"/>
      <c r="N24385" s="56"/>
    </row>
    <row r="24386" spans="1:14" x14ac:dyDescent="0.3">
      <c r="A24386" s="42"/>
      <c r="C24386" s="52"/>
      <c r="D24386"/>
      <c r="E24386"/>
      <c r="F24386"/>
      <c r="N24386" s="56"/>
    </row>
    <row r="24387" spans="1:14" x14ac:dyDescent="0.3">
      <c r="A24387" s="42"/>
      <c r="C24387" s="52"/>
      <c r="D24387"/>
      <c r="E24387"/>
      <c r="F24387"/>
      <c r="N24387" s="56"/>
    </row>
    <row r="24388" spans="1:14" x14ac:dyDescent="0.3">
      <c r="A24388" s="42"/>
      <c r="C24388" s="52"/>
      <c r="D24388"/>
      <c r="E24388"/>
      <c r="F24388"/>
      <c r="N24388" s="56"/>
    </row>
    <row r="24389" spans="1:14" x14ac:dyDescent="0.3">
      <c r="A24389" s="42"/>
      <c r="C24389" s="52"/>
      <c r="D24389"/>
      <c r="E24389"/>
      <c r="F24389"/>
      <c r="N24389" s="56"/>
    </row>
    <row r="24390" spans="1:14" x14ac:dyDescent="0.3">
      <c r="A24390" s="42"/>
      <c r="C24390" s="52"/>
      <c r="D24390"/>
      <c r="E24390"/>
      <c r="F24390"/>
      <c r="N24390" s="56"/>
    </row>
    <row r="24391" spans="1:14" x14ac:dyDescent="0.3">
      <c r="A24391" s="42"/>
      <c r="C24391" s="52"/>
      <c r="D24391"/>
      <c r="E24391"/>
      <c r="F24391"/>
      <c r="N24391" s="56"/>
    </row>
    <row r="24392" spans="1:14" x14ac:dyDescent="0.3">
      <c r="A24392" s="42"/>
      <c r="C24392" s="52"/>
      <c r="D24392"/>
      <c r="E24392"/>
      <c r="F24392"/>
      <c r="N24392" s="56"/>
    </row>
    <row r="24393" spans="1:14" x14ac:dyDescent="0.3">
      <c r="A24393" s="42"/>
      <c r="C24393" s="52"/>
      <c r="D24393"/>
      <c r="E24393"/>
      <c r="F24393"/>
      <c r="N24393" s="56"/>
    </row>
    <row r="24394" spans="1:14" x14ac:dyDescent="0.3">
      <c r="A24394" s="42"/>
      <c r="C24394" s="52"/>
      <c r="D24394"/>
      <c r="E24394"/>
      <c r="F24394"/>
      <c r="N24394" s="56"/>
    </row>
    <row r="24395" spans="1:14" x14ac:dyDescent="0.3">
      <c r="A24395" s="42"/>
      <c r="C24395" s="52"/>
      <c r="D24395"/>
      <c r="E24395"/>
      <c r="F24395"/>
      <c r="N24395" s="56"/>
    </row>
    <row r="24396" spans="1:14" x14ac:dyDescent="0.3">
      <c r="A24396" s="42"/>
      <c r="C24396" s="52"/>
      <c r="D24396"/>
      <c r="E24396"/>
      <c r="F24396"/>
      <c r="N24396" s="56"/>
    </row>
    <row r="24397" spans="1:14" x14ac:dyDescent="0.3">
      <c r="A24397" s="42"/>
      <c r="C24397" s="52"/>
      <c r="D24397"/>
      <c r="E24397"/>
      <c r="F24397"/>
      <c r="N24397" s="56"/>
    </row>
    <row r="24398" spans="1:14" x14ac:dyDescent="0.3">
      <c r="A24398" s="42"/>
      <c r="C24398" s="52"/>
      <c r="D24398"/>
      <c r="E24398"/>
      <c r="F24398"/>
      <c r="N24398" s="56"/>
    </row>
    <row r="24399" spans="1:14" x14ac:dyDescent="0.3">
      <c r="A24399" s="42"/>
      <c r="C24399" s="52"/>
      <c r="D24399"/>
      <c r="E24399"/>
      <c r="F24399"/>
      <c r="N24399" s="56"/>
    </row>
    <row r="24400" spans="1:14" x14ac:dyDescent="0.3">
      <c r="A24400" s="42"/>
      <c r="C24400" s="52"/>
      <c r="D24400"/>
      <c r="E24400"/>
      <c r="F24400"/>
      <c r="N24400" s="56"/>
    </row>
    <row r="24401" spans="1:14" x14ac:dyDescent="0.3">
      <c r="A24401" s="42"/>
      <c r="C24401" s="52"/>
      <c r="D24401"/>
      <c r="E24401"/>
      <c r="F24401"/>
      <c r="N24401" s="56"/>
    </row>
    <row r="24402" spans="1:14" x14ac:dyDescent="0.3">
      <c r="A24402" s="42"/>
      <c r="C24402" s="52"/>
      <c r="D24402"/>
      <c r="E24402"/>
      <c r="F24402"/>
      <c r="N24402" s="56"/>
    </row>
    <row r="24403" spans="1:14" x14ac:dyDescent="0.3">
      <c r="A24403" s="42"/>
      <c r="C24403" s="52"/>
      <c r="D24403"/>
      <c r="E24403"/>
      <c r="F24403"/>
      <c r="N24403" s="56"/>
    </row>
    <row r="24404" spans="1:14" x14ac:dyDescent="0.3">
      <c r="A24404" s="42"/>
      <c r="C24404" s="52"/>
      <c r="D24404"/>
      <c r="E24404"/>
      <c r="F24404"/>
      <c r="N24404" s="56"/>
    </row>
    <row r="24405" spans="1:14" x14ac:dyDescent="0.3">
      <c r="A24405" s="42"/>
      <c r="C24405" s="52"/>
      <c r="D24405"/>
      <c r="E24405"/>
      <c r="F24405"/>
      <c r="N24405" s="56"/>
    </row>
    <row r="24406" spans="1:14" x14ac:dyDescent="0.3">
      <c r="A24406" s="42"/>
      <c r="C24406" s="52"/>
      <c r="D24406"/>
      <c r="E24406"/>
      <c r="F24406"/>
      <c r="N24406" s="56"/>
    </row>
    <row r="24407" spans="1:14" x14ac:dyDescent="0.3">
      <c r="A24407" s="42"/>
      <c r="C24407" s="52"/>
      <c r="D24407"/>
      <c r="E24407"/>
      <c r="F24407"/>
      <c r="N24407" s="56"/>
    </row>
    <row r="24408" spans="1:14" x14ac:dyDescent="0.3">
      <c r="A24408" s="42"/>
      <c r="C24408" s="52"/>
      <c r="D24408"/>
      <c r="E24408"/>
      <c r="F24408"/>
      <c r="M24408" s="45"/>
      <c r="N24408" s="56"/>
    </row>
    <row r="24409" spans="1:14" x14ac:dyDescent="0.3">
      <c r="A24409" s="42"/>
      <c r="C24409" s="52"/>
      <c r="D24409"/>
      <c r="E24409"/>
      <c r="F24409"/>
      <c r="N24409" s="56"/>
    </row>
    <row r="24410" spans="1:14" x14ac:dyDescent="0.3">
      <c r="A24410" s="42"/>
      <c r="C24410" s="52"/>
      <c r="D24410"/>
      <c r="E24410"/>
      <c r="F24410"/>
      <c r="N24410" s="56"/>
    </row>
    <row r="24411" spans="1:14" x14ac:dyDescent="0.3">
      <c r="A24411" s="42"/>
      <c r="C24411" s="52"/>
      <c r="D24411"/>
      <c r="E24411"/>
      <c r="F24411"/>
      <c r="N24411" s="56"/>
    </row>
    <row r="24412" spans="1:14" x14ac:dyDescent="0.3">
      <c r="A24412" s="42"/>
      <c r="C24412" s="52"/>
      <c r="D24412"/>
      <c r="E24412"/>
      <c r="F24412"/>
      <c r="N24412" s="56"/>
    </row>
    <row r="24413" spans="1:14" x14ac:dyDescent="0.3">
      <c r="A24413" s="42"/>
      <c r="C24413" s="52"/>
      <c r="D24413"/>
      <c r="E24413"/>
      <c r="F24413"/>
      <c r="N24413" s="56"/>
    </row>
    <row r="24414" spans="1:14" x14ac:dyDescent="0.3">
      <c r="A24414" s="42"/>
      <c r="C24414" s="52"/>
      <c r="D24414"/>
      <c r="E24414"/>
      <c r="F24414"/>
      <c r="N24414" s="56"/>
    </row>
    <row r="24415" spans="1:14" x14ac:dyDescent="0.3">
      <c r="A24415" s="42"/>
      <c r="C24415" s="52"/>
      <c r="D24415"/>
      <c r="E24415"/>
      <c r="F24415"/>
      <c r="N24415" s="56"/>
    </row>
    <row r="24416" spans="1:14" x14ac:dyDescent="0.3">
      <c r="A24416" s="42"/>
      <c r="C24416" s="52"/>
      <c r="D24416"/>
      <c r="E24416"/>
      <c r="F24416"/>
      <c r="N24416" s="56"/>
    </row>
    <row r="24417" spans="1:14" x14ac:dyDescent="0.3">
      <c r="A24417" s="42"/>
      <c r="C24417" s="52"/>
      <c r="D24417"/>
      <c r="E24417"/>
      <c r="F24417"/>
      <c r="N24417" s="56"/>
    </row>
    <row r="24418" spans="1:14" x14ac:dyDescent="0.3">
      <c r="A24418" s="42"/>
      <c r="C24418" s="52"/>
      <c r="D24418"/>
      <c r="E24418"/>
      <c r="F24418"/>
      <c r="N24418" s="56"/>
    </row>
    <row r="24419" spans="1:14" x14ac:dyDescent="0.3">
      <c r="A24419" s="42"/>
      <c r="C24419" s="52"/>
      <c r="D24419"/>
      <c r="E24419"/>
      <c r="F24419"/>
      <c r="N24419" s="56"/>
    </row>
    <row r="24420" spans="1:14" x14ac:dyDescent="0.3">
      <c r="A24420" s="42"/>
      <c r="C24420" s="52"/>
      <c r="D24420"/>
      <c r="E24420"/>
      <c r="F24420"/>
      <c r="N24420" s="56"/>
    </row>
    <row r="24421" spans="1:14" x14ac:dyDescent="0.3">
      <c r="A24421" s="42"/>
      <c r="C24421" s="52"/>
      <c r="D24421"/>
      <c r="E24421"/>
      <c r="F24421"/>
      <c r="N24421" s="56"/>
    </row>
    <row r="24422" spans="1:14" x14ac:dyDescent="0.3">
      <c r="A24422" s="42"/>
      <c r="C24422" s="52"/>
      <c r="D24422"/>
      <c r="E24422"/>
      <c r="F24422"/>
      <c r="N24422" s="56"/>
    </row>
    <row r="24423" spans="1:14" x14ac:dyDescent="0.3">
      <c r="A24423" s="42"/>
      <c r="C24423" s="52"/>
      <c r="D24423"/>
      <c r="E24423"/>
      <c r="F24423"/>
      <c r="N24423" s="56"/>
    </row>
    <row r="24424" spans="1:14" x14ac:dyDescent="0.3">
      <c r="A24424" s="42"/>
      <c r="C24424" s="52"/>
      <c r="D24424"/>
      <c r="E24424"/>
      <c r="F24424"/>
      <c r="N24424" s="56"/>
    </row>
    <row r="24425" spans="1:14" x14ac:dyDescent="0.3">
      <c r="A24425" s="42"/>
      <c r="C24425" s="52"/>
      <c r="D24425"/>
      <c r="E24425"/>
      <c r="F24425"/>
      <c r="N24425" s="56"/>
    </row>
    <row r="24426" spans="1:14" x14ac:dyDescent="0.3">
      <c r="A24426" s="42"/>
      <c r="C24426" s="52"/>
      <c r="D24426"/>
      <c r="E24426"/>
      <c r="F24426"/>
      <c r="N24426" s="56"/>
    </row>
    <row r="24427" spans="1:14" x14ac:dyDescent="0.3">
      <c r="A24427" s="42"/>
      <c r="C24427" s="52"/>
      <c r="D24427"/>
      <c r="E24427"/>
      <c r="F24427"/>
      <c r="N24427" s="56"/>
    </row>
    <row r="24428" spans="1:14" x14ac:dyDescent="0.3">
      <c r="A24428" s="42"/>
      <c r="C24428" s="52"/>
      <c r="D24428"/>
      <c r="E24428"/>
      <c r="F24428"/>
      <c r="N24428" s="56"/>
    </row>
    <row r="24429" spans="1:14" x14ac:dyDescent="0.3">
      <c r="A24429" s="42"/>
      <c r="C24429" s="52"/>
      <c r="D24429"/>
      <c r="E24429"/>
      <c r="F24429"/>
      <c r="N24429" s="56"/>
    </row>
    <row r="24430" spans="1:14" x14ac:dyDescent="0.3">
      <c r="A24430" s="42"/>
      <c r="C24430" s="52"/>
      <c r="D24430"/>
      <c r="E24430"/>
      <c r="F24430"/>
      <c r="N24430" s="56"/>
    </row>
    <row r="24431" spans="1:14" x14ac:dyDescent="0.3">
      <c r="A24431" s="42"/>
      <c r="C24431" s="52"/>
      <c r="D24431"/>
      <c r="E24431"/>
      <c r="F24431"/>
      <c r="N24431" s="56"/>
    </row>
    <row r="24432" spans="1:14" x14ac:dyDescent="0.3">
      <c r="A24432" s="42"/>
      <c r="C24432" s="52"/>
      <c r="D24432"/>
      <c r="E24432"/>
      <c r="F24432"/>
      <c r="N24432" s="56"/>
    </row>
    <row r="24433" spans="1:14" x14ac:dyDescent="0.3">
      <c r="A24433" s="42"/>
      <c r="C24433" s="52"/>
      <c r="D24433"/>
      <c r="E24433"/>
      <c r="F24433"/>
      <c r="N24433" s="56"/>
    </row>
    <row r="24434" spans="1:14" x14ac:dyDescent="0.3">
      <c r="A24434" s="42"/>
      <c r="C24434" s="52"/>
      <c r="D24434"/>
      <c r="E24434"/>
      <c r="F24434"/>
      <c r="N24434" s="56"/>
    </row>
    <row r="24435" spans="1:14" x14ac:dyDescent="0.3">
      <c r="A24435" s="42"/>
      <c r="C24435" s="52"/>
      <c r="D24435"/>
      <c r="E24435"/>
      <c r="F24435"/>
      <c r="N24435" s="56"/>
    </row>
    <row r="24436" spans="1:14" x14ac:dyDescent="0.3">
      <c r="A24436" s="42"/>
      <c r="C24436" s="52"/>
      <c r="D24436"/>
      <c r="E24436"/>
      <c r="F24436"/>
      <c r="N24436" s="56"/>
    </row>
    <row r="24437" spans="1:14" x14ac:dyDescent="0.3">
      <c r="A24437" s="42"/>
      <c r="C24437" s="52"/>
      <c r="D24437"/>
      <c r="E24437"/>
      <c r="F24437"/>
      <c r="N24437" s="56"/>
    </row>
    <row r="24438" spans="1:14" x14ac:dyDescent="0.3">
      <c r="A24438" s="42"/>
      <c r="C24438" s="52"/>
      <c r="D24438"/>
      <c r="E24438"/>
      <c r="F24438"/>
      <c r="N24438" s="56"/>
    </row>
    <row r="24439" spans="1:14" x14ac:dyDescent="0.3">
      <c r="A24439" s="42"/>
      <c r="C24439" s="52"/>
      <c r="D24439"/>
      <c r="E24439"/>
      <c r="F24439"/>
      <c r="N24439" s="56"/>
    </row>
    <row r="24440" spans="1:14" x14ac:dyDescent="0.3">
      <c r="A24440" s="42"/>
      <c r="C24440" s="52"/>
      <c r="D24440"/>
      <c r="E24440"/>
      <c r="F24440"/>
      <c r="N24440" s="56"/>
    </row>
    <row r="24441" spans="1:14" x14ac:dyDescent="0.3">
      <c r="A24441" s="42"/>
      <c r="C24441" s="52"/>
      <c r="D24441"/>
      <c r="E24441"/>
      <c r="F24441"/>
      <c r="N24441" s="56"/>
    </row>
    <row r="24442" spans="1:14" x14ac:dyDescent="0.3">
      <c r="A24442" s="42"/>
      <c r="C24442" s="52"/>
      <c r="D24442"/>
      <c r="E24442"/>
      <c r="F24442"/>
      <c r="N24442" s="56"/>
    </row>
    <row r="24443" spans="1:14" x14ac:dyDescent="0.3">
      <c r="A24443" s="42"/>
      <c r="C24443" s="52"/>
      <c r="D24443"/>
      <c r="E24443"/>
      <c r="F24443"/>
      <c r="M24443" s="45"/>
      <c r="N24443" s="56"/>
    </row>
    <row r="24444" spans="1:14" x14ac:dyDescent="0.3">
      <c r="A24444" s="42"/>
      <c r="C24444" s="52"/>
      <c r="D24444"/>
      <c r="E24444"/>
      <c r="F24444"/>
      <c r="N24444" s="56"/>
    </row>
    <row r="24445" spans="1:14" x14ac:dyDescent="0.3">
      <c r="A24445" s="42"/>
      <c r="C24445" s="52"/>
      <c r="D24445"/>
      <c r="E24445"/>
      <c r="F24445"/>
      <c r="N24445" s="56"/>
    </row>
    <row r="24446" spans="1:14" x14ac:dyDescent="0.3">
      <c r="A24446" s="42"/>
      <c r="C24446" s="52"/>
      <c r="D24446"/>
      <c r="E24446"/>
      <c r="F24446"/>
      <c r="N24446" s="56"/>
    </row>
    <row r="24447" spans="1:14" x14ac:dyDescent="0.3">
      <c r="A24447" s="42"/>
      <c r="C24447" s="52"/>
      <c r="D24447"/>
      <c r="E24447"/>
      <c r="F24447"/>
      <c r="N24447" s="56"/>
    </row>
    <row r="24448" spans="1:14" x14ac:dyDescent="0.3">
      <c r="A24448" s="42"/>
      <c r="C24448" s="52"/>
      <c r="D24448"/>
      <c r="E24448"/>
      <c r="F24448"/>
      <c r="N24448" s="56"/>
    </row>
    <row r="24449" spans="1:14" x14ac:dyDescent="0.3">
      <c r="A24449" s="42"/>
      <c r="C24449" s="52"/>
      <c r="D24449"/>
      <c r="E24449"/>
      <c r="F24449"/>
      <c r="N24449" s="56"/>
    </row>
    <row r="24450" spans="1:14" x14ac:dyDescent="0.3">
      <c r="A24450" s="42"/>
      <c r="C24450" s="52"/>
      <c r="D24450"/>
      <c r="E24450"/>
      <c r="F24450"/>
      <c r="N24450" s="56"/>
    </row>
    <row r="24451" spans="1:14" x14ac:dyDescent="0.3">
      <c r="A24451" s="42"/>
      <c r="C24451" s="52"/>
      <c r="D24451"/>
      <c r="E24451"/>
      <c r="F24451"/>
      <c r="N24451" s="56"/>
    </row>
    <row r="24452" spans="1:14" x14ac:dyDescent="0.3">
      <c r="A24452" s="42"/>
      <c r="C24452" s="52"/>
      <c r="D24452"/>
      <c r="E24452"/>
      <c r="F24452"/>
      <c r="N24452" s="56"/>
    </row>
    <row r="24453" spans="1:14" x14ac:dyDescent="0.3">
      <c r="A24453" s="42"/>
      <c r="C24453" s="52"/>
      <c r="D24453"/>
      <c r="E24453"/>
      <c r="F24453"/>
      <c r="N24453" s="56"/>
    </row>
    <row r="24454" spans="1:14" x14ac:dyDescent="0.3">
      <c r="A24454" s="42"/>
      <c r="C24454" s="52"/>
      <c r="D24454"/>
      <c r="E24454"/>
      <c r="F24454"/>
      <c r="N24454" s="56"/>
    </row>
    <row r="24455" spans="1:14" x14ac:dyDescent="0.3">
      <c r="A24455" s="42"/>
      <c r="C24455" s="52"/>
      <c r="D24455"/>
      <c r="E24455"/>
      <c r="F24455"/>
      <c r="N24455" s="56"/>
    </row>
    <row r="24456" spans="1:14" x14ac:dyDescent="0.3">
      <c r="A24456" s="42"/>
      <c r="C24456" s="52"/>
      <c r="D24456"/>
      <c r="E24456"/>
      <c r="F24456"/>
      <c r="N24456" s="56"/>
    </row>
    <row r="24457" spans="1:14" x14ac:dyDescent="0.3">
      <c r="A24457" s="42"/>
      <c r="C24457" s="52"/>
      <c r="D24457"/>
      <c r="E24457"/>
      <c r="F24457"/>
      <c r="N24457" s="56"/>
    </row>
    <row r="24458" spans="1:14" x14ac:dyDescent="0.3">
      <c r="A24458" s="42"/>
      <c r="C24458" s="52"/>
      <c r="D24458"/>
      <c r="E24458"/>
      <c r="F24458"/>
      <c r="N24458" s="56"/>
    </row>
    <row r="24459" spans="1:14" x14ac:dyDescent="0.3">
      <c r="A24459" s="42"/>
      <c r="C24459" s="52"/>
      <c r="D24459"/>
      <c r="E24459"/>
      <c r="F24459"/>
      <c r="N24459" s="56"/>
    </row>
    <row r="24460" spans="1:14" x14ac:dyDescent="0.3">
      <c r="A24460" s="42"/>
      <c r="C24460" s="52"/>
      <c r="D24460"/>
      <c r="E24460"/>
      <c r="F24460"/>
      <c r="N24460" s="56"/>
    </row>
    <row r="24461" spans="1:14" x14ac:dyDescent="0.3">
      <c r="A24461" s="42"/>
      <c r="C24461" s="52"/>
      <c r="D24461"/>
      <c r="E24461"/>
      <c r="F24461"/>
      <c r="N24461" s="56"/>
    </row>
    <row r="24462" spans="1:14" x14ac:dyDescent="0.3">
      <c r="A24462" s="42"/>
      <c r="C24462" s="52"/>
      <c r="D24462"/>
      <c r="E24462"/>
      <c r="F24462"/>
      <c r="N24462" s="56"/>
    </row>
    <row r="24463" spans="1:14" x14ac:dyDescent="0.3">
      <c r="A24463" s="42"/>
      <c r="C24463" s="52"/>
      <c r="D24463"/>
      <c r="E24463"/>
      <c r="F24463"/>
      <c r="N24463" s="56"/>
    </row>
    <row r="24464" spans="1:14" x14ac:dyDescent="0.3">
      <c r="A24464" s="42"/>
      <c r="C24464" s="52"/>
      <c r="D24464"/>
      <c r="E24464"/>
      <c r="F24464"/>
      <c r="N24464" s="56"/>
    </row>
    <row r="24465" spans="1:14" x14ac:dyDescent="0.3">
      <c r="A24465" s="42"/>
      <c r="C24465" s="52"/>
      <c r="D24465"/>
      <c r="E24465"/>
      <c r="F24465"/>
      <c r="N24465" s="56"/>
    </row>
    <row r="24466" spans="1:14" x14ac:dyDescent="0.3">
      <c r="A24466" s="42"/>
      <c r="C24466" s="52"/>
      <c r="D24466"/>
      <c r="E24466"/>
      <c r="F24466"/>
      <c r="L24466" s="45"/>
      <c r="N24466" s="56"/>
    </row>
    <row r="24467" spans="1:14" x14ac:dyDescent="0.3">
      <c r="A24467" s="42"/>
      <c r="C24467" s="52"/>
      <c r="D24467"/>
      <c r="E24467"/>
      <c r="F24467"/>
      <c r="N24467" s="56"/>
    </row>
    <row r="24468" spans="1:14" x14ac:dyDescent="0.3">
      <c r="A24468" s="42"/>
      <c r="C24468" s="52"/>
      <c r="D24468"/>
      <c r="E24468"/>
      <c r="F24468"/>
      <c r="N24468" s="56"/>
    </row>
    <row r="24469" spans="1:14" x14ac:dyDescent="0.3">
      <c r="A24469" s="42"/>
      <c r="C24469" s="52"/>
      <c r="D24469"/>
      <c r="E24469"/>
      <c r="F24469"/>
      <c r="N24469" s="56"/>
    </row>
    <row r="24470" spans="1:14" x14ac:dyDescent="0.3">
      <c r="A24470" s="42"/>
      <c r="C24470" s="52"/>
      <c r="D24470"/>
      <c r="E24470"/>
      <c r="F24470"/>
      <c r="N24470" s="56"/>
    </row>
    <row r="24471" spans="1:14" x14ac:dyDescent="0.3">
      <c r="A24471" s="42"/>
      <c r="C24471" s="52"/>
      <c r="D24471"/>
      <c r="E24471"/>
      <c r="F24471"/>
      <c r="N24471" s="56"/>
    </row>
    <row r="24472" spans="1:14" x14ac:dyDescent="0.3">
      <c r="A24472" s="42"/>
      <c r="C24472" s="52"/>
      <c r="D24472"/>
      <c r="E24472"/>
      <c r="F24472"/>
      <c r="N24472" s="56"/>
    </row>
    <row r="24473" spans="1:14" x14ac:dyDescent="0.3">
      <c r="A24473" s="42"/>
      <c r="C24473" s="52"/>
      <c r="D24473"/>
      <c r="E24473"/>
      <c r="F24473"/>
      <c r="N24473" s="56"/>
    </row>
    <row r="24474" spans="1:14" x14ac:dyDescent="0.3">
      <c r="A24474" s="42"/>
      <c r="C24474" s="52"/>
      <c r="D24474"/>
      <c r="E24474"/>
      <c r="F24474"/>
      <c r="N24474" s="56"/>
    </row>
    <row r="24475" spans="1:14" x14ac:dyDescent="0.3">
      <c r="A24475" s="42"/>
      <c r="C24475" s="52"/>
      <c r="D24475"/>
      <c r="E24475"/>
      <c r="F24475"/>
      <c r="N24475" s="56"/>
    </row>
    <row r="24476" spans="1:14" x14ac:dyDescent="0.3">
      <c r="A24476" s="42"/>
      <c r="C24476" s="52"/>
      <c r="D24476"/>
      <c r="E24476"/>
      <c r="F24476"/>
      <c r="L24476" s="45"/>
      <c r="N24476" s="56"/>
    </row>
    <row r="24477" spans="1:14" x14ac:dyDescent="0.3">
      <c r="A24477" s="42"/>
      <c r="C24477" s="52"/>
      <c r="D24477"/>
      <c r="E24477"/>
      <c r="F24477"/>
      <c r="N24477" s="56"/>
    </row>
    <row r="24478" spans="1:14" x14ac:dyDescent="0.3">
      <c r="A24478" s="42"/>
      <c r="C24478" s="52"/>
      <c r="D24478"/>
      <c r="E24478"/>
      <c r="F24478"/>
      <c r="N24478" s="56"/>
    </row>
    <row r="24479" spans="1:14" x14ac:dyDescent="0.3">
      <c r="A24479" s="42"/>
      <c r="C24479" s="52"/>
      <c r="D24479"/>
      <c r="E24479"/>
      <c r="F24479"/>
      <c r="N24479" s="56"/>
    </row>
    <row r="24480" spans="1:14" x14ac:dyDescent="0.3">
      <c r="A24480" s="42"/>
      <c r="C24480" s="52"/>
      <c r="D24480"/>
      <c r="E24480"/>
      <c r="F24480"/>
      <c r="L24480" s="45"/>
      <c r="N24480" s="56"/>
    </row>
    <row r="24481" spans="1:14" x14ac:dyDescent="0.3">
      <c r="A24481" s="42"/>
      <c r="C24481" s="52"/>
      <c r="D24481"/>
      <c r="E24481"/>
      <c r="F24481"/>
      <c r="L24481" s="45"/>
      <c r="N24481" s="56"/>
    </row>
    <row r="24482" spans="1:14" x14ac:dyDescent="0.3">
      <c r="A24482" s="42"/>
      <c r="C24482" s="52"/>
      <c r="D24482"/>
      <c r="E24482"/>
      <c r="F24482"/>
      <c r="L24482" s="45"/>
      <c r="N24482" s="56"/>
    </row>
    <row r="24483" spans="1:14" x14ac:dyDescent="0.3">
      <c r="A24483" s="42"/>
      <c r="C24483" s="52"/>
      <c r="D24483"/>
      <c r="E24483"/>
      <c r="F24483"/>
      <c r="N24483" s="56"/>
    </row>
    <row r="24484" spans="1:14" x14ac:dyDescent="0.3">
      <c r="A24484" s="42"/>
      <c r="C24484" s="52"/>
      <c r="D24484"/>
      <c r="E24484"/>
      <c r="F24484"/>
      <c r="N24484" s="56"/>
    </row>
    <row r="24485" spans="1:14" x14ac:dyDescent="0.3">
      <c r="A24485" s="42"/>
      <c r="C24485" s="52"/>
      <c r="D24485"/>
      <c r="E24485"/>
      <c r="F24485"/>
      <c r="L24485" s="45"/>
      <c r="N24485" s="56"/>
    </row>
    <row r="24486" spans="1:14" x14ac:dyDescent="0.3">
      <c r="A24486" s="42"/>
      <c r="C24486" s="52"/>
      <c r="D24486"/>
      <c r="E24486"/>
      <c r="F24486"/>
      <c r="L24486" s="45"/>
      <c r="N24486" s="56"/>
    </row>
    <row r="24487" spans="1:14" x14ac:dyDescent="0.3">
      <c r="A24487" s="42"/>
      <c r="C24487" s="52"/>
      <c r="D24487"/>
      <c r="E24487"/>
      <c r="F24487"/>
      <c r="N24487" s="56"/>
    </row>
    <row r="24488" spans="1:14" x14ac:dyDescent="0.3">
      <c r="A24488" s="42"/>
      <c r="C24488" s="52"/>
      <c r="D24488"/>
      <c r="E24488"/>
      <c r="F24488"/>
      <c r="L24488" s="45"/>
      <c r="N24488" s="56"/>
    </row>
    <row r="24489" spans="1:14" x14ac:dyDescent="0.3">
      <c r="A24489" s="42"/>
      <c r="C24489" s="52"/>
      <c r="D24489"/>
      <c r="E24489"/>
      <c r="F24489"/>
      <c r="L24489" s="45"/>
      <c r="N24489" s="56"/>
    </row>
    <row r="24490" spans="1:14" x14ac:dyDescent="0.3">
      <c r="A24490" s="42"/>
      <c r="C24490" s="52"/>
      <c r="D24490"/>
      <c r="E24490"/>
      <c r="F24490"/>
      <c r="L24490" s="45"/>
      <c r="N24490" s="56"/>
    </row>
    <row r="24491" spans="1:14" x14ac:dyDescent="0.3">
      <c r="A24491" s="42"/>
      <c r="C24491" s="52"/>
      <c r="D24491"/>
      <c r="E24491"/>
      <c r="F24491"/>
      <c r="L24491" s="45"/>
      <c r="N24491" s="56"/>
    </row>
    <row r="24492" spans="1:14" x14ac:dyDescent="0.3">
      <c r="A24492" s="42"/>
      <c r="C24492" s="52"/>
      <c r="D24492"/>
      <c r="E24492"/>
      <c r="F24492"/>
      <c r="L24492" s="45"/>
      <c r="N24492" s="56"/>
    </row>
    <row r="24493" spans="1:14" x14ac:dyDescent="0.3">
      <c r="A24493" s="42"/>
      <c r="C24493" s="52"/>
      <c r="D24493"/>
      <c r="E24493"/>
      <c r="F24493"/>
      <c r="L24493" s="45"/>
      <c r="N24493" s="56"/>
    </row>
    <row r="24494" spans="1:14" x14ac:dyDescent="0.3">
      <c r="A24494" s="42"/>
      <c r="C24494" s="52"/>
      <c r="D24494"/>
      <c r="E24494"/>
      <c r="F24494"/>
      <c r="N24494" s="56"/>
    </row>
    <row r="24495" spans="1:14" x14ac:dyDescent="0.3">
      <c r="A24495" s="42"/>
      <c r="C24495" s="52"/>
      <c r="D24495"/>
      <c r="E24495"/>
      <c r="F24495"/>
      <c r="N24495" s="56"/>
    </row>
    <row r="24496" spans="1:14" x14ac:dyDescent="0.3">
      <c r="A24496" s="42"/>
      <c r="C24496" s="52"/>
      <c r="D24496"/>
      <c r="E24496"/>
      <c r="F24496"/>
      <c r="N24496" s="56"/>
    </row>
    <row r="24497" spans="1:14" x14ac:dyDescent="0.3">
      <c r="A24497" s="42"/>
      <c r="C24497" s="52"/>
      <c r="D24497"/>
      <c r="E24497"/>
      <c r="F24497"/>
      <c r="N24497" s="56"/>
    </row>
    <row r="24498" spans="1:14" x14ac:dyDescent="0.3">
      <c r="A24498" s="42"/>
      <c r="C24498" s="52"/>
      <c r="D24498"/>
      <c r="E24498"/>
      <c r="F24498"/>
      <c r="L24498" s="45"/>
      <c r="N24498" s="56"/>
    </row>
    <row r="24499" spans="1:14" x14ac:dyDescent="0.3">
      <c r="A24499" s="42"/>
      <c r="C24499" s="52"/>
      <c r="D24499"/>
      <c r="E24499"/>
      <c r="F24499"/>
      <c r="N24499" s="56"/>
    </row>
    <row r="24500" spans="1:14" x14ac:dyDescent="0.3">
      <c r="A24500" s="42"/>
      <c r="C24500" s="52"/>
      <c r="D24500"/>
      <c r="E24500"/>
      <c r="F24500"/>
      <c r="N24500" s="56"/>
    </row>
    <row r="24501" spans="1:14" x14ac:dyDescent="0.3">
      <c r="A24501" s="42"/>
      <c r="C24501" s="52"/>
      <c r="D24501"/>
      <c r="E24501"/>
      <c r="F24501"/>
      <c r="L24501" s="45"/>
      <c r="N24501" s="56"/>
    </row>
    <row r="24502" spans="1:14" x14ac:dyDescent="0.3">
      <c r="A24502" s="42"/>
      <c r="C24502" s="52"/>
      <c r="D24502"/>
      <c r="E24502"/>
      <c r="F24502"/>
      <c r="N24502" s="56"/>
    </row>
    <row r="24503" spans="1:14" x14ac:dyDescent="0.3">
      <c r="A24503" s="42"/>
      <c r="C24503" s="52"/>
      <c r="D24503"/>
      <c r="E24503"/>
      <c r="F24503"/>
      <c r="N24503" s="56"/>
    </row>
    <row r="24504" spans="1:14" x14ac:dyDescent="0.3">
      <c r="A24504" s="42"/>
      <c r="C24504" s="52"/>
      <c r="D24504"/>
      <c r="E24504"/>
      <c r="F24504"/>
      <c r="N24504" s="56"/>
    </row>
    <row r="24505" spans="1:14" x14ac:dyDescent="0.3">
      <c r="A24505" s="42"/>
      <c r="C24505" s="52"/>
      <c r="D24505"/>
      <c r="E24505"/>
      <c r="F24505"/>
      <c r="N24505" s="56"/>
    </row>
    <row r="24506" spans="1:14" x14ac:dyDescent="0.3">
      <c r="A24506" s="42"/>
      <c r="C24506" s="52"/>
      <c r="D24506"/>
      <c r="E24506"/>
      <c r="F24506"/>
      <c r="L24506" s="45"/>
      <c r="N24506" s="56"/>
    </row>
    <row r="24507" spans="1:14" x14ac:dyDescent="0.3">
      <c r="A24507" s="42"/>
      <c r="C24507" s="52"/>
      <c r="D24507"/>
      <c r="E24507"/>
      <c r="F24507"/>
      <c r="L24507" s="45"/>
      <c r="N24507" s="56"/>
    </row>
    <row r="24508" spans="1:14" x14ac:dyDescent="0.3">
      <c r="A24508" s="42"/>
      <c r="C24508" s="52"/>
      <c r="D24508"/>
      <c r="E24508"/>
      <c r="F24508"/>
      <c r="L24508" s="45"/>
      <c r="N24508" s="56"/>
    </row>
    <row r="24509" spans="1:14" x14ac:dyDescent="0.3">
      <c r="A24509" s="42"/>
      <c r="C24509" s="52"/>
      <c r="D24509"/>
      <c r="E24509"/>
      <c r="F24509"/>
      <c r="N24509" s="56"/>
    </row>
    <row r="24510" spans="1:14" x14ac:dyDescent="0.3">
      <c r="A24510" s="42"/>
      <c r="C24510" s="52"/>
      <c r="D24510"/>
      <c r="E24510"/>
      <c r="F24510"/>
      <c r="N24510" s="56"/>
    </row>
    <row r="24511" spans="1:14" x14ac:dyDescent="0.3">
      <c r="A24511" s="42"/>
      <c r="C24511" s="52"/>
      <c r="D24511"/>
      <c r="E24511"/>
      <c r="F24511"/>
      <c r="L24511" s="45"/>
      <c r="N24511" s="56"/>
    </row>
    <row r="24512" spans="1:14" x14ac:dyDescent="0.3">
      <c r="A24512" s="42"/>
      <c r="C24512" s="52"/>
      <c r="D24512"/>
      <c r="E24512"/>
      <c r="F24512"/>
      <c r="L24512" s="45"/>
      <c r="N24512" s="56"/>
    </row>
    <row r="24513" spans="1:14" x14ac:dyDescent="0.3">
      <c r="A24513" s="42"/>
      <c r="C24513" s="52"/>
      <c r="D24513"/>
      <c r="E24513"/>
      <c r="F24513"/>
      <c r="L24513" s="45"/>
      <c r="N24513" s="56"/>
    </row>
    <row r="24514" spans="1:14" x14ac:dyDescent="0.3">
      <c r="A24514" s="42"/>
      <c r="C24514" s="52"/>
      <c r="D24514"/>
      <c r="E24514"/>
      <c r="F24514"/>
      <c r="L24514" s="45"/>
      <c r="N24514" s="56"/>
    </row>
    <row r="24515" spans="1:14" x14ac:dyDescent="0.3">
      <c r="A24515" s="42"/>
      <c r="C24515" s="52"/>
      <c r="D24515"/>
      <c r="E24515"/>
      <c r="F24515"/>
      <c r="N24515" s="56"/>
    </row>
    <row r="24516" spans="1:14" x14ac:dyDescent="0.3">
      <c r="A24516" s="42"/>
      <c r="C24516" s="52"/>
      <c r="D24516"/>
      <c r="E24516"/>
      <c r="F24516"/>
      <c r="L24516" s="45"/>
      <c r="N24516" s="56"/>
    </row>
    <row r="24517" spans="1:14" x14ac:dyDescent="0.3">
      <c r="A24517" s="42"/>
      <c r="C24517" s="52"/>
      <c r="D24517"/>
      <c r="E24517"/>
      <c r="F24517"/>
      <c r="L24517" s="45"/>
      <c r="N24517" s="56"/>
    </row>
    <row r="24518" spans="1:14" x14ac:dyDescent="0.3">
      <c r="A24518" s="42"/>
      <c r="C24518" s="52"/>
      <c r="D24518"/>
      <c r="E24518"/>
      <c r="F24518"/>
      <c r="L24518" s="45"/>
      <c r="N24518" s="56"/>
    </row>
    <row r="24519" spans="1:14" x14ac:dyDescent="0.3">
      <c r="A24519" s="42"/>
      <c r="C24519" s="52"/>
      <c r="D24519"/>
      <c r="E24519"/>
      <c r="F24519"/>
      <c r="N24519" s="56"/>
    </row>
    <row r="24520" spans="1:14" x14ac:dyDescent="0.3">
      <c r="A24520" s="42"/>
      <c r="C24520" s="52"/>
      <c r="D24520"/>
      <c r="E24520"/>
      <c r="F24520"/>
      <c r="N24520" s="56"/>
    </row>
    <row r="24521" spans="1:14" x14ac:dyDescent="0.3">
      <c r="A24521" s="42"/>
      <c r="C24521" s="52"/>
      <c r="D24521"/>
      <c r="E24521"/>
      <c r="F24521"/>
      <c r="N24521" s="56"/>
    </row>
    <row r="24522" spans="1:14" x14ac:dyDescent="0.3">
      <c r="A24522" s="42"/>
      <c r="C24522" s="52"/>
      <c r="D24522"/>
      <c r="E24522"/>
      <c r="F24522"/>
      <c r="N24522" s="56"/>
    </row>
    <row r="24523" spans="1:14" x14ac:dyDescent="0.3">
      <c r="A24523" s="42"/>
      <c r="C24523" s="52"/>
      <c r="D24523"/>
      <c r="E24523"/>
      <c r="F24523"/>
      <c r="L24523" s="45"/>
      <c r="N24523" s="56"/>
    </row>
    <row r="24524" spans="1:14" x14ac:dyDescent="0.3">
      <c r="A24524" s="42"/>
      <c r="C24524" s="52"/>
      <c r="D24524"/>
      <c r="E24524"/>
      <c r="F24524"/>
      <c r="N24524" s="56"/>
    </row>
    <row r="24525" spans="1:14" x14ac:dyDescent="0.3">
      <c r="A24525" s="42"/>
      <c r="C24525" s="52"/>
      <c r="D24525"/>
      <c r="E24525"/>
      <c r="F24525"/>
      <c r="N24525" s="56"/>
    </row>
    <row r="24526" spans="1:14" x14ac:dyDescent="0.3">
      <c r="A24526" s="42"/>
      <c r="C24526" s="52"/>
      <c r="D24526"/>
      <c r="E24526"/>
      <c r="F24526"/>
      <c r="N24526" s="56"/>
    </row>
    <row r="24527" spans="1:14" x14ac:dyDescent="0.3">
      <c r="A24527" s="42"/>
      <c r="C24527" s="52"/>
      <c r="D24527"/>
      <c r="E24527"/>
      <c r="F24527"/>
      <c r="N24527" s="56"/>
    </row>
    <row r="24528" spans="1:14" x14ac:dyDescent="0.3">
      <c r="A24528" s="42"/>
      <c r="C24528" s="52"/>
      <c r="D24528"/>
      <c r="E24528"/>
      <c r="F24528"/>
      <c r="N24528" s="56"/>
    </row>
    <row r="24529" spans="1:14" x14ac:dyDescent="0.3">
      <c r="A24529" s="42"/>
      <c r="C24529" s="52"/>
      <c r="D24529"/>
      <c r="E24529"/>
      <c r="F24529"/>
      <c r="L24529" s="45"/>
      <c r="N24529" s="56"/>
    </row>
    <row r="24530" spans="1:14" x14ac:dyDescent="0.3">
      <c r="A24530" s="42"/>
      <c r="C24530" s="52"/>
      <c r="D24530"/>
      <c r="E24530"/>
      <c r="F24530"/>
      <c r="L24530" s="45"/>
      <c r="N24530" s="56"/>
    </row>
    <row r="24531" spans="1:14" x14ac:dyDescent="0.3">
      <c r="A24531" s="42"/>
      <c r="C24531" s="52"/>
      <c r="D24531"/>
      <c r="E24531"/>
      <c r="F24531"/>
      <c r="N24531" s="56"/>
    </row>
    <row r="24532" spans="1:14" x14ac:dyDescent="0.3">
      <c r="A24532" s="42"/>
      <c r="C24532" s="52"/>
      <c r="D24532"/>
      <c r="E24532"/>
      <c r="F24532"/>
      <c r="N24532" s="56"/>
    </row>
    <row r="24533" spans="1:14" x14ac:dyDescent="0.3">
      <c r="A24533" s="42"/>
      <c r="C24533" s="52"/>
      <c r="D24533"/>
      <c r="E24533"/>
      <c r="F24533"/>
      <c r="L24533" s="45"/>
      <c r="N24533" s="56"/>
    </row>
    <row r="24534" spans="1:14" x14ac:dyDescent="0.3">
      <c r="A24534" s="42"/>
      <c r="C24534" s="52"/>
      <c r="D24534"/>
      <c r="E24534"/>
      <c r="F24534"/>
      <c r="L24534" s="45"/>
      <c r="N24534" s="56"/>
    </row>
    <row r="24535" spans="1:14" x14ac:dyDescent="0.3">
      <c r="A24535" s="42"/>
      <c r="C24535" s="52"/>
      <c r="D24535"/>
      <c r="E24535"/>
      <c r="F24535"/>
      <c r="N24535" s="56"/>
    </row>
    <row r="24536" spans="1:14" x14ac:dyDescent="0.3">
      <c r="A24536" s="42"/>
      <c r="C24536" s="52"/>
      <c r="D24536"/>
      <c r="E24536"/>
      <c r="F24536"/>
      <c r="N24536" s="56"/>
    </row>
    <row r="24537" spans="1:14" x14ac:dyDescent="0.3">
      <c r="A24537" s="42"/>
      <c r="C24537" s="52"/>
      <c r="D24537"/>
      <c r="E24537"/>
      <c r="F24537"/>
      <c r="N24537" s="56"/>
    </row>
    <row r="24538" spans="1:14" x14ac:dyDescent="0.3">
      <c r="A24538" s="42"/>
      <c r="C24538" s="52"/>
      <c r="D24538"/>
      <c r="E24538"/>
      <c r="F24538"/>
      <c r="N24538" s="56"/>
    </row>
    <row r="24539" spans="1:14" x14ac:dyDescent="0.3">
      <c r="A24539" s="42"/>
      <c r="C24539" s="52"/>
      <c r="D24539"/>
      <c r="E24539"/>
      <c r="F24539"/>
      <c r="N24539" s="56"/>
    </row>
    <row r="24540" spans="1:14" x14ac:dyDescent="0.3">
      <c r="A24540" s="42"/>
      <c r="C24540" s="52"/>
      <c r="D24540"/>
      <c r="E24540"/>
      <c r="F24540"/>
      <c r="N24540" s="56"/>
    </row>
    <row r="24541" spans="1:14" x14ac:dyDescent="0.3">
      <c r="A24541" s="42"/>
      <c r="C24541" s="52"/>
      <c r="D24541"/>
      <c r="E24541"/>
      <c r="F24541"/>
      <c r="L24541" s="45"/>
      <c r="N24541" s="56"/>
    </row>
    <row r="24542" spans="1:14" x14ac:dyDescent="0.3">
      <c r="A24542" s="42"/>
      <c r="C24542" s="52"/>
      <c r="D24542"/>
      <c r="E24542"/>
      <c r="F24542"/>
      <c r="L24542" s="45"/>
      <c r="N24542" s="56"/>
    </row>
    <row r="24543" spans="1:14" x14ac:dyDescent="0.3">
      <c r="A24543" s="42"/>
      <c r="C24543" s="52"/>
      <c r="D24543"/>
      <c r="E24543"/>
      <c r="F24543"/>
      <c r="N24543" s="56"/>
    </row>
    <row r="24544" spans="1:14" x14ac:dyDescent="0.3">
      <c r="A24544" s="42"/>
      <c r="C24544" s="52"/>
      <c r="D24544"/>
      <c r="E24544"/>
      <c r="F24544"/>
      <c r="N24544" s="56"/>
    </row>
    <row r="24545" spans="1:14" x14ac:dyDescent="0.3">
      <c r="A24545" s="42"/>
      <c r="C24545" s="52"/>
      <c r="D24545"/>
      <c r="E24545"/>
      <c r="F24545"/>
      <c r="N24545" s="56"/>
    </row>
    <row r="24546" spans="1:14" x14ac:dyDescent="0.3">
      <c r="A24546" s="42"/>
      <c r="C24546" s="52"/>
      <c r="D24546"/>
      <c r="E24546"/>
      <c r="F24546"/>
      <c r="N24546" s="56"/>
    </row>
    <row r="24547" spans="1:14" x14ac:dyDescent="0.3">
      <c r="A24547" s="42"/>
      <c r="C24547" s="52"/>
      <c r="D24547"/>
      <c r="E24547"/>
      <c r="F24547"/>
      <c r="N24547" s="56"/>
    </row>
    <row r="24548" spans="1:14" x14ac:dyDescent="0.3">
      <c r="A24548" s="42"/>
      <c r="C24548" s="52"/>
      <c r="D24548"/>
      <c r="E24548"/>
      <c r="F24548"/>
      <c r="N24548" s="56"/>
    </row>
    <row r="24549" spans="1:14" x14ac:dyDescent="0.3">
      <c r="A24549" s="42"/>
      <c r="C24549" s="52"/>
      <c r="D24549"/>
      <c r="E24549"/>
      <c r="F24549"/>
      <c r="N24549" s="56"/>
    </row>
    <row r="24550" spans="1:14" x14ac:dyDescent="0.3">
      <c r="A24550" s="42"/>
      <c r="C24550" s="52"/>
      <c r="D24550"/>
      <c r="E24550"/>
      <c r="F24550"/>
      <c r="N24550" s="56"/>
    </row>
    <row r="24551" spans="1:14" x14ac:dyDescent="0.3">
      <c r="A24551" s="42"/>
      <c r="C24551" s="52"/>
      <c r="D24551"/>
      <c r="E24551"/>
      <c r="F24551"/>
      <c r="N24551" s="56"/>
    </row>
    <row r="24552" spans="1:14" x14ac:dyDescent="0.3">
      <c r="A24552" s="42"/>
      <c r="C24552" s="52"/>
      <c r="D24552"/>
      <c r="E24552"/>
      <c r="F24552"/>
      <c r="N24552" s="56"/>
    </row>
    <row r="24553" spans="1:14" x14ac:dyDescent="0.3">
      <c r="A24553" s="42"/>
      <c r="C24553" s="52"/>
      <c r="D24553"/>
      <c r="E24553"/>
      <c r="F24553"/>
      <c r="L24553" s="45"/>
      <c r="N24553" s="56"/>
    </row>
    <row r="24554" spans="1:14" x14ac:dyDescent="0.3">
      <c r="A24554" s="42"/>
      <c r="C24554" s="52"/>
      <c r="D24554"/>
      <c r="E24554"/>
      <c r="F24554"/>
      <c r="N24554" s="56"/>
    </row>
    <row r="24555" spans="1:14" x14ac:dyDescent="0.3">
      <c r="A24555" s="42"/>
      <c r="C24555" s="52"/>
      <c r="D24555"/>
      <c r="E24555"/>
      <c r="F24555"/>
      <c r="N24555" s="56"/>
    </row>
    <row r="24556" spans="1:14" x14ac:dyDescent="0.3">
      <c r="A24556" s="42"/>
      <c r="C24556" s="52"/>
      <c r="D24556"/>
      <c r="E24556"/>
      <c r="F24556"/>
      <c r="N24556" s="56"/>
    </row>
    <row r="24557" spans="1:14" x14ac:dyDescent="0.3">
      <c r="A24557" s="42"/>
      <c r="C24557" s="52"/>
      <c r="D24557"/>
      <c r="E24557"/>
      <c r="F24557"/>
      <c r="N24557" s="56"/>
    </row>
    <row r="24558" spans="1:14" x14ac:dyDescent="0.3">
      <c r="A24558" s="42"/>
      <c r="C24558" s="52"/>
      <c r="D24558"/>
      <c r="E24558"/>
      <c r="F24558"/>
      <c r="N24558" s="56"/>
    </row>
    <row r="24559" spans="1:14" x14ac:dyDescent="0.3">
      <c r="A24559" s="42"/>
      <c r="C24559" s="52"/>
      <c r="D24559"/>
      <c r="E24559"/>
      <c r="F24559"/>
      <c r="N24559" s="56"/>
    </row>
    <row r="24560" spans="1:14" x14ac:dyDescent="0.3">
      <c r="A24560" s="42"/>
      <c r="C24560" s="52"/>
      <c r="D24560"/>
      <c r="E24560"/>
      <c r="F24560"/>
      <c r="L24560" s="45"/>
      <c r="N24560" s="56"/>
    </row>
    <row r="24561" spans="1:14" x14ac:dyDescent="0.3">
      <c r="A24561" s="42"/>
      <c r="C24561" s="52"/>
      <c r="D24561"/>
      <c r="E24561"/>
      <c r="F24561"/>
      <c r="N24561" s="56"/>
    </row>
    <row r="24562" spans="1:14" x14ac:dyDescent="0.3">
      <c r="A24562" s="42"/>
      <c r="C24562" s="52"/>
      <c r="D24562"/>
      <c r="E24562"/>
      <c r="F24562"/>
      <c r="N24562" s="56"/>
    </row>
    <row r="24563" spans="1:14" x14ac:dyDescent="0.3">
      <c r="A24563" s="42"/>
      <c r="C24563" s="52"/>
      <c r="D24563"/>
      <c r="E24563"/>
      <c r="F24563"/>
      <c r="N24563" s="56"/>
    </row>
    <row r="24564" spans="1:14" x14ac:dyDescent="0.3">
      <c r="A24564" s="42"/>
      <c r="C24564" s="52"/>
      <c r="D24564"/>
      <c r="E24564"/>
      <c r="F24564"/>
      <c r="N24564" s="56"/>
    </row>
    <row r="24565" spans="1:14" x14ac:dyDescent="0.3">
      <c r="A24565" s="42"/>
      <c r="C24565" s="52"/>
      <c r="D24565"/>
      <c r="E24565"/>
      <c r="F24565"/>
      <c r="N24565" s="56"/>
    </row>
    <row r="24566" spans="1:14" x14ac:dyDescent="0.3">
      <c r="A24566" s="42"/>
      <c r="C24566" s="52"/>
      <c r="D24566"/>
      <c r="E24566"/>
      <c r="F24566"/>
      <c r="N24566" s="56"/>
    </row>
    <row r="24567" spans="1:14" x14ac:dyDescent="0.3">
      <c r="A24567" s="42"/>
      <c r="C24567" s="52"/>
      <c r="D24567"/>
      <c r="E24567"/>
      <c r="F24567"/>
      <c r="N24567" s="56"/>
    </row>
    <row r="24568" spans="1:14" x14ac:dyDescent="0.3">
      <c r="A24568" s="42"/>
      <c r="C24568" s="52"/>
      <c r="D24568"/>
      <c r="E24568"/>
      <c r="F24568"/>
      <c r="N24568" s="56"/>
    </row>
    <row r="24569" spans="1:14" x14ac:dyDescent="0.3">
      <c r="A24569" s="42"/>
      <c r="C24569" s="52"/>
      <c r="D24569"/>
      <c r="E24569"/>
      <c r="F24569"/>
      <c r="L24569" s="45"/>
      <c r="N24569" s="56"/>
    </row>
    <row r="24570" spans="1:14" x14ac:dyDescent="0.3">
      <c r="A24570" s="42"/>
      <c r="C24570" s="52"/>
      <c r="D24570"/>
      <c r="E24570"/>
      <c r="F24570"/>
      <c r="N24570" s="56"/>
    </row>
    <row r="24571" spans="1:14" x14ac:dyDescent="0.3">
      <c r="A24571" s="42"/>
      <c r="C24571" s="52"/>
      <c r="D24571"/>
      <c r="E24571"/>
      <c r="F24571"/>
      <c r="N24571" s="56"/>
    </row>
    <row r="24572" spans="1:14" x14ac:dyDescent="0.3">
      <c r="A24572" s="42"/>
      <c r="C24572" s="52"/>
      <c r="D24572"/>
      <c r="E24572"/>
      <c r="F24572"/>
      <c r="N24572" s="56"/>
    </row>
    <row r="24573" spans="1:14" x14ac:dyDescent="0.3">
      <c r="A24573" s="42"/>
      <c r="C24573" s="52"/>
      <c r="D24573"/>
      <c r="E24573"/>
      <c r="F24573"/>
      <c r="N24573" s="56"/>
    </row>
    <row r="24574" spans="1:14" x14ac:dyDescent="0.3">
      <c r="A24574" s="42"/>
      <c r="C24574" s="52"/>
      <c r="D24574"/>
      <c r="E24574"/>
      <c r="F24574"/>
      <c r="L24574" s="45"/>
      <c r="N24574" s="56"/>
    </row>
    <row r="24575" spans="1:14" x14ac:dyDescent="0.3">
      <c r="A24575" s="42"/>
      <c r="C24575" s="52"/>
      <c r="D24575"/>
      <c r="E24575"/>
      <c r="F24575"/>
      <c r="L24575" s="45"/>
      <c r="N24575" s="56"/>
    </row>
    <row r="24576" spans="1:14" x14ac:dyDescent="0.3">
      <c r="A24576" s="42"/>
      <c r="C24576" s="52"/>
      <c r="D24576"/>
      <c r="E24576"/>
      <c r="F24576"/>
      <c r="L24576" s="45"/>
      <c r="N24576" s="56"/>
    </row>
    <row r="24577" spans="1:14" x14ac:dyDescent="0.3">
      <c r="A24577" s="42"/>
      <c r="C24577" s="52"/>
      <c r="D24577"/>
      <c r="E24577"/>
      <c r="F24577"/>
      <c r="L24577" s="45"/>
      <c r="N24577" s="56"/>
    </row>
    <row r="24578" spans="1:14" x14ac:dyDescent="0.3">
      <c r="A24578" s="42"/>
      <c r="C24578" s="52"/>
      <c r="D24578"/>
      <c r="E24578"/>
      <c r="F24578"/>
      <c r="N24578" s="56"/>
    </row>
    <row r="24579" spans="1:14" x14ac:dyDescent="0.3">
      <c r="A24579" s="42"/>
      <c r="C24579" s="52"/>
      <c r="D24579"/>
      <c r="E24579"/>
      <c r="F24579"/>
      <c r="N24579" s="56"/>
    </row>
    <row r="24580" spans="1:14" x14ac:dyDescent="0.3">
      <c r="A24580" s="42"/>
      <c r="C24580" s="52"/>
      <c r="D24580"/>
      <c r="E24580"/>
      <c r="F24580"/>
      <c r="N24580" s="56"/>
    </row>
    <row r="24581" spans="1:14" x14ac:dyDescent="0.3">
      <c r="A24581" s="42"/>
      <c r="C24581" s="52"/>
      <c r="D24581"/>
      <c r="E24581"/>
      <c r="F24581"/>
      <c r="N24581" s="56"/>
    </row>
    <row r="24582" spans="1:14" x14ac:dyDescent="0.3">
      <c r="A24582" s="42"/>
      <c r="C24582" s="52"/>
      <c r="D24582"/>
      <c r="E24582"/>
      <c r="F24582"/>
      <c r="N24582" s="56"/>
    </row>
    <row r="24583" spans="1:14" x14ac:dyDescent="0.3">
      <c r="A24583" s="42"/>
      <c r="C24583" s="52"/>
      <c r="D24583"/>
      <c r="E24583"/>
      <c r="F24583"/>
      <c r="N24583" s="56"/>
    </row>
    <row r="24584" spans="1:14" x14ac:dyDescent="0.3">
      <c r="A24584" s="42"/>
      <c r="C24584" s="52"/>
      <c r="D24584"/>
      <c r="E24584"/>
      <c r="F24584"/>
      <c r="N24584" s="56"/>
    </row>
    <row r="24585" spans="1:14" x14ac:dyDescent="0.3">
      <c r="A24585" s="42"/>
      <c r="C24585" s="52"/>
      <c r="D24585"/>
      <c r="E24585"/>
      <c r="F24585"/>
      <c r="N24585" s="56"/>
    </row>
    <row r="24586" spans="1:14" x14ac:dyDescent="0.3">
      <c r="A24586" s="42"/>
      <c r="C24586" s="52"/>
      <c r="D24586"/>
      <c r="E24586"/>
      <c r="F24586"/>
      <c r="N24586" s="56"/>
    </row>
    <row r="24587" spans="1:14" x14ac:dyDescent="0.3">
      <c r="A24587" s="42"/>
      <c r="C24587" s="52"/>
      <c r="D24587"/>
      <c r="E24587"/>
      <c r="F24587"/>
      <c r="N24587" s="56"/>
    </row>
    <row r="24588" spans="1:14" x14ac:dyDescent="0.3">
      <c r="A24588" s="42"/>
      <c r="C24588" s="52"/>
      <c r="D24588"/>
      <c r="E24588"/>
      <c r="F24588"/>
      <c r="N24588" s="56"/>
    </row>
    <row r="24589" spans="1:14" x14ac:dyDescent="0.3">
      <c r="A24589" s="42"/>
      <c r="C24589" s="52"/>
      <c r="D24589"/>
      <c r="E24589"/>
      <c r="F24589"/>
      <c r="N24589" s="56"/>
    </row>
    <row r="24590" spans="1:14" x14ac:dyDescent="0.3">
      <c r="A24590" s="42"/>
      <c r="C24590" s="52"/>
      <c r="D24590"/>
      <c r="E24590"/>
      <c r="F24590"/>
      <c r="N24590" s="56"/>
    </row>
    <row r="24591" spans="1:14" x14ac:dyDescent="0.3">
      <c r="A24591" s="42"/>
      <c r="C24591" s="52"/>
      <c r="D24591"/>
      <c r="E24591"/>
      <c r="F24591"/>
      <c r="N24591" s="56"/>
    </row>
    <row r="24592" spans="1:14" x14ac:dyDescent="0.3">
      <c r="A24592" s="42"/>
      <c r="C24592" s="52"/>
      <c r="D24592"/>
      <c r="E24592"/>
      <c r="F24592"/>
      <c r="N24592" s="56"/>
    </row>
    <row r="24593" spans="1:14" x14ac:dyDescent="0.3">
      <c r="A24593" s="42"/>
      <c r="C24593" s="52"/>
      <c r="D24593"/>
      <c r="E24593"/>
      <c r="F24593"/>
      <c r="N24593" s="56"/>
    </row>
    <row r="24594" spans="1:14" x14ac:dyDescent="0.3">
      <c r="A24594" s="42"/>
      <c r="C24594" s="52"/>
      <c r="D24594"/>
      <c r="E24594"/>
      <c r="F24594"/>
      <c r="N24594" s="56"/>
    </row>
    <row r="24595" spans="1:14" x14ac:dyDescent="0.3">
      <c r="A24595" s="42"/>
      <c r="C24595" s="52"/>
      <c r="D24595"/>
      <c r="E24595"/>
      <c r="F24595"/>
      <c r="L24595" s="45"/>
      <c r="N24595" s="56"/>
    </row>
    <row r="24596" spans="1:14" x14ac:dyDescent="0.3">
      <c r="A24596" s="42"/>
      <c r="C24596" s="52"/>
      <c r="D24596"/>
      <c r="E24596"/>
      <c r="F24596"/>
      <c r="N24596" s="56"/>
    </row>
    <row r="24597" spans="1:14" x14ac:dyDescent="0.3">
      <c r="A24597" s="42"/>
      <c r="C24597" s="52"/>
      <c r="D24597"/>
      <c r="E24597"/>
      <c r="F24597"/>
      <c r="N24597" s="56"/>
    </row>
    <row r="24598" spans="1:14" x14ac:dyDescent="0.3">
      <c r="A24598" s="42"/>
      <c r="C24598" s="52"/>
      <c r="D24598"/>
      <c r="E24598"/>
      <c r="F24598"/>
      <c r="L24598" s="45"/>
      <c r="N24598" s="56"/>
    </row>
    <row r="24599" spans="1:14" x14ac:dyDescent="0.3">
      <c r="A24599" s="42"/>
      <c r="C24599" s="52"/>
      <c r="D24599"/>
      <c r="E24599"/>
      <c r="F24599"/>
      <c r="N24599" s="56"/>
    </row>
    <row r="24600" spans="1:14" x14ac:dyDescent="0.3">
      <c r="A24600" s="42"/>
      <c r="C24600" s="52"/>
      <c r="D24600"/>
      <c r="E24600"/>
      <c r="F24600"/>
      <c r="N24600" s="56"/>
    </row>
    <row r="24601" spans="1:14" x14ac:dyDescent="0.3">
      <c r="A24601" s="42"/>
      <c r="C24601" s="52"/>
      <c r="D24601"/>
      <c r="E24601"/>
      <c r="F24601"/>
      <c r="N24601" s="56"/>
    </row>
    <row r="24602" spans="1:14" x14ac:dyDescent="0.3">
      <c r="A24602" s="42"/>
      <c r="C24602" s="52"/>
      <c r="D24602"/>
      <c r="E24602"/>
      <c r="F24602"/>
      <c r="N24602" s="56"/>
    </row>
    <row r="24603" spans="1:14" x14ac:dyDescent="0.3">
      <c r="A24603" s="42"/>
      <c r="C24603" s="52"/>
      <c r="D24603"/>
      <c r="E24603"/>
      <c r="F24603"/>
      <c r="N24603" s="56"/>
    </row>
    <row r="24604" spans="1:14" x14ac:dyDescent="0.3">
      <c r="A24604" s="42"/>
      <c r="C24604" s="52"/>
      <c r="D24604"/>
      <c r="E24604"/>
      <c r="F24604"/>
      <c r="N24604" s="56"/>
    </row>
    <row r="24605" spans="1:14" x14ac:dyDescent="0.3">
      <c r="A24605" s="42"/>
      <c r="C24605" s="52"/>
      <c r="D24605"/>
      <c r="E24605"/>
      <c r="F24605"/>
      <c r="N24605" s="56"/>
    </row>
    <row r="24606" spans="1:14" x14ac:dyDescent="0.3">
      <c r="A24606" s="42"/>
      <c r="C24606" s="52"/>
      <c r="D24606"/>
      <c r="E24606"/>
      <c r="F24606"/>
      <c r="N24606" s="56"/>
    </row>
    <row r="24607" spans="1:14" x14ac:dyDescent="0.3">
      <c r="A24607" s="42"/>
      <c r="C24607" s="52"/>
      <c r="D24607"/>
      <c r="E24607"/>
      <c r="F24607"/>
      <c r="N24607" s="56"/>
    </row>
    <row r="24608" spans="1:14" x14ac:dyDescent="0.3">
      <c r="A24608" s="42"/>
      <c r="C24608" s="52"/>
      <c r="D24608"/>
      <c r="E24608"/>
      <c r="F24608"/>
      <c r="N24608" s="56"/>
    </row>
    <row r="24609" spans="1:14" x14ac:dyDescent="0.3">
      <c r="A24609" s="42"/>
      <c r="C24609" s="52"/>
      <c r="D24609"/>
      <c r="E24609"/>
      <c r="F24609"/>
      <c r="N24609" s="56"/>
    </row>
    <row r="24610" spans="1:14" x14ac:dyDescent="0.3">
      <c r="A24610" s="42"/>
      <c r="C24610" s="52"/>
      <c r="D24610"/>
      <c r="E24610"/>
      <c r="F24610"/>
      <c r="L24610" s="45"/>
      <c r="N24610" s="56"/>
    </row>
    <row r="24611" spans="1:14" x14ac:dyDescent="0.3">
      <c r="A24611" s="42"/>
      <c r="C24611" s="52"/>
      <c r="D24611"/>
      <c r="E24611"/>
      <c r="F24611"/>
      <c r="N24611" s="56"/>
    </row>
    <row r="24612" spans="1:14" x14ac:dyDescent="0.3">
      <c r="A24612" s="42"/>
      <c r="C24612" s="52"/>
      <c r="D24612"/>
      <c r="E24612"/>
      <c r="F24612"/>
      <c r="N24612" s="56"/>
    </row>
    <row r="24613" spans="1:14" x14ac:dyDescent="0.3">
      <c r="A24613" s="42"/>
      <c r="C24613" s="52"/>
      <c r="D24613"/>
      <c r="E24613"/>
      <c r="F24613"/>
      <c r="N24613" s="56"/>
    </row>
    <row r="24614" spans="1:14" x14ac:dyDescent="0.3">
      <c r="A24614" s="42"/>
      <c r="C24614" s="52"/>
      <c r="D24614"/>
      <c r="E24614"/>
      <c r="F24614"/>
      <c r="N24614" s="56"/>
    </row>
    <row r="24615" spans="1:14" x14ac:dyDescent="0.3">
      <c r="A24615" s="42"/>
      <c r="C24615" s="52"/>
      <c r="D24615"/>
      <c r="E24615"/>
      <c r="F24615"/>
      <c r="N24615" s="56"/>
    </row>
    <row r="24616" spans="1:14" x14ac:dyDescent="0.3">
      <c r="A24616" s="42"/>
      <c r="C24616" s="52"/>
      <c r="D24616"/>
      <c r="E24616"/>
      <c r="F24616"/>
      <c r="N24616" s="56"/>
    </row>
    <row r="24617" spans="1:14" x14ac:dyDescent="0.3">
      <c r="A24617" s="42"/>
      <c r="C24617" s="52"/>
      <c r="D24617"/>
      <c r="E24617"/>
      <c r="F24617"/>
      <c r="N24617" s="56"/>
    </row>
    <row r="24618" spans="1:14" x14ac:dyDescent="0.3">
      <c r="A24618" s="42"/>
      <c r="C24618" s="52"/>
      <c r="D24618"/>
      <c r="E24618"/>
      <c r="F24618"/>
      <c r="L24618" s="45"/>
      <c r="N24618" s="56"/>
    </row>
    <row r="24619" spans="1:14" x14ac:dyDescent="0.3">
      <c r="A24619" s="42"/>
      <c r="C24619" s="52"/>
      <c r="D24619"/>
      <c r="E24619"/>
      <c r="F24619"/>
      <c r="L24619" s="45"/>
      <c r="N24619" s="56"/>
    </row>
    <row r="24620" spans="1:14" x14ac:dyDescent="0.3">
      <c r="A24620" s="42"/>
      <c r="C24620" s="52"/>
      <c r="D24620"/>
      <c r="E24620"/>
      <c r="F24620"/>
      <c r="N24620" s="56"/>
    </row>
    <row r="24621" spans="1:14" x14ac:dyDescent="0.3">
      <c r="A24621" s="42"/>
      <c r="C24621" s="52"/>
      <c r="D24621"/>
      <c r="E24621"/>
      <c r="F24621"/>
      <c r="L24621" s="45"/>
      <c r="N24621" s="56"/>
    </row>
    <row r="24622" spans="1:14" x14ac:dyDescent="0.3">
      <c r="A24622" s="42"/>
      <c r="C24622" s="52"/>
      <c r="D24622"/>
      <c r="E24622"/>
      <c r="F24622"/>
      <c r="N24622" s="56"/>
    </row>
    <row r="24623" spans="1:14" x14ac:dyDescent="0.3">
      <c r="A24623" s="42"/>
      <c r="C24623" s="52"/>
      <c r="D24623"/>
      <c r="E24623"/>
      <c r="F24623"/>
      <c r="N24623" s="56"/>
    </row>
    <row r="24624" spans="1:14" x14ac:dyDescent="0.3">
      <c r="A24624" s="42"/>
      <c r="C24624" s="52"/>
      <c r="D24624"/>
      <c r="E24624"/>
      <c r="F24624"/>
      <c r="N24624" s="56"/>
    </row>
    <row r="24625" spans="1:14" x14ac:dyDescent="0.3">
      <c r="A24625" s="42"/>
      <c r="C24625" s="52"/>
      <c r="D24625"/>
      <c r="E24625"/>
      <c r="F24625"/>
      <c r="N24625" s="56"/>
    </row>
    <row r="24626" spans="1:14" x14ac:dyDescent="0.3">
      <c r="A24626" s="42"/>
      <c r="C24626" s="52"/>
      <c r="D24626"/>
      <c r="E24626"/>
      <c r="F24626"/>
      <c r="N24626" s="56"/>
    </row>
    <row r="24627" spans="1:14" x14ac:dyDescent="0.3">
      <c r="A24627" s="42"/>
      <c r="C24627" s="52"/>
      <c r="D24627"/>
      <c r="E24627"/>
      <c r="F24627"/>
      <c r="N24627" s="56"/>
    </row>
    <row r="24628" spans="1:14" x14ac:dyDescent="0.3">
      <c r="A24628" s="42"/>
      <c r="C24628" s="52"/>
      <c r="D24628"/>
      <c r="E24628"/>
      <c r="F24628"/>
      <c r="N24628" s="56"/>
    </row>
    <row r="24629" spans="1:14" x14ac:dyDescent="0.3">
      <c r="A24629" s="42"/>
      <c r="C24629" s="52"/>
      <c r="D24629"/>
      <c r="E24629"/>
      <c r="F24629"/>
      <c r="N24629" s="56"/>
    </row>
    <row r="24630" spans="1:14" x14ac:dyDescent="0.3">
      <c r="A24630" s="42"/>
      <c r="C24630" s="52"/>
      <c r="D24630"/>
      <c r="E24630"/>
      <c r="F24630"/>
      <c r="N24630" s="56"/>
    </row>
    <row r="24631" spans="1:14" x14ac:dyDescent="0.3">
      <c r="A24631" s="42"/>
      <c r="C24631" s="52"/>
      <c r="D24631"/>
      <c r="E24631"/>
      <c r="F24631"/>
      <c r="N24631" s="56"/>
    </row>
    <row r="24632" spans="1:14" x14ac:dyDescent="0.3">
      <c r="A24632" s="42"/>
      <c r="C24632" s="52"/>
      <c r="D24632"/>
      <c r="E24632"/>
      <c r="F24632"/>
      <c r="N24632" s="56"/>
    </row>
    <row r="24633" spans="1:14" x14ac:dyDescent="0.3">
      <c r="A24633" s="42"/>
      <c r="C24633" s="52"/>
      <c r="D24633"/>
      <c r="E24633"/>
      <c r="F24633"/>
      <c r="L24633" s="45"/>
      <c r="N24633" s="56"/>
    </row>
    <row r="24634" spans="1:14" x14ac:dyDescent="0.3">
      <c r="A24634" s="42"/>
      <c r="C24634" s="52"/>
      <c r="D24634"/>
      <c r="E24634"/>
      <c r="F24634"/>
      <c r="N24634" s="56"/>
    </row>
    <row r="24635" spans="1:14" x14ac:dyDescent="0.3">
      <c r="A24635" s="42"/>
      <c r="C24635" s="52"/>
      <c r="D24635"/>
      <c r="E24635"/>
      <c r="F24635"/>
      <c r="N24635" s="56"/>
    </row>
    <row r="24636" spans="1:14" x14ac:dyDescent="0.3">
      <c r="A24636" s="42"/>
      <c r="C24636" s="52"/>
      <c r="D24636"/>
      <c r="E24636"/>
      <c r="F24636"/>
      <c r="N24636" s="56"/>
    </row>
    <row r="24637" spans="1:14" x14ac:dyDescent="0.3">
      <c r="A24637" s="42"/>
      <c r="C24637" s="52"/>
      <c r="D24637"/>
      <c r="E24637"/>
      <c r="F24637"/>
      <c r="N24637" s="56"/>
    </row>
    <row r="24638" spans="1:14" x14ac:dyDescent="0.3">
      <c r="A24638" s="42"/>
      <c r="C24638" s="52"/>
      <c r="D24638"/>
      <c r="E24638"/>
      <c r="F24638"/>
      <c r="N24638" s="56"/>
    </row>
    <row r="24639" spans="1:14" x14ac:dyDescent="0.3">
      <c r="A24639" s="42"/>
      <c r="C24639" s="52"/>
      <c r="D24639"/>
      <c r="E24639"/>
      <c r="F24639"/>
      <c r="N24639" s="56"/>
    </row>
    <row r="24640" spans="1:14" x14ac:dyDescent="0.3">
      <c r="A24640" s="42"/>
      <c r="C24640" s="52"/>
      <c r="D24640"/>
      <c r="E24640"/>
      <c r="F24640"/>
      <c r="N24640" s="56"/>
    </row>
    <row r="24641" spans="1:14" x14ac:dyDescent="0.3">
      <c r="A24641" s="42"/>
      <c r="C24641" s="52"/>
      <c r="D24641"/>
      <c r="E24641"/>
      <c r="F24641"/>
      <c r="N24641" s="56"/>
    </row>
    <row r="24642" spans="1:14" x14ac:dyDescent="0.3">
      <c r="A24642" s="42"/>
      <c r="C24642" s="52"/>
      <c r="D24642"/>
      <c r="E24642"/>
      <c r="F24642"/>
      <c r="L24642" s="45"/>
      <c r="N24642" s="56"/>
    </row>
    <row r="24643" spans="1:14" x14ac:dyDescent="0.3">
      <c r="A24643" s="42"/>
      <c r="C24643" s="52"/>
      <c r="D24643"/>
      <c r="E24643"/>
      <c r="F24643"/>
      <c r="N24643" s="56"/>
    </row>
    <row r="24644" spans="1:14" x14ac:dyDescent="0.3">
      <c r="A24644" s="42"/>
      <c r="C24644" s="52"/>
      <c r="D24644"/>
      <c r="E24644"/>
      <c r="F24644"/>
      <c r="N24644" s="56"/>
    </row>
    <row r="24645" spans="1:14" x14ac:dyDescent="0.3">
      <c r="A24645" s="42"/>
      <c r="C24645" s="52"/>
      <c r="D24645"/>
      <c r="E24645"/>
      <c r="F24645"/>
      <c r="N24645" s="56"/>
    </row>
    <row r="24646" spans="1:14" x14ac:dyDescent="0.3">
      <c r="A24646" s="42"/>
      <c r="C24646" s="52"/>
      <c r="D24646"/>
      <c r="E24646"/>
      <c r="F24646"/>
      <c r="N24646" s="56"/>
    </row>
    <row r="24647" spans="1:14" x14ac:dyDescent="0.3">
      <c r="A24647" s="42"/>
      <c r="C24647" s="52"/>
      <c r="D24647"/>
      <c r="E24647"/>
      <c r="F24647"/>
      <c r="N24647" s="56"/>
    </row>
    <row r="24648" spans="1:14" x14ac:dyDescent="0.3">
      <c r="A24648" s="42"/>
      <c r="C24648" s="52"/>
      <c r="D24648"/>
      <c r="E24648"/>
      <c r="F24648"/>
      <c r="N24648" s="56"/>
    </row>
    <row r="24649" spans="1:14" x14ac:dyDescent="0.3">
      <c r="A24649" s="42"/>
      <c r="C24649" s="52"/>
      <c r="D24649"/>
      <c r="E24649"/>
      <c r="F24649"/>
      <c r="N24649" s="56"/>
    </row>
    <row r="24650" spans="1:14" x14ac:dyDescent="0.3">
      <c r="A24650" s="42"/>
      <c r="C24650" s="52"/>
      <c r="D24650"/>
      <c r="E24650"/>
      <c r="F24650"/>
      <c r="N24650" s="56"/>
    </row>
    <row r="24651" spans="1:14" x14ac:dyDescent="0.3">
      <c r="A24651" s="42"/>
      <c r="C24651" s="52"/>
      <c r="D24651"/>
      <c r="E24651"/>
      <c r="F24651"/>
      <c r="N24651" s="56"/>
    </row>
    <row r="24652" spans="1:14" x14ac:dyDescent="0.3">
      <c r="A24652" s="42"/>
      <c r="C24652" s="52"/>
      <c r="D24652"/>
      <c r="E24652"/>
      <c r="F24652"/>
      <c r="N24652" s="56"/>
    </row>
    <row r="24653" spans="1:14" x14ac:dyDescent="0.3">
      <c r="A24653" s="42"/>
      <c r="C24653" s="52"/>
      <c r="D24653"/>
      <c r="E24653"/>
      <c r="F24653"/>
      <c r="N24653" s="56"/>
    </row>
    <row r="24654" spans="1:14" x14ac:dyDescent="0.3">
      <c r="A24654" s="42"/>
      <c r="C24654" s="52"/>
      <c r="D24654"/>
      <c r="E24654"/>
      <c r="F24654"/>
      <c r="N24654" s="56"/>
    </row>
    <row r="24655" spans="1:14" x14ac:dyDescent="0.3">
      <c r="A24655" s="42"/>
      <c r="C24655" s="52"/>
      <c r="D24655"/>
      <c r="E24655"/>
      <c r="F24655"/>
      <c r="L24655" s="45"/>
      <c r="N24655" s="56"/>
    </row>
    <row r="24656" spans="1:14" x14ac:dyDescent="0.3">
      <c r="A24656" s="42"/>
      <c r="C24656" s="52"/>
      <c r="D24656"/>
      <c r="E24656"/>
      <c r="F24656"/>
      <c r="N24656" s="56"/>
    </row>
    <row r="24657" spans="1:14" x14ac:dyDescent="0.3">
      <c r="A24657" s="42"/>
      <c r="C24657" s="52"/>
      <c r="D24657"/>
      <c r="E24657"/>
      <c r="F24657"/>
      <c r="N24657" s="56"/>
    </row>
    <row r="24658" spans="1:14" x14ac:dyDescent="0.3">
      <c r="A24658" s="42"/>
      <c r="C24658" s="52"/>
      <c r="D24658"/>
      <c r="E24658"/>
      <c r="F24658"/>
      <c r="N24658" s="56"/>
    </row>
    <row r="24659" spans="1:14" x14ac:dyDescent="0.3">
      <c r="A24659" s="42"/>
      <c r="C24659" s="52"/>
      <c r="D24659"/>
      <c r="E24659"/>
      <c r="F24659"/>
      <c r="N24659" s="56"/>
    </row>
    <row r="24660" spans="1:14" x14ac:dyDescent="0.3">
      <c r="C24660" s="52"/>
      <c r="N24660"/>
    </row>
    <row r="24661" spans="1:14" x14ac:dyDescent="0.3">
      <c r="C24661" s="52"/>
      <c r="N24661"/>
    </row>
    <row r="24662" spans="1:14" x14ac:dyDescent="0.3">
      <c r="C24662" s="52"/>
      <c r="N24662"/>
    </row>
    <row r="24663" spans="1:14" x14ac:dyDescent="0.3">
      <c r="C24663" s="52"/>
      <c r="N24663"/>
    </row>
    <row r="24664" spans="1:14" x14ac:dyDescent="0.3">
      <c r="C24664" s="52"/>
      <c r="N24664"/>
    </row>
    <row r="24665" spans="1:14" x14ac:dyDescent="0.3">
      <c r="C24665" s="52"/>
      <c r="N24665"/>
    </row>
    <row r="24666" spans="1:14" x14ac:dyDescent="0.3">
      <c r="C24666" s="52"/>
      <c r="N24666"/>
    </row>
    <row r="24667" spans="1:14" x14ac:dyDescent="0.3">
      <c r="C24667" s="52"/>
      <c r="N24667"/>
    </row>
    <row r="24668" spans="1:14" x14ac:dyDescent="0.3">
      <c r="C24668" s="52"/>
      <c r="N24668"/>
    </row>
    <row r="24669" spans="1:14" x14ac:dyDescent="0.3">
      <c r="C24669" s="52"/>
      <c r="N24669"/>
    </row>
    <row r="24670" spans="1:14" x14ac:dyDescent="0.3">
      <c r="C24670" s="52"/>
      <c r="N24670"/>
    </row>
    <row r="24671" spans="1:14" x14ac:dyDescent="0.3">
      <c r="C24671" s="52"/>
      <c r="N24671"/>
    </row>
    <row r="24672" spans="1:14" x14ac:dyDescent="0.3">
      <c r="C24672" s="52"/>
      <c r="N24672"/>
    </row>
    <row r="24673" spans="3:14" x14ac:dyDescent="0.3">
      <c r="C24673" s="52"/>
      <c r="N24673"/>
    </row>
    <row r="24674" spans="3:14" x14ac:dyDescent="0.3">
      <c r="C24674" s="52"/>
      <c r="N24674"/>
    </row>
    <row r="24675" spans="3:14" x14ac:dyDescent="0.3">
      <c r="C24675" s="52"/>
      <c r="N24675"/>
    </row>
    <row r="24676" spans="3:14" x14ac:dyDescent="0.3">
      <c r="C24676" s="52"/>
      <c r="N24676"/>
    </row>
    <row r="24677" spans="3:14" x14ac:dyDescent="0.3">
      <c r="C24677" s="52"/>
      <c r="N24677"/>
    </row>
    <row r="24678" spans="3:14" x14ac:dyDescent="0.3">
      <c r="C24678" s="52"/>
      <c r="N24678"/>
    </row>
    <row r="24679" spans="3:14" x14ac:dyDescent="0.3">
      <c r="C24679" s="52"/>
      <c r="N24679"/>
    </row>
    <row r="24680" spans="3:14" x14ac:dyDescent="0.3">
      <c r="C24680" s="52"/>
      <c r="N24680"/>
    </row>
    <row r="24681" spans="3:14" x14ac:dyDescent="0.3">
      <c r="C24681" s="52"/>
      <c r="N24681"/>
    </row>
    <row r="24682" spans="3:14" x14ac:dyDescent="0.3">
      <c r="C24682" s="52"/>
      <c r="N24682"/>
    </row>
    <row r="24683" spans="3:14" x14ac:dyDescent="0.3">
      <c r="C24683" s="52"/>
      <c r="N24683"/>
    </row>
    <row r="24684" spans="3:14" x14ac:dyDescent="0.3">
      <c r="C24684" s="52"/>
      <c r="N24684"/>
    </row>
    <row r="24685" spans="3:14" x14ac:dyDescent="0.3">
      <c r="C24685" s="52"/>
      <c r="N24685"/>
    </row>
    <row r="24686" spans="3:14" x14ac:dyDescent="0.3">
      <c r="C24686" s="52"/>
      <c r="N24686"/>
    </row>
    <row r="24687" spans="3:14" x14ac:dyDescent="0.3">
      <c r="C24687" s="52"/>
      <c r="N24687"/>
    </row>
    <row r="24688" spans="3:14" x14ac:dyDescent="0.3">
      <c r="C24688" s="52"/>
      <c r="N24688"/>
    </row>
    <row r="24689" spans="3:14" x14ac:dyDescent="0.3">
      <c r="C24689" s="52"/>
      <c r="N24689"/>
    </row>
    <row r="24690" spans="3:14" x14ac:dyDescent="0.3">
      <c r="C24690" s="52"/>
      <c r="N24690"/>
    </row>
    <row r="24691" spans="3:14" x14ac:dyDescent="0.3">
      <c r="C24691" s="52"/>
      <c r="N24691"/>
    </row>
    <row r="24692" spans="3:14" x14ac:dyDescent="0.3">
      <c r="C24692" s="52"/>
      <c r="N24692"/>
    </row>
    <row r="24693" spans="3:14" x14ac:dyDescent="0.3">
      <c r="C24693" s="52"/>
      <c r="N24693"/>
    </row>
    <row r="24694" spans="3:14" x14ac:dyDescent="0.3">
      <c r="C24694" s="52"/>
      <c r="N24694"/>
    </row>
    <row r="24695" spans="3:14" x14ac:dyDescent="0.3">
      <c r="C24695" s="52"/>
      <c r="N24695"/>
    </row>
    <row r="24696" spans="3:14" x14ac:dyDescent="0.3">
      <c r="C24696" s="52"/>
      <c r="N24696"/>
    </row>
    <row r="24697" spans="3:14" x14ac:dyDescent="0.3">
      <c r="C24697" s="52"/>
      <c r="N24697"/>
    </row>
    <row r="24698" spans="3:14" x14ac:dyDescent="0.3">
      <c r="C24698" s="52"/>
      <c r="N24698"/>
    </row>
    <row r="24699" spans="3:14" x14ac:dyDescent="0.3">
      <c r="C24699" s="52"/>
      <c r="N24699"/>
    </row>
    <row r="24700" spans="3:14" x14ac:dyDescent="0.3">
      <c r="C24700" s="52"/>
      <c r="N24700"/>
    </row>
    <row r="24701" spans="3:14" x14ac:dyDescent="0.3">
      <c r="C24701" s="52"/>
      <c r="N24701"/>
    </row>
    <row r="24702" spans="3:14" x14ac:dyDescent="0.3">
      <c r="C24702" s="52"/>
      <c r="N24702"/>
    </row>
    <row r="24703" spans="3:14" x14ac:dyDescent="0.3">
      <c r="C24703" s="52"/>
      <c r="N24703"/>
    </row>
    <row r="24704" spans="3:14" x14ac:dyDescent="0.3">
      <c r="C24704" s="52"/>
      <c r="N24704"/>
    </row>
    <row r="24705" spans="3:14" x14ac:dyDescent="0.3">
      <c r="C24705" s="52"/>
      <c r="N24705"/>
    </row>
    <row r="24706" spans="3:14" x14ac:dyDescent="0.3">
      <c r="C24706" s="52"/>
      <c r="N24706"/>
    </row>
    <row r="24707" spans="3:14" x14ac:dyDescent="0.3">
      <c r="C24707" s="52"/>
      <c r="N24707"/>
    </row>
    <row r="24708" spans="3:14" x14ac:dyDescent="0.3">
      <c r="C24708" s="52"/>
      <c r="N24708"/>
    </row>
    <row r="24709" spans="3:14" x14ac:dyDescent="0.3">
      <c r="C24709" s="52"/>
      <c r="N24709"/>
    </row>
    <row r="24710" spans="3:14" x14ac:dyDescent="0.3">
      <c r="C24710" s="52"/>
      <c r="N24710"/>
    </row>
    <row r="24711" spans="3:14" x14ac:dyDescent="0.3">
      <c r="C24711" s="52"/>
      <c r="N24711"/>
    </row>
    <row r="24712" spans="3:14" x14ac:dyDescent="0.3">
      <c r="C24712" s="52"/>
      <c r="N24712"/>
    </row>
    <row r="24713" spans="3:14" x14ac:dyDescent="0.3">
      <c r="C24713" s="52"/>
      <c r="N24713"/>
    </row>
    <row r="24714" spans="3:14" x14ac:dyDescent="0.3">
      <c r="C24714" s="52"/>
      <c r="N24714"/>
    </row>
    <row r="24715" spans="3:14" x14ac:dyDescent="0.3">
      <c r="C24715" s="52"/>
      <c r="N24715"/>
    </row>
    <row r="24716" spans="3:14" x14ac:dyDescent="0.3">
      <c r="C24716" s="52"/>
      <c r="N24716"/>
    </row>
    <row r="24717" spans="3:14" x14ac:dyDescent="0.3">
      <c r="C24717" s="52"/>
      <c r="N24717"/>
    </row>
    <row r="24718" spans="3:14" x14ac:dyDescent="0.3">
      <c r="C24718" s="52"/>
      <c r="N24718"/>
    </row>
    <row r="24719" spans="3:14" x14ac:dyDescent="0.3">
      <c r="C24719" s="52"/>
      <c r="N24719"/>
    </row>
    <row r="24720" spans="3:14" x14ac:dyDescent="0.3">
      <c r="C24720" s="52"/>
      <c r="N24720"/>
    </row>
    <row r="24721" spans="3:14" x14ac:dyDescent="0.3">
      <c r="C24721" s="52"/>
      <c r="N24721"/>
    </row>
    <row r="24722" spans="3:14" x14ac:dyDescent="0.3">
      <c r="C24722" s="52"/>
      <c r="N24722"/>
    </row>
    <row r="24723" spans="3:14" x14ac:dyDescent="0.3">
      <c r="C24723" s="52"/>
      <c r="N24723"/>
    </row>
    <row r="24724" spans="3:14" x14ac:dyDescent="0.3">
      <c r="C24724" s="52"/>
      <c r="N24724"/>
    </row>
    <row r="24725" spans="3:14" x14ac:dyDescent="0.3">
      <c r="C24725" s="52"/>
      <c r="N24725"/>
    </row>
    <row r="24726" spans="3:14" x14ac:dyDescent="0.3">
      <c r="C24726" s="52"/>
      <c r="N24726"/>
    </row>
    <row r="24727" spans="3:14" x14ac:dyDescent="0.3">
      <c r="C24727" s="52"/>
      <c r="N24727"/>
    </row>
    <row r="24728" spans="3:14" x14ac:dyDescent="0.3">
      <c r="C24728" s="52"/>
      <c r="N24728"/>
    </row>
    <row r="24729" spans="3:14" x14ac:dyDescent="0.3">
      <c r="C24729" s="52"/>
      <c r="N24729"/>
    </row>
    <row r="24730" spans="3:14" x14ac:dyDescent="0.3">
      <c r="C24730" s="52"/>
      <c r="N24730"/>
    </row>
    <row r="24731" spans="3:14" x14ac:dyDescent="0.3">
      <c r="C24731" s="52"/>
      <c r="N24731"/>
    </row>
    <row r="24732" spans="3:14" x14ac:dyDescent="0.3">
      <c r="C24732" s="52"/>
      <c r="N24732"/>
    </row>
    <row r="24733" spans="3:14" x14ac:dyDescent="0.3">
      <c r="C24733" s="52"/>
      <c r="N24733"/>
    </row>
    <row r="24734" spans="3:14" x14ac:dyDescent="0.3">
      <c r="C24734" s="52"/>
      <c r="N24734"/>
    </row>
    <row r="24735" spans="3:14" x14ac:dyDescent="0.3">
      <c r="C24735" s="52"/>
      <c r="N24735"/>
    </row>
    <row r="24736" spans="3:14" x14ac:dyDescent="0.3">
      <c r="C24736" s="52"/>
      <c r="N24736"/>
    </row>
    <row r="24737" spans="3:14" x14ac:dyDescent="0.3">
      <c r="C24737" s="52"/>
      <c r="N24737"/>
    </row>
    <row r="24738" spans="3:14" x14ac:dyDescent="0.3">
      <c r="C24738" s="52"/>
      <c r="N24738"/>
    </row>
    <row r="24739" spans="3:14" x14ac:dyDescent="0.3">
      <c r="C24739" s="52"/>
      <c r="N24739"/>
    </row>
    <row r="24740" spans="3:14" x14ac:dyDescent="0.3">
      <c r="C24740" s="52"/>
      <c r="N24740"/>
    </row>
    <row r="24741" spans="3:14" x14ac:dyDescent="0.3">
      <c r="C24741" s="52"/>
      <c r="N24741"/>
    </row>
    <row r="24742" spans="3:14" x14ac:dyDescent="0.3">
      <c r="C24742" s="52"/>
      <c r="N24742"/>
    </row>
    <row r="24743" spans="3:14" x14ac:dyDescent="0.3">
      <c r="C24743" s="52"/>
      <c r="N24743"/>
    </row>
    <row r="24744" spans="3:14" x14ac:dyDescent="0.3">
      <c r="C24744" s="52"/>
      <c r="N24744"/>
    </row>
    <row r="24745" spans="3:14" x14ac:dyDescent="0.3">
      <c r="C24745" s="52"/>
      <c r="N24745"/>
    </row>
    <row r="24746" spans="3:14" x14ac:dyDescent="0.3">
      <c r="C24746" s="52"/>
      <c r="N24746"/>
    </row>
    <row r="24747" spans="3:14" x14ac:dyDescent="0.3">
      <c r="C24747" s="52"/>
      <c r="N24747"/>
    </row>
    <row r="24748" spans="3:14" x14ac:dyDescent="0.3">
      <c r="C24748" s="52"/>
      <c r="N24748"/>
    </row>
    <row r="24749" spans="3:14" x14ac:dyDescent="0.3">
      <c r="C24749" s="52"/>
      <c r="N24749"/>
    </row>
    <row r="24750" spans="3:14" x14ac:dyDescent="0.3">
      <c r="C24750" s="52"/>
      <c r="N24750"/>
    </row>
    <row r="24751" spans="3:14" x14ac:dyDescent="0.3">
      <c r="C24751" s="52"/>
      <c r="N24751"/>
    </row>
    <row r="24752" spans="3:14" x14ac:dyDescent="0.3">
      <c r="C24752" s="52"/>
      <c r="N24752"/>
    </row>
    <row r="24753" spans="3:14" x14ac:dyDescent="0.3">
      <c r="C24753" s="52"/>
      <c r="N24753"/>
    </row>
    <row r="24754" spans="3:14" x14ac:dyDescent="0.3">
      <c r="C24754" s="52"/>
      <c r="N24754"/>
    </row>
    <row r="24755" spans="3:14" x14ac:dyDescent="0.3">
      <c r="C24755" s="52"/>
      <c r="N24755"/>
    </row>
    <row r="24756" spans="3:14" x14ac:dyDescent="0.3">
      <c r="C24756" s="52"/>
      <c r="N24756"/>
    </row>
    <row r="24757" spans="3:14" x14ac:dyDescent="0.3">
      <c r="C24757" s="52"/>
      <c r="N24757"/>
    </row>
    <row r="24758" spans="3:14" x14ac:dyDescent="0.3">
      <c r="C24758" s="52"/>
      <c r="N24758"/>
    </row>
    <row r="24759" spans="3:14" x14ac:dyDescent="0.3">
      <c r="C24759" s="52"/>
      <c r="N24759"/>
    </row>
    <row r="24760" spans="3:14" x14ac:dyDescent="0.3">
      <c r="C24760" s="52"/>
      <c r="N24760"/>
    </row>
    <row r="24761" spans="3:14" x14ac:dyDescent="0.3">
      <c r="C24761" s="52"/>
      <c r="N24761"/>
    </row>
    <row r="24762" spans="3:14" x14ac:dyDescent="0.3">
      <c r="C24762" s="52"/>
      <c r="N24762"/>
    </row>
    <row r="24763" spans="3:14" x14ac:dyDescent="0.3">
      <c r="C24763" s="52"/>
      <c r="N24763"/>
    </row>
    <row r="24764" spans="3:14" x14ac:dyDescent="0.3">
      <c r="C24764" s="52"/>
      <c r="N24764"/>
    </row>
    <row r="24765" spans="3:14" x14ac:dyDescent="0.3">
      <c r="C24765" s="52"/>
      <c r="N24765"/>
    </row>
    <row r="24766" spans="3:14" x14ac:dyDescent="0.3">
      <c r="C24766" s="52"/>
      <c r="N24766"/>
    </row>
    <row r="24767" spans="3:14" x14ac:dyDescent="0.3">
      <c r="C24767" s="52"/>
      <c r="N24767"/>
    </row>
    <row r="24768" spans="3:14" x14ac:dyDescent="0.3">
      <c r="C24768" s="52"/>
      <c r="N24768"/>
    </row>
    <row r="24769" spans="3:14" x14ac:dyDescent="0.3">
      <c r="C24769" s="52"/>
      <c r="N24769"/>
    </row>
    <row r="24770" spans="3:14" x14ac:dyDescent="0.3">
      <c r="C24770" s="52"/>
      <c r="N24770"/>
    </row>
    <row r="24771" spans="3:14" x14ac:dyDescent="0.3">
      <c r="C24771" s="52"/>
      <c r="N24771"/>
    </row>
    <row r="24772" spans="3:14" x14ac:dyDescent="0.3">
      <c r="C24772" s="52"/>
      <c r="N24772"/>
    </row>
    <row r="24773" spans="3:14" x14ac:dyDescent="0.3">
      <c r="C24773" s="52"/>
      <c r="N24773"/>
    </row>
    <row r="24774" spans="3:14" x14ac:dyDescent="0.3">
      <c r="C24774" s="52"/>
      <c r="N24774"/>
    </row>
    <row r="24775" spans="3:14" x14ac:dyDescent="0.3">
      <c r="C24775" s="52"/>
      <c r="N24775"/>
    </row>
    <row r="24776" spans="3:14" x14ac:dyDescent="0.3">
      <c r="C24776" s="52"/>
      <c r="N24776"/>
    </row>
    <row r="24777" spans="3:14" x14ac:dyDescent="0.3">
      <c r="C24777" s="52"/>
      <c r="N24777"/>
    </row>
    <row r="24778" spans="3:14" x14ac:dyDescent="0.3">
      <c r="C24778" s="52"/>
      <c r="N24778"/>
    </row>
    <row r="24779" spans="3:14" x14ac:dyDescent="0.3">
      <c r="C24779" s="52"/>
      <c r="N24779"/>
    </row>
    <row r="24780" spans="3:14" x14ac:dyDescent="0.3">
      <c r="C24780" s="52"/>
      <c r="N24780"/>
    </row>
    <row r="24781" spans="3:14" x14ac:dyDescent="0.3">
      <c r="C24781" s="52"/>
      <c r="N24781"/>
    </row>
    <row r="24782" spans="3:14" x14ac:dyDescent="0.3">
      <c r="C24782" s="52"/>
      <c r="N24782"/>
    </row>
    <row r="24783" spans="3:14" x14ac:dyDescent="0.3">
      <c r="C24783" s="52"/>
      <c r="N24783"/>
    </row>
    <row r="24784" spans="3:14" x14ac:dyDescent="0.3">
      <c r="C24784" s="52"/>
      <c r="N24784"/>
    </row>
    <row r="24785" spans="3:14" x14ac:dyDescent="0.3">
      <c r="C24785" s="52"/>
      <c r="N24785"/>
    </row>
    <row r="24786" spans="3:14" x14ac:dyDescent="0.3">
      <c r="C24786" s="52"/>
      <c r="N24786"/>
    </row>
    <row r="24787" spans="3:14" x14ac:dyDescent="0.3">
      <c r="C24787" s="52"/>
      <c r="N24787"/>
    </row>
    <row r="24788" spans="3:14" x14ac:dyDescent="0.3">
      <c r="C24788" s="52"/>
      <c r="N24788"/>
    </row>
    <row r="24789" spans="3:14" x14ac:dyDescent="0.3">
      <c r="C24789" s="52"/>
      <c r="N24789"/>
    </row>
    <row r="24790" spans="3:14" x14ac:dyDescent="0.3">
      <c r="C24790" s="52"/>
      <c r="N24790"/>
    </row>
    <row r="24791" spans="3:14" x14ac:dyDescent="0.3">
      <c r="C24791" s="52"/>
      <c r="N24791"/>
    </row>
    <row r="24792" spans="3:14" x14ac:dyDescent="0.3">
      <c r="C24792" s="52"/>
      <c r="N24792"/>
    </row>
    <row r="24793" spans="3:14" x14ac:dyDescent="0.3">
      <c r="C24793" s="52"/>
      <c r="N24793"/>
    </row>
    <row r="24794" spans="3:14" x14ac:dyDescent="0.3">
      <c r="C24794" s="52"/>
      <c r="N24794"/>
    </row>
    <row r="24795" spans="3:14" x14ac:dyDescent="0.3">
      <c r="C24795" s="52"/>
      <c r="N24795"/>
    </row>
    <row r="24796" spans="3:14" x14ac:dyDescent="0.3">
      <c r="C24796" s="52"/>
      <c r="N24796"/>
    </row>
    <row r="24797" spans="3:14" x14ac:dyDescent="0.3">
      <c r="C24797" s="52"/>
      <c r="N24797"/>
    </row>
    <row r="24798" spans="3:14" x14ac:dyDescent="0.3">
      <c r="C24798" s="52"/>
      <c r="N24798"/>
    </row>
    <row r="24799" spans="3:14" x14ac:dyDescent="0.3">
      <c r="C24799" s="52"/>
      <c r="N24799"/>
    </row>
    <row r="24800" spans="3:14" x14ac:dyDescent="0.3">
      <c r="C24800" s="52"/>
      <c r="N24800"/>
    </row>
    <row r="24801" spans="3:14" x14ac:dyDescent="0.3">
      <c r="C24801" s="52"/>
      <c r="N24801"/>
    </row>
    <row r="24802" spans="3:14" x14ac:dyDescent="0.3">
      <c r="C24802" s="52"/>
      <c r="N24802"/>
    </row>
    <row r="24803" spans="3:14" x14ac:dyDescent="0.3">
      <c r="C24803" s="52"/>
      <c r="N24803"/>
    </row>
    <row r="24804" spans="3:14" x14ac:dyDescent="0.3">
      <c r="C24804" s="52"/>
      <c r="N24804"/>
    </row>
    <row r="24805" spans="3:14" x14ac:dyDescent="0.3">
      <c r="C24805" s="52"/>
      <c r="N24805"/>
    </row>
    <row r="24806" spans="3:14" x14ac:dyDescent="0.3">
      <c r="C24806" s="52"/>
      <c r="N24806"/>
    </row>
    <row r="24807" spans="3:14" x14ac:dyDescent="0.3">
      <c r="C24807" s="52"/>
      <c r="N24807"/>
    </row>
    <row r="24808" spans="3:14" x14ac:dyDescent="0.3">
      <c r="C24808" s="52"/>
      <c r="N24808"/>
    </row>
    <row r="24809" spans="3:14" x14ac:dyDescent="0.3">
      <c r="C24809" s="52"/>
      <c r="N24809"/>
    </row>
    <row r="24810" spans="3:14" x14ac:dyDescent="0.3">
      <c r="C24810" s="52"/>
      <c r="N24810"/>
    </row>
    <row r="24811" spans="3:14" x14ac:dyDescent="0.3">
      <c r="C24811" s="52"/>
      <c r="N24811"/>
    </row>
    <row r="24812" spans="3:14" x14ac:dyDescent="0.3">
      <c r="C24812" s="52"/>
      <c r="N24812"/>
    </row>
    <row r="24813" spans="3:14" x14ac:dyDescent="0.3">
      <c r="C24813" s="52"/>
      <c r="N24813"/>
    </row>
    <row r="24814" spans="3:14" x14ac:dyDescent="0.3">
      <c r="C24814" s="52"/>
      <c r="N24814"/>
    </row>
    <row r="24815" spans="3:14" x14ac:dyDescent="0.3">
      <c r="C24815" s="52"/>
      <c r="N24815"/>
    </row>
    <row r="24816" spans="3:14" x14ac:dyDescent="0.3">
      <c r="C24816" s="52"/>
      <c r="N24816"/>
    </row>
    <row r="24817" spans="3:14" x14ac:dyDescent="0.3">
      <c r="C24817" s="52"/>
      <c r="N24817"/>
    </row>
    <row r="24818" spans="3:14" x14ac:dyDescent="0.3">
      <c r="C24818" s="52"/>
      <c r="N24818"/>
    </row>
    <row r="24819" spans="3:14" x14ac:dyDescent="0.3">
      <c r="C24819" s="52"/>
      <c r="N24819"/>
    </row>
    <row r="24820" spans="3:14" x14ac:dyDescent="0.3">
      <c r="C24820" s="52"/>
      <c r="N24820"/>
    </row>
    <row r="24821" spans="3:14" x14ac:dyDescent="0.3">
      <c r="C24821" s="52"/>
      <c r="N24821"/>
    </row>
    <row r="24822" spans="3:14" x14ac:dyDescent="0.3">
      <c r="C24822" s="52"/>
      <c r="N24822"/>
    </row>
    <row r="24823" spans="3:14" x14ac:dyDescent="0.3">
      <c r="C24823" s="52"/>
      <c r="N24823"/>
    </row>
    <row r="24824" spans="3:14" x14ac:dyDescent="0.3">
      <c r="C24824" s="52"/>
      <c r="N24824"/>
    </row>
    <row r="24825" spans="3:14" x14ac:dyDescent="0.3">
      <c r="C24825" s="52"/>
      <c r="N24825"/>
    </row>
    <row r="24826" spans="3:14" x14ac:dyDescent="0.3">
      <c r="C24826" s="52"/>
      <c r="N24826"/>
    </row>
    <row r="24827" spans="3:14" x14ac:dyDescent="0.3">
      <c r="C24827" s="52"/>
      <c r="N24827"/>
    </row>
    <row r="24828" spans="3:14" x14ac:dyDescent="0.3">
      <c r="C24828" s="52"/>
      <c r="N24828"/>
    </row>
    <row r="24829" spans="3:14" x14ac:dyDescent="0.3">
      <c r="C24829" s="52"/>
      <c r="N24829"/>
    </row>
    <row r="24830" spans="3:14" x14ac:dyDescent="0.3">
      <c r="C24830" s="52"/>
      <c r="N24830"/>
    </row>
    <row r="24831" spans="3:14" x14ac:dyDescent="0.3">
      <c r="C24831" s="52"/>
      <c r="N24831"/>
    </row>
    <row r="24832" spans="3:14" x14ac:dyDescent="0.3">
      <c r="C24832" s="52"/>
      <c r="N24832"/>
    </row>
    <row r="24833" spans="3:14" x14ac:dyDescent="0.3">
      <c r="C24833" s="52"/>
      <c r="N24833"/>
    </row>
    <row r="24834" spans="3:14" x14ac:dyDescent="0.3">
      <c r="C24834" s="52"/>
      <c r="N24834"/>
    </row>
    <row r="24835" spans="3:14" x14ac:dyDescent="0.3">
      <c r="C24835" s="52"/>
      <c r="N24835"/>
    </row>
    <row r="24836" spans="3:14" x14ac:dyDescent="0.3">
      <c r="C24836" s="52"/>
      <c r="N24836"/>
    </row>
    <row r="24837" spans="3:14" x14ac:dyDescent="0.3">
      <c r="C24837" s="52"/>
      <c r="N24837"/>
    </row>
    <row r="24838" spans="3:14" x14ac:dyDescent="0.3">
      <c r="C24838" s="52"/>
      <c r="N24838"/>
    </row>
    <row r="24839" spans="3:14" x14ac:dyDescent="0.3">
      <c r="C24839" s="52"/>
      <c r="N24839"/>
    </row>
    <row r="24840" spans="3:14" x14ac:dyDescent="0.3">
      <c r="C24840" s="52"/>
      <c r="N24840"/>
    </row>
    <row r="24841" spans="3:14" x14ac:dyDescent="0.3">
      <c r="C24841" s="52"/>
      <c r="N24841"/>
    </row>
    <row r="24842" spans="3:14" x14ac:dyDescent="0.3">
      <c r="C24842" s="52"/>
      <c r="N24842"/>
    </row>
    <row r="24843" spans="3:14" x14ac:dyDescent="0.3">
      <c r="C24843" s="52"/>
      <c r="N24843"/>
    </row>
    <row r="24844" spans="3:14" x14ac:dyDescent="0.3">
      <c r="C24844" s="52"/>
      <c r="N24844"/>
    </row>
    <row r="24845" spans="3:14" x14ac:dyDescent="0.3">
      <c r="C24845" s="52"/>
      <c r="N24845"/>
    </row>
    <row r="24846" spans="3:14" x14ac:dyDescent="0.3">
      <c r="C24846" s="52"/>
      <c r="N24846"/>
    </row>
    <row r="24847" spans="3:14" x14ac:dyDescent="0.3">
      <c r="C24847" s="52"/>
      <c r="N24847"/>
    </row>
    <row r="24848" spans="3:14" x14ac:dyDescent="0.3">
      <c r="C24848" s="52"/>
      <c r="N24848"/>
    </row>
    <row r="24849" spans="3:14" x14ac:dyDescent="0.3">
      <c r="C24849" s="52"/>
      <c r="N24849"/>
    </row>
    <row r="24850" spans="3:14" x14ac:dyDescent="0.3">
      <c r="C24850" s="52"/>
      <c r="N24850"/>
    </row>
    <row r="24851" spans="3:14" x14ac:dyDescent="0.3">
      <c r="C24851" s="52"/>
      <c r="N24851"/>
    </row>
    <row r="24852" spans="3:14" x14ac:dyDescent="0.3">
      <c r="C24852" s="52"/>
      <c r="N24852"/>
    </row>
    <row r="24853" spans="3:14" x14ac:dyDescent="0.3">
      <c r="C24853" s="52"/>
      <c r="N24853"/>
    </row>
    <row r="24854" spans="3:14" x14ac:dyDescent="0.3">
      <c r="C24854" s="52"/>
      <c r="N24854"/>
    </row>
    <row r="24855" spans="3:14" x14ac:dyDescent="0.3">
      <c r="C24855" s="52"/>
      <c r="N24855"/>
    </row>
    <row r="24856" spans="3:14" x14ac:dyDescent="0.3">
      <c r="C24856" s="52"/>
      <c r="N24856"/>
    </row>
    <row r="24857" spans="3:14" x14ac:dyDescent="0.3">
      <c r="C24857" s="52"/>
      <c r="N24857"/>
    </row>
    <row r="24858" spans="3:14" x14ac:dyDescent="0.3">
      <c r="C24858" s="52"/>
      <c r="N24858"/>
    </row>
    <row r="24859" spans="3:14" x14ac:dyDescent="0.3">
      <c r="C24859" s="52"/>
      <c r="N24859"/>
    </row>
    <row r="24860" spans="3:14" x14ac:dyDescent="0.3">
      <c r="C24860" s="52"/>
      <c r="N24860"/>
    </row>
    <row r="24861" spans="3:14" x14ac:dyDescent="0.3">
      <c r="C24861" s="52"/>
      <c r="N24861"/>
    </row>
    <row r="24862" spans="3:14" x14ac:dyDescent="0.3">
      <c r="C24862" s="52"/>
      <c r="N24862"/>
    </row>
    <row r="24863" spans="3:14" x14ac:dyDescent="0.3">
      <c r="C24863" s="52"/>
      <c r="N24863"/>
    </row>
    <row r="24864" spans="3:14" x14ac:dyDescent="0.3">
      <c r="C24864" s="52"/>
      <c r="N24864"/>
    </row>
    <row r="24865" spans="3:14" x14ac:dyDescent="0.3">
      <c r="C24865" s="52"/>
      <c r="N24865"/>
    </row>
    <row r="24866" spans="3:14" x14ac:dyDescent="0.3">
      <c r="C24866" s="52"/>
      <c r="N24866"/>
    </row>
    <row r="24867" spans="3:14" x14ac:dyDescent="0.3">
      <c r="C24867" s="52"/>
      <c r="N24867"/>
    </row>
    <row r="24868" spans="3:14" x14ac:dyDescent="0.3">
      <c r="C24868" s="52"/>
      <c r="N24868"/>
    </row>
    <row r="24869" spans="3:14" x14ac:dyDescent="0.3">
      <c r="C24869" s="52"/>
      <c r="N24869"/>
    </row>
    <row r="24870" spans="3:14" x14ac:dyDescent="0.3">
      <c r="C24870" s="52"/>
      <c r="N24870"/>
    </row>
    <row r="24871" spans="3:14" x14ac:dyDescent="0.3">
      <c r="C24871" s="52"/>
      <c r="N24871"/>
    </row>
    <row r="24872" spans="3:14" x14ac:dyDescent="0.3">
      <c r="C24872" s="52"/>
      <c r="N24872"/>
    </row>
    <row r="24873" spans="3:14" x14ac:dyDescent="0.3">
      <c r="C24873" s="52"/>
      <c r="N24873"/>
    </row>
    <row r="24874" spans="3:14" x14ac:dyDescent="0.3">
      <c r="C24874" s="52"/>
      <c r="N24874"/>
    </row>
    <row r="24875" spans="3:14" x14ac:dyDescent="0.3">
      <c r="C24875" s="52"/>
      <c r="N24875"/>
    </row>
    <row r="24876" spans="3:14" x14ac:dyDescent="0.3">
      <c r="C24876" s="52"/>
      <c r="N24876"/>
    </row>
    <row r="24877" spans="3:14" x14ac:dyDescent="0.3">
      <c r="C24877" s="52"/>
      <c r="N24877"/>
    </row>
    <row r="24878" spans="3:14" x14ac:dyDescent="0.3">
      <c r="C24878" s="52"/>
      <c r="N24878"/>
    </row>
    <row r="24879" spans="3:14" x14ac:dyDescent="0.3">
      <c r="C24879" s="52"/>
      <c r="N24879"/>
    </row>
    <row r="24880" spans="3:14" x14ac:dyDescent="0.3">
      <c r="C24880" s="52"/>
      <c r="N24880"/>
    </row>
    <row r="24881" spans="3:14" x14ac:dyDescent="0.3">
      <c r="C24881" s="52"/>
      <c r="N24881"/>
    </row>
    <row r="24882" spans="3:14" x14ac:dyDescent="0.3">
      <c r="C24882" s="52"/>
      <c r="N24882"/>
    </row>
    <row r="24883" spans="3:14" x14ac:dyDescent="0.3">
      <c r="C24883" s="52"/>
      <c r="N24883"/>
    </row>
    <row r="24884" spans="3:14" x14ac:dyDescent="0.3">
      <c r="C24884" s="52"/>
      <c r="N24884"/>
    </row>
    <row r="24885" spans="3:14" x14ac:dyDescent="0.3">
      <c r="C24885" s="52"/>
      <c r="N24885"/>
    </row>
    <row r="24886" spans="3:14" x14ac:dyDescent="0.3">
      <c r="C24886" s="52"/>
      <c r="N24886"/>
    </row>
    <row r="24887" spans="3:14" x14ac:dyDescent="0.3">
      <c r="C24887" s="52"/>
      <c r="N24887"/>
    </row>
    <row r="24888" spans="3:14" x14ac:dyDescent="0.3">
      <c r="C24888" s="52"/>
      <c r="N24888"/>
    </row>
    <row r="24889" spans="3:14" x14ac:dyDescent="0.3">
      <c r="C24889" s="52"/>
      <c r="N24889"/>
    </row>
    <row r="24890" spans="3:14" x14ac:dyDescent="0.3">
      <c r="C24890" s="52"/>
      <c r="N24890"/>
    </row>
    <row r="24891" spans="3:14" x14ac:dyDescent="0.3">
      <c r="C24891" s="52"/>
      <c r="N24891"/>
    </row>
    <row r="24892" spans="3:14" x14ac:dyDescent="0.3">
      <c r="C24892" s="52"/>
      <c r="N24892"/>
    </row>
    <row r="24893" spans="3:14" x14ac:dyDescent="0.3">
      <c r="C24893" s="52"/>
      <c r="N24893"/>
    </row>
    <row r="24894" spans="3:14" x14ac:dyDescent="0.3">
      <c r="C24894" s="52"/>
      <c r="N24894"/>
    </row>
    <row r="24895" spans="3:14" x14ac:dyDescent="0.3">
      <c r="C24895" s="52"/>
      <c r="N24895"/>
    </row>
    <row r="24896" spans="3:14" x14ac:dyDescent="0.3">
      <c r="C24896" s="52"/>
      <c r="N24896"/>
    </row>
    <row r="24897" spans="3:14" x14ac:dyDescent="0.3">
      <c r="C24897" s="52"/>
      <c r="N24897"/>
    </row>
    <row r="24898" spans="3:14" x14ac:dyDescent="0.3">
      <c r="C24898" s="52"/>
      <c r="N24898"/>
    </row>
    <row r="24899" spans="3:14" x14ac:dyDescent="0.3">
      <c r="C24899" s="52"/>
      <c r="N24899"/>
    </row>
    <row r="24900" spans="3:14" x14ac:dyDescent="0.3">
      <c r="C24900" s="52"/>
      <c r="N24900"/>
    </row>
    <row r="24901" spans="3:14" x14ac:dyDescent="0.3">
      <c r="C24901" s="52"/>
      <c r="N24901"/>
    </row>
    <row r="24902" spans="3:14" x14ac:dyDescent="0.3">
      <c r="C24902" s="52"/>
      <c r="N24902"/>
    </row>
    <row r="24903" spans="3:14" x14ac:dyDescent="0.3">
      <c r="C24903" s="52"/>
      <c r="N24903"/>
    </row>
    <row r="24904" spans="3:14" x14ac:dyDescent="0.3">
      <c r="C24904" s="52"/>
      <c r="N24904"/>
    </row>
    <row r="24905" spans="3:14" x14ac:dyDescent="0.3">
      <c r="C24905" s="52"/>
      <c r="N24905"/>
    </row>
    <row r="24906" spans="3:14" x14ac:dyDescent="0.3">
      <c r="C24906" s="52"/>
      <c r="N24906"/>
    </row>
    <row r="24907" spans="3:14" x14ac:dyDescent="0.3">
      <c r="C24907" s="52"/>
      <c r="N24907"/>
    </row>
    <row r="24908" spans="3:14" x14ac:dyDescent="0.3">
      <c r="C24908" s="52"/>
      <c r="N24908"/>
    </row>
    <row r="24909" spans="3:14" x14ac:dyDescent="0.3">
      <c r="C24909" s="52"/>
      <c r="N24909"/>
    </row>
    <row r="24910" spans="3:14" x14ac:dyDescent="0.3">
      <c r="C24910" s="52"/>
      <c r="N24910"/>
    </row>
    <row r="24911" spans="3:14" x14ac:dyDescent="0.3">
      <c r="C24911" s="52"/>
      <c r="N24911"/>
    </row>
    <row r="24912" spans="3:14" x14ac:dyDescent="0.3">
      <c r="C24912" s="52"/>
      <c r="N24912"/>
    </row>
    <row r="24913" spans="3:14" x14ac:dyDescent="0.3">
      <c r="C24913" s="52"/>
      <c r="N24913"/>
    </row>
    <row r="24914" spans="3:14" x14ac:dyDescent="0.3">
      <c r="C24914" s="52"/>
      <c r="N24914"/>
    </row>
    <row r="24915" spans="3:14" x14ac:dyDescent="0.3">
      <c r="C24915" s="52"/>
      <c r="N24915"/>
    </row>
    <row r="24916" spans="3:14" x14ac:dyDescent="0.3">
      <c r="C24916" s="52"/>
      <c r="N24916"/>
    </row>
    <row r="24917" spans="3:14" x14ac:dyDescent="0.3">
      <c r="C24917" s="52"/>
      <c r="N24917"/>
    </row>
    <row r="24918" spans="3:14" x14ac:dyDescent="0.3">
      <c r="C24918" s="52"/>
      <c r="N24918"/>
    </row>
    <row r="24919" spans="3:14" x14ac:dyDescent="0.3">
      <c r="C24919" s="52"/>
      <c r="N24919"/>
    </row>
    <row r="24920" spans="3:14" x14ac:dyDescent="0.3">
      <c r="C24920" s="52"/>
      <c r="N24920"/>
    </row>
    <row r="24921" spans="3:14" x14ac:dyDescent="0.3">
      <c r="C24921" s="52"/>
      <c r="N24921"/>
    </row>
    <row r="24922" spans="3:14" x14ac:dyDescent="0.3">
      <c r="C24922" s="52"/>
      <c r="N24922"/>
    </row>
    <row r="24923" spans="3:14" x14ac:dyDescent="0.3">
      <c r="C24923" s="52"/>
      <c r="N24923"/>
    </row>
    <row r="24924" spans="3:14" x14ac:dyDescent="0.3">
      <c r="C24924" s="52"/>
      <c r="N24924"/>
    </row>
    <row r="24925" spans="3:14" x14ac:dyDescent="0.3">
      <c r="C24925" s="52"/>
      <c r="N24925"/>
    </row>
    <row r="24926" spans="3:14" x14ac:dyDescent="0.3">
      <c r="C24926" s="52"/>
      <c r="N24926"/>
    </row>
    <row r="24927" spans="3:14" x14ac:dyDescent="0.3">
      <c r="C24927" s="52"/>
      <c r="N24927"/>
    </row>
    <row r="24928" spans="3:14" x14ac:dyDescent="0.3">
      <c r="C24928" s="52"/>
      <c r="N24928"/>
    </row>
    <row r="24929" spans="3:14" x14ac:dyDescent="0.3">
      <c r="C24929" s="52"/>
      <c r="N24929"/>
    </row>
    <row r="24930" spans="3:14" x14ac:dyDescent="0.3">
      <c r="C24930" s="52"/>
      <c r="N24930"/>
    </row>
    <row r="24931" spans="3:14" x14ac:dyDescent="0.3">
      <c r="C24931" s="52"/>
      <c r="N24931"/>
    </row>
    <row r="24932" spans="3:14" x14ac:dyDescent="0.3">
      <c r="C24932" s="52"/>
      <c r="N24932"/>
    </row>
    <row r="24933" spans="3:14" x14ac:dyDescent="0.3">
      <c r="C24933" s="52"/>
      <c r="N24933"/>
    </row>
    <row r="24934" spans="3:14" x14ac:dyDescent="0.3">
      <c r="C24934" s="52"/>
      <c r="N24934"/>
    </row>
    <row r="24935" spans="3:14" x14ac:dyDescent="0.3">
      <c r="C24935" s="52"/>
      <c r="N24935"/>
    </row>
    <row r="24936" spans="3:14" x14ac:dyDescent="0.3">
      <c r="C24936" s="52"/>
      <c r="N24936"/>
    </row>
    <row r="24937" spans="3:14" x14ac:dyDescent="0.3">
      <c r="C24937" s="52"/>
      <c r="N24937"/>
    </row>
    <row r="24938" spans="3:14" x14ac:dyDescent="0.3">
      <c r="C24938" s="52"/>
      <c r="N24938"/>
    </row>
    <row r="24939" spans="3:14" x14ac:dyDescent="0.3">
      <c r="C24939" s="52"/>
      <c r="N24939"/>
    </row>
    <row r="24940" spans="3:14" x14ac:dyDescent="0.3">
      <c r="C24940" s="52"/>
      <c r="N24940"/>
    </row>
    <row r="24941" spans="3:14" x14ac:dyDescent="0.3">
      <c r="C24941" s="52"/>
      <c r="N24941"/>
    </row>
    <row r="24942" spans="3:14" x14ac:dyDescent="0.3">
      <c r="C24942" s="52"/>
      <c r="N24942"/>
    </row>
    <row r="24943" spans="3:14" x14ac:dyDescent="0.3">
      <c r="C24943" s="52"/>
      <c r="N24943"/>
    </row>
    <row r="24944" spans="3:14" x14ac:dyDescent="0.3">
      <c r="C24944" s="52"/>
      <c r="N24944"/>
    </row>
    <row r="24945" spans="3:14" x14ac:dyDescent="0.3">
      <c r="C24945" s="52"/>
      <c r="N24945"/>
    </row>
    <row r="24946" spans="3:14" x14ac:dyDescent="0.3">
      <c r="C24946" s="52"/>
      <c r="N24946"/>
    </row>
    <row r="24947" spans="3:14" x14ac:dyDescent="0.3">
      <c r="C24947" s="52"/>
      <c r="N24947"/>
    </row>
    <row r="24948" spans="3:14" x14ac:dyDescent="0.3">
      <c r="C24948" s="52"/>
      <c r="N24948"/>
    </row>
    <row r="24949" spans="3:14" x14ac:dyDescent="0.3">
      <c r="C24949" s="52"/>
      <c r="N24949"/>
    </row>
    <row r="24950" spans="3:14" x14ac:dyDescent="0.3">
      <c r="C24950" s="52"/>
      <c r="N24950"/>
    </row>
    <row r="24951" spans="3:14" x14ac:dyDescent="0.3">
      <c r="C24951" s="52"/>
      <c r="N24951"/>
    </row>
    <row r="24952" spans="3:14" x14ac:dyDescent="0.3">
      <c r="C24952" s="52"/>
      <c r="N24952"/>
    </row>
    <row r="24953" spans="3:14" x14ac:dyDescent="0.3">
      <c r="C24953" s="52"/>
      <c r="N24953"/>
    </row>
    <row r="24954" spans="3:14" x14ac:dyDescent="0.3">
      <c r="C24954" s="52"/>
      <c r="N24954"/>
    </row>
    <row r="24955" spans="3:14" x14ac:dyDescent="0.3">
      <c r="C24955" s="52"/>
      <c r="N24955"/>
    </row>
    <row r="24956" spans="3:14" x14ac:dyDescent="0.3">
      <c r="C24956" s="52"/>
      <c r="N24956"/>
    </row>
    <row r="24957" spans="3:14" x14ac:dyDescent="0.3">
      <c r="C24957" s="52"/>
      <c r="N24957"/>
    </row>
    <row r="24958" spans="3:14" x14ac:dyDescent="0.3">
      <c r="C24958" s="52"/>
      <c r="N24958"/>
    </row>
    <row r="24959" spans="3:14" x14ac:dyDescent="0.3">
      <c r="C24959" s="52"/>
      <c r="N24959"/>
    </row>
    <row r="24960" spans="3:14" x14ac:dyDescent="0.3">
      <c r="C24960" s="52"/>
      <c r="N24960"/>
    </row>
    <row r="24961" spans="3:14" x14ac:dyDescent="0.3">
      <c r="C24961" s="52"/>
      <c r="N24961"/>
    </row>
    <row r="24962" spans="3:14" x14ac:dyDescent="0.3">
      <c r="C24962" s="52"/>
      <c r="N24962"/>
    </row>
    <row r="24963" spans="3:14" x14ac:dyDescent="0.3">
      <c r="C24963" s="52"/>
      <c r="N24963"/>
    </row>
    <row r="24964" spans="3:14" x14ac:dyDescent="0.3">
      <c r="C24964" s="52"/>
      <c r="N24964"/>
    </row>
    <row r="24965" spans="3:14" x14ac:dyDescent="0.3">
      <c r="C24965" s="52"/>
      <c r="N24965"/>
    </row>
    <row r="24966" spans="3:14" x14ac:dyDescent="0.3">
      <c r="C24966" s="52"/>
      <c r="N24966"/>
    </row>
    <row r="24967" spans="3:14" x14ac:dyDescent="0.3">
      <c r="C24967" s="52"/>
      <c r="N24967"/>
    </row>
    <row r="24968" spans="3:14" x14ac:dyDescent="0.3">
      <c r="C24968" s="52"/>
      <c r="N24968"/>
    </row>
    <row r="24969" spans="3:14" x14ac:dyDescent="0.3">
      <c r="C24969" s="52"/>
      <c r="N24969"/>
    </row>
    <row r="24970" spans="3:14" x14ac:dyDescent="0.3">
      <c r="C24970" s="52"/>
      <c r="N24970"/>
    </row>
    <row r="24971" spans="3:14" x14ac:dyDescent="0.3">
      <c r="C24971" s="52"/>
      <c r="N24971"/>
    </row>
    <row r="24972" spans="3:14" x14ac:dyDescent="0.3">
      <c r="C24972" s="52"/>
      <c r="N24972"/>
    </row>
    <row r="24973" spans="3:14" x14ac:dyDescent="0.3">
      <c r="C24973" s="52"/>
      <c r="N24973"/>
    </row>
    <row r="24974" spans="3:14" x14ac:dyDescent="0.3">
      <c r="C24974" s="52"/>
      <c r="N24974"/>
    </row>
    <row r="24975" spans="3:14" x14ac:dyDescent="0.3">
      <c r="C24975" s="52"/>
      <c r="N24975"/>
    </row>
    <row r="24976" spans="3:14" x14ac:dyDescent="0.3">
      <c r="C24976" s="52"/>
      <c r="N24976"/>
    </row>
    <row r="24977" spans="3:14" x14ac:dyDescent="0.3">
      <c r="C24977" s="52"/>
      <c r="N24977"/>
    </row>
    <row r="24978" spans="3:14" x14ac:dyDescent="0.3">
      <c r="C24978" s="52"/>
      <c r="N24978"/>
    </row>
    <row r="24979" spans="3:14" x14ac:dyDescent="0.3">
      <c r="C24979" s="52"/>
      <c r="N24979"/>
    </row>
    <row r="24980" spans="3:14" x14ac:dyDescent="0.3">
      <c r="C24980" s="52"/>
      <c r="N24980"/>
    </row>
    <row r="24981" spans="3:14" x14ac:dyDescent="0.3">
      <c r="C24981" s="52"/>
      <c r="N24981"/>
    </row>
    <row r="24982" spans="3:14" x14ac:dyDescent="0.3">
      <c r="C24982" s="52"/>
      <c r="N24982"/>
    </row>
    <row r="24983" spans="3:14" x14ac:dyDescent="0.3">
      <c r="C24983" s="52"/>
      <c r="N24983"/>
    </row>
    <row r="24984" spans="3:14" x14ac:dyDescent="0.3">
      <c r="C24984" s="52"/>
      <c r="N24984"/>
    </row>
    <row r="24985" spans="3:14" x14ac:dyDescent="0.3">
      <c r="C24985" s="52"/>
      <c r="N24985"/>
    </row>
    <row r="24986" spans="3:14" x14ac:dyDescent="0.3">
      <c r="C24986" s="52"/>
      <c r="N24986"/>
    </row>
    <row r="24987" spans="3:14" x14ac:dyDescent="0.3">
      <c r="C24987" s="52"/>
      <c r="N24987"/>
    </row>
    <row r="24988" spans="3:14" x14ac:dyDescent="0.3">
      <c r="C24988" s="52"/>
      <c r="N24988"/>
    </row>
    <row r="24989" spans="3:14" x14ac:dyDescent="0.3">
      <c r="C24989" s="52"/>
      <c r="N24989"/>
    </row>
    <row r="24990" spans="3:14" x14ac:dyDescent="0.3">
      <c r="C24990" s="52"/>
      <c r="N24990"/>
    </row>
    <row r="24991" spans="3:14" x14ac:dyDescent="0.3">
      <c r="C24991" s="52"/>
      <c r="N24991"/>
    </row>
    <row r="24992" spans="3:14" x14ac:dyDescent="0.3">
      <c r="C24992" s="52"/>
      <c r="N24992"/>
    </row>
    <row r="24993" spans="3:14" x14ac:dyDescent="0.3">
      <c r="C24993" s="52"/>
      <c r="N24993"/>
    </row>
    <row r="24994" spans="3:14" x14ac:dyDescent="0.3">
      <c r="C24994" s="52"/>
      <c r="N24994"/>
    </row>
    <row r="24995" spans="3:14" x14ac:dyDescent="0.3">
      <c r="C24995" s="52"/>
      <c r="N24995"/>
    </row>
    <row r="24996" spans="3:14" x14ac:dyDescent="0.3">
      <c r="C24996" s="52"/>
      <c r="N24996"/>
    </row>
    <row r="24997" spans="3:14" x14ac:dyDescent="0.3">
      <c r="C24997" s="52"/>
      <c r="N24997"/>
    </row>
    <row r="24998" spans="3:14" x14ac:dyDescent="0.3">
      <c r="C24998" s="52"/>
      <c r="N24998"/>
    </row>
    <row r="24999" spans="3:14" x14ac:dyDescent="0.3">
      <c r="C24999" s="52"/>
      <c r="N24999"/>
    </row>
    <row r="25000" spans="3:14" x14ac:dyDescent="0.3">
      <c r="C25000" s="52"/>
      <c r="N25000"/>
    </row>
    <row r="25001" spans="3:14" x14ac:dyDescent="0.3">
      <c r="C25001" s="52"/>
      <c r="N25001"/>
    </row>
    <row r="25002" spans="3:14" x14ac:dyDescent="0.3">
      <c r="C25002" s="52"/>
      <c r="N25002"/>
    </row>
    <row r="25003" spans="3:14" x14ac:dyDescent="0.3">
      <c r="C25003" s="52"/>
      <c r="N25003"/>
    </row>
    <row r="25004" spans="3:14" x14ac:dyDescent="0.3">
      <c r="C25004" s="52"/>
      <c r="N25004"/>
    </row>
    <row r="25005" spans="3:14" x14ac:dyDescent="0.3">
      <c r="C25005" s="52"/>
      <c r="N25005"/>
    </row>
    <row r="25006" spans="3:14" x14ac:dyDescent="0.3">
      <c r="C25006" s="52"/>
      <c r="N25006"/>
    </row>
    <row r="25007" spans="3:14" x14ac:dyDescent="0.3">
      <c r="C25007" s="52"/>
      <c r="N25007"/>
    </row>
    <row r="25008" spans="3:14" x14ac:dyDescent="0.3">
      <c r="C25008" s="52"/>
      <c r="N25008"/>
    </row>
    <row r="25009" spans="3:14" x14ac:dyDescent="0.3">
      <c r="C25009" s="52"/>
      <c r="N25009"/>
    </row>
    <row r="25010" spans="3:14" x14ac:dyDescent="0.3">
      <c r="C25010" s="52"/>
      <c r="N25010"/>
    </row>
    <row r="25011" spans="3:14" x14ac:dyDescent="0.3">
      <c r="C25011" s="52"/>
      <c r="N25011"/>
    </row>
    <row r="25012" spans="3:14" x14ac:dyDescent="0.3">
      <c r="C25012" s="52"/>
      <c r="N25012"/>
    </row>
    <row r="25013" spans="3:14" x14ac:dyDescent="0.3">
      <c r="C25013" s="52"/>
      <c r="N25013"/>
    </row>
    <row r="25014" spans="3:14" x14ac:dyDescent="0.3">
      <c r="C25014" s="52"/>
      <c r="N25014"/>
    </row>
    <row r="25015" spans="3:14" x14ac:dyDescent="0.3">
      <c r="C25015" s="52"/>
      <c r="N25015"/>
    </row>
    <row r="25016" spans="3:14" x14ac:dyDescent="0.3">
      <c r="C25016" s="52"/>
      <c r="N25016"/>
    </row>
    <row r="25017" spans="3:14" x14ac:dyDescent="0.3">
      <c r="C25017" s="52"/>
      <c r="N25017"/>
    </row>
    <row r="25018" spans="3:14" x14ac:dyDescent="0.3">
      <c r="C25018" s="52"/>
      <c r="N25018"/>
    </row>
    <row r="25019" spans="3:14" x14ac:dyDescent="0.3">
      <c r="C25019" s="52"/>
      <c r="N25019"/>
    </row>
    <row r="25020" spans="3:14" x14ac:dyDescent="0.3">
      <c r="C25020" s="52"/>
      <c r="N25020"/>
    </row>
    <row r="25021" spans="3:14" x14ac:dyDescent="0.3">
      <c r="C25021" s="52"/>
      <c r="N25021"/>
    </row>
    <row r="25022" spans="3:14" x14ac:dyDescent="0.3">
      <c r="C25022" s="52"/>
      <c r="N25022"/>
    </row>
    <row r="25023" spans="3:14" x14ac:dyDescent="0.3">
      <c r="C25023" s="52"/>
      <c r="N25023"/>
    </row>
    <row r="25024" spans="3:14" x14ac:dyDescent="0.3">
      <c r="C25024" s="52"/>
      <c r="N25024"/>
    </row>
    <row r="25025" spans="3:14" x14ac:dyDescent="0.3">
      <c r="C25025" s="52"/>
      <c r="N25025"/>
    </row>
    <row r="25026" spans="3:14" x14ac:dyDescent="0.3">
      <c r="C25026" s="52"/>
      <c r="N25026"/>
    </row>
    <row r="25027" spans="3:14" x14ac:dyDescent="0.3">
      <c r="C25027" s="52"/>
      <c r="N25027"/>
    </row>
    <row r="25028" spans="3:14" x14ac:dyDescent="0.3">
      <c r="C25028" s="52"/>
      <c r="N25028"/>
    </row>
    <row r="25029" spans="3:14" x14ac:dyDescent="0.3">
      <c r="C25029" s="52"/>
      <c r="N25029"/>
    </row>
    <row r="25030" spans="3:14" x14ac:dyDescent="0.3">
      <c r="C25030" s="52"/>
      <c r="N25030"/>
    </row>
    <row r="25031" spans="3:14" x14ac:dyDescent="0.3">
      <c r="C25031" s="52"/>
      <c r="N25031"/>
    </row>
    <row r="25032" spans="3:14" x14ac:dyDescent="0.3">
      <c r="C25032" s="52"/>
      <c r="N25032"/>
    </row>
    <row r="25033" spans="3:14" x14ac:dyDescent="0.3">
      <c r="C25033" s="52"/>
      <c r="N25033"/>
    </row>
    <row r="25034" spans="3:14" x14ac:dyDescent="0.3">
      <c r="C25034" s="52"/>
      <c r="N25034"/>
    </row>
    <row r="25035" spans="3:14" x14ac:dyDescent="0.3">
      <c r="C25035" s="52"/>
      <c r="N25035"/>
    </row>
    <row r="25036" spans="3:14" x14ac:dyDescent="0.3">
      <c r="C25036" s="52"/>
      <c r="N25036"/>
    </row>
    <row r="25037" spans="3:14" x14ac:dyDescent="0.3">
      <c r="C25037" s="52"/>
      <c r="N25037"/>
    </row>
    <row r="25038" spans="3:14" x14ac:dyDescent="0.3">
      <c r="C25038" s="52"/>
      <c r="N25038"/>
    </row>
    <row r="25039" spans="3:14" x14ac:dyDescent="0.3">
      <c r="C25039" s="52"/>
      <c r="N25039"/>
    </row>
    <row r="25040" spans="3:14" x14ac:dyDescent="0.3">
      <c r="C25040" s="52"/>
      <c r="N25040"/>
    </row>
    <row r="25041" spans="3:14" x14ac:dyDescent="0.3">
      <c r="C25041" s="52"/>
      <c r="N25041"/>
    </row>
    <row r="25042" spans="3:14" x14ac:dyDescent="0.3">
      <c r="C25042" s="52"/>
      <c r="N25042"/>
    </row>
    <row r="25043" spans="3:14" x14ac:dyDescent="0.3">
      <c r="C25043" s="52"/>
      <c r="N25043"/>
    </row>
    <row r="25044" spans="3:14" x14ac:dyDescent="0.3">
      <c r="C25044" s="52"/>
      <c r="N25044"/>
    </row>
    <row r="25045" spans="3:14" x14ac:dyDescent="0.3">
      <c r="C25045" s="52"/>
      <c r="N25045"/>
    </row>
    <row r="25046" spans="3:14" x14ac:dyDescent="0.3">
      <c r="C25046" s="52"/>
      <c r="N25046"/>
    </row>
    <row r="25047" spans="3:14" x14ac:dyDescent="0.3">
      <c r="C25047" s="52"/>
      <c r="N25047"/>
    </row>
    <row r="25048" spans="3:14" x14ac:dyDescent="0.3">
      <c r="C25048" s="52"/>
      <c r="N25048"/>
    </row>
    <row r="25049" spans="3:14" x14ac:dyDescent="0.3">
      <c r="C25049" s="52"/>
      <c r="N25049"/>
    </row>
    <row r="25050" spans="3:14" x14ac:dyDescent="0.3">
      <c r="C25050" s="52"/>
      <c r="N25050"/>
    </row>
    <row r="25051" spans="3:14" x14ac:dyDescent="0.3">
      <c r="C25051" s="52"/>
      <c r="N25051"/>
    </row>
    <row r="25052" spans="3:14" x14ac:dyDescent="0.3">
      <c r="C25052" s="52"/>
      <c r="N25052"/>
    </row>
    <row r="25053" spans="3:14" x14ac:dyDescent="0.3">
      <c r="C25053" s="52"/>
      <c r="N25053"/>
    </row>
    <row r="25054" spans="3:14" x14ac:dyDescent="0.3">
      <c r="C25054" s="52"/>
      <c r="N25054"/>
    </row>
    <row r="25055" spans="3:14" x14ac:dyDescent="0.3">
      <c r="C25055" s="52"/>
      <c r="N25055"/>
    </row>
    <row r="25056" spans="3:14" x14ac:dyDescent="0.3">
      <c r="C25056" s="52"/>
      <c r="N25056"/>
    </row>
    <row r="25057" spans="3:14" x14ac:dyDescent="0.3">
      <c r="C25057" s="52"/>
      <c r="N25057"/>
    </row>
    <row r="25058" spans="3:14" x14ac:dyDescent="0.3">
      <c r="C25058" s="52"/>
      <c r="N25058"/>
    </row>
    <row r="25059" spans="3:14" x14ac:dyDescent="0.3">
      <c r="C25059" s="52"/>
      <c r="N25059"/>
    </row>
    <row r="25060" spans="3:14" x14ac:dyDescent="0.3">
      <c r="C25060" s="52"/>
      <c r="N25060"/>
    </row>
    <row r="25061" spans="3:14" x14ac:dyDescent="0.3">
      <c r="C25061" s="52"/>
      <c r="N25061"/>
    </row>
    <row r="25062" spans="3:14" x14ac:dyDescent="0.3">
      <c r="C25062" s="52"/>
      <c r="N25062"/>
    </row>
    <row r="25063" spans="3:14" x14ac:dyDescent="0.3">
      <c r="C25063" s="52"/>
      <c r="N25063"/>
    </row>
    <row r="25064" spans="3:14" x14ac:dyDescent="0.3">
      <c r="C25064" s="52"/>
      <c r="N25064"/>
    </row>
    <row r="25065" spans="3:14" x14ac:dyDescent="0.3">
      <c r="C25065" s="52"/>
      <c r="N25065"/>
    </row>
    <row r="25066" spans="3:14" x14ac:dyDescent="0.3">
      <c r="C25066" s="52"/>
      <c r="N25066"/>
    </row>
    <row r="25067" spans="3:14" x14ac:dyDescent="0.3">
      <c r="C25067" s="52"/>
      <c r="N25067"/>
    </row>
    <row r="25068" spans="3:14" x14ac:dyDescent="0.3">
      <c r="C25068" s="52"/>
      <c r="N25068"/>
    </row>
    <row r="25069" spans="3:14" x14ac:dyDescent="0.3">
      <c r="C25069" s="52"/>
      <c r="N25069"/>
    </row>
    <row r="25070" spans="3:14" x14ac:dyDescent="0.3">
      <c r="C25070" s="52"/>
      <c r="N25070"/>
    </row>
    <row r="25071" spans="3:14" x14ac:dyDescent="0.3">
      <c r="C25071" s="52"/>
      <c r="N25071"/>
    </row>
    <row r="25072" spans="3:14" x14ac:dyDescent="0.3">
      <c r="C25072" s="52"/>
      <c r="N25072"/>
    </row>
    <row r="25073" spans="3:14" x14ac:dyDescent="0.3">
      <c r="C25073" s="52"/>
      <c r="N25073"/>
    </row>
    <row r="25074" spans="3:14" x14ac:dyDescent="0.3">
      <c r="C25074" s="52"/>
      <c r="N25074"/>
    </row>
    <row r="25075" spans="3:14" x14ac:dyDescent="0.3">
      <c r="C25075" s="52"/>
      <c r="N25075"/>
    </row>
    <row r="25076" spans="3:14" x14ac:dyDescent="0.3">
      <c r="C25076" s="52"/>
      <c r="N25076"/>
    </row>
    <row r="25077" spans="3:14" x14ac:dyDescent="0.3">
      <c r="C25077" s="52"/>
      <c r="N25077"/>
    </row>
    <row r="25078" spans="3:14" x14ac:dyDescent="0.3">
      <c r="C25078" s="52"/>
      <c r="N25078"/>
    </row>
    <row r="25079" spans="3:14" x14ac:dyDescent="0.3">
      <c r="C25079" s="52"/>
      <c r="N25079"/>
    </row>
    <row r="25080" spans="3:14" x14ac:dyDescent="0.3">
      <c r="C25080" s="52"/>
      <c r="N25080"/>
    </row>
    <row r="25081" spans="3:14" x14ac:dyDescent="0.3">
      <c r="C25081" s="52"/>
      <c r="N25081"/>
    </row>
    <row r="25082" spans="3:14" x14ac:dyDescent="0.3">
      <c r="C25082" s="52"/>
      <c r="N25082"/>
    </row>
    <row r="25083" spans="3:14" x14ac:dyDescent="0.3">
      <c r="C25083" s="52"/>
      <c r="N25083"/>
    </row>
    <row r="25084" spans="3:14" x14ac:dyDescent="0.3">
      <c r="C25084" s="52"/>
      <c r="N25084"/>
    </row>
    <row r="25085" spans="3:14" x14ac:dyDescent="0.3">
      <c r="C25085" s="52"/>
      <c r="N25085"/>
    </row>
    <row r="25086" spans="3:14" x14ac:dyDescent="0.3">
      <c r="C25086" s="52"/>
      <c r="N25086"/>
    </row>
    <row r="25087" spans="3:14" x14ac:dyDescent="0.3">
      <c r="C25087" s="52"/>
      <c r="N25087"/>
    </row>
    <row r="25088" spans="3:14" x14ac:dyDescent="0.3">
      <c r="C25088" s="52"/>
      <c r="N25088"/>
    </row>
    <row r="25089" spans="3:14" x14ac:dyDescent="0.3">
      <c r="C25089" s="52"/>
      <c r="N25089"/>
    </row>
    <row r="25090" spans="3:14" x14ac:dyDescent="0.3">
      <c r="C25090" s="52"/>
      <c r="N25090"/>
    </row>
    <row r="25091" spans="3:14" x14ac:dyDescent="0.3">
      <c r="C25091" s="52"/>
      <c r="N25091"/>
    </row>
    <row r="25092" spans="3:14" x14ac:dyDescent="0.3">
      <c r="C25092" s="52"/>
      <c r="N25092"/>
    </row>
    <row r="25093" spans="3:14" x14ac:dyDescent="0.3">
      <c r="C25093" s="52"/>
      <c r="N25093"/>
    </row>
    <row r="25094" spans="3:14" x14ac:dyDescent="0.3">
      <c r="C25094" s="52"/>
      <c r="N25094"/>
    </row>
    <row r="25095" spans="3:14" x14ac:dyDescent="0.3">
      <c r="C25095" s="52"/>
      <c r="N25095"/>
    </row>
    <row r="25096" spans="3:14" x14ac:dyDescent="0.3">
      <c r="C25096" s="52"/>
      <c r="N25096"/>
    </row>
    <row r="25097" spans="3:14" x14ac:dyDescent="0.3">
      <c r="C25097" s="52"/>
      <c r="N25097"/>
    </row>
    <row r="25098" spans="3:14" x14ac:dyDescent="0.3">
      <c r="C25098" s="52"/>
      <c r="N25098"/>
    </row>
    <row r="25099" spans="3:14" x14ac:dyDescent="0.3">
      <c r="C25099" s="52"/>
      <c r="N25099"/>
    </row>
    <row r="25100" spans="3:14" x14ac:dyDescent="0.3">
      <c r="C25100" s="52"/>
      <c r="N25100"/>
    </row>
    <row r="25101" spans="3:14" x14ac:dyDescent="0.3">
      <c r="C25101" s="52"/>
      <c r="N25101"/>
    </row>
    <row r="25102" spans="3:14" x14ac:dyDescent="0.3">
      <c r="C25102" s="52"/>
      <c r="N25102"/>
    </row>
    <row r="25103" spans="3:14" x14ac:dyDescent="0.3">
      <c r="C25103" s="52"/>
      <c r="N25103"/>
    </row>
    <row r="25104" spans="3:14" x14ac:dyDescent="0.3">
      <c r="C25104" s="52"/>
      <c r="N25104"/>
    </row>
    <row r="25105" spans="3:14" x14ac:dyDescent="0.3">
      <c r="C25105" s="52"/>
      <c r="N25105"/>
    </row>
    <row r="25106" spans="3:14" x14ac:dyDescent="0.3">
      <c r="C25106" s="52"/>
      <c r="N25106"/>
    </row>
    <row r="25107" spans="3:14" x14ac:dyDescent="0.3">
      <c r="C25107" s="52"/>
      <c r="N25107"/>
    </row>
    <row r="25108" spans="3:14" x14ac:dyDescent="0.3">
      <c r="C25108" s="52"/>
      <c r="N25108"/>
    </row>
    <row r="25109" spans="3:14" x14ac:dyDescent="0.3">
      <c r="C25109" s="52"/>
      <c r="N25109"/>
    </row>
    <row r="25110" spans="3:14" x14ac:dyDescent="0.3">
      <c r="C25110" s="52"/>
      <c r="N25110"/>
    </row>
    <row r="25111" spans="3:14" x14ac:dyDescent="0.3">
      <c r="C25111" s="52"/>
      <c r="N25111"/>
    </row>
    <row r="25112" spans="3:14" x14ac:dyDescent="0.3">
      <c r="C25112" s="52"/>
      <c r="N25112"/>
    </row>
    <row r="25113" spans="3:14" x14ac:dyDescent="0.3">
      <c r="C25113" s="52"/>
      <c r="N25113"/>
    </row>
    <row r="25114" spans="3:14" x14ac:dyDescent="0.3">
      <c r="C25114" s="52"/>
      <c r="N25114"/>
    </row>
    <row r="25115" spans="3:14" x14ac:dyDescent="0.3">
      <c r="C25115" s="52"/>
      <c r="N25115"/>
    </row>
    <row r="25116" spans="3:14" x14ac:dyDescent="0.3">
      <c r="C25116" s="52"/>
      <c r="N25116"/>
    </row>
    <row r="25117" spans="3:14" x14ac:dyDescent="0.3">
      <c r="C25117" s="52"/>
      <c r="N25117"/>
    </row>
    <row r="25118" spans="3:14" x14ac:dyDescent="0.3">
      <c r="C25118" s="52"/>
      <c r="N25118"/>
    </row>
    <row r="25119" spans="3:14" x14ac:dyDescent="0.3">
      <c r="C25119" s="52"/>
      <c r="N25119"/>
    </row>
    <row r="25120" spans="3:14" x14ac:dyDescent="0.3">
      <c r="C25120" s="52"/>
      <c r="N25120"/>
    </row>
    <row r="25121" spans="3:14" x14ac:dyDescent="0.3">
      <c r="C25121" s="52"/>
      <c r="N25121"/>
    </row>
    <row r="25122" spans="3:14" x14ac:dyDescent="0.3">
      <c r="C25122" s="52"/>
      <c r="N25122"/>
    </row>
    <row r="25123" spans="3:14" x14ac:dyDescent="0.3">
      <c r="C25123" s="52"/>
      <c r="N25123"/>
    </row>
    <row r="25124" spans="3:14" x14ac:dyDescent="0.3">
      <c r="C25124" s="52"/>
      <c r="N25124"/>
    </row>
    <row r="25125" spans="3:14" x14ac:dyDescent="0.3">
      <c r="C25125" s="52"/>
      <c r="N25125"/>
    </row>
    <row r="25126" spans="3:14" x14ac:dyDescent="0.3">
      <c r="C25126" s="52"/>
      <c r="N25126"/>
    </row>
    <row r="25127" spans="3:14" x14ac:dyDescent="0.3">
      <c r="C25127" s="52"/>
      <c r="N25127"/>
    </row>
    <row r="25128" spans="3:14" x14ac:dyDescent="0.3">
      <c r="C25128" s="52"/>
      <c r="N25128"/>
    </row>
    <row r="25129" spans="3:14" x14ac:dyDescent="0.3">
      <c r="C25129" s="52"/>
      <c r="N25129"/>
    </row>
    <row r="25130" spans="3:14" x14ac:dyDescent="0.3">
      <c r="C25130" s="52"/>
      <c r="N25130"/>
    </row>
    <row r="25131" spans="3:14" x14ac:dyDescent="0.3">
      <c r="C25131" s="52"/>
      <c r="N25131"/>
    </row>
    <row r="25132" spans="3:14" x14ac:dyDescent="0.3">
      <c r="C25132" s="52"/>
      <c r="N25132"/>
    </row>
    <row r="25133" spans="3:14" x14ac:dyDescent="0.3">
      <c r="C25133" s="52"/>
      <c r="N25133"/>
    </row>
    <row r="25134" spans="3:14" x14ac:dyDescent="0.3">
      <c r="C25134" s="52"/>
      <c r="N25134"/>
    </row>
    <row r="25135" spans="3:14" x14ac:dyDescent="0.3">
      <c r="C25135" s="52"/>
      <c r="N25135"/>
    </row>
    <row r="25136" spans="3:14" x14ac:dyDescent="0.3">
      <c r="C25136" s="52"/>
      <c r="N25136"/>
    </row>
    <row r="25137" spans="3:14" x14ac:dyDescent="0.3">
      <c r="C25137" s="52"/>
      <c r="N25137"/>
    </row>
    <row r="25138" spans="3:14" x14ac:dyDescent="0.3">
      <c r="C25138" s="52"/>
      <c r="N25138"/>
    </row>
    <row r="25139" spans="3:14" x14ac:dyDescent="0.3">
      <c r="C25139" s="52"/>
      <c r="N25139"/>
    </row>
    <row r="25140" spans="3:14" x14ac:dyDescent="0.3">
      <c r="C25140" s="52"/>
      <c r="N25140"/>
    </row>
    <row r="25141" spans="3:14" x14ac:dyDescent="0.3">
      <c r="C25141" s="52"/>
      <c r="N25141"/>
    </row>
    <row r="25142" spans="3:14" x14ac:dyDescent="0.3">
      <c r="C25142" s="52"/>
      <c r="N25142"/>
    </row>
    <row r="25143" spans="3:14" x14ac:dyDescent="0.3">
      <c r="C25143" s="52"/>
      <c r="N25143"/>
    </row>
    <row r="25144" spans="3:14" x14ac:dyDescent="0.3">
      <c r="C25144" s="52"/>
      <c r="N25144"/>
    </row>
    <row r="25145" spans="3:14" x14ac:dyDescent="0.3">
      <c r="C25145" s="52"/>
      <c r="N25145"/>
    </row>
    <row r="25146" spans="3:14" x14ac:dyDescent="0.3">
      <c r="C25146" s="52"/>
      <c r="N25146"/>
    </row>
    <row r="25147" spans="3:14" x14ac:dyDescent="0.3">
      <c r="C25147" s="52"/>
      <c r="N25147"/>
    </row>
    <row r="25148" spans="3:14" x14ac:dyDescent="0.3">
      <c r="C25148" s="52"/>
      <c r="N25148"/>
    </row>
    <row r="25149" spans="3:14" x14ac:dyDescent="0.3">
      <c r="C25149" s="52"/>
      <c r="N25149"/>
    </row>
    <row r="25150" spans="3:14" x14ac:dyDescent="0.3">
      <c r="C25150" s="52"/>
      <c r="N25150"/>
    </row>
    <row r="25151" spans="3:14" x14ac:dyDescent="0.3">
      <c r="C25151" s="52"/>
      <c r="N25151"/>
    </row>
    <row r="25152" spans="3:14" x14ac:dyDescent="0.3">
      <c r="C25152" s="52"/>
      <c r="N25152"/>
    </row>
    <row r="25153" spans="3:14" x14ac:dyDescent="0.3">
      <c r="C25153" s="52"/>
      <c r="N25153"/>
    </row>
    <row r="25154" spans="3:14" x14ac:dyDescent="0.3">
      <c r="C25154" s="52"/>
      <c r="N25154"/>
    </row>
    <row r="25155" spans="3:14" x14ac:dyDescent="0.3">
      <c r="C25155" s="52"/>
      <c r="N25155"/>
    </row>
    <row r="25156" spans="3:14" x14ac:dyDescent="0.3">
      <c r="C25156" s="52"/>
      <c r="N25156"/>
    </row>
    <row r="25157" spans="3:14" x14ac:dyDescent="0.3">
      <c r="C25157" s="52"/>
      <c r="N25157"/>
    </row>
    <row r="25158" spans="3:14" x14ac:dyDescent="0.3">
      <c r="C25158" s="52"/>
      <c r="N25158"/>
    </row>
    <row r="25159" spans="3:14" x14ac:dyDescent="0.3">
      <c r="C25159" s="52"/>
      <c r="N25159"/>
    </row>
    <row r="25160" spans="3:14" x14ac:dyDescent="0.3">
      <c r="C25160" s="52"/>
      <c r="N25160"/>
    </row>
    <row r="25161" spans="3:14" x14ac:dyDescent="0.3">
      <c r="C25161" s="52"/>
      <c r="N25161"/>
    </row>
    <row r="25162" spans="3:14" x14ac:dyDescent="0.3">
      <c r="C25162" s="52"/>
      <c r="N25162"/>
    </row>
    <row r="25163" spans="3:14" x14ac:dyDescent="0.3">
      <c r="C25163" s="52"/>
      <c r="N25163"/>
    </row>
    <row r="25164" spans="3:14" x14ac:dyDescent="0.3">
      <c r="C25164" s="52"/>
      <c r="N25164"/>
    </row>
    <row r="25165" spans="3:14" x14ac:dyDescent="0.3">
      <c r="C25165" s="52"/>
      <c r="N25165"/>
    </row>
    <row r="25166" spans="3:14" x14ac:dyDescent="0.3">
      <c r="C25166" s="52"/>
      <c r="N25166"/>
    </row>
    <row r="25167" spans="3:14" x14ac:dyDescent="0.3">
      <c r="C25167" s="52"/>
      <c r="N25167"/>
    </row>
    <row r="25168" spans="3:14" x14ac:dyDescent="0.3">
      <c r="C25168" s="52"/>
      <c r="N25168"/>
    </row>
    <row r="25169" spans="3:14" x14ac:dyDescent="0.3">
      <c r="C25169" s="52"/>
      <c r="N25169"/>
    </row>
    <row r="25170" spans="3:14" x14ac:dyDescent="0.3">
      <c r="C25170" s="52"/>
      <c r="N25170"/>
    </row>
    <row r="25171" spans="3:14" x14ac:dyDescent="0.3">
      <c r="C25171" s="52"/>
      <c r="N25171"/>
    </row>
    <row r="25172" spans="3:14" x14ac:dyDescent="0.3">
      <c r="C25172" s="52"/>
      <c r="N25172"/>
    </row>
    <row r="25173" spans="3:14" x14ac:dyDescent="0.3">
      <c r="C25173" s="52"/>
      <c r="N25173"/>
    </row>
    <row r="25174" spans="3:14" x14ac:dyDescent="0.3">
      <c r="C25174" s="52"/>
      <c r="N25174"/>
    </row>
    <row r="25175" spans="3:14" x14ac:dyDescent="0.3">
      <c r="C25175" s="52"/>
      <c r="N25175"/>
    </row>
    <row r="25176" spans="3:14" x14ac:dyDescent="0.3">
      <c r="C25176" s="52"/>
      <c r="N25176"/>
    </row>
    <row r="25177" spans="3:14" x14ac:dyDescent="0.3">
      <c r="C25177" s="52"/>
      <c r="N25177"/>
    </row>
    <row r="25178" spans="3:14" x14ac:dyDescent="0.3">
      <c r="C25178" s="52"/>
      <c r="N25178"/>
    </row>
    <row r="25179" spans="3:14" x14ac:dyDescent="0.3">
      <c r="C25179" s="52"/>
      <c r="N25179"/>
    </row>
    <row r="25180" spans="3:14" x14ac:dyDescent="0.3">
      <c r="C25180" s="52"/>
      <c r="N25180"/>
    </row>
    <row r="25181" spans="3:14" x14ac:dyDescent="0.3">
      <c r="C25181" s="52"/>
      <c r="N25181"/>
    </row>
    <row r="25182" spans="3:14" x14ac:dyDescent="0.3">
      <c r="C25182" s="52"/>
      <c r="N25182"/>
    </row>
    <row r="25183" spans="3:14" x14ac:dyDescent="0.3">
      <c r="C25183" s="52"/>
      <c r="N25183"/>
    </row>
    <row r="25184" spans="3:14" x14ac:dyDescent="0.3">
      <c r="C25184" s="52"/>
      <c r="N25184"/>
    </row>
    <row r="25185" spans="3:14" x14ac:dyDescent="0.3">
      <c r="C25185" s="52"/>
      <c r="N25185"/>
    </row>
    <row r="25186" spans="3:14" x14ac:dyDescent="0.3">
      <c r="C25186" s="52"/>
      <c r="N25186"/>
    </row>
    <row r="25187" spans="3:14" x14ac:dyDescent="0.3">
      <c r="C25187" s="52"/>
      <c r="N25187"/>
    </row>
    <row r="25188" spans="3:14" x14ac:dyDescent="0.3">
      <c r="C25188" s="52"/>
      <c r="N25188"/>
    </row>
    <row r="25189" spans="3:14" x14ac:dyDescent="0.3">
      <c r="C25189" s="52"/>
      <c r="N25189"/>
    </row>
    <row r="25190" spans="3:14" x14ac:dyDescent="0.3">
      <c r="C25190" s="52"/>
      <c r="N25190"/>
    </row>
    <row r="25191" spans="3:14" x14ac:dyDescent="0.3">
      <c r="C25191" s="52"/>
      <c r="N25191"/>
    </row>
    <row r="25192" spans="3:14" x14ac:dyDescent="0.3">
      <c r="C25192" s="52"/>
      <c r="N25192"/>
    </row>
    <row r="25193" spans="3:14" x14ac:dyDescent="0.3">
      <c r="C25193" s="52"/>
      <c r="N25193"/>
    </row>
    <row r="25194" spans="3:14" x14ac:dyDescent="0.3">
      <c r="C25194" s="52"/>
      <c r="N25194"/>
    </row>
    <row r="25195" spans="3:14" x14ac:dyDescent="0.3">
      <c r="C25195" s="52"/>
      <c r="N25195"/>
    </row>
    <row r="25196" spans="3:14" x14ac:dyDescent="0.3">
      <c r="C25196" s="52"/>
      <c r="N25196"/>
    </row>
    <row r="25197" spans="3:14" x14ac:dyDescent="0.3">
      <c r="C25197" s="52"/>
      <c r="N25197"/>
    </row>
    <row r="25198" spans="3:14" x14ac:dyDescent="0.3">
      <c r="C25198" s="52"/>
      <c r="N25198"/>
    </row>
    <row r="25199" spans="3:14" x14ac:dyDescent="0.3">
      <c r="C25199" s="52"/>
      <c r="N25199"/>
    </row>
    <row r="25200" spans="3:14" x14ac:dyDescent="0.3">
      <c r="C25200" s="52"/>
      <c r="N25200"/>
    </row>
    <row r="25201" spans="3:14" x14ac:dyDescent="0.3">
      <c r="C25201" s="52"/>
      <c r="N25201"/>
    </row>
    <row r="25202" spans="3:14" x14ac:dyDescent="0.3">
      <c r="C25202" s="52"/>
      <c r="N25202"/>
    </row>
    <row r="25203" spans="3:14" x14ac:dyDescent="0.3">
      <c r="C25203" s="52"/>
      <c r="N25203"/>
    </row>
    <row r="25204" spans="3:14" x14ac:dyDescent="0.3">
      <c r="C25204" s="52"/>
      <c r="N25204"/>
    </row>
    <row r="25205" spans="3:14" x14ac:dyDescent="0.3">
      <c r="C25205" s="52"/>
      <c r="N25205"/>
    </row>
    <row r="25206" spans="3:14" x14ac:dyDescent="0.3">
      <c r="C25206" s="52"/>
      <c r="N25206"/>
    </row>
    <row r="25207" spans="3:14" x14ac:dyDescent="0.3">
      <c r="C25207" s="52"/>
      <c r="N25207"/>
    </row>
    <row r="25208" spans="3:14" x14ac:dyDescent="0.3">
      <c r="C25208" s="52"/>
      <c r="N25208"/>
    </row>
    <row r="25209" spans="3:14" x14ac:dyDescent="0.3">
      <c r="C25209" s="52"/>
      <c r="N25209"/>
    </row>
    <row r="25210" spans="3:14" x14ac:dyDescent="0.3">
      <c r="C25210" s="52"/>
      <c r="N25210"/>
    </row>
    <row r="25211" spans="3:14" x14ac:dyDescent="0.3">
      <c r="C25211" s="52"/>
      <c r="N25211"/>
    </row>
    <row r="25212" spans="3:14" x14ac:dyDescent="0.3">
      <c r="C25212" s="52"/>
      <c r="N25212"/>
    </row>
    <row r="25213" spans="3:14" x14ac:dyDescent="0.3">
      <c r="C25213" s="52"/>
      <c r="N25213"/>
    </row>
    <row r="25214" spans="3:14" x14ac:dyDescent="0.3">
      <c r="C25214" s="52"/>
      <c r="N25214"/>
    </row>
    <row r="25215" spans="3:14" x14ac:dyDescent="0.3">
      <c r="C25215" s="52"/>
      <c r="N25215"/>
    </row>
    <row r="25216" spans="3:14" x14ac:dyDescent="0.3">
      <c r="C25216" s="52"/>
      <c r="N25216"/>
    </row>
    <row r="25217" spans="3:14" x14ac:dyDescent="0.3">
      <c r="C25217" s="52"/>
      <c r="N25217"/>
    </row>
    <row r="25218" spans="3:14" x14ac:dyDescent="0.3">
      <c r="C25218" s="52"/>
      <c r="N25218"/>
    </row>
    <row r="25219" spans="3:14" x14ac:dyDescent="0.3">
      <c r="C25219" s="52"/>
      <c r="N25219"/>
    </row>
    <row r="25220" spans="3:14" x14ac:dyDescent="0.3">
      <c r="C25220" s="52"/>
      <c r="N25220"/>
    </row>
    <row r="25221" spans="3:14" x14ac:dyDescent="0.3">
      <c r="C25221" s="52"/>
      <c r="N25221"/>
    </row>
    <row r="25222" spans="3:14" x14ac:dyDescent="0.3">
      <c r="C25222" s="52"/>
      <c r="N25222"/>
    </row>
    <row r="25223" spans="3:14" x14ac:dyDescent="0.3">
      <c r="C25223" s="52"/>
      <c r="N25223"/>
    </row>
    <row r="25224" spans="3:14" x14ac:dyDescent="0.3">
      <c r="C25224" s="52"/>
      <c r="N25224"/>
    </row>
    <row r="25225" spans="3:14" x14ac:dyDescent="0.3">
      <c r="C25225" s="52"/>
      <c r="N25225"/>
    </row>
    <row r="25226" spans="3:14" x14ac:dyDescent="0.3">
      <c r="C25226" s="52"/>
      <c r="N25226"/>
    </row>
    <row r="25227" spans="3:14" x14ac:dyDescent="0.3">
      <c r="C25227" s="52"/>
      <c r="N25227"/>
    </row>
    <row r="25228" spans="3:14" x14ac:dyDescent="0.3">
      <c r="C25228" s="52"/>
      <c r="N25228"/>
    </row>
    <row r="25229" spans="3:14" x14ac:dyDescent="0.3">
      <c r="C25229" s="52"/>
      <c r="N25229"/>
    </row>
    <row r="25230" spans="3:14" x14ac:dyDescent="0.3">
      <c r="C25230" s="52"/>
      <c r="N25230"/>
    </row>
    <row r="25231" spans="3:14" x14ac:dyDescent="0.3">
      <c r="C25231" s="52"/>
      <c r="N25231"/>
    </row>
    <row r="25232" spans="3:14" x14ac:dyDescent="0.3">
      <c r="C25232" s="52"/>
      <c r="N25232"/>
    </row>
    <row r="25233" spans="3:14" x14ac:dyDescent="0.3">
      <c r="C25233" s="52"/>
      <c r="N25233"/>
    </row>
    <row r="25234" spans="3:14" x14ac:dyDescent="0.3">
      <c r="C25234" s="52"/>
      <c r="N25234"/>
    </row>
    <row r="25235" spans="3:14" x14ac:dyDescent="0.3">
      <c r="C25235" s="52"/>
      <c r="N25235"/>
    </row>
    <row r="25236" spans="3:14" x14ac:dyDescent="0.3">
      <c r="C25236" s="52"/>
      <c r="N25236"/>
    </row>
    <row r="25237" spans="3:14" x14ac:dyDescent="0.3">
      <c r="C25237" s="52"/>
      <c r="N25237"/>
    </row>
    <row r="25238" spans="3:14" x14ac:dyDescent="0.3">
      <c r="C25238" s="52"/>
      <c r="N25238"/>
    </row>
    <row r="25239" spans="3:14" x14ac:dyDescent="0.3">
      <c r="C25239" s="52"/>
      <c r="N25239"/>
    </row>
    <row r="25240" spans="3:14" x14ac:dyDescent="0.3">
      <c r="C25240" s="52"/>
      <c r="N25240"/>
    </row>
    <row r="25241" spans="3:14" x14ac:dyDescent="0.3">
      <c r="C25241" s="52"/>
      <c r="N25241"/>
    </row>
    <row r="25242" spans="3:14" x14ac:dyDescent="0.3">
      <c r="C25242" s="52"/>
      <c r="N25242"/>
    </row>
    <row r="25243" spans="3:14" x14ac:dyDescent="0.3">
      <c r="C25243" s="52"/>
      <c r="N25243"/>
    </row>
    <row r="25244" spans="3:14" x14ac:dyDescent="0.3">
      <c r="C25244" s="52"/>
      <c r="N25244"/>
    </row>
    <row r="25245" spans="3:14" x14ac:dyDescent="0.3">
      <c r="C25245" s="52"/>
      <c r="N25245"/>
    </row>
    <row r="25246" spans="3:14" x14ac:dyDescent="0.3">
      <c r="C25246" s="52"/>
      <c r="N25246"/>
    </row>
    <row r="25247" spans="3:14" x14ac:dyDescent="0.3">
      <c r="C25247" s="52"/>
      <c r="N25247"/>
    </row>
    <row r="25248" spans="3:14" x14ac:dyDescent="0.3">
      <c r="C25248" s="52"/>
      <c r="N25248"/>
    </row>
    <row r="25249" spans="3:14" x14ac:dyDescent="0.3">
      <c r="C25249" s="52"/>
      <c r="N25249"/>
    </row>
    <row r="25250" spans="3:14" x14ac:dyDescent="0.3">
      <c r="C25250" s="52"/>
      <c r="N25250"/>
    </row>
    <row r="25251" spans="3:14" x14ac:dyDescent="0.3">
      <c r="C25251" s="52"/>
      <c r="N25251"/>
    </row>
    <row r="25252" spans="3:14" x14ac:dyDescent="0.3">
      <c r="C25252" s="52"/>
      <c r="N25252"/>
    </row>
    <row r="25253" spans="3:14" x14ac:dyDescent="0.3">
      <c r="C25253" s="52"/>
      <c r="N25253"/>
    </row>
    <row r="25254" spans="3:14" x14ac:dyDescent="0.3">
      <c r="C25254" s="52"/>
      <c r="N25254"/>
    </row>
    <row r="25255" spans="3:14" x14ac:dyDescent="0.3">
      <c r="C25255" s="52"/>
      <c r="N25255"/>
    </row>
    <row r="25256" spans="3:14" x14ac:dyDescent="0.3">
      <c r="C25256" s="52"/>
      <c r="N25256"/>
    </row>
    <row r="25257" spans="3:14" x14ac:dyDescent="0.3">
      <c r="C25257" s="52"/>
      <c r="N25257"/>
    </row>
    <row r="25258" spans="3:14" x14ac:dyDescent="0.3">
      <c r="C25258" s="52"/>
      <c r="N25258"/>
    </row>
    <row r="25259" spans="3:14" x14ac:dyDescent="0.3">
      <c r="C25259" s="52"/>
      <c r="N25259"/>
    </row>
    <row r="25260" spans="3:14" x14ac:dyDescent="0.3">
      <c r="C25260" s="52"/>
      <c r="N25260"/>
    </row>
    <row r="25261" spans="3:14" x14ac:dyDescent="0.3">
      <c r="C25261" s="52"/>
      <c r="N25261"/>
    </row>
    <row r="25262" spans="3:14" x14ac:dyDescent="0.3">
      <c r="C25262" s="52"/>
      <c r="N25262"/>
    </row>
    <row r="25263" spans="3:14" x14ac:dyDescent="0.3">
      <c r="C25263" s="52"/>
      <c r="N25263"/>
    </row>
    <row r="25264" spans="3:14" x14ac:dyDescent="0.3">
      <c r="C25264" s="52"/>
      <c r="N25264"/>
    </row>
    <row r="25265" spans="3:14" x14ac:dyDescent="0.3">
      <c r="C25265" s="52"/>
      <c r="N25265"/>
    </row>
    <row r="25266" spans="3:14" x14ac:dyDescent="0.3">
      <c r="C25266" s="52"/>
      <c r="N25266"/>
    </row>
    <row r="25267" spans="3:14" x14ac:dyDescent="0.3">
      <c r="C25267" s="52"/>
      <c r="N25267"/>
    </row>
    <row r="25268" spans="3:14" x14ac:dyDescent="0.3">
      <c r="C25268" s="52"/>
      <c r="N25268"/>
    </row>
    <row r="25269" spans="3:14" x14ac:dyDescent="0.3">
      <c r="C25269" s="52"/>
      <c r="N25269"/>
    </row>
    <row r="25270" spans="3:14" x14ac:dyDescent="0.3">
      <c r="C25270" s="52"/>
      <c r="N25270"/>
    </row>
    <row r="25271" spans="3:14" x14ac:dyDescent="0.3">
      <c r="C25271" s="52"/>
      <c r="N25271"/>
    </row>
    <row r="25272" spans="3:14" x14ac:dyDescent="0.3">
      <c r="C25272" s="52"/>
      <c r="N25272"/>
    </row>
    <row r="25273" spans="3:14" x14ac:dyDescent="0.3">
      <c r="C25273" s="52"/>
      <c r="N25273"/>
    </row>
    <row r="25274" spans="3:14" x14ac:dyDescent="0.3">
      <c r="C25274" s="52"/>
      <c r="N25274"/>
    </row>
    <row r="25275" spans="3:14" x14ac:dyDescent="0.3">
      <c r="C25275" s="52"/>
      <c r="N25275"/>
    </row>
    <row r="25276" spans="3:14" x14ac:dyDescent="0.3">
      <c r="C25276" s="52"/>
      <c r="N25276"/>
    </row>
    <row r="25277" spans="3:14" x14ac:dyDescent="0.3">
      <c r="C25277" s="52"/>
      <c r="N25277"/>
    </row>
    <row r="25278" spans="3:14" x14ac:dyDescent="0.3">
      <c r="C25278" s="52"/>
      <c r="N25278"/>
    </row>
    <row r="25279" spans="3:14" x14ac:dyDescent="0.3">
      <c r="C25279" s="52"/>
      <c r="N25279"/>
    </row>
    <row r="25280" spans="3:14" x14ac:dyDescent="0.3">
      <c r="C25280" s="52"/>
      <c r="N25280"/>
    </row>
    <row r="25281" spans="3:14" x14ac:dyDescent="0.3">
      <c r="C25281" s="52"/>
      <c r="N25281"/>
    </row>
    <row r="25282" spans="3:14" x14ac:dyDescent="0.3">
      <c r="C25282" s="52"/>
      <c r="N25282"/>
    </row>
    <row r="25283" spans="3:14" x14ac:dyDescent="0.3">
      <c r="C25283" s="52"/>
      <c r="N25283"/>
    </row>
    <row r="25284" spans="3:14" x14ac:dyDescent="0.3">
      <c r="C25284" s="52"/>
      <c r="N25284"/>
    </row>
    <row r="25285" spans="3:14" x14ac:dyDescent="0.3">
      <c r="C25285" s="52"/>
      <c r="N25285"/>
    </row>
    <row r="25286" spans="3:14" x14ac:dyDescent="0.3">
      <c r="C25286" s="52"/>
      <c r="N25286"/>
    </row>
    <row r="25287" spans="3:14" x14ac:dyDescent="0.3">
      <c r="C25287" s="52"/>
      <c r="N25287"/>
    </row>
    <row r="25288" spans="3:14" x14ac:dyDescent="0.3">
      <c r="C25288" s="52"/>
      <c r="N25288"/>
    </row>
    <row r="25289" spans="3:14" x14ac:dyDescent="0.3">
      <c r="C25289" s="52"/>
      <c r="N25289"/>
    </row>
    <row r="25290" spans="3:14" x14ac:dyDescent="0.3">
      <c r="C25290" s="52"/>
      <c r="N25290"/>
    </row>
    <row r="25291" spans="3:14" x14ac:dyDescent="0.3">
      <c r="C25291" s="52"/>
      <c r="N25291"/>
    </row>
    <row r="25292" spans="3:14" x14ac:dyDescent="0.3">
      <c r="C25292" s="52"/>
      <c r="N25292"/>
    </row>
    <row r="25293" spans="3:14" x14ac:dyDescent="0.3">
      <c r="C25293" s="52"/>
      <c r="N25293"/>
    </row>
    <row r="25294" spans="3:14" x14ac:dyDescent="0.3">
      <c r="C25294" s="52"/>
      <c r="N25294"/>
    </row>
    <row r="25295" spans="3:14" x14ac:dyDescent="0.3">
      <c r="C25295" s="52"/>
      <c r="N25295"/>
    </row>
    <row r="25296" spans="3:14" x14ac:dyDescent="0.3">
      <c r="C25296" s="52"/>
      <c r="N25296"/>
    </row>
    <row r="25297" spans="3:14" x14ac:dyDescent="0.3">
      <c r="C25297" s="52"/>
      <c r="N25297"/>
    </row>
    <row r="25298" spans="3:14" x14ac:dyDescent="0.3">
      <c r="C25298" s="52"/>
      <c r="N25298"/>
    </row>
    <row r="25299" spans="3:14" x14ac:dyDescent="0.3">
      <c r="C25299" s="52"/>
      <c r="N25299"/>
    </row>
    <row r="25300" spans="3:14" x14ac:dyDescent="0.3">
      <c r="C25300" s="52"/>
      <c r="N25300"/>
    </row>
    <row r="25301" spans="3:14" x14ac:dyDescent="0.3">
      <c r="C25301" s="52"/>
      <c r="N25301"/>
    </row>
    <row r="25302" spans="3:14" x14ac:dyDescent="0.3">
      <c r="C25302" s="52"/>
      <c r="N25302"/>
    </row>
    <row r="25303" spans="3:14" x14ac:dyDescent="0.3">
      <c r="C25303" s="52"/>
      <c r="N25303"/>
    </row>
    <row r="25304" spans="3:14" x14ac:dyDescent="0.3">
      <c r="C25304" s="52"/>
      <c r="N25304"/>
    </row>
    <row r="25305" spans="3:14" x14ac:dyDescent="0.3">
      <c r="C25305" s="52"/>
      <c r="N25305"/>
    </row>
    <row r="25306" spans="3:14" x14ac:dyDescent="0.3">
      <c r="C25306" s="52"/>
      <c r="N25306"/>
    </row>
    <row r="25307" spans="3:14" x14ac:dyDescent="0.3">
      <c r="C25307" s="52"/>
      <c r="N25307"/>
    </row>
    <row r="25308" spans="3:14" x14ac:dyDescent="0.3">
      <c r="C25308" s="52"/>
      <c r="N25308"/>
    </row>
    <row r="25309" spans="3:14" x14ac:dyDescent="0.3">
      <c r="C25309" s="52"/>
      <c r="N25309"/>
    </row>
    <row r="25310" spans="3:14" x14ac:dyDescent="0.3">
      <c r="C25310" s="52"/>
      <c r="N25310"/>
    </row>
    <row r="25311" spans="3:14" x14ac:dyDescent="0.3">
      <c r="C25311" s="52"/>
      <c r="N25311"/>
    </row>
    <row r="25312" spans="3:14" x14ac:dyDescent="0.3">
      <c r="C25312" s="52"/>
      <c r="N25312"/>
    </row>
    <row r="25313" spans="3:14" x14ac:dyDescent="0.3">
      <c r="C25313" s="52"/>
      <c r="N25313"/>
    </row>
    <row r="25314" spans="3:14" x14ac:dyDescent="0.3">
      <c r="C25314" s="52"/>
      <c r="N25314"/>
    </row>
    <row r="25315" spans="3:14" x14ac:dyDescent="0.3">
      <c r="C25315" s="52"/>
      <c r="N25315"/>
    </row>
    <row r="25316" spans="3:14" x14ac:dyDescent="0.3">
      <c r="C25316" s="52"/>
      <c r="N25316"/>
    </row>
    <row r="25317" spans="3:14" x14ac:dyDescent="0.3">
      <c r="C25317" s="52"/>
      <c r="N25317"/>
    </row>
    <row r="25318" spans="3:14" x14ac:dyDescent="0.3">
      <c r="C25318" s="52"/>
      <c r="N25318"/>
    </row>
    <row r="25319" spans="3:14" x14ac:dyDescent="0.3">
      <c r="C25319" s="52"/>
      <c r="N25319"/>
    </row>
    <row r="25320" spans="3:14" x14ac:dyDescent="0.3">
      <c r="C25320" s="52"/>
      <c r="N25320"/>
    </row>
    <row r="25321" spans="3:14" x14ac:dyDescent="0.3">
      <c r="C25321" s="52"/>
      <c r="N25321"/>
    </row>
    <row r="25322" spans="3:14" x14ac:dyDescent="0.3">
      <c r="C25322" s="52"/>
      <c r="N25322"/>
    </row>
    <row r="25323" spans="3:14" x14ac:dyDescent="0.3">
      <c r="C25323" s="52"/>
      <c r="N25323"/>
    </row>
    <row r="25324" spans="3:14" x14ac:dyDescent="0.3">
      <c r="C25324" s="52"/>
      <c r="N25324"/>
    </row>
    <row r="25325" spans="3:14" x14ac:dyDescent="0.3">
      <c r="C25325" s="52"/>
      <c r="N25325"/>
    </row>
    <row r="25326" spans="3:14" x14ac:dyDescent="0.3">
      <c r="C25326" s="52"/>
      <c r="N25326"/>
    </row>
    <row r="25327" spans="3:14" x14ac:dyDescent="0.3">
      <c r="C25327" s="52"/>
      <c r="N25327"/>
    </row>
    <row r="25328" spans="3:14" x14ac:dyDescent="0.3">
      <c r="C25328" s="52"/>
      <c r="N25328"/>
    </row>
    <row r="25329" spans="3:14" x14ac:dyDescent="0.3">
      <c r="C25329" s="52"/>
      <c r="N25329"/>
    </row>
    <row r="25330" spans="3:14" x14ac:dyDescent="0.3">
      <c r="C25330" s="52"/>
      <c r="N25330"/>
    </row>
    <row r="25331" spans="3:14" x14ac:dyDescent="0.3">
      <c r="C25331" s="52"/>
      <c r="N25331"/>
    </row>
    <row r="25332" spans="3:14" x14ac:dyDescent="0.3">
      <c r="C25332" s="52"/>
      <c r="N25332"/>
    </row>
    <row r="25333" spans="3:14" x14ac:dyDescent="0.3">
      <c r="C25333" s="52"/>
      <c r="N25333"/>
    </row>
    <row r="25334" spans="3:14" x14ac:dyDescent="0.3">
      <c r="C25334" s="52"/>
      <c r="N25334"/>
    </row>
    <row r="25335" spans="3:14" x14ac:dyDescent="0.3">
      <c r="C25335" s="52"/>
      <c r="N25335"/>
    </row>
    <row r="25336" spans="3:14" x14ac:dyDescent="0.3">
      <c r="C25336" s="52"/>
      <c r="N25336"/>
    </row>
    <row r="25337" spans="3:14" x14ac:dyDescent="0.3">
      <c r="C25337" s="52"/>
      <c r="N25337"/>
    </row>
    <row r="25338" spans="3:14" x14ac:dyDescent="0.3">
      <c r="C25338" s="52"/>
      <c r="N25338"/>
    </row>
    <row r="25339" spans="3:14" x14ac:dyDescent="0.3">
      <c r="C25339" s="52"/>
      <c r="N25339"/>
    </row>
    <row r="25340" spans="3:14" x14ac:dyDescent="0.3">
      <c r="C25340" s="52"/>
      <c r="N25340"/>
    </row>
    <row r="25341" spans="3:14" x14ac:dyDescent="0.3">
      <c r="C25341" s="52"/>
      <c r="N25341"/>
    </row>
    <row r="25342" spans="3:14" x14ac:dyDescent="0.3">
      <c r="C25342" s="52"/>
      <c r="N25342"/>
    </row>
    <row r="25343" spans="3:14" x14ac:dyDescent="0.3">
      <c r="C25343" s="52"/>
      <c r="N25343"/>
    </row>
    <row r="25344" spans="3:14" x14ac:dyDescent="0.3">
      <c r="C25344" s="52"/>
      <c r="N25344"/>
    </row>
    <row r="25345" spans="3:14" x14ac:dyDescent="0.3">
      <c r="C25345" s="52"/>
      <c r="N25345"/>
    </row>
    <row r="25346" spans="3:14" x14ac:dyDescent="0.3">
      <c r="C25346" s="52"/>
      <c r="N25346"/>
    </row>
    <row r="25347" spans="3:14" x14ac:dyDescent="0.3">
      <c r="C25347" s="52"/>
      <c r="N25347"/>
    </row>
    <row r="25348" spans="3:14" x14ac:dyDescent="0.3">
      <c r="C25348" s="52"/>
      <c r="N25348"/>
    </row>
    <row r="25349" spans="3:14" x14ac:dyDescent="0.3">
      <c r="C25349" s="52"/>
      <c r="N25349"/>
    </row>
    <row r="25350" spans="3:14" x14ac:dyDescent="0.3">
      <c r="C25350" s="52"/>
      <c r="N25350"/>
    </row>
    <row r="25351" spans="3:14" x14ac:dyDescent="0.3">
      <c r="C25351" s="52"/>
      <c r="N25351"/>
    </row>
    <row r="25352" spans="3:14" x14ac:dyDescent="0.3">
      <c r="C25352" s="52"/>
      <c r="N25352"/>
    </row>
    <row r="25353" spans="3:14" x14ac:dyDescent="0.3">
      <c r="C25353" s="52"/>
      <c r="N25353"/>
    </row>
    <row r="25354" spans="3:14" x14ac:dyDescent="0.3">
      <c r="C25354" s="52"/>
      <c r="N25354"/>
    </row>
    <row r="25355" spans="3:14" x14ac:dyDescent="0.3">
      <c r="C25355" s="52"/>
      <c r="N25355"/>
    </row>
    <row r="25356" spans="3:14" x14ac:dyDescent="0.3">
      <c r="C25356" s="52"/>
      <c r="N25356"/>
    </row>
    <row r="25357" spans="3:14" x14ac:dyDescent="0.3">
      <c r="C25357" s="52"/>
      <c r="N25357"/>
    </row>
    <row r="25358" spans="3:14" x14ac:dyDescent="0.3">
      <c r="C25358" s="52"/>
      <c r="N25358"/>
    </row>
    <row r="25359" spans="3:14" x14ac:dyDescent="0.3">
      <c r="C25359" s="52"/>
      <c r="N25359"/>
    </row>
    <row r="25360" spans="3:14" x14ac:dyDescent="0.3">
      <c r="C25360" s="52"/>
      <c r="N25360"/>
    </row>
    <row r="25361" spans="3:14" x14ac:dyDescent="0.3">
      <c r="C25361" s="52"/>
      <c r="N25361"/>
    </row>
    <row r="25362" spans="3:14" x14ac:dyDescent="0.3">
      <c r="C25362" s="52"/>
      <c r="N25362"/>
    </row>
    <row r="25363" spans="3:14" x14ac:dyDescent="0.3">
      <c r="C25363" s="52"/>
      <c r="N25363"/>
    </row>
    <row r="25364" spans="3:14" x14ac:dyDescent="0.3">
      <c r="C25364" s="52"/>
      <c r="N25364"/>
    </row>
    <row r="25365" spans="3:14" x14ac:dyDescent="0.3">
      <c r="C25365" s="52"/>
      <c r="N25365"/>
    </row>
    <row r="25366" spans="3:14" x14ac:dyDescent="0.3">
      <c r="C25366" s="52"/>
      <c r="N25366"/>
    </row>
    <row r="25367" spans="3:14" x14ac:dyDescent="0.3">
      <c r="C25367" s="52"/>
      <c r="N25367"/>
    </row>
    <row r="25368" spans="3:14" x14ac:dyDescent="0.3">
      <c r="C25368" s="52"/>
      <c r="N25368"/>
    </row>
    <row r="25369" spans="3:14" x14ac:dyDescent="0.3">
      <c r="C25369" s="52"/>
      <c r="N25369"/>
    </row>
    <row r="25370" spans="3:14" x14ac:dyDescent="0.3">
      <c r="C25370" s="52"/>
      <c r="N25370"/>
    </row>
    <row r="25371" spans="3:14" x14ac:dyDescent="0.3">
      <c r="C25371" s="52"/>
      <c r="N25371"/>
    </row>
    <row r="25372" spans="3:14" x14ac:dyDescent="0.3">
      <c r="C25372" s="52"/>
      <c r="N25372"/>
    </row>
    <row r="25373" spans="3:14" x14ac:dyDescent="0.3">
      <c r="C25373" s="52"/>
      <c r="N25373"/>
    </row>
    <row r="25374" spans="3:14" x14ac:dyDescent="0.3">
      <c r="C25374" s="52"/>
      <c r="N25374"/>
    </row>
    <row r="25375" spans="3:14" x14ac:dyDescent="0.3">
      <c r="C25375" s="52"/>
      <c r="N25375"/>
    </row>
    <row r="25376" spans="3:14" x14ac:dyDescent="0.3">
      <c r="C25376" s="52"/>
      <c r="N25376"/>
    </row>
    <row r="25377" spans="3:14" x14ac:dyDescent="0.3">
      <c r="C25377" s="52"/>
      <c r="N25377"/>
    </row>
    <row r="25378" spans="3:14" x14ac:dyDescent="0.3">
      <c r="C25378" s="52"/>
      <c r="N25378"/>
    </row>
    <row r="25379" spans="3:14" x14ac:dyDescent="0.3">
      <c r="C25379" s="52"/>
      <c r="N25379"/>
    </row>
    <row r="25380" spans="3:14" x14ac:dyDescent="0.3">
      <c r="C25380" s="52"/>
      <c r="N25380"/>
    </row>
    <row r="25381" spans="3:14" x14ac:dyDescent="0.3">
      <c r="C25381" s="52"/>
      <c r="N25381"/>
    </row>
    <row r="25382" spans="3:14" x14ac:dyDescent="0.3">
      <c r="C25382" s="52"/>
      <c r="N25382"/>
    </row>
    <row r="25383" spans="3:14" x14ac:dyDescent="0.3">
      <c r="C25383" s="52"/>
      <c r="N25383"/>
    </row>
    <row r="25384" spans="3:14" x14ac:dyDescent="0.3">
      <c r="C25384" s="52"/>
      <c r="N25384"/>
    </row>
    <row r="25385" spans="3:14" x14ac:dyDescent="0.3">
      <c r="C25385" s="52"/>
      <c r="N25385"/>
    </row>
    <row r="25386" spans="3:14" x14ac:dyDescent="0.3">
      <c r="C25386" s="52"/>
      <c r="N25386"/>
    </row>
    <row r="25387" spans="3:14" x14ac:dyDescent="0.3">
      <c r="C25387" s="52"/>
      <c r="N25387"/>
    </row>
    <row r="25388" spans="3:14" x14ac:dyDescent="0.3">
      <c r="C25388" s="52"/>
      <c r="N25388"/>
    </row>
    <row r="25389" spans="3:14" x14ac:dyDescent="0.3">
      <c r="C25389" s="52"/>
      <c r="N25389"/>
    </row>
    <row r="25390" spans="3:14" x14ac:dyDescent="0.3">
      <c r="C25390" s="52"/>
      <c r="N25390"/>
    </row>
    <row r="25391" spans="3:14" x14ac:dyDescent="0.3">
      <c r="C25391" s="52"/>
      <c r="N25391"/>
    </row>
    <row r="25392" spans="3:14" x14ac:dyDescent="0.3">
      <c r="C25392" s="52"/>
      <c r="N25392"/>
    </row>
    <row r="25393" spans="3:14" x14ac:dyDescent="0.3">
      <c r="C25393" s="52"/>
      <c r="N25393"/>
    </row>
    <row r="25394" spans="3:14" x14ac:dyDescent="0.3">
      <c r="C25394" s="52"/>
      <c r="N25394"/>
    </row>
    <row r="25395" spans="3:14" x14ac:dyDescent="0.3">
      <c r="C25395" s="52"/>
      <c r="N25395"/>
    </row>
    <row r="25396" spans="3:14" x14ac:dyDescent="0.3">
      <c r="C25396" s="52"/>
      <c r="N25396"/>
    </row>
    <row r="25397" spans="3:14" x14ac:dyDescent="0.3">
      <c r="C25397" s="52"/>
      <c r="N25397"/>
    </row>
    <row r="25398" spans="3:14" x14ac:dyDescent="0.3">
      <c r="C25398" s="52"/>
      <c r="N25398"/>
    </row>
    <row r="25399" spans="3:14" x14ac:dyDescent="0.3">
      <c r="C25399" s="52"/>
      <c r="N25399"/>
    </row>
    <row r="25400" spans="3:14" x14ac:dyDescent="0.3">
      <c r="C25400" s="52"/>
      <c r="N25400"/>
    </row>
    <row r="25401" spans="3:14" x14ac:dyDescent="0.3">
      <c r="C25401" s="52"/>
      <c r="N25401"/>
    </row>
    <row r="25402" spans="3:14" x14ac:dyDescent="0.3">
      <c r="C25402" s="52"/>
      <c r="N25402"/>
    </row>
    <row r="25403" spans="3:14" x14ac:dyDescent="0.3">
      <c r="C25403" s="52"/>
      <c r="N25403"/>
    </row>
    <row r="25404" spans="3:14" x14ac:dyDescent="0.3">
      <c r="C25404" s="52"/>
      <c r="N25404"/>
    </row>
    <row r="25405" spans="3:14" x14ac:dyDescent="0.3">
      <c r="C25405" s="52"/>
      <c r="N25405"/>
    </row>
    <row r="25406" spans="3:14" x14ac:dyDescent="0.3">
      <c r="C25406" s="52"/>
      <c r="N25406"/>
    </row>
    <row r="25407" spans="3:14" x14ac:dyDescent="0.3">
      <c r="C25407" s="52"/>
      <c r="N25407"/>
    </row>
    <row r="25408" spans="3:14" x14ac:dyDescent="0.3">
      <c r="C25408" s="52"/>
      <c r="N25408"/>
    </row>
    <row r="25409" spans="3:14" x14ac:dyDescent="0.3">
      <c r="C25409" s="52"/>
      <c r="N25409"/>
    </row>
    <row r="25410" spans="3:14" x14ac:dyDescent="0.3">
      <c r="C25410" s="52"/>
      <c r="N25410"/>
    </row>
    <row r="25411" spans="3:14" x14ac:dyDescent="0.3">
      <c r="C25411" s="52"/>
      <c r="N25411"/>
    </row>
    <row r="25412" spans="3:14" x14ac:dyDescent="0.3">
      <c r="C25412" s="52"/>
      <c r="N25412"/>
    </row>
    <row r="25413" spans="3:14" x14ac:dyDescent="0.3">
      <c r="C25413" s="52"/>
      <c r="N25413"/>
    </row>
    <row r="25414" spans="3:14" x14ac:dyDescent="0.3">
      <c r="C25414" s="52"/>
      <c r="N25414"/>
    </row>
    <row r="25415" spans="3:14" x14ac:dyDescent="0.3">
      <c r="C25415" s="52"/>
      <c r="N25415"/>
    </row>
    <row r="25416" spans="3:14" x14ac:dyDescent="0.3">
      <c r="C25416" s="52"/>
      <c r="N25416"/>
    </row>
    <row r="25417" spans="3:14" x14ac:dyDescent="0.3">
      <c r="C25417" s="52"/>
      <c r="N25417"/>
    </row>
    <row r="25418" spans="3:14" x14ac:dyDescent="0.3">
      <c r="C25418" s="52"/>
      <c r="N25418"/>
    </row>
    <row r="25419" spans="3:14" x14ac:dyDescent="0.3">
      <c r="C25419" s="52"/>
      <c r="N25419"/>
    </row>
    <row r="25420" spans="3:14" x14ac:dyDescent="0.3">
      <c r="C25420" s="52"/>
      <c r="N25420"/>
    </row>
    <row r="25421" spans="3:14" x14ac:dyDescent="0.3">
      <c r="C25421" s="52"/>
      <c r="N25421"/>
    </row>
    <row r="25422" spans="3:14" x14ac:dyDescent="0.3">
      <c r="C25422" s="52"/>
      <c r="N25422"/>
    </row>
    <row r="25423" spans="3:14" x14ac:dyDescent="0.3">
      <c r="C25423" s="52"/>
      <c r="N25423"/>
    </row>
    <row r="25424" spans="3:14" x14ac:dyDescent="0.3">
      <c r="C25424" s="52"/>
      <c r="N25424"/>
    </row>
    <row r="25425" spans="3:14" x14ac:dyDescent="0.3">
      <c r="C25425" s="52"/>
      <c r="N25425"/>
    </row>
    <row r="25426" spans="3:14" x14ac:dyDescent="0.3">
      <c r="C25426" s="52"/>
      <c r="N25426"/>
    </row>
    <row r="25427" spans="3:14" x14ac:dyDescent="0.3">
      <c r="C25427" s="52"/>
      <c r="N25427"/>
    </row>
    <row r="25428" spans="3:14" x14ac:dyDescent="0.3">
      <c r="C25428" s="52"/>
      <c r="N25428"/>
    </row>
    <row r="25429" spans="3:14" x14ac:dyDescent="0.3">
      <c r="C25429" s="52"/>
      <c r="N25429"/>
    </row>
    <row r="25430" spans="3:14" x14ac:dyDescent="0.3">
      <c r="C25430" s="52"/>
      <c r="N25430"/>
    </row>
    <row r="25431" spans="3:14" x14ac:dyDescent="0.3">
      <c r="C25431" s="52"/>
      <c r="N25431"/>
    </row>
    <row r="25432" spans="3:14" x14ac:dyDescent="0.3">
      <c r="C25432" s="52"/>
      <c r="N25432"/>
    </row>
    <row r="25433" spans="3:14" x14ac:dyDescent="0.3">
      <c r="C25433" s="52"/>
      <c r="N25433"/>
    </row>
    <row r="25434" spans="3:14" x14ac:dyDescent="0.3">
      <c r="C25434" s="52"/>
      <c r="N25434"/>
    </row>
    <row r="25435" spans="3:14" x14ac:dyDescent="0.3">
      <c r="C25435" s="52"/>
      <c r="N25435"/>
    </row>
    <row r="25436" spans="3:14" x14ac:dyDescent="0.3">
      <c r="C25436" s="52"/>
      <c r="N25436"/>
    </row>
    <row r="25437" spans="3:14" x14ac:dyDescent="0.3">
      <c r="C25437" s="52"/>
      <c r="N25437"/>
    </row>
    <row r="25438" spans="3:14" x14ac:dyDescent="0.3">
      <c r="C25438" s="52"/>
      <c r="N25438"/>
    </row>
    <row r="25439" spans="3:14" x14ac:dyDescent="0.3">
      <c r="C25439" s="52"/>
      <c r="N25439"/>
    </row>
    <row r="25440" spans="3:14" x14ac:dyDescent="0.3">
      <c r="C25440" s="52"/>
      <c r="N25440"/>
    </row>
    <row r="25441" spans="3:14" x14ac:dyDescent="0.3">
      <c r="C25441" s="52"/>
      <c r="N25441"/>
    </row>
    <row r="25442" spans="3:14" x14ac:dyDescent="0.3">
      <c r="C25442" s="52"/>
      <c r="N25442"/>
    </row>
    <row r="25443" spans="3:14" x14ac:dyDescent="0.3">
      <c r="C25443" s="52"/>
      <c r="N25443"/>
    </row>
    <row r="25444" spans="3:14" x14ac:dyDescent="0.3">
      <c r="C25444" s="52"/>
      <c r="N25444"/>
    </row>
    <row r="25445" spans="3:14" x14ac:dyDescent="0.3">
      <c r="C25445" s="52"/>
      <c r="N25445"/>
    </row>
    <row r="25446" spans="3:14" x14ac:dyDescent="0.3">
      <c r="C25446" s="52"/>
      <c r="N25446"/>
    </row>
    <row r="25447" spans="3:14" x14ac:dyDescent="0.3">
      <c r="C25447" s="52"/>
      <c r="N25447"/>
    </row>
    <row r="25448" spans="3:14" x14ac:dyDescent="0.3">
      <c r="C25448" s="52"/>
      <c r="N25448"/>
    </row>
    <row r="25449" spans="3:14" x14ac:dyDescent="0.3">
      <c r="C25449" s="52"/>
      <c r="N25449"/>
    </row>
    <row r="25450" spans="3:14" x14ac:dyDescent="0.3">
      <c r="C25450" s="52"/>
      <c r="N25450"/>
    </row>
    <row r="25451" spans="3:14" x14ac:dyDescent="0.3">
      <c r="C25451" s="52"/>
      <c r="N25451"/>
    </row>
    <row r="25452" spans="3:14" x14ac:dyDescent="0.3">
      <c r="C25452" s="52"/>
      <c r="N25452"/>
    </row>
    <row r="25453" spans="3:14" x14ac:dyDescent="0.3">
      <c r="C25453" s="52"/>
      <c r="N25453"/>
    </row>
    <row r="25454" spans="3:14" x14ac:dyDescent="0.3">
      <c r="C25454" s="52"/>
      <c r="N25454"/>
    </row>
    <row r="25455" spans="3:14" x14ac:dyDescent="0.3">
      <c r="C25455" s="52"/>
      <c r="N25455"/>
    </row>
    <row r="25456" spans="3:14" x14ac:dyDescent="0.3">
      <c r="C25456" s="52"/>
      <c r="N25456"/>
    </row>
    <row r="25457" spans="3:14" x14ac:dyDescent="0.3">
      <c r="C25457" s="52"/>
      <c r="N25457"/>
    </row>
    <row r="25458" spans="3:14" x14ac:dyDescent="0.3">
      <c r="C25458" s="52"/>
      <c r="N25458"/>
    </row>
    <row r="25459" spans="3:14" x14ac:dyDescent="0.3">
      <c r="C25459" s="52"/>
      <c r="N25459"/>
    </row>
    <row r="25460" spans="3:14" x14ac:dyDescent="0.3">
      <c r="C25460" s="52"/>
      <c r="N25460"/>
    </row>
    <row r="25461" spans="3:14" x14ac:dyDescent="0.3">
      <c r="C25461" s="52"/>
      <c r="N25461"/>
    </row>
    <row r="25462" spans="3:14" x14ac:dyDescent="0.3">
      <c r="C25462" s="52"/>
      <c r="N25462"/>
    </row>
    <row r="25463" spans="3:14" x14ac:dyDescent="0.3">
      <c r="C25463" s="52"/>
      <c r="N25463"/>
    </row>
    <row r="25464" spans="3:14" x14ac:dyDescent="0.3">
      <c r="C25464" s="52"/>
      <c r="N25464"/>
    </row>
    <row r="25465" spans="3:14" x14ac:dyDescent="0.3">
      <c r="C25465" s="52"/>
      <c r="N25465"/>
    </row>
    <row r="25466" spans="3:14" x14ac:dyDescent="0.3">
      <c r="C25466" s="52"/>
      <c r="N25466"/>
    </row>
    <row r="25467" spans="3:14" x14ac:dyDescent="0.3">
      <c r="C25467" s="52"/>
      <c r="N25467"/>
    </row>
    <row r="25468" spans="3:14" x14ac:dyDescent="0.3">
      <c r="C25468" s="52"/>
      <c r="N25468"/>
    </row>
    <row r="25469" spans="3:14" x14ac:dyDescent="0.3">
      <c r="C25469" s="52"/>
      <c r="N25469"/>
    </row>
    <row r="25470" spans="3:14" x14ac:dyDescent="0.3">
      <c r="C25470" s="52"/>
      <c r="N25470"/>
    </row>
    <row r="25471" spans="3:14" x14ac:dyDescent="0.3">
      <c r="C25471" s="52"/>
      <c r="N25471"/>
    </row>
    <row r="25472" spans="3:14" x14ac:dyDescent="0.3">
      <c r="C25472" s="52"/>
      <c r="N25472"/>
    </row>
    <row r="25473" spans="3:14" x14ac:dyDescent="0.3">
      <c r="C25473" s="52"/>
      <c r="N25473"/>
    </row>
    <row r="25474" spans="3:14" x14ac:dyDescent="0.3">
      <c r="C25474" s="52"/>
      <c r="N25474"/>
    </row>
    <row r="25475" spans="3:14" x14ac:dyDescent="0.3">
      <c r="C25475" s="52"/>
      <c r="N25475"/>
    </row>
    <row r="25476" spans="3:14" x14ac:dyDescent="0.3">
      <c r="C25476" s="52"/>
      <c r="N25476"/>
    </row>
    <row r="25477" spans="3:14" x14ac:dyDescent="0.3">
      <c r="C25477" s="52"/>
      <c r="N25477"/>
    </row>
    <row r="25478" spans="3:14" x14ac:dyDescent="0.3">
      <c r="C25478" s="52"/>
      <c r="N25478"/>
    </row>
    <row r="25479" spans="3:14" x14ac:dyDescent="0.3">
      <c r="C25479" s="52"/>
      <c r="N25479"/>
    </row>
    <row r="25480" spans="3:14" x14ac:dyDescent="0.3">
      <c r="C25480" s="52"/>
      <c r="N25480"/>
    </row>
    <row r="25481" spans="3:14" x14ac:dyDescent="0.3">
      <c r="C25481" s="52"/>
      <c r="N25481"/>
    </row>
    <row r="25482" spans="3:14" x14ac:dyDescent="0.3">
      <c r="C25482" s="52"/>
      <c r="N25482"/>
    </row>
    <row r="25483" spans="3:14" x14ac:dyDescent="0.3">
      <c r="C25483" s="52"/>
      <c r="N25483"/>
    </row>
    <row r="25484" spans="3:14" x14ac:dyDescent="0.3">
      <c r="C25484" s="52"/>
      <c r="N25484"/>
    </row>
    <row r="25485" spans="3:14" x14ac:dyDescent="0.3">
      <c r="C25485" s="52"/>
      <c r="N25485"/>
    </row>
    <row r="25486" spans="3:14" x14ac:dyDescent="0.3">
      <c r="C25486" s="52"/>
      <c r="N25486"/>
    </row>
    <row r="25487" spans="3:14" x14ac:dyDescent="0.3">
      <c r="C25487" s="52"/>
      <c r="N25487"/>
    </row>
    <row r="25488" spans="3:14" x14ac:dyDescent="0.3">
      <c r="C25488" s="52"/>
      <c r="N25488"/>
    </row>
    <row r="25489" spans="3:14" x14ac:dyDescent="0.3">
      <c r="C25489" s="52"/>
      <c r="N25489"/>
    </row>
    <row r="25490" spans="3:14" x14ac:dyDescent="0.3">
      <c r="C25490" s="52"/>
      <c r="N25490"/>
    </row>
    <row r="25491" spans="3:14" x14ac:dyDescent="0.3">
      <c r="C25491" s="52"/>
      <c r="N25491"/>
    </row>
    <row r="25492" spans="3:14" x14ac:dyDescent="0.3">
      <c r="C25492" s="52"/>
      <c r="N25492"/>
    </row>
    <row r="25493" spans="3:14" x14ac:dyDescent="0.3">
      <c r="C25493" s="52"/>
      <c r="N25493"/>
    </row>
    <row r="25494" spans="3:14" x14ac:dyDescent="0.3">
      <c r="C25494" s="52"/>
      <c r="N25494"/>
    </row>
    <row r="25495" spans="3:14" x14ac:dyDescent="0.3">
      <c r="C25495" s="52"/>
      <c r="N25495"/>
    </row>
    <row r="25496" spans="3:14" x14ac:dyDescent="0.3">
      <c r="C25496" s="52"/>
      <c r="N25496"/>
    </row>
    <row r="25497" spans="3:14" x14ac:dyDescent="0.3">
      <c r="C25497" s="52"/>
      <c r="N25497"/>
    </row>
    <row r="25498" spans="3:14" x14ac:dyDescent="0.3">
      <c r="C25498" s="52"/>
      <c r="N25498"/>
    </row>
    <row r="25499" spans="3:14" x14ac:dyDescent="0.3">
      <c r="C25499" s="52"/>
      <c r="N25499"/>
    </row>
    <row r="25500" spans="3:14" x14ac:dyDescent="0.3">
      <c r="C25500" s="52"/>
      <c r="N25500"/>
    </row>
    <row r="25501" spans="3:14" x14ac:dyDescent="0.3">
      <c r="C25501" s="52"/>
      <c r="N25501"/>
    </row>
    <row r="25502" spans="3:14" x14ac:dyDescent="0.3">
      <c r="C25502" s="52"/>
      <c r="N25502"/>
    </row>
    <row r="25503" spans="3:14" x14ac:dyDescent="0.3">
      <c r="C25503" s="52"/>
      <c r="N25503"/>
    </row>
    <row r="25504" spans="3:14" x14ac:dyDescent="0.3">
      <c r="C25504" s="52"/>
      <c r="N25504"/>
    </row>
    <row r="25505" spans="3:14" x14ac:dyDescent="0.3">
      <c r="C25505" s="52"/>
      <c r="N25505"/>
    </row>
    <row r="25506" spans="3:14" x14ac:dyDescent="0.3">
      <c r="C25506" s="52"/>
      <c r="N25506"/>
    </row>
    <row r="25507" spans="3:14" x14ac:dyDescent="0.3">
      <c r="C25507" s="52"/>
      <c r="N25507"/>
    </row>
    <row r="25508" spans="3:14" x14ac:dyDescent="0.3">
      <c r="C25508" s="52"/>
      <c r="N25508"/>
    </row>
    <row r="25509" spans="3:14" x14ac:dyDescent="0.3">
      <c r="C25509" s="52"/>
      <c r="N25509"/>
    </row>
    <row r="25510" spans="3:14" x14ac:dyDescent="0.3">
      <c r="C25510" s="52"/>
      <c r="N25510"/>
    </row>
    <row r="25511" spans="3:14" x14ac:dyDescent="0.3">
      <c r="C25511" s="52"/>
      <c r="N25511"/>
    </row>
    <row r="25512" spans="3:14" x14ac:dyDescent="0.3">
      <c r="C25512" s="52"/>
      <c r="N25512"/>
    </row>
    <row r="25513" spans="3:14" x14ac:dyDescent="0.3">
      <c r="C25513" s="52"/>
      <c r="N25513"/>
    </row>
    <row r="25514" spans="3:14" x14ac:dyDescent="0.3">
      <c r="C25514" s="52"/>
      <c r="N25514"/>
    </row>
    <row r="25515" spans="3:14" x14ac:dyDescent="0.3">
      <c r="C25515" s="52"/>
      <c r="N25515"/>
    </row>
    <row r="25516" spans="3:14" x14ac:dyDescent="0.3">
      <c r="C25516" s="52"/>
      <c r="N25516"/>
    </row>
    <row r="25517" spans="3:14" x14ac:dyDescent="0.3">
      <c r="C25517" s="52"/>
      <c r="N25517"/>
    </row>
    <row r="25518" spans="3:14" x14ac:dyDescent="0.3">
      <c r="C25518" s="52"/>
      <c r="N25518"/>
    </row>
    <row r="25519" spans="3:14" x14ac:dyDescent="0.3">
      <c r="C25519" s="52"/>
      <c r="N25519"/>
    </row>
    <row r="25520" spans="3:14" x14ac:dyDescent="0.3">
      <c r="C25520" s="52"/>
      <c r="N25520"/>
    </row>
    <row r="25521" spans="3:14" x14ac:dyDescent="0.3">
      <c r="C25521" s="52"/>
      <c r="N25521"/>
    </row>
    <row r="25522" spans="3:14" x14ac:dyDescent="0.3">
      <c r="C25522" s="52"/>
      <c r="N25522"/>
    </row>
    <row r="25523" spans="3:14" x14ac:dyDescent="0.3">
      <c r="C25523" s="52"/>
      <c r="N25523"/>
    </row>
    <row r="25524" spans="3:14" x14ac:dyDescent="0.3">
      <c r="C25524" s="52"/>
      <c r="N25524"/>
    </row>
    <row r="25525" spans="3:14" x14ac:dyDescent="0.3">
      <c r="C25525" s="52"/>
      <c r="N25525"/>
    </row>
    <row r="25526" spans="3:14" x14ac:dyDescent="0.3">
      <c r="C25526" s="52"/>
      <c r="N25526"/>
    </row>
    <row r="25527" spans="3:14" x14ac:dyDescent="0.3">
      <c r="C25527" s="52"/>
      <c r="N25527"/>
    </row>
    <row r="25528" spans="3:14" x14ac:dyDescent="0.3">
      <c r="C25528" s="52"/>
      <c r="N25528"/>
    </row>
    <row r="25529" spans="3:14" x14ac:dyDescent="0.3">
      <c r="C25529" s="52"/>
      <c r="N25529"/>
    </row>
    <row r="25530" spans="3:14" x14ac:dyDescent="0.3">
      <c r="C25530" s="52"/>
      <c r="N25530"/>
    </row>
    <row r="25531" spans="3:14" x14ac:dyDescent="0.3">
      <c r="C25531" s="52"/>
      <c r="N25531"/>
    </row>
    <row r="25532" spans="3:14" x14ac:dyDescent="0.3">
      <c r="C25532" s="52"/>
      <c r="N25532"/>
    </row>
    <row r="25533" spans="3:14" x14ac:dyDescent="0.3">
      <c r="C25533" s="52"/>
      <c r="N25533"/>
    </row>
    <row r="25534" spans="3:14" x14ac:dyDescent="0.3">
      <c r="C25534" s="52"/>
      <c r="N25534"/>
    </row>
    <row r="25535" spans="3:14" x14ac:dyDescent="0.3">
      <c r="C25535" s="52"/>
      <c r="N25535"/>
    </row>
    <row r="25536" spans="3:14" x14ac:dyDescent="0.3">
      <c r="C25536" s="52"/>
      <c r="N25536"/>
    </row>
    <row r="25537" spans="3:14" x14ac:dyDescent="0.3">
      <c r="C25537" s="52"/>
      <c r="N25537"/>
    </row>
    <row r="25538" spans="3:14" x14ac:dyDescent="0.3">
      <c r="C25538" s="52"/>
      <c r="N25538"/>
    </row>
    <row r="25539" spans="3:14" x14ac:dyDescent="0.3">
      <c r="C25539" s="52"/>
      <c r="N25539"/>
    </row>
    <row r="25540" spans="3:14" x14ac:dyDescent="0.3">
      <c r="C25540" s="52"/>
      <c r="N25540"/>
    </row>
    <row r="25541" spans="3:14" x14ac:dyDescent="0.3">
      <c r="C25541" s="52"/>
      <c r="N25541"/>
    </row>
    <row r="25542" spans="3:14" x14ac:dyDescent="0.3">
      <c r="C25542" s="52"/>
      <c r="N25542"/>
    </row>
    <row r="25543" spans="3:14" x14ac:dyDescent="0.3">
      <c r="C25543" s="52"/>
      <c r="N25543"/>
    </row>
    <row r="25544" spans="3:14" x14ac:dyDescent="0.3">
      <c r="C25544" s="52"/>
      <c r="N25544"/>
    </row>
    <row r="25545" spans="3:14" x14ac:dyDescent="0.3">
      <c r="C25545" s="52"/>
      <c r="N25545"/>
    </row>
    <row r="25546" spans="3:14" x14ac:dyDescent="0.3">
      <c r="C25546" s="52"/>
      <c r="N25546"/>
    </row>
    <row r="25547" spans="3:14" x14ac:dyDescent="0.3">
      <c r="C25547" s="52"/>
      <c r="N25547"/>
    </row>
    <row r="25548" spans="3:14" x14ac:dyDescent="0.3">
      <c r="C25548" s="52"/>
      <c r="N25548"/>
    </row>
    <row r="25549" spans="3:14" x14ac:dyDescent="0.3">
      <c r="C25549" s="52"/>
      <c r="N25549"/>
    </row>
    <row r="25550" spans="3:14" x14ac:dyDescent="0.3">
      <c r="C25550" s="52"/>
      <c r="N25550"/>
    </row>
    <row r="25551" spans="3:14" x14ac:dyDescent="0.3">
      <c r="C25551" s="52"/>
      <c r="N25551"/>
    </row>
    <row r="25552" spans="3:14" x14ac:dyDescent="0.3">
      <c r="C25552" s="52"/>
      <c r="N25552"/>
    </row>
    <row r="25553" spans="3:14" x14ac:dyDescent="0.3">
      <c r="C25553" s="52"/>
      <c r="N25553"/>
    </row>
    <row r="25554" spans="3:14" x14ac:dyDescent="0.3">
      <c r="C25554" s="52"/>
      <c r="N25554"/>
    </row>
    <row r="25555" spans="3:14" x14ac:dyDescent="0.3">
      <c r="C25555" s="52"/>
      <c r="N25555"/>
    </row>
    <row r="25556" spans="3:14" x14ac:dyDescent="0.3">
      <c r="C25556" s="52"/>
      <c r="N25556"/>
    </row>
    <row r="25557" spans="3:14" x14ac:dyDescent="0.3">
      <c r="C25557" s="52"/>
      <c r="N25557"/>
    </row>
    <row r="25558" spans="3:14" x14ac:dyDescent="0.3">
      <c r="C25558" s="52"/>
      <c r="N25558"/>
    </row>
    <row r="25559" spans="3:14" x14ac:dyDescent="0.3">
      <c r="C25559" s="52"/>
      <c r="N25559"/>
    </row>
    <row r="25560" spans="3:14" x14ac:dyDescent="0.3">
      <c r="C25560" s="52"/>
      <c r="N25560"/>
    </row>
    <row r="25561" spans="3:14" x14ac:dyDescent="0.3">
      <c r="C25561" s="52"/>
      <c r="N25561"/>
    </row>
    <row r="25562" spans="3:14" x14ac:dyDescent="0.3">
      <c r="C25562" s="52"/>
      <c r="N25562"/>
    </row>
    <row r="25563" spans="3:14" x14ac:dyDescent="0.3">
      <c r="C25563" s="52"/>
      <c r="N25563"/>
    </row>
    <row r="25564" spans="3:14" x14ac:dyDescent="0.3">
      <c r="C25564" s="52"/>
      <c r="N25564"/>
    </row>
    <row r="25565" spans="3:14" x14ac:dyDescent="0.3">
      <c r="C25565" s="52"/>
      <c r="N25565"/>
    </row>
    <row r="25566" spans="3:14" x14ac:dyDescent="0.3">
      <c r="C25566" s="52"/>
      <c r="N25566"/>
    </row>
    <row r="25567" spans="3:14" x14ac:dyDescent="0.3">
      <c r="C25567" s="52"/>
      <c r="N25567"/>
    </row>
    <row r="25568" spans="3:14" x14ac:dyDescent="0.3">
      <c r="C25568" s="52"/>
      <c r="N25568"/>
    </row>
    <row r="25569" spans="3:14" x14ac:dyDescent="0.3">
      <c r="C25569" s="52"/>
      <c r="N25569"/>
    </row>
    <row r="25570" spans="3:14" x14ac:dyDescent="0.3">
      <c r="C25570" s="52"/>
      <c r="N25570"/>
    </row>
    <row r="25571" spans="3:14" x14ac:dyDescent="0.3">
      <c r="C25571" s="52"/>
      <c r="N25571"/>
    </row>
    <row r="25572" spans="3:14" x14ac:dyDescent="0.3">
      <c r="C25572" s="52"/>
      <c r="N25572"/>
    </row>
    <row r="25573" spans="3:14" x14ac:dyDescent="0.3">
      <c r="C25573" s="52"/>
      <c r="N25573"/>
    </row>
    <row r="25574" spans="3:14" x14ac:dyDescent="0.3">
      <c r="C25574" s="52"/>
      <c r="N25574"/>
    </row>
    <row r="25575" spans="3:14" x14ac:dyDescent="0.3">
      <c r="C25575" s="52"/>
      <c r="N25575"/>
    </row>
    <row r="25576" spans="3:14" x14ac:dyDescent="0.3">
      <c r="C25576" s="52"/>
      <c r="N25576"/>
    </row>
    <row r="25577" spans="3:14" x14ac:dyDescent="0.3">
      <c r="C25577" s="52"/>
      <c r="N25577"/>
    </row>
    <row r="25578" spans="3:14" x14ac:dyDescent="0.3">
      <c r="C25578" s="52"/>
      <c r="N25578"/>
    </row>
    <row r="25579" spans="3:14" x14ac:dyDescent="0.3">
      <c r="C25579" s="52"/>
      <c r="N25579"/>
    </row>
    <row r="25580" spans="3:14" x14ac:dyDescent="0.3">
      <c r="C25580" s="52"/>
      <c r="N25580"/>
    </row>
    <row r="25581" spans="3:14" x14ac:dyDescent="0.3">
      <c r="C25581" s="52"/>
      <c r="N25581"/>
    </row>
    <row r="25582" spans="3:14" x14ac:dyDescent="0.3">
      <c r="C25582" s="52"/>
      <c r="N25582"/>
    </row>
    <row r="25583" spans="3:14" x14ac:dyDescent="0.3">
      <c r="C25583" s="52"/>
      <c r="N25583"/>
    </row>
    <row r="25584" spans="3:14" x14ac:dyDescent="0.3">
      <c r="C25584" s="52"/>
      <c r="N25584"/>
    </row>
    <row r="25585" spans="3:14" x14ac:dyDescent="0.3">
      <c r="C25585" s="52"/>
      <c r="N25585"/>
    </row>
    <row r="25586" spans="3:14" x14ac:dyDescent="0.3">
      <c r="C25586" s="52"/>
      <c r="N25586"/>
    </row>
    <row r="25587" spans="3:14" x14ac:dyDescent="0.3">
      <c r="C25587" s="52"/>
      <c r="N25587"/>
    </row>
    <row r="25588" spans="3:14" x14ac:dyDescent="0.3">
      <c r="C25588" s="52"/>
      <c r="N25588"/>
    </row>
    <row r="25589" spans="3:14" x14ac:dyDescent="0.3">
      <c r="C25589" s="52"/>
      <c r="N25589"/>
    </row>
    <row r="25590" spans="3:14" x14ac:dyDescent="0.3">
      <c r="C25590" s="52"/>
      <c r="N25590"/>
    </row>
    <row r="25591" spans="3:14" x14ac:dyDescent="0.3">
      <c r="C25591" s="52"/>
      <c r="N25591"/>
    </row>
    <row r="25592" spans="3:14" x14ac:dyDescent="0.3">
      <c r="C25592" s="52"/>
      <c r="N25592"/>
    </row>
    <row r="25593" spans="3:14" x14ac:dyDescent="0.3">
      <c r="C25593" s="52"/>
      <c r="N25593"/>
    </row>
    <row r="25594" spans="3:14" x14ac:dyDescent="0.3">
      <c r="C25594" s="52"/>
      <c r="N25594"/>
    </row>
    <row r="25595" spans="3:14" x14ac:dyDescent="0.3">
      <c r="C25595" s="52"/>
      <c r="N25595"/>
    </row>
    <row r="25596" spans="3:14" x14ac:dyDescent="0.3">
      <c r="C25596" s="52"/>
      <c r="N25596"/>
    </row>
    <row r="25597" spans="3:14" x14ac:dyDescent="0.3">
      <c r="C25597" s="52"/>
      <c r="N25597"/>
    </row>
    <row r="25598" spans="3:14" x14ac:dyDescent="0.3">
      <c r="C25598" s="52"/>
      <c r="N25598"/>
    </row>
    <row r="25599" spans="3:14" x14ac:dyDescent="0.3">
      <c r="C25599" s="52"/>
      <c r="N25599"/>
    </row>
    <row r="25600" spans="3:14" x14ac:dyDescent="0.3">
      <c r="C25600" s="52"/>
      <c r="N25600"/>
    </row>
    <row r="25601" spans="3:14" x14ac:dyDescent="0.3">
      <c r="C25601" s="52"/>
      <c r="N25601"/>
    </row>
    <row r="25602" spans="3:14" x14ac:dyDescent="0.3">
      <c r="C25602" s="52"/>
      <c r="N25602"/>
    </row>
    <row r="25603" spans="3:14" x14ac:dyDescent="0.3">
      <c r="C25603" s="52"/>
      <c r="N25603"/>
    </row>
    <row r="25604" spans="3:14" x14ac:dyDescent="0.3">
      <c r="C25604" s="52"/>
      <c r="N25604"/>
    </row>
    <row r="25605" spans="3:14" x14ac:dyDescent="0.3">
      <c r="C25605" s="52"/>
      <c r="N25605"/>
    </row>
    <row r="25606" spans="3:14" x14ac:dyDescent="0.3">
      <c r="C25606" s="52"/>
      <c r="N25606"/>
    </row>
    <row r="25607" spans="3:14" x14ac:dyDescent="0.3">
      <c r="C25607" s="52"/>
      <c r="N25607"/>
    </row>
    <row r="25608" spans="3:14" x14ac:dyDescent="0.3">
      <c r="C25608" s="52"/>
      <c r="N25608"/>
    </row>
    <row r="25609" spans="3:14" x14ac:dyDescent="0.3">
      <c r="C25609" s="52"/>
      <c r="N25609"/>
    </row>
    <row r="25610" spans="3:14" x14ac:dyDescent="0.3">
      <c r="C25610" s="52"/>
      <c r="N25610"/>
    </row>
    <row r="25611" spans="3:14" x14ac:dyDescent="0.3">
      <c r="C25611" s="52"/>
      <c r="N25611"/>
    </row>
    <row r="25612" spans="3:14" x14ac:dyDescent="0.3">
      <c r="C25612" s="52"/>
      <c r="N25612"/>
    </row>
    <row r="25613" spans="3:14" x14ac:dyDescent="0.3">
      <c r="C25613" s="52"/>
      <c r="N25613"/>
    </row>
    <row r="25614" spans="3:14" x14ac:dyDescent="0.3">
      <c r="C25614" s="52"/>
      <c r="N25614"/>
    </row>
    <row r="25615" spans="3:14" x14ac:dyDescent="0.3">
      <c r="C25615" s="52"/>
      <c r="N25615"/>
    </row>
    <row r="25616" spans="3:14" x14ac:dyDescent="0.3">
      <c r="C25616" s="52"/>
      <c r="N25616"/>
    </row>
    <row r="25617" spans="3:14" x14ac:dyDescent="0.3">
      <c r="C25617" s="52"/>
      <c r="N25617"/>
    </row>
    <row r="25618" spans="3:14" x14ac:dyDescent="0.3">
      <c r="C25618" s="52"/>
      <c r="N25618"/>
    </row>
    <row r="25619" spans="3:14" x14ac:dyDescent="0.3">
      <c r="C25619" s="52"/>
      <c r="N25619"/>
    </row>
    <row r="25620" spans="3:14" x14ac:dyDescent="0.3">
      <c r="C25620" s="52"/>
      <c r="N25620"/>
    </row>
    <row r="25621" spans="3:14" x14ac:dyDescent="0.3">
      <c r="C25621" s="52"/>
      <c r="N25621"/>
    </row>
    <row r="25622" spans="3:14" x14ac:dyDescent="0.3">
      <c r="C25622" s="52"/>
      <c r="N25622"/>
    </row>
    <row r="25623" spans="3:14" x14ac:dyDescent="0.3">
      <c r="C25623" s="52"/>
      <c r="N25623"/>
    </row>
    <row r="25624" spans="3:14" x14ac:dyDescent="0.3">
      <c r="C25624" s="52"/>
      <c r="N25624"/>
    </row>
    <row r="25625" spans="3:14" x14ac:dyDescent="0.3">
      <c r="C25625" s="52"/>
      <c r="N25625"/>
    </row>
    <row r="25626" spans="3:14" x14ac:dyDescent="0.3">
      <c r="C25626" s="52"/>
      <c r="N25626"/>
    </row>
    <row r="25627" spans="3:14" x14ac:dyDescent="0.3">
      <c r="C25627" s="52"/>
      <c r="N25627"/>
    </row>
    <row r="25628" spans="3:14" x14ac:dyDescent="0.3">
      <c r="C25628" s="52"/>
      <c r="N25628"/>
    </row>
    <row r="25629" spans="3:14" x14ac:dyDescent="0.3">
      <c r="C25629" s="52"/>
      <c r="N25629"/>
    </row>
    <row r="25630" spans="3:14" x14ac:dyDescent="0.3">
      <c r="C25630" s="52"/>
      <c r="N25630"/>
    </row>
    <row r="25631" spans="3:14" x14ac:dyDescent="0.3">
      <c r="C25631" s="52"/>
      <c r="N25631"/>
    </row>
    <row r="25632" spans="3:14" x14ac:dyDescent="0.3">
      <c r="C25632" s="52"/>
      <c r="N25632"/>
    </row>
    <row r="25633" spans="3:14" x14ac:dyDescent="0.3">
      <c r="C25633" s="52"/>
      <c r="N25633"/>
    </row>
    <row r="25634" spans="3:14" x14ac:dyDescent="0.3">
      <c r="C25634" s="52"/>
      <c r="N25634"/>
    </row>
    <row r="25635" spans="3:14" x14ac:dyDescent="0.3">
      <c r="C25635" s="52"/>
      <c r="N25635"/>
    </row>
    <row r="25636" spans="3:14" x14ac:dyDescent="0.3">
      <c r="C25636" s="52"/>
      <c r="N25636"/>
    </row>
    <row r="25637" spans="3:14" x14ac:dyDescent="0.3">
      <c r="C25637" s="52"/>
      <c r="N25637"/>
    </row>
    <row r="25638" spans="3:14" x14ac:dyDescent="0.3">
      <c r="C25638" s="52"/>
      <c r="N25638"/>
    </row>
    <row r="25639" spans="3:14" x14ac:dyDescent="0.3">
      <c r="C25639" s="52"/>
      <c r="N25639"/>
    </row>
    <row r="25640" spans="3:14" x14ac:dyDescent="0.3">
      <c r="C25640" s="52"/>
      <c r="N25640"/>
    </row>
    <row r="25641" spans="3:14" x14ac:dyDescent="0.3">
      <c r="C25641" s="52"/>
      <c r="N25641"/>
    </row>
    <row r="25642" spans="3:14" x14ac:dyDescent="0.3">
      <c r="C25642" s="52"/>
      <c r="N25642"/>
    </row>
    <row r="25643" spans="3:14" x14ac:dyDescent="0.3">
      <c r="C25643" s="52"/>
      <c r="N25643"/>
    </row>
    <row r="25644" spans="3:14" x14ac:dyDescent="0.3">
      <c r="C25644" s="52"/>
      <c r="N25644"/>
    </row>
    <row r="25645" spans="3:14" x14ac:dyDescent="0.3">
      <c r="C25645" s="52"/>
      <c r="N25645"/>
    </row>
    <row r="25646" spans="3:14" x14ac:dyDescent="0.3">
      <c r="C25646" s="52"/>
      <c r="N25646"/>
    </row>
    <row r="25647" spans="3:14" x14ac:dyDescent="0.3">
      <c r="C25647" s="52"/>
      <c r="N25647"/>
    </row>
    <row r="25648" spans="3:14" x14ac:dyDescent="0.3">
      <c r="C25648" s="52"/>
      <c r="N25648"/>
    </row>
    <row r="25649" spans="3:14" x14ac:dyDescent="0.3">
      <c r="C25649" s="52"/>
      <c r="N25649"/>
    </row>
    <row r="25650" spans="3:14" x14ac:dyDescent="0.3">
      <c r="C25650" s="52"/>
      <c r="N25650"/>
    </row>
    <row r="25651" spans="3:14" x14ac:dyDescent="0.3">
      <c r="C25651" s="52"/>
      <c r="N25651"/>
    </row>
    <row r="25652" spans="3:14" x14ac:dyDescent="0.3">
      <c r="C25652" s="52"/>
      <c r="N25652"/>
    </row>
    <row r="25653" spans="3:14" x14ac:dyDescent="0.3">
      <c r="C25653" s="52"/>
      <c r="N25653"/>
    </row>
    <row r="25654" spans="3:14" x14ac:dyDescent="0.3">
      <c r="C25654" s="52"/>
      <c r="N25654"/>
    </row>
    <row r="25655" spans="3:14" x14ac:dyDescent="0.3">
      <c r="C25655" s="52"/>
      <c r="N25655"/>
    </row>
    <row r="25656" spans="3:14" x14ac:dyDescent="0.3">
      <c r="C25656" s="52"/>
      <c r="N25656"/>
    </row>
    <row r="25657" spans="3:14" x14ac:dyDescent="0.3">
      <c r="C25657" s="52"/>
      <c r="N25657"/>
    </row>
    <row r="25658" spans="3:14" x14ac:dyDescent="0.3">
      <c r="C25658" s="52"/>
      <c r="N25658"/>
    </row>
    <row r="25659" spans="3:14" x14ac:dyDescent="0.3">
      <c r="C25659" s="52"/>
      <c r="N25659"/>
    </row>
    <row r="25660" spans="3:14" x14ac:dyDescent="0.3">
      <c r="C25660" s="52"/>
      <c r="N25660"/>
    </row>
    <row r="25661" spans="3:14" x14ac:dyDescent="0.3">
      <c r="C25661" s="52"/>
      <c r="N25661"/>
    </row>
    <row r="25662" spans="3:14" x14ac:dyDescent="0.3">
      <c r="C25662" s="52"/>
      <c r="N25662"/>
    </row>
    <row r="25663" spans="3:14" x14ac:dyDescent="0.3">
      <c r="C25663" s="52"/>
      <c r="N25663"/>
    </row>
    <row r="25664" spans="3:14" x14ac:dyDescent="0.3">
      <c r="C25664" s="52"/>
      <c r="N25664"/>
    </row>
    <row r="25665" spans="3:14" x14ac:dyDescent="0.3">
      <c r="C25665" s="52"/>
      <c r="N25665"/>
    </row>
    <row r="25666" spans="3:14" x14ac:dyDescent="0.3">
      <c r="C25666" s="52"/>
      <c r="N25666"/>
    </row>
    <row r="25667" spans="3:14" x14ac:dyDescent="0.3">
      <c r="C25667" s="52"/>
      <c r="N25667"/>
    </row>
    <row r="25668" spans="3:14" x14ac:dyDescent="0.3">
      <c r="C25668" s="52"/>
      <c r="N25668"/>
    </row>
    <row r="25669" spans="3:14" x14ac:dyDescent="0.3">
      <c r="C25669" s="52"/>
      <c r="N25669"/>
    </row>
    <row r="25670" spans="3:14" x14ac:dyDescent="0.3">
      <c r="C25670" s="52"/>
      <c r="N25670"/>
    </row>
    <row r="25671" spans="3:14" x14ac:dyDescent="0.3">
      <c r="C25671" s="52"/>
      <c r="N25671"/>
    </row>
    <row r="25672" spans="3:14" x14ac:dyDescent="0.3">
      <c r="C25672" s="52"/>
      <c r="N25672"/>
    </row>
    <row r="25673" spans="3:14" x14ac:dyDescent="0.3">
      <c r="C25673" s="52"/>
      <c r="N25673"/>
    </row>
    <row r="25674" spans="3:14" x14ac:dyDescent="0.3">
      <c r="C25674" s="52"/>
      <c r="N25674"/>
    </row>
    <row r="25675" spans="3:14" x14ac:dyDescent="0.3">
      <c r="C25675" s="52"/>
      <c r="N25675"/>
    </row>
    <row r="25676" spans="3:14" x14ac:dyDescent="0.3">
      <c r="C25676" s="52"/>
      <c r="N25676"/>
    </row>
    <row r="25677" spans="3:14" x14ac:dyDescent="0.3">
      <c r="C25677" s="52"/>
      <c r="N25677"/>
    </row>
    <row r="25678" spans="3:14" x14ac:dyDescent="0.3">
      <c r="C25678" s="52"/>
      <c r="N25678"/>
    </row>
    <row r="25679" spans="3:14" x14ac:dyDescent="0.3">
      <c r="C25679" s="52"/>
      <c r="N25679"/>
    </row>
    <row r="25680" spans="3:14" x14ac:dyDescent="0.3">
      <c r="C25680" s="52"/>
      <c r="N25680"/>
    </row>
    <row r="25681" spans="3:14" x14ac:dyDescent="0.3">
      <c r="C25681" s="52"/>
      <c r="N25681"/>
    </row>
    <row r="25682" spans="3:14" x14ac:dyDescent="0.3">
      <c r="C25682" s="52"/>
      <c r="N25682"/>
    </row>
    <row r="25683" spans="3:14" x14ac:dyDescent="0.3">
      <c r="C25683" s="52"/>
      <c r="N25683"/>
    </row>
    <row r="25684" spans="3:14" x14ac:dyDescent="0.3">
      <c r="C25684" s="52"/>
      <c r="N25684"/>
    </row>
    <row r="25685" spans="3:14" x14ac:dyDescent="0.3">
      <c r="C25685" s="52"/>
      <c r="N25685"/>
    </row>
    <row r="25686" spans="3:14" x14ac:dyDescent="0.3">
      <c r="C25686" s="52"/>
      <c r="N25686"/>
    </row>
    <row r="25687" spans="3:14" x14ac:dyDescent="0.3">
      <c r="C25687" s="52"/>
      <c r="N25687"/>
    </row>
    <row r="25688" spans="3:14" x14ac:dyDescent="0.3">
      <c r="C25688" s="52"/>
      <c r="N25688"/>
    </row>
    <row r="25689" spans="3:14" x14ac:dyDescent="0.3">
      <c r="C25689" s="52"/>
      <c r="N25689"/>
    </row>
    <row r="25690" spans="3:14" x14ac:dyDescent="0.3">
      <c r="C25690" s="52"/>
      <c r="N25690"/>
    </row>
    <row r="25691" spans="3:14" x14ac:dyDescent="0.3">
      <c r="C25691" s="52"/>
      <c r="N25691"/>
    </row>
    <row r="25692" spans="3:14" x14ac:dyDescent="0.3">
      <c r="C25692" s="52"/>
      <c r="N25692"/>
    </row>
    <row r="25693" spans="3:14" x14ac:dyDescent="0.3">
      <c r="C25693" s="52"/>
      <c r="N25693"/>
    </row>
    <row r="25694" spans="3:14" x14ac:dyDescent="0.3">
      <c r="C25694" s="52"/>
      <c r="N25694"/>
    </row>
    <row r="25695" spans="3:14" x14ac:dyDescent="0.3">
      <c r="C25695" s="52"/>
      <c r="N25695"/>
    </row>
    <row r="25696" spans="3:14" x14ac:dyDescent="0.3">
      <c r="C25696" s="52"/>
      <c r="N25696"/>
    </row>
    <row r="25697" spans="3:14" x14ac:dyDescent="0.3">
      <c r="C25697" s="52"/>
      <c r="N25697"/>
    </row>
    <row r="25698" spans="3:14" x14ac:dyDescent="0.3">
      <c r="C25698" s="52"/>
      <c r="N25698"/>
    </row>
    <row r="25699" spans="3:14" x14ac:dyDescent="0.3">
      <c r="C25699" s="52"/>
      <c r="N25699"/>
    </row>
    <row r="25700" spans="3:14" x14ac:dyDescent="0.3">
      <c r="C25700" s="52"/>
      <c r="N25700"/>
    </row>
    <row r="25701" spans="3:14" x14ac:dyDescent="0.3">
      <c r="C25701" s="52"/>
      <c r="N25701"/>
    </row>
    <row r="25702" spans="3:14" x14ac:dyDescent="0.3">
      <c r="C25702" s="52"/>
      <c r="N25702"/>
    </row>
    <row r="25703" spans="3:14" x14ac:dyDescent="0.3">
      <c r="C25703" s="52"/>
      <c r="N25703"/>
    </row>
    <row r="25704" spans="3:14" x14ac:dyDescent="0.3">
      <c r="C25704" s="52"/>
      <c r="N25704"/>
    </row>
    <row r="25705" spans="3:14" x14ac:dyDescent="0.3">
      <c r="C25705" s="52"/>
      <c r="N25705"/>
    </row>
    <row r="25706" spans="3:14" x14ac:dyDescent="0.3">
      <c r="C25706" s="52"/>
      <c r="N25706"/>
    </row>
    <row r="25707" spans="3:14" x14ac:dyDescent="0.3">
      <c r="C25707" s="52"/>
      <c r="N25707"/>
    </row>
    <row r="25708" spans="3:14" x14ac:dyDescent="0.3">
      <c r="C25708" s="52"/>
      <c r="N25708"/>
    </row>
    <row r="25709" spans="3:14" x14ac:dyDescent="0.3">
      <c r="C25709" s="52"/>
      <c r="N25709"/>
    </row>
    <row r="25710" spans="3:14" x14ac:dyDescent="0.3">
      <c r="C25710" s="52"/>
      <c r="N25710"/>
    </row>
    <row r="25711" spans="3:14" x14ac:dyDescent="0.3">
      <c r="C25711" s="52"/>
      <c r="N25711"/>
    </row>
    <row r="25712" spans="3:14" x14ac:dyDescent="0.3">
      <c r="C25712" s="52"/>
      <c r="N25712"/>
    </row>
    <row r="25713" spans="3:14" x14ac:dyDescent="0.3">
      <c r="C25713" s="52"/>
      <c r="N25713"/>
    </row>
    <row r="25714" spans="3:14" x14ac:dyDescent="0.3">
      <c r="C25714" s="52"/>
      <c r="N25714"/>
    </row>
    <row r="25715" spans="3:14" x14ac:dyDescent="0.3">
      <c r="C25715" s="52"/>
      <c r="N25715"/>
    </row>
    <row r="25716" spans="3:14" x14ac:dyDescent="0.3">
      <c r="C25716" s="52"/>
      <c r="N25716"/>
    </row>
    <row r="25717" spans="3:14" x14ac:dyDescent="0.3">
      <c r="C25717" s="52"/>
      <c r="N25717"/>
    </row>
    <row r="25718" spans="3:14" x14ac:dyDescent="0.3">
      <c r="C25718" s="52"/>
      <c r="N25718"/>
    </row>
    <row r="25719" spans="3:14" x14ac:dyDescent="0.3">
      <c r="C25719" s="52"/>
      <c r="N25719"/>
    </row>
    <row r="25720" spans="3:14" x14ac:dyDescent="0.3">
      <c r="C25720" s="52"/>
      <c r="N25720"/>
    </row>
    <row r="25721" spans="3:14" x14ac:dyDescent="0.3">
      <c r="C25721" s="52"/>
      <c r="N25721"/>
    </row>
    <row r="25722" spans="3:14" x14ac:dyDescent="0.3">
      <c r="C25722" s="52"/>
      <c r="N25722"/>
    </row>
    <row r="25723" spans="3:14" x14ac:dyDescent="0.3">
      <c r="C25723" s="52"/>
      <c r="N25723"/>
    </row>
    <row r="25724" spans="3:14" x14ac:dyDescent="0.3">
      <c r="C25724" s="52"/>
      <c r="N25724"/>
    </row>
    <row r="25725" spans="3:14" x14ac:dyDescent="0.3">
      <c r="C25725" s="52"/>
      <c r="N25725"/>
    </row>
    <row r="25726" spans="3:14" x14ac:dyDescent="0.3">
      <c r="C25726" s="52"/>
      <c r="N25726"/>
    </row>
    <row r="25727" spans="3:14" x14ac:dyDescent="0.3">
      <c r="C25727" s="52"/>
      <c r="N25727"/>
    </row>
    <row r="25728" spans="3:14" x14ac:dyDescent="0.3">
      <c r="C25728" s="52"/>
      <c r="N25728"/>
    </row>
    <row r="25729" spans="3:14" x14ac:dyDescent="0.3">
      <c r="C25729" s="52"/>
      <c r="N25729"/>
    </row>
    <row r="25730" spans="3:14" x14ac:dyDescent="0.3">
      <c r="C25730" s="52"/>
      <c r="N25730"/>
    </row>
    <row r="25731" spans="3:14" x14ac:dyDescent="0.3">
      <c r="C25731" s="52"/>
      <c r="N25731"/>
    </row>
    <row r="25732" spans="3:14" x14ac:dyDescent="0.3">
      <c r="C25732" s="52"/>
      <c r="N25732"/>
    </row>
    <row r="25733" spans="3:14" x14ac:dyDescent="0.3">
      <c r="C25733" s="52"/>
      <c r="N25733"/>
    </row>
    <row r="25734" spans="3:14" x14ac:dyDescent="0.3">
      <c r="C25734" s="52"/>
      <c r="N25734"/>
    </row>
    <row r="25735" spans="3:14" x14ac:dyDescent="0.3">
      <c r="C25735" s="52"/>
      <c r="N25735"/>
    </row>
    <row r="25736" spans="3:14" x14ac:dyDescent="0.3">
      <c r="C25736" s="52"/>
      <c r="N25736"/>
    </row>
    <row r="25737" spans="3:14" x14ac:dyDescent="0.3">
      <c r="C25737" s="52"/>
      <c r="N25737"/>
    </row>
    <row r="25738" spans="3:14" x14ac:dyDescent="0.3">
      <c r="C25738" s="52"/>
      <c r="N25738"/>
    </row>
    <row r="25739" spans="3:14" x14ac:dyDescent="0.3">
      <c r="C25739" s="52"/>
      <c r="N25739"/>
    </row>
    <row r="25740" spans="3:14" x14ac:dyDescent="0.3">
      <c r="C25740" s="52"/>
      <c r="N25740"/>
    </row>
    <row r="25741" spans="3:14" x14ac:dyDescent="0.3">
      <c r="C25741" s="52"/>
      <c r="N25741"/>
    </row>
    <row r="25742" spans="3:14" x14ac:dyDescent="0.3">
      <c r="C25742" s="52"/>
      <c r="N25742"/>
    </row>
    <row r="25743" spans="3:14" x14ac:dyDescent="0.3">
      <c r="C25743" s="52"/>
      <c r="N25743"/>
    </row>
    <row r="25744" spans="3:14" x14ac:dyDescent="0.3">
      <c r="C25744" s="52"/>
      <c r="N25744"/>
    </row>
    <row r="25745" spans="3:14" x14ac:dyDescent="0.3">
      <c r="C25745" s="52"/>
      <c r="N25745"/>
    </row>
    <row r="25746" spans="3:14" x14ac:dyDescent="0.3">
      <c r="C25746" s="52"/>
      <c r="N25746"/>
    </row>
    <row r="25747" spans="3:14" x14ac:dyDescent="0.3">
      <c r="C25747" s="52"/>
      <c r="N25747"/>
    </row>
    <row r="25748" spans="3:14" x14ac:dyDescent="0.3">
      <c r="C25748" s="52"/>
      <c r="N25748"/>
    </row>
    <row r="25749" spans="3:14" x14ac:dyDescent="0.3">
      <c r="C25749" s="52"/>
      <c r="N25749"/>
    </row>
    <row r="25750" spans="3:14" x14ac:dyDescent="0.3">
      <c r="C25750" s="52"/>
      <c r="N25750"/>
    </row>
  </sheetData>
  <autoFilter ref="A1:O25750" xr:uid="{00000000-0009-0000-0000-000005000000}"/>
  <pageMargins left="0.51181102362204722" right="0.51181102362204722" top="0.78740157480314965" bottom="0.78740157480314965" header="0.31496062992125984" footer="0.31496062992125984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'Grupos de Contas'!$A:$A</xm:f>
          </x14:formula1>
          <xm:sqref>O523:O524 O539 O632:O1048576 O526 O543:O626 O514:O520 O493:O498 O503:O504 D57:E57 O509:O511 O528:O537 O2:O490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Q133"/>
  <sheetViews>
    <sheetView workbookViewId="0">
      <selection activeCell="A35" sqref="A35"/>
    </sheetView>
  </sheetViews>
  <sheetFormatPr defaultRowHeight="14.4" x14ac:dyDescent="0.3"/>
  <cols>
    <col min="1" max="1" width="66" style="3" customWidth="1"/>
    <col min="5" max="5" width="15.109375" bestFit="1" customWidth="1"/>
    <col min="7" max="7" width="11.5546875" bestFit="1" customWidth="1"/>
    <col min="17" max="17" width="10.109375" bestFit="1" customWidth="1"/>
  </cols>
  <sheetData>
    <row r="1" spans="1:17" ht="21" x14ac:dyDescent="0.3">
      <c r="A1" s="4"/>
    </row>
    <row r="2" spans="1:17" ht="18.600000000000001" thickBot="1" x14ac:dyDescent="0.35">
      <c r="A2" s="23" t="s">
        <v>52</v>
      </c>
    </row>
    <row r="3" spans="1:17" ht="15" thickBot="1" x14ac:dyDescent="0.35">
      <c r="A3" s="6" t="s">
        <v>117</v>
      </c>
    </row>
    <row r="4" spans="1:17" ht="15" thickBot="1" x14ac:dyDescent="0.35">
      <c r="A4" s="6" t="s">
        <v>118</v>
      </c>
    </row>
    <row r="5" spans="1:17" ht="15" thickBot="1" x14ac:dyDescent="0.35">
      <c r="A5" s="6" t="s">
        <v>137</v>
      </c>
    </row>
    <row r="6" spans="1:17" ht="15" thickBot="1" x14ac:dyDescent="0.35">
      <c r="A6" s="6" t="s">
        <v>136</v>
      </c>
    </row>
    <row r="7" spans="1:17" ht="9.75" customHeight="1" thickBot="1" x14ac:dyDescent="0.35">
      <c r="A7" s="4"/>
    </row>
    <row r="8" spans="1:17" ht="18.600000000000001" thickBot="1" x14ac:dyDescent="0.35">
      <c r="A8" s="8" t="s">
        <v>53</v>
      </c>
      <c r="Q8" s="45"/>
    </row>
    <row r="9" spans="1:17" ht="15" thickBot="1" x14ac:dyDescent="0.35">
      <c r="A9" s="10" t="s">
        <v>54</v>
      </c>
    </row>
    <row r="10" spans="1:17" ht="15" thickBot="1" x14ac:dyDescent="0.35">
      <c r="A10" s="12" t="s">
        <v>55</v>
      </c>
      <c r="G10" s="50"/>
      <c r="I10" s="48"/>
      <c r="K10" s="51"/>
    </row>
    <row r="11" spans="1:17" ht="15" thickBot="1" x14ac:dyDescent="0.35">
      <c r="A11" s="12" t="s">
        <v>56</v>
      </c>
      <c r="G11" s="50"/>
      <c r="I11" s="48"/>
      <c r="K11" s="51"/>
    </row>
    <row r="12" spans="1:17" ht="15" thickBot="1" x14ac:dyDescent="0.35">
      <c r="A12" s="12" t="s">
        <v>122</v>
      </c>
      <c r="G12" s="50"/>
      <c r="I12" s="48"/>
      <c r="K12" s="51"/>
    </row>
    <row r="13" spans="1:17" ht="15" thickBot="1" x14ac:dyDescent="0.35">
      <c r="A13" s="12" t="s">
        <v>57</v>
      </c>
      <c r="G13" s="50"/>
      <c r="I13" s="48"/>
      <c r="K13" s="51"/>
    </row>
    <row r="14" spans="1:17" ht="15" thickBot="1" x14ac:dyDescent="0.35">
      <c r="A14" s="10" t="s">
        <v>58</v>
      </c>
      <c r="G14" s="50"/>
      <c r="I14" s="49"/>
      <c r="K14" s="51"/>
    </row>
    <row r="15" spans="1:17" ht="15" thickBot="1" x14ac:dyDescent="0.35">
      <c r="A15" s="12" t="s">
        <v>30</v>
      </c>
      <c r="G15" s="50"/>
      <c r="I15" s="49"/>
      <c r="K15" s="51"/>
    </row>
    <row r="16" spans="1:17" ht="15" thickBot="1" x14ac:dyDescent="0.35">
      <c r="A16" s="12" t="s">
        <v>59</v>
      </c>
      <c r="G16" s="50"/>
      <c r="I16" s="49"/>
      <c r="K16" s="51"/>
    </row>
    <row r="17" spans="1:11" ht="15" thickBot="1" x14ac:dyDescent="0.35">
      <c r="A17" s="12" t="s">
        <v>60</v>
      </c>
      <c r="G17" s="50"/>
      <c r="I17" s="49"/>
      <c r="K17" s="51"/>
    </row>
    <row r="18" spans="1:11" ht="15" thickBot="1" x14ac:dyDescent="0.35">
      <c r="A18" s="12" t="s">
        <v>61</v>
      </c>
      <c r="G18" s="50"/>
      <c r="I18" s="49"/>
      <c r="K18" s="51"/>
    </row>
    <row r="19" spans="1:11" ht="6" customHeight="1" thickBot="1" x14ac:dyDescent="0.35">
      <c r="A19" s="4"/>
      <c r="G19" s="50"/>
      <c r="I19" s="49"/>
      <c r="K19" s="51"/>
    </row>
    <row r="20" spans="1:11" ht="18.600000000000001" thickBot="1" x14ac:dyDescent="0.35">
      <c r="A20" s="8" t="s">
        <v>63</v>
      </c>
      <c r="G20" s="50"/>
      <c r="I20" s="49"/>
      <c r="K20" s="51"/>
    </row>
    <row r="21" spans="1:11" ht="15" thickBot="1" x14ac:dyDescent="0.35">
      <c r="A21" s="10" t="s">
        <v>44</v>
      </c>
      <c r="G21" s="50"/>
      <c r="I21" s="49"/>
      <c r="K21" s="51"/>
    </row>
    <row r="22" spans="1:11" ht="15" thickBot="1" x14ac:dyDescent="0.35">
      <c r="A22" s="12" t="s">
        <v>145</v>
      </c>
    </row>
    <row r="23" spans="1:11" ht="15" thickBot="1" x14ac:dyDescent="0.35">
      <c r="A23" s="12" t="s">
        <v>146</v>
      </c>
    </row>
    <row r="24" spans="1:11" ht="15" thickBot="1" x14ac:dyDescent="0.35">
      <c r="A24" s="12" t="s">
        <v>133</v>
      </c>
      <c r="I24" s="46"/>
    </row>
    <row r="25" spans="1:11" ht="15" thickBot="1" x14ac:dyDescent="0.35">
      <c r="A25" s="12" t="s">
        <v>64</v>
      </c>
      <c r="I25" s="46"/>
    </row>
    <row r="26" spans="1:11" ht="15" thickBot="1" x14ac:dyDescent="0.35">
      <c r="A26" s="10" t="s">
        <v>10</v>
      </c>
    </row>
    <row r="27" spans="1:11" ht="15" thickBot="1" x14ac:dyDescent="0.35">
      <c r="A27" s="12" t="s">
        <v>23</v>
      </c>
      <c r="I27" s="46"/>
    </row>
    <row r="28" spans="1:11" ht="15" thickBot="1" x14ac:dyDescent="0.35">
      <c r="A28" s="12" t="s">
        <v>123</v>
      </c>
      <c r="I28" s="46"/>
    </row>
    <row r="29" spans="1:11" ht="6" customHeight="1" thickBot="1" x14ac:dyDescent="0.35">
      <c r="A29" s="4"/>
    </row>
    <row r="30" spans="1:11" ht="18.600000000000001" thickBot="1" x14ac:dyDescent="0.35">
      <c r="A30" s="8" t="s">
        <v>66</v>
      </c>
      <c r="I30" s="46"/>
    </row>
    <row r="31" spans="1:11" ht="15" thickBot="1" x14ac:dyDescent="0.35">
      <c r="A31" s="16" t="s">
        <v>67</v>
      </c>
      <c r="I31" s="46"/>
    </row>
    <row r="32" spans="1:11" ht="15" thickBot="1" x14ac:dyDescent="0.35">
      <c r="A32" s="12" t="s">
        <v>9</v>
      </c>
    </row>
    <row r="33" spans="1:9" ht="15" thickBot="1" x14ac:dyDescent="0.35">
      <c r="A33" s="12" t="s">
        <v>142</v>
      </c>
    </row>
    <row r="34" spans="1:9" ht="15" thickBot="1" x14ac:dyDescent="0.35">
      <c r="A34" s="12" t="s">
        <v>148</v>
      </c>
    </row>
    <row r="35" spans="1:9" ht="15" thickBot="1" x14ac:dyDescent="0.35">
      <c r="A35" s="12" t="s">
        <v>144</v>
      </c>
    </row>
    <row r="36" spans="1:9" ht="15" thickBot="1" x14ac:dyDescent="0.35">
      <c r="A36" s="12" t="s">
        <v>4</v>
      </c>
      <c r="I36" s="46"/>
    </row>
    <row r="37" spans="1:9" ht="9" customHeight="1" thickBot="1" x14ac:dyDescent="0.35">
      <c r="A37" s="4"/>
      <c r="I37" s="46"/>
    </row>
    <row r="38" spans="1:9" ht="18.600000000000001" thickBot="1" x14ac:dyDescent="0.35">
      <c r="A38" s="8" t="s">
        <v>69</v>
      </c>
    </row>
    <row r="39" spans="1:9" ht="15" thickBot="1" x14ac:dyDescent="0.35">
      <c r="A39" s="16" t="s">
        <v>46</v>
      </c>
      <c r="I39" s="46"/>
    </row>
    <row r="40" spans="1:9" ht="15" thickBot="1" x14ac:dyDescent="0.35">
      <c r="A40" s="12" t="s">
        <v>14</v>
      </c>
      <c r="I40" s="46"/>
    </row>
    <row r="41" spans="1:9" ht="15" thickBot="1" x14ac:dyDescent="0.35">
      <c r="A41" s="12" t="s">
        <v>17</v>
      </c>
    </row>
    <row r="42" spans="1:9" ht="15" thickBot="1" x14ac:dyDescent="0.35">
      <c r="A42" s="12" t="s">
        <v>27</v>
      </c>
    </row>
    <row r="43" spans="1:9" ht="15" thickBot="1" x14ac:dyDescent="0.35">
      <c r="A43" s="12" t="s">
        <v>70</v>
      </c>
    </row>
    <row r="44" spans="1:9" ht="15" thickBot="1" x14ac:dyDescent="0.35">
      <c r="A44" s="12" t="s">
        <v>71</v>
      </c>
    </row>
    <row r="45" spans="1:9" ht="15" thickBot="1" x14ac:dyDescent="0.35">
      <c r="A45" s="12" t="s">
        <v>31</v>
      </c>
    </row>
    <row r="46" spans="1:9" ht="15" thickBot="1" x14ac:dyDescent="0.35">
      <c r="A46" s="12" t="s">
        <v>18</v>
      </c>
    </row>
    <row r="47" spans="1:9" ht="15" thickBot="1" x14ac:dyDescent="0.35">
      <c r="A47" s="12" t="s">
        <v>13</v>
      </c>
    </row>
    <row r="48" spans="1:9" ht="15" thickBot="1" x14ac:dyDescent="0.35">
      <c r="A48" s="12" t="s">
        <v>72</v>
      </c>
    </row>
    <row r="49" spans="1:1" ht="15" thickBot="1" x14ac:dyDescent="0.35">
      <c r="A49" s="12" t="s">
        <v>147</v>
      </c>
    </row>
    <row r="50" spans="1:1" ht="15" thickBot="1" x14ac:dyDescent="0.35">
      <c r="A50" s="12" t="s">
        <v>15</v>
      </c>
    </row>
    <row r="51" spans="1:1" ht="15" thickBot="1" x14ac:dyDescent="0.35">
      <c r="A51" s="12" t="s">
        <v>73</v>
      </c>
    </row>
    <row r="52" spans="1:1" ht="15" thickBot="1" x14ac:dyDescent="0.35">
      <c r="A52" s="12" t="s">
        <v>48</v>
      </c>
    </row>
    <row r="53" spans="1:1" ht="15" thickBot="1" x14ac:dyDescent="0.35">
      <c r="A53" s="12" t="s">
        <v>25</v>
      </c>
    </row>
    <row r="54" spans="1:1" ht="15" thickBot="1" x14ac:dyDescent="0.35">
      <c r="A54" s="12" t="s">
        <v>3</v>
      </c>
    </row>
    <row r="55" spans="1:1" ht="15" thickBot="1" x14ac:dyDescent="0.35">
      <c r="A55" s="12" t="s">
        <v>28</v>
      </c>
    </row>
    <row r="56" spans="1:1" ht="15" thickBot="1" x14ac:dyDescent="0.35">
      <c r="A56" s="12" t="s">
        <v>11</v>
      </c>
    </row>
    <row r="57" spans="1:1" ht="15" thickBot="1" x14ac:dyDescent="0.35">
      <c r="A57" s="12" t="s">
        <v>40</v>
      </c>
    </row>
    <row r="58" spans="1:1" ht="15" thickBot="1" x14ac:dyDescent="0.35">
      <c r="A58" s="12" t="s">
        <v>33</v>
      </c>
    </row>
    <row r="59" spans="1:1" ht="15" thickBot="1" x14ac:dyDescent="0.35">
      <c r="A59" s="12" t="s">
        <v>35</v>
      </c>
    </row>
    <row r="60" spans="1:1" ht="15" thickBot="1" x14ac:dyDescent="0.35">
      <c r="A60" s="12" t="s">
        <v>19</v>
      </c>
    </row>
    <row r="61" spans="1:1" ht="15" thickBot="1" x14ac:dyDescent="0.35">
      <c r="A61" s="12" t="s">
        <v>16</v>
      </c>
    </row>
    <row r="62" spans="1:1" ht="15" thickBot="1" x14ac:dyDescent="0.35">
      <c r="A62" s="12" t="s">
        <v>20</v>
      </c>
    </row>
    <row r="63" spans="1:1" ht="15" thickBot="1" x14ac:dyDescent="0.35">
      <c r="A63" s="12" t="s">
        <v>24</v>
      </c>
    </row>
    <row r="64" spans="1:1" ht="15" thickBot="1" x14ac:dyDescent="0.35">
      <c r="A64" s="12" t="s">
        <v>74</v>
      </c>
    </row>
    <row r="65" spans="1:1" ht="15" thickBot="1" x14ac:dyDescent="0.35">
      <c r="A65" s="12" t="s">
        <v>37</v>
      </c>
    </row>
    <row r="66" spans="1:1" ht="15" thickBot="1" x14ac:dyDescent="0.35">
      <c r="A66" s="12" t="s">
        <v>135</v>
      </c>
    </row>
    <row r="67" spans="1:1" ht="15" thickBot="1" x14ac:dyDescent="0.35">
      <c r="A67" s="12" t="s">
        <v>75</v>
      </c>
    </row>
    <row r="68" spans="1:1" ht="15" thickBot="1" x14ac:dyDescent="0.35">
      <c r="A68" s="12" t="s">
        <v>116</v>
      </c>
    </row>
    <row r="69" spans="1:1" ht="15" thickBot="1" x14ac:dyDescent="0.35">
      <c r="A69" s="12" t="s">
        <v>121</v>
      </c>
    </row>
    <row r="70" spans="1:1" ht="15" thickBot="1" x14ac:dyDescent="0.35">
      <c r="A70" s="16" t="s">
        <v>76</v>
      </c>
    </row>
    <row r="71" spans="1:1" ht="15" thickBot="1" x14ac:dyDescent="0.35">
      <c r="A71" s="12" t="s">
        <v>1</v>
      </c>
    </row>
    <row r="72" spans="1:1" ht="15" thickBot="1" x14ac:dyDescent="0.35">
      <c r="A72" s="12" t="s">
        <v>45</v>
      </c>
    </row>
    <row r="73" spans="1:1" ht="15" thickBot="1" x14ac:dyDescent="0.35">
      <c r="A73" s="12" t="s">
        <v>77</v>
      </c>
    </row>
    <row r="74" spans="1:1" ht="15" thickBot="1" x14ac:dyDescent="0.35">
      <c r="A74" s="12" t="s">
        <v>43</v>
      </c>
    </row>
    <row r="75" spans="1:1" ht="15" thickBot="1" x14ac:dyDescent="0.35">
      <c r="A75" s="12" t="s">
        <v>2</v>
      </c>
    </row>
    <row r="76" spans="1:1" ht="15" thickBot="1" x14ac:dyDescent="0.35">
      <c r="A76" s="12" t="s">
        <v>29</v>
      </c>
    </row>
    <row r="77" spans="1:1" ht="15" thickBot="1" x14ac:dyDescent="0.35">
      <c r="A77" s="12" t="s">
        <v>78</v>
      </c>
    </row>
    <row r="78" spans="1:1" ht="15" thickBot="1" x14ac:dyDescent="0.35">
      <c r="A78" s="12" t="s">
        <v>12</v>
      </c>
    </row>
    <row r="79" spans="1:1" ht="15" thickBot="1" x14ac:dyDescent="0.35">
      <c r="A79" s="12" t="s">
        <v>79</v>
      </c>
    </row>
    <row r="80" spans="1:1" ht="15" thickBot="1" x14ac:dyDescent="0.35">
      <c r="A80" s="12" t="s">
        <v>39</v>
      </c>
    </row>
    <row r="81" spans="1:1" ht="15" thickBot="1" x14ac:dyDescent="0.35">
      <c r="A81" s="12" t="s">
        <v>5</v>
      </c>
    </row>
    <row r="82" spans="1:1" ht="15" thickBot="1" x14ac:dyDescent="0.35">
      <c r="A82" s="12" t="s">
        <v>34</v>
      </c>
    </row>
    <row r="83" spans="1:1" ht="15" thickBot="1" x14ac:dyDescent="0.35">
      <c r="A83" s="12" t="s">
        <v>36</v>
      </c>
    </row>
    <row r="84" spans="1:1" ht="15" thickBot="1" x14ac:dyDescent="0.35">
      <c r="A84" s="12" t="s">
        <v>80</v>
      </c>
    </row>
    <row r="85" spans="1:1" ht="15" thickBot="1" x14ac:dyDescent="0.35">
      <c r="A85" s="12" t="s">
        <v>81</v>
      </c>
    </row>
    <row r="86" spans="1:1" ht="15" thickBot="1" x14ac:dyDescent="0.35">
      <c r="A86" s="12" t="s">
        <v>82</v>
      </c>
    </row>
    <row r="87" spans="1:1" ht="15" thickBot="1" x14ac:dyDescent="0.35">
      <c r="A87" s="12" t="s">
        <v>32</v>
      </c>
    </row>
    <row r="88" spans="1:1" ht="15" thickBot="1" x14ac:dyDescent="0.35">
      <c r="A88" s="16" t="s">
        <v>42</v>
      </c>
    </row>
    <row r="89" spans="1:1" ht="15" thickBot="1" x14ac:dyDescent="0.35">
      <c r="A89" s="12" t="s">
        <v>21</v>
      </c>
    </row>
    <row r="90" spans="1:1" ht="15" thickBot="1" x14ac:dyDescent="0.35">
      <c r="A90" s="12" t="s">
        <v>83</v>
      </c>
    </row>
    <row r="91" spans="1:1" ht="15" thickBot="1" x14ac:dyDescent="0.35">
      <c r="A91" s="12" t="s">
        <v>22</v>
      </c>
    </row>
    <row r="92" spans="1:1" ht="15" thickBot="1" x14ac:dyDescent="0.35">
      <c r="A92" s="12" t="s">
        <v>124</v>
      </c>
    </row>
    <row r="93" spans="1:1" ht="15" thickBot="1" x14ac:dyDescent="0.35">
      <c r="A93" s="16" t="s">
        <v>84</v>
      </c>
    </row>
    <row r="94" spans="1:1" ht="15" thickBot="1" x14ac:dyDescent="0.35">
      <c r="A94" s="12" t="s">
        <v>85</v>
      </c>
    </row>
    <row r="95" spans="1:1" ht="15" thickBot="1" x14ac:dyDescent="0.35">
      <c r="A95" s="12" t="s">
        <v>86</v>
      </c>
    </row>
    <row r="96" spans="1:1" ht="15" thickBot="1" x14ac:dyDescent="0.35">
      <c r="A96" s="12" t="s">
        <v>87</v>
      </c>
    </row>
    <row r="97" spans="1:1" ht="15" thickBot="1" x14ac:dyDescent="0.35">
      <c r="A97" s="12" t="s">
        <v>88</v>
      </c>
    </row>
    <row r="98" spans="1:1" ht="15" thickBot="1" x14ac:dyDescent="0.35">
      <c r="A98" s="12" t="s">
        <v>26</v>
      </c>
    </row>
    <row r="99" spans="1:1" ht="15" thickBot="1" x14ac:dyDescent="0.35">
      <c r="A99" s="12" t="s">
        <v>89</v>
      </c>
    </row>
    <row r="100" spans="1:1" ht="15" thickBot="1" x14ac:dyDescent="0.35">
      <c r="A100" s="12" t="s">
        <v>90</v>
      </c>
    </row>
    <row r="101" spans="1:1" ht="15" thickBot="1" x14ac:dyDescent="0.35">
      <c r="A101" s="12" t="s">
        <v>91</v>
      </c>
    </row>
    <row r="102" spans="1:1" ht="9" customHeight="1" thickBot="1" x14ac:dyDescent="0.35">
      <c r="A102" s="4"/>
    </row>
    <row r="103" spans="1:1" ht="18.600000000000001" thickBot="1" x14ac:dyDescent="0.35">
      <c r="A103" s="8" t="s">
        <v>93</v>
      </c>
    </row>
    <row r="104" spans="1:1" ht="15" thickBot="1" x14ac:dyDescent="0.35">
      <c r="A104" s="16" t="s">
        <v>94</v>
      </c>
    </row>
    <row r="105" spans="1:1" ht="15" thickBot="1" x14ac:dyDescent="0.35">
      <c r="A105" s="19" t="s">
        <v>8</v>
      </c>
    </row>
    <row r="106" spans="1:1" ht="15" thickBot="1" x14ac:dyDescent="0.35">
      <c r="A106" s="19" t="s">
        <v>95</v>
      </c>
    </row>
    <row r="107" spans="1:1" ht="15" thickBot="1" x14ac:dyDescent="0.35">
      <c r="A107" s="19" t="s">
        <v>96</v>
      </c>
    </row>
    <row r="108" spans="1:1" ht="15" thickBot="1" x14ac:dyDescent="0.35">
      <c r="A108" s="12" t="s">
        <v>38</v>
      </c>
    </row>
    <row r="109" spans="1:1" ht="15" thickBot="1" x14ac:dyDescent="0.35">
      <c r="A109" s="12" t="s">
        <v>97</v>
      </c>
    </row>
    <row r="110" spans="1:1" ht="15" thickBot="1" x14ac:dyDescent="0.35">
      <c r="A110" s="12" t="s">
        <v>134</v>
      </c>
    </row>
    <row r="111" spans="1:1" ht="15" thickBot="1" x14ac:dyDescent="0.35">
      <c r="A111" s="12" t="s">
        <v>0</v>
      </c>
    </row>
    <row r="112" spans="1:1" ht="15" thickBot="1" x14ac:dyDescent="0.35">
      <c r="A112" s="16" t="s">
        <v>98</v>
      </c>
    </row>
    <row r="113" spans="1:1" ht="15" thickBot="1" x14ac:dyDescent="0.35">
      <c r="A113" s="12" t="s">
        <v>99</v>
      </c>
    </row>
    <row r="114" spans="1:1" ht="15" thickBot="1" x14ac:dyDescent="0.35">
      <c r="A114" s="12" t="s">
        <v>100</v>
      </c>
    </row>
    <row r="115" spans="1:1" ht="15" thickBot="1" x14ac:dyDescent="0.35">
      <c r="A115" s="12" t="s">
        <v>101</v>
      </c>
    </row>
    <row r="116" spans="1:1" ht="7.5" customHeight="1" thickBot="1" x14ac:dyDescent="0.35">
      <c r="A116" s="4"/>
    </row>
    <row r="117" spans="1:1" ht="18.600000000000001" thickBot="1" x14ac:dyDescent="0.35">
      <c r="A117" s="20" t="s">
        <v>103</v>
      </c>
    </row>
    <row r="118" spans="1:1" ht="15" thickBot="1" x14ac:dyDescent="0.35">
      <c r="A118" s="12" t="s">
        <v>41</v>
      </c>
    </row>
    <row r="119" spans="1:1" ht="15" thickBot="1" x14ac:dyDescent="0.35">
      <c r="A119" s="12" t="s">
        <v>104</v>
      </c>
    </row>
    <row r="120" spans="1:1" ht="15" thickBot="1" x14ac:dyDescent="0.35">
      <c r="A120" s="12" t="s">
        <v>105</v>
      </c>
    </row>
    <row r="121" spans="1:1" ht="15" thickBot="1" x14ac:dyDescent="0.35">
      <c r="A121" s="12" t="s">
        <v>106</v>
      </c>
    </row>
    <row r="122" spans="1:1" ht="15" thickBot="1" x14ac:dyDescent="0.35">
      <c r="A122" s="12" t="s">
        <v>7</v>
      </c>
    </row>
    <row r="123" spans="1:1" ht="15" thickBot="1" x14ac:dyDescent="0.35">
      <c r="A123" s="12" t="s">
        <v>6</v>
      </c>
    </row>
    <row r="124" spans="1:1" ht="15" thickBot="1" x14ac:dyDescent="0.35">
      <c r="A124" s="12" t="s">
        <v>47</v>
      </c>
    </row>
    <row r="125" spans="1:1" ht="15" thickBot="1" x14ac:dyDescent="0.35">
      <c r="A125" s="12" t="s">
        <v>107</v>
      </c>
    </row>
    <row r="126" spans="1:1" ht="15" thickBot="1" x14ac:dyDescent="0.35">
      <c r="A126" s="12" t="s">
        <v>108</v>
      </c>
    </row>
    <row r="127" spans="1:1" ht="15" thickBot="1" x14ac:dyDescent="0.35">
      <c r="A127" s="12" t="s">
        <v>109</v>
      </c>
    </row>
    <row r="128" spans="1:1" ht="15" thickBot="1" x14ac:dyDescent="0.35">
      <c r="A128" s="12" t="s">
        <v>110</v>
      </c>
    </row>
    <row r="129" spans="1:1" ht="15" thickBot="1" x14ac:dyDescent="0.35">
      <c r="A129" s="12" t="s">
        <v>111</v>
      </c>
    </row>
    <row r="130" spans="1:1" ht="15" thickBot="1" x14ac:dyDescent="0.35">
      <c r="A130" s="12" t="s">
        <v>112</v>
      </c>
    </row>
    <row r="131" spans="1:1" ht="15" thickBot="1" x14ac:dyDescent="0.35">
      <c r="A131" s="12" t="s">
        <v>149</v>
      </c>
    </row>
    <row r="132" spans="1:1" ht="15" thickBot="1" x14ac:dyDescent="0.35">
      <c r="A132" s="12" t="s">
        <v>119</v>
      </c>
    </row>
    <row r="133" spans="1:1" ht="15" thickBot="1" x14ac:dyDescent="0.35">
      <c r="A133" s="12" t="s">
        <v>120</v>
      </c>
    </row>
  </sheetData>
  <conditionalFormatting sqref="A103">
    <cfRule type="cellIs" dxfId="1" priority="4" operator="lessThan">
      <formula>0</formula>
    </cfRule>
  </conditionalFormatting>
  <conditionalFormatting sqref="A117">
    <cfRule type="cellIs" dxfId="0" priority="5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DRE</vt:lpstr>
      <vt:lpstr>Dados Mov Financeira</vt:lpstr>
      <vt:lpstr>Grupos de Contas</vt:lpstr>
      <vt:lpstr>DRE!Area_de_impressao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Gomiero</cp:lastModifiedBy>
  <cp:lastPrinted>2024-07-02T14:46:49Z</cp:lastPrinted>
  <dcterms:created xsi:type="dcterms:W3CDTF">2018-02-02T13:36:03Z</dcterms:created>
  <dcterms:modified xsi:type="dcterms:W3CDTF">2024-07-02T17:51:55Z</dcterms:modified>
  <cp:category/>
</cp:coreProperties>
</file>